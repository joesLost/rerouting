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workbookPr codeName="ThisWorkbook" defaultThemeVersion="166925"/>
  <mc:AlternateContent xmlns:mc="http://schemas.openxmlformats.org/markup-compatibility/2006">
    <mc:Choice Requires="x15">
      <x15ac:absPath xmlns:x15ac="http://schemas.microsoft.com/office/spreadsheetml/2010/11/ac" url="C:\Users\jandersen\Documents\Rerouting\Grand Rapids Reroute 2022\"/>
    </mc:Choice>
  </mc:AlternateContent>
  <xr:revisionPtr revIDLastSave="0" documentId="13_ncr:1_{494AD0C8-38BF-4FF1-A41E-30F8C3D4E6FA}" xr6:coauthVersionLast="47" xr6:coauthVersionMax="47" xr10:uidLastSave="{00000000-0000-0000-0000-000000000000}"/>
  <bookViews>
    <workbookView xWindow="-108" yWindow="-108" windowWidth="23256" windowHeight="12720" tabRatio="1000" xr2:uid="{BA24C738-8F20-4D38-AB26-5D0E4D76E2EA}"/>
  </bookViews>
  <sheets>
    <sheet name="Master" sheetId="1" r:id="rId1"/>
    <sheet name="Master Adds" sheetId="2" r:id="rId2"/>
    <sheet name="Master Quits" sheetId="4" r:id="rId3"/>
    <sheet name="Master Changes" sheetId="5" r:id="rId4"/>
  </sheets>
  <externalReferences>
    <externalReference r:id="rId5"/>
  </externalReferences>
  <definedNames>
    <definedName name="_xlnm._FilterDatabase" localSheetId="0" hidden="1">Master!$A$1:$AT$1649</definedName>
    <definedName name="_xlpm.sst" hidden="1" xlm="1">#NAME?</definedName>
    <definedName name="Average_Stop_Time">Master!$AX$1</definedName>
    <definedName name="ExternalData_1" localSheetId="1" hidden="1">'Master Adds'!$A$1:$AS$5</definedName>
    <definedName name="ExternalData_3" localSheetId="2" hidden="1">'Master Quits'!$A$1:$AD$12</definedName>
    <definedName name="ExternalData_4" localSheetId="3" hidden="1">'Master Changes'!$A$1:$K$1012</definedName>
    <definedName name="_xlnm.Print_Area" localSheetId="0">Master[#All]</definedName>
    <definedName name="_xlnm.Print_Titles" localSheetId="0">Master!$1:$1</definedName>
    <definedName name="Slicer_Current_Delivery_Day">#N/A</definedName>
    <definedName name="Slicer_Current_Rt">#N/A</definedName>
    <definedName name="SlicerItems2">Master!$AZ$1:$AZ$10</definedName>
    <definedName name="SlicerItems3">Master!$BA$1:$BA$5</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6"/>
        <x14:slicerCache r:id="rId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X2" i="2" l="1"/>
  <c r="X3" i="2"/>
  <c r="X4" i="2"/>
  <c r="X5" i="2"/>
  <c r="AA1647" i="1"/>
  <c r="AA1648" i="1"/>
  <c r="AA1649" i="1"/>
  <c r="AB1647" i="1"/>
  <c r="AB1648" i="1"/>
  <c r="AB1649" i="1"/>
  <c r="AC1647" i="1"/>
  <c r="AC1648" i="1"/>
  <c r="AC1649" i="1"/>
  <c r="AD1647" i="1"/>
  <c r="AD1648" i="1"/>
  <c r="AD1649" i="1"/>
  <c r="AE1647" i="1"/>
  <c r="AE1648" i="1"/>
  <c r="AE1649" i="1"/>
  <c r="AF1647" i="1"/>
  <c r="AF1648" i="1"/>
  <c r="AF1649" i="1"/>
  <c r="AG1647" i="1"/>
  <c r="AG1648" i="1"/>
  <c r="AG1649" i="1"/>
  <c r="AH1647" i="1"/>
  <c r="AH1648" i="1"/>
  <c r="AH1649" i="1"/>
  <c r="AI1647" i="1"/>
  <c r="AI1648" i="1"/>
  <c r="AI1649" i="1"/>
  <c r="AJ1647" i="1"/>
  <c r="AJ1648" i="1"/>
  <c r="AJ1649" i="1"/>
  <c r="AK1647" i="1"/>
  <c r="AK1648" i="1"/>
  <c r="AK1649" i="1"/>
  <c r="AL1647" i="1"/>
  <c r="AL1648" i="1"/>
  <c r="AL1649" i="1"/>
  <c r="AW1647" i="1"/>
  <c r="AW1648" i="1"/>
  <c r="AW1649" i="1"/>
  <c r="X1649" i="1"/>
  <c r="X1648" i="1"/>
  <c r="X1647" i="1"/>
  <c r="AA1643" i="1"/>
  <c r="AA1644" i="1"/>
  <c r="AA1645" i="1"/>
  <c r="AA1646" i="1"/>
  <c r="AB1643" i="1"/>
  <c r="AB1644" i="1"/>
  <c r="AB1645" i="1"/>
  <c r="AB1646" i="1"/>
  <c r="AC1643" i="1"/>
  <c r="AC1644" i="1"/>
  <c r="AC1645" i="1"/>
  <c r="AC1646" i="1"/>
  <c r="AD1643" i="1"/>
  <c r="AD1644" i="1"/>
  <c r="AD1645" i="1"/>
  <c r="AD1646" i="1"/>
  <c r="AE1643" i="1"/>
  <c r="AE1644" i="1"/>
  <c r="AE1645" i="1"/>
  <c r="AE1646" i="1"/>
  <c r="AF1643" i="1"/>
  <c r="AF1644" i="1"/>
  <c r="AF1645" i="1"/>
  <c r="AF1646" i="1"/>
  <c r="AG1643" i="1"/>
  <c r="AG1644" i="1"/>
  <c r="AG1645" i="1"/>
  <c r="AG1646" i="1"/>
  <c r="AH1643" i="1"/>
  <c r="AH1644" i="1"/>
  <c r="AH1645" i="1"/>
  <c r="AH1646" i="1"/>
  <c r="AI1643" i="1"/>
  <c r="AI1644" i="1"/>
  <c r="AI1645" i="1"/>
  <c r="AI1646" i="1"/>
  <c r="AJ1643" i="1"/>
  <c r="AJ1644" i="1"/>
  <c r="AJ1645" i="1"/>
  <c r="AJ1646" i="1"/>
  <c r="AK1643" i="1"/>
  <c r="AK1644" i="1"/>
  <c r="AK1645" i="1"/>
  <c r="AK1646" i="1"/>
  <c r="AL1643" i="1"/>
  <c r="AL1644" i="1"/>
  <c r="AL1645" i="1"/>
  <c r="AL1646" i="1"/>
  <c r="AW1643" i="1"/>
  <c r="AW1644" i="1"/>
  <c r="AW1646" i="1"/>
  <c r="X1646" i="1"/>
  <c r="X1645" i="1"/>
  <c r="X1644" i="1"/>
  <c r="X1643" i="1"/>
  <c r="AW1645" i="1" l="1"/>
  <c r="AW1636" i="1"/>
  <c r="AW1637" i="1"/>
  <c r="AW1638" i="1"/>
  <c r="AW1639" i="1"/>
  <c r="AW1640" i="1"/>
  <c r="AW1641" i="1"/>
  <c r="AW1642" i="1"/>
  <c r="AK1599" i="1"/>
  <c r="AF1599" i="1"/>
  <c r="AE1599" i="1"/>
  <c r="AK1524" i="1"/>
  <c r="AF1524" i="1"/>
  <c r="AE1524" i="1"/>
  <c r="AK1165" i="1"/>
  <c r="AF1165" i="1"/>
  <c r="AE1165" i="1"/>
  <c r="AK1104" i="1"/>
  <c r="AF1104" i="1"/>
  <c r="AE1104" i="1"/>
  <c r="AK1093" i="1"/>
  <c r="AF1093" i="1"/>
  <c r="AE1093" i="1"/>
  <c r="AK1055" i="1"/>
  <c r="AF1055" i="1"/>
  <c r="AE1055" i="1"/>
  <c r="AK873" i="1"/>
  <c r="AF873" i="1"/>
  <c r="AE873" i="1"/>
  <c r="AK838" i="1"/>
  <c r="AF838" i="1"/>
  <c r="AE838" i="1"/>
  <c r="AK837" i="1"/>
  <c r="AF837" i="1"/>
  <c r="AE837" i="1"/>
  <c r="AK658" i="1"/>
  <c r="AF658" i="1"/>
  <c r="AE658" i="1"/>
  <c r="AK657" i="1"/>
  <c r="AF657" i="1"/>
  <c r="AE657" i="1"/>
  <c r="AK632" i="1"/>
  <c r="AF632" i="1"/>
  <c r="AE632" i="1"/>
  <c r="AK330" i="1"/>
  <c r="AF330" i="1"/>
  <c r="AE330" i="1"/>
  <c r="AK317" i="1"/>
  <c r="AF317" i="1"/>
  <c r="AE317" i="1"/>
  <c r="AK310" i="1"/>
  <c r="AF310" i="1"/>
  <c r="AE310" i="1"/>
  <c r="AF1622" i="1"/>
  <c r="AE1622" i="1"/>
  <c r="AF1621" i="1"/>
  <c r="AE1621" i="1"/>
  <c r="AF1620" i="1"/>
  <c r="AE1620" i="1"/>
  <c r="AF1619" i="1"/>
  <c r="AE1619" i="1"/>
  <c r="AF1618" i="1"/>
  <c r="AE1618" i="1"/>
  <c r="AF1617" i="1"/>
  <c r="AE1617" i="1"/>
  <c r="AF1616" i="1"/>
  <c r="AE1616" i="1"/>
  <c r="AF1615" i="1"/>
  <c r="AE1615" i="1"/>
  <c r="AF1614" i="1"/>
  <c r="AE1614" i="1"/>
  <c r="AF1613" i="1"/>
  <c r="AE1613" i="1"/>
  <c r="AF1612" i="1"/>
  <c r="AE1612" i="1"/>
  <c r="AF1611" i="1"/>
  <c r="AE1611" i="1"/>
  <c r="AF1610" i="1"/>
  <c r="AE1610" i="1"/>
  <c r="AF1609" i="1"/>
  <c r="AE1609" i="1"/>
  <c r="AF1607" i="1"/>
  <c r="AE1607" i="1"/>
  <c r="AF1606" i="1"/>
  <c r="AE1606" i="1"/>
  <c r="AF1605" i="1"/>
  <c r="AE1605" i="1"/>
  <c r="AF1604" i="1"/>
  <c r="AE1604" i="1"/>
  <c r="AF1603" i="1"/>
  <c r="AE1603" i="1"/>
  <c r="AF1602" i="1"/>
  <c r="AE1602" i="1"/>
  <c r="AF1601" i="1"/>
  <c r="AE1601" i="1"/>
  <c r="AF1600" i="1"/>
  <c r="AE1600" i="1"/>
  <c r="AF1598" i="1"/>
  <c r="AE1598" i="1"/>
  <c r="AF1597" i="1"/>
  <c r="AE1597" i="1"/>
  <c r="AF1596" i="1"/>
  <c r="AE1596" i="1"/>
  <c r="AF1595" i="1"/>
  <c r="AE1595" i="1"/>
  <c r="AF1594" i="1"/>
  <c r="AE1594" i="1"/>
  <c r="AF1593" i="1"/>
  <c r="AE1593" i="1"/>
  <c r="AF1592" i="1"/>
  <c r="AE1592" i="1"/>
  <c r="AF1591" i="1"/>
  <c r="AE1591" i="1"/>
  <c r="AF1590" i="1"/>
  <c r="AE1590" i="1"/>
  <c r="AF1589" i="1"/>
  <c r="AE1589" i="1"/>
  <c r="AF1588" i="1"/>
  <c r="AE1588" i="1"/>
  <c r="AF1587" i="1"/>
  <c r="AE1587" i="1"/>
  <c r="AF1586" i="1"/>
  <c r="AE1586" i="1"/>
  <c r="AF1585" i="1"/>
  <c r="AE1585" i="1"/>
  <c r="AF1584" i="1"/>
  <c r="AE1584" i="1"/>
  <c r="AF1583" i="1"/>
  <c r="AE1583" i="1"/>
  <c r="AF1582" i="1"/>
  <c r="AE1582" i="1"/>
  <c r="AF1581" i="1"/>
  <c r="AE1581" i="1"/>
  <c r="AF1580" i="1"/>
  <c r="AE1580" i="1"/>
  <c r="AF1579" i="1"/>
  <c r="AE1579" i="1"/>
  <c r="AF1578" i="1"/>
  <c r="AE1578" i="1"/>
  <c r="AF1577" i="1"/>
  <c r="AE1577" i="1"/>
  <c r="AF1576" i="1"/>
  <c r="AE1576" i="1"/>
  <c r="AF1575" i="1"/>
  <c r="AE1575" i="1"/>
  <c r="AF1574" i="1"/>
  <c r="AE1574" i="1"/>
  <c r="AF1573" i="1"/>
  <c r="AE1573" i="1"/>
  <c r="AF1572" i="1"/>
  <c r="AE1572" i="1"/>
  <c r="AF1571" i="1"/>
  <c r="AE1571" i="1"/>
  <c r="AF1570" i="1"/>
  <c r="AE1570" i="1"/>
  <c r="AF1569" i="1"/>
  <c r="AE1569" i="1"/>
  <c r="AF1568" i="1"/>
  <c r="AE1568" i="1"/>
  <c r="AF1567" i="1"/>
  <c r="AE1567" i="1"/>
  <c r="AF1566" i="1"/>
  <c r="AE1566" i="1"/>
  <c r="AF1565" i="1"/>
  <c r="AE1565" i="1"/>
  <c r="AF1564" i="1"/>
  <c r="AE1564" i="1"/>
  <c r="AF1563" i="1"/>
  <c r="AE1563" i="1"/>
  <c r="AF1562" i="1"/>
  <c r="AE1562" i="1"/>
  <c r="AF1561" i="1"/>
  <c r="AE1561" i="1"/>
  <c r="AF1560" i="1"/>
  <c r="AE1560" i="1"/>
  <c r="AF1559" i="1"/>
  <c r="AE1559" i="1"/>
  <c r="AF1558" i="1"/>
  <c r="AE1558" i="1"/>
  <c r="AF1557" i="1"/>
  <c r="AE1557" i="1"/>
  <c r="AF1556" i="1"/>
  <c r="AE1556" i="1"/>
  <c r="AF1555" i="1"/>
  <c r="AE1555" i="1"/>
  <c r="AF1554" i="1"/>
  <c r="AE1554" i="1"/>
  <c r="AF1553" i="1"/>
  <c r="AE1553" i="1"/>
  <c r="AF1552" i="1"/>
  <c r="AE1552" i="1"/>
  <c r="AF1551" i="1"/>
  <c r="AE1551" i="1"/>
  <c r="AF1550" i="1"/>
  <c r="AE1550" i="1"/>
  <c r="AF1549" i="1"/>
  <c r="AE1549" i="1"/>
  <c r="AF1548" i="1"/>
  <c r="AE1548" i="1"/>
  <c r="AF1547" i="1"/>
  <c r="AE1547" i="1"/>
  <c r="AF1546" i="1"/>
  <c r="AE1546" i="1"/>
  <c r="AF1545" i="1"/>
  <c r="AE1545" i="1"/>
  <c r="AF1544" i="1"/>
  <c r="AE1544" i="1"/>
  <c r="AF1543" i="1"/>
  <c r="AE1543" i="1"/>
  <c r="AF1542" i="1"/>
  <c r="AE1542" i="1"/>
  <c r="AF1541" i="1"/>
  <c r="AE1541" i="1"/>
  <c r="AF1540" i="1"/>
  <c r="AE1540" i="1"/>
  <c r="AF1539" i="1"/>
  <c r="AE1539" i="1"/>
  <c r="AF1538" i="1"/>
  <c r="AE1538" i="1"/>
  <c r="AF1537" i="1"/>
  <c r="AE1537" i="1"/>
  <c r="AF1536" i="1"/>
  <c r="AE1536" i="1"/>
  <c r="AF1535" i="1"/>
  <c r="AE1535" i="1"/>
  <c r="AF1534" i="1"/>
  <c r="AE1534" i="1"/>
  <c r="AF1533" i="1"/>
  <c r="AE1533" i="1"/>
  <c r="AF1532" i="1"/>
  <c r="AE1532" i="1"/>
  <c r="AF1531" i="1"/>
  <c r="AE1531" i="1"/>
  <c r="AF1530" i="1"/>
  <c r="AE1530" i="1"/>
  <c r="AF1529" i="1"/>
  <c r="AE1529" i="1"/>
  <c r="AF1528" i="1"/>
  <c r="AE1528" i="1"/>
  <c r="AF1527" i="1"/>
  <c r="AE1527" i="1"/>
  <c r="AF1526" i="1"/>
  <c r="AE1526" i="1"/>
  <c r="AF1525" i="1"/>
  <c r="AE1525" i="1"/>
  <c r="AF1523" i="1"/>
  <c r="AE1523" i="1"/>
  <c r="AF1522" i="1"/>
  <c r="AE1522" i="1"/>
  <c r="AF1521" i="1"/>
  <c r="AE1521" i="1"/>
  <c r="AF1520" i="1"/>
  <c r="AE1520" i="1"/>
  <c r="AF1519" i="1"/>
  <c r="AE1519" i="1"/>
  <c r="AF1518" i="1"/>
  <c r="AE1518" i="1"/>
  <c r="AF1517" i="1"/>
  <c r="AE1517" i="1"/>
  <c r="AF1516" i="1"/>
  <c r="AE1516" i="1"/>
  <c r="AF1515" i="1"/>
  <c r="AE1515" i="1"/>
  <c r="AF1514" i="1"/>
  <c r="AE1514" i="1"/>
  <c r="AF1513" i="1"/>
  <c r="AE1513" i="1"/>
  <c r="AF1512" i="1"/>
  <c r="AE1512" i="1"/>
  <c r="AF1511" i="1"/>
  <c r="AE1511" i="1"/>
  <c r="AF1510" i="1"/>
  <c r="AE1510" i="1"/>
  <c r="AF1509" i="1"/>
  <c r="AE1509" i="1"/>
  <c r="AF1508" i="1"/>
  <c r="AE1508" i="1"/>
  <c r="AF1507" i="1"/>
  <c r="AE1507" i="1"/>
  <c r="AF1506" i="1"/>
  <c r="AE1506" i="1"/>
  <c r="AF1505" i="1"/>
  <c r="AE1505" i="1"/>
  <c r="AF1504" i="1"/>
  <c r="AE1504" i="1"/>
  <c r="AF1503" i="1"/>
  <c r="AE1503" i="1"/>
  <c r="AF1502" i="1"/>
  <c r="AE1502" i="1"/>
  <c r="AF1501" i="1"/>
  <c r="AE1501" i="1"/>
  <c r="AF1500" i="1"/>
  <c r="AE1500" i="1"/>
  <c r="AF1499" i="1"/>
  <c r="AE1499" i="1"/>
  <c r="AF1498" i="1"/>
  <c r="AE1498" i="1"/>
  <c r="AF1497" i="1"/>
  <c r="AE1497" i="1"/>
  <c r="AF1496" i="1"/>
  <c r="AE1496" i="1"/>
  <c r="AF1495" i="1"/>
  <c r="AE1495" i="1"/>
  <c r="AF1494" i="1"/>
  <c r="AE1494" i="1"/>
  <c r="AF1493" i="1"/>
  <c r="AE1493" i="1"/>
  <c r="AF1492" i="1"/>
  <c r="AE1492" i="1"/>
  <c r="AF1491" i="1"/>
  <c r="AE1491" i="1"/>
  <c r="AF1490" i="1"/>
  <c r="AE1490" i="1"/>
  <c r="AF1489" i="1"/>
  <c r="AE1489" i="1"/>
  <c r="AF1488" i="1"/>
  <c r="AE1488" i="1"/>
  <c r="AF1487" i="1"/>
  <c r="AE1487" i="1"/>
  <c r="AF1486" i="1"/>
  <c r="AE1486" i="1"/>
  <c r="AF1485" i="1"/>
  <c r="AE1485" i="1"/>
  <c r="AF1484" i="1"/>
  <c r="AE1484" i="1"/>
  <c r="AF1483" i="1"/>
  <c r="AE1483" i="1"/>
  <c r="AF1482" i="1"/>
  <c r="AE1482" i="1"/>
  <c r="AF1481" i="1"/>
  <c r="AE1481" i="1"/>
  <c r="AF1480" i="1"/>
  <c r="AE1480" i="1"/>
  <c r="AF1479" i="1"/>
  <c r="AE1479" i="1"/>
  <c r="AF1478" i="1"/>
  <c r="AE1478" i="1"/>
  <c r="AF1477" i="1"/>
  <c r="AE1477" i="1"/>
  <c r="AF1476" i="1"/>
  <c r="AE1476" i="1"/>
  <c r="AF1475" i="1"/>
  <c r="AE1475" i="1"/>
  <c r="AF1474" i="1"/>
  <c r="AE1474" i="1"/>
  <c r="AF1473" i="1"/>
  <c r="AE1473" i="1"/>
  <c r="AF1472" i="1"/>
  <c r="AE1472" i="1"/>
  <c r="AF1471" i="1"/>
  <c r="AE1471" i="1"/>
  <c r="AF1470" i="1"/>
  <c r="AE1470" i="1"/>
  <c r="AF1469" i="1"/>
  <c r="AE1469" i="1"/>
  <c r="AF1468" i="1"/>
  <c r="AE1468" i="1"/>
  <c r="AF1467" i="1"/>
  <c r="AE1467" i="1"/>
  <c r="AF1466" i="1"/>
  <c r="AE1466" i="1"/>
  <c r="AF1465" i="1"/>
  <c r="AE1465" i="1"/>
  <c r="AF1464" i="1"/>
  <c r="AE1464" i="1"/>
  <c r="AF1463" i="1"/>
  <c r="AE1463" i="1"/>
  <c r="AF1462" i="1"/>
  <c r="AE1462" i="1"/>
  <c r="AF1461" i="1"/>
  <c r="AE1461" i="1"/>
  <c r="AF1460" i="1"/>
  <c r="AE1460" i="1"/>
  <c r="AF1459" i="1"/>
  <c r="AE1459" i="1"/>
  <c r="AF1458" i="1"/>
  <c r="AE1458" i="1"/>
  <c r="AF1457" i="1"/>
  <c r="AE1457" i="1"/>
  <c r="AF1456" i="1"/>
  <c r="AE1456" i="1"/>
  <c r="AF1455" i="1"/>
  <c r="AE1455" i="1"/>
  <c r="AF1454" i="1"/>
  <c r="AE1454" i="1"/>
  <c r="AF1453" i="1"/>
  <c r="AE1453" i="1"/>
  <c r="AF1452" i="1"/>
  <c r="AE1452" i="1"/>
  <c r="AF1451" i="1"/>
  <c r="AE1451" i="1"/>
  <c r="AF1450" i="1"/>
  <c r="AE1450" i="1"/>
  <c r="AF1449" i="1"/>
  <c r="AE1449" i="1"/>
  <c r="AF1448" i="1"/>
  <c r="AE1448" i="1"/>
  <c r="AF1447" i="1"/>
  <c r="AE1447" i="1"/>
  <c r="AF1446" i="1"/>
  <c r="AE1446" i="1"/>
  <c r="AF1445" i="1"/>
  <c r="AE1445" i="1"/>
  <c r="AF1444" i="1"/>
  <c r="AE1444" i="1"/>
  <c r="AF1443" i="1"/>
  <c r="AE1443" i="1"/>
  <c r="AF1442" i="1"/>
  <c r="AE1442" i="1"/>
  <c r="AF1441" i="1"/>
  <c r="AE1441" i="1"/>
  <c r="AF1440" i="1"/>
  <c r="AE1440" i="1"/>
  <c r="AF1439" i="1"/>
  <c r="AE1439" i="1"/>
  <c r="AF1438" i="1"/>
  <c r="AE1438" i="1"/>
  <c r="AF1437" i="1"/>
  <c r="AE1437" i="1"/>
  <c r="AF1436" i="1"/>
  <c r="AE1436" i="1"/>
  <c r="AF1435" i="1"/>
  <c r="AE1435" i="1"/>
  <c r="AF1434" i="1"/>
  <c r="AE1434" i="1"/>
  <c r="AF1433" i="1"/>
  <c r="AE1433" i="1"/>
  <c r="AF1432" i="1"/>
  <c r="AE1432" i="1"/>
  <c r="AF1431" i="1"/>
  <c r="AE1431" i="1"/>
  <c r="AF1430" i="1"/>
  <c r="AE1430" i="1"/>
  <c r="AF1429" i="1"/>
  <c r="AE1429" i="1"/>
  <c r="AF1428" i="1"/>
  <c r="AE1428" i="1"/>
  <c r="AF1427" i="1"/>
  <c r="AE1427" i="1"/>
  <c r="AF1426" i="1"/>
  <c r="AE1426" i="1"/>
  <c r="AF1425" i="1"/>
  <c r="AE1425" i="1"/>
  <c r="AF1424" i="1"/>
  <c r="AE1424" i="1"/>
  <c r="AF1423" i="1"/>
  <c r="AE1423" i="1"/>
  <c r="AF1422" i="1"/>
  <c r="AE1422" i="1"/>
  <c r="AF1421" i="1"/>
  <c r="AE1421" i="1"/>
  <c r="AF1420" i="1"/>
  <c r="AE1420" i="1"/>
  <c r="AF1419" i="1"/>
  <c r="AE1419" i="1"/>
  <c r="AF1418" i="1"/>
  <c r="AE1418" i="1"/>
  <c r="AF1417" i="1"/>
  <c r="AE1417" i="1"/>
  <c r="AF1416" i="1"/>
  <c r="AE1416" i="1"/>
  <c r="AF1415" i="1"/>
  <c r="AE1415" i="1"/>
  <c r="AF1414" i="1"/>
  <c r="AE1414" i="1"/>
  <c r="AF1413" i="1"/>
  <c r="AE1413" i="1"/>
  <c r="AF1412" i="1"/>
  <c r="AE1412" i="1"/>
  <c r="AF1411" i="1"/>
  <c r="AE1411" i="1"/>
  <c r="AF1410" i="1"/>
  <c r="AE1410" i="1"/>
  <c r="AF1409" i="1"/>
  <c r="AE1409" i="1"/>
  <c r="AF1408" i="1"/>
  <c r="AE1408" i="1"/>
  <c r="AF1407" i="1"/>
  <c r="AE1407" i="1"/>
  <c r="AF1406" i="1"/>
  <c r="AE1406" i="1"/>
  <c r="AF1405" i="1"/>
  <c r="AE1405" i="1"/>
  <c r="AF1404" i="1"/>
  <c r="AE1404" i="1"/>
  <c r="AF1403" i="1"/>
  <c r="AE1403" i="1"/>
  <c r="AF1402" i="1"/>
  <c r="AE1402" i="1"/>
  <c r="AF1401" i="1"/>
  <c r="AE1401" i="1"/>
  <c r="AF1400" i="1"/>
  <c r="AE1400" i="1"/>
  <c r="AF1399" i="1"/>
  <c r="AE1399" i="1"/>
  <c r="AF1398" i="1"/>
  <c r="AE1398" i="1"/>
  <c r="AF1397" i="1"/>
  <c r="AE1397" i="1"/>
  <c r="AF1396" i="1"/>
  <c r="AE1396" i="1"/>
  <c r="AF1395" i="1"/>
  <c r="AE1395" i="1"/>
  <c r="AF1394" i="1"/>
  <c r="AE1394" i="1"/>
  <c r="AF1393" i="1"/>
  <c r="AE1393" i="1"/>
  <c r="AF1392" i="1"/>
  <c r="AE1392" i="1"/>
  <c r="AF1391" i="1"/>
  <c r="AE1391" i="1"/>
  <c r="AF1390" i="1"/>
  <c r="AE1390" i="1"/>
  <c r="AF1389" i="1"/>
  <c r="AE1389" i="1"/>
  <c r="AF1388" i="1"/>
  <c r="AE1388" i="1"/>
  <c r="AF1387" i="1"/>
  <c r="AE1387" i="1"/>
  <c r="AF1386" i="1"/>
  <c r="AE1386" i="1"/>
  <c r="AF1385" i="1"/>
  <c r="AE1385" i="1"/>
  <c r="AF1384" i="1"/>
  <c r="AE1384" i="1"/>
  <c r="AF1383" i="1"/>
  <c r="AE1383" i="1"/>
  <c r="AF1382" i="1"/>
  <c r="AE1382" i="1"/>
  <c r="AF1381" i="1"/>
  <c r="AE1381" i="1"/>
  <c r="AF1380" i="1"/>
  <c r="AE1380" i="1"/>
  <c r="AF1379" i="1"/>
  <c r="AE1379" i="1"/>
  <c r="AF1378" i="1"/>
  <c r="AE1378" i="1"/>
  <c r="AF1377" i="1"/>
  <c r="AE1377" i="1"/>
  <c r="AF1376" i="1"/>
  <c r="AE1376" i="1"/>
  <c r="AF1375" i="1"/>
  <c r="AE1375" i="1"/>
  <c r="AF1374" i="1"/>
  <c r="AE1374" i="1"/>
  <c r="AF1373" i="1"/>
  <c r="AE1373" i="1"/>
  <c r="AF1372" i="1"/>
  <c r="AE1372" i="1"/>
  <c r="AF1371" i="1"/>
  <c r="AE1371" i="1"/>
  <c r="AF1370" i="1"/>
  <c r="AE1370" i="1"/>
  <c r="AF1369" i="1"/>
  <c r="AE1369" i="1"/>
  <c r="AF1368" i="1"/>
  <c r="AE1368" i="1"/>
  <c r="AF1367" i="1"/>
  <c r="AE1367" i="1"/>
  <c r="AF1366" i="1"/>
  <c r="AE1366" i="1"/>
  <c r="AF1365" i="1"/>
  <c r="AE1365" i="1"/>
  <c r="AF1364" i="1"/>
  <c r="AE1364" i="1"/>
  <c r="AF1363" i="1"/>
  <c r="AE1363" i="1"/>
  <c r="AF1362" i="1"/>
  <c r="AE1362" i="1"/>
  <c r="AF1361" i="1"/>
  <c r="AE1361" i="1"/>
  <c r="AF1360" i="1"/>
  <c r="AE1360" i="1"/>
  <c r="AF1359" i="1"/>
  <c r="AE1359" i="1"/>
  <c r="AF1358" i="1"/>
  <c r="AE1358" i="1"/>
  <c r="AF1357" i="1"/>
  <c r="AE1357" i="1"/>
  <c r="AF1356" i="1"/>
  <c r="AE1356" i="1"/>
  <c r="AF1355" i="1"/>
  <c r="AE1355" i="1"/>
  <c r="AF1354" i="1"/>
  <c r="AE1354" i="1"/>
  <c r="AF1353" i="1"/>
  <c r="AE1353" i="1"/>
  <c r="AF1352" i="1"/>
  <c r="AE1352" i="1"/>
  <c r="AF1351" i="1"/>
  <c r="AE1351" i="1"/>
  <c r="AF1350" i="1"/>
  <c r="AE1350" i="1"/>
  <c r="AF1349" i="1"/>
  <c r="AE1349" i="1"/>
  <c r="AF1348" i="1"/>
  <c r="AE1348" i="1"/>
  <c r="AF1347" i="1"/>
  <c r="AE1347" i="1"/>
  <c r="AF1346" i="1"/>
  <c r="AE1346" i="1"/>
  <c r="AF1345" i="1"/>
  <c r="AE1345" i="1"/>
  <c r="AF1344" i="1"/>
  <c r="AE1344" i="1"/>
  <c r="AF1343" i="1"/>
  <c r="AE1343" i="1"/>
  <c r="AF1342" i="1"/>
  <c r="AE1342" i="1"/>
  <c r="AF1341" i="1"/>
  <c r="AE1341" i="1"/>
  <c r="AF1340" i="1"/>
  <c r="AE1340" i="1"/>
  <c r="AF1339" i="1"/>
  <c r="AE1339" i="1"/>
  <c r="AF1338" i="1"/>
  <c r="AE1338" i="1"/>
  <c r="AF1337" i="1"/>
  <c r="AE1337" i="1"/>
  <c r="AF1336" i="1"/>
  <c r="AE1336" i="1"/>
  <c r="AF1335" i="1"/>
  <c r="AE1335" i="1"/>
  <c r="AF1334" i="1"/>
  <c r="AE1334" i="1"/>
  <c r="AF1333" i="1"/>
  <c r="AE1333" i="1"/>
  <c r="AF1332" i="1"/>
  <c r="AE1332" i="1"/>
  <c r="AF1331" i="1"/>
  <c r="AE1331" i="1"/>
  <c r="AF1330" i="1"/>
  <c r="AE1330" i="1"/>
  <c r="AF1329" i="1"/>
  <c r="AE1329" i="1"/>
  <c r="AF1328" i="1"/>
  <c r="AE1328" i="1"/>
  <c r="AF1327" i="1"/>
  <c r="AE1327" i="1"/>
  <c r="AF1326" i="1"/>
  <c r="AE1326" i="1"/>
  <c r="AF1325" i="1"/>
  <c r="AE1325" i="1"/>
  <c r="AF1324" i="1"/>
  <c r="AE1324" i="1"/>
  <c r="AF1323" i="1"/>
  <c r="AE1323" i="1"/>
  <c r="AF1322" i="1"/>
  <c r="AE1322" i="1"/>
  <c r="AF1321" i="1"/>
  <c r="AE1321" i="1"/>
  <c r="AF1320" i="1"/>
  <c r="AE1320" i="1"/>
  <c r="AF1319" i="1"/>
  <c r="AE1319" i="1"/>
  <c r="AF1318" i="1"/>
  <c r="AE1318" i="1"/>
  <c r="AF1317" i="1"/>
  <c r="AE1317" i="1"/>
  <c r="AF1316" i="1"/>
  <c r="AE1316" i="1"/>
  <c r="AF1315" i="1"/>
  <c r="AE1315" i="1"/>
  <c r="AF1314" i="1"/>
  <c r="AE1314" i="1"/>
  <c r="AF1313" i="1"/>
  <c r="AE1313" i="1"/>
  <c r="AF1312" i="1"/>
  <c r="AE1312" i="1"/>
  <c r="AF1311" i="1"/>
  <c r="AE1311" i="1"/>
  <c r="AF1310" i="1"/>
  <c r="AE1310" i="1"/>
  <c r="AF1309" i="1"/>
  <c r="AE1309" i="1"/>
  <c r="AF1308" i="1"/>
  <c r="AE1308" i="1"/>
  <c r="AF1307" i="1"/>
  <c r="AE1307" i="1"/>
  <c r="AF1306" i="1"/>
  <c r="AE1306" i="1"/>
  <c r="AF1305" i="1"/>
  <c r="AE1305" i="1"/>
  <c r="AF1304" i="1"/>
  <c r="AE1304" i="1"/>
  <c r="AF1303" i="1"/>
  <c r="AE1303" i="1"/>
  <c r="AF1302" i="1"/>
  <c r="AE1302" i="1"/>
  <c r="AF1301" i="1"/>
  <c r="AE1301" i="1"/>
  <c r="AF1300" i="1"/>
  <c r="AE1300" i="1"/>
  <c r="AF1299" i="1"/>
  <c r="AE1299" i="1"/>
  <c r="AF1298" i="1"/>
  <c r="AE1298" i="1"/>
  <c r="AF1297" i="1"/>
  <c r="AE1297" i="1"/>
  <c r="AF1296" i="1"/>
  <c r="AE1296" i="1"/>
  <c r="AF1295" i="1"/>
  <c r="AE1295" i="1"/>
  <c r="AF1294" i="1"/>
  <c r="AE1294" i="1"/>
  <c r="AF1293" i="1"/>
  <c r="AE1293" i="1"/>
  <c r="AF1292" i="1"/>
  <c r="AE1292" i="1"/>
  <c r="AF1291" i="1"/>
  <c r="AE1291" i="1"/>
  <c r="AF1290" i="1"/>
  <c r="AE1290" i="1"/>
  <c r="AF1289" i="1"/>
  <c r="AE1289" i="1"/>
  <c r="AF1288" i="1"/>
  <c r="AE1288" i="1"/>
  <c r="AF1287" i="1"/>
  <c r="AE1287" i="1"/>
  <c r="AF1286" i="1"/>
  <c r="AE1286" i="1"/>
  <c r="AF1285" i="1"/>
  <c r="AE1285" i="1"/>
  <c r="AF1284" i="1"/>
  <c r="AE1284" i="1"/>
  <c r="AF1283" i="1"/>
  <c r="AE1283" i="1"/>
  <c r="AF1282" i="1"/>
  <c r="AE1282" i="1"/>
  <c r="AF1281" i="1"/>
  <c r="AE1281" i="1"/>
  <c r="AF1280" i="1"/>
  <c r="AE1280" i="1"/>
  <c r="AF1279" i="1"/>
  <c r="AE1279" i="1"/>
  <c r="AF1278" i="1"/>
  <c r="AE1278" i="1"/>
  <c r="AF1277" i="1"/>
  <c r="AE1277" i="1"/>
  <c r="AF1276" i="1"/>
  <c r="AE1276" i="1"/>
  <c r="AF1275" i="1"/>
  <c r="AE1275" i="1"/>
  <c r="AF1274" i="1"/>
  <c r="AE1274" i="1"/>
  <c r="AF1273" i="1"/>
  <c r="AE1273" i="1"/>
  <c r="AF1272" i="1"/>
  <c r="AE1272" i="1"/>
  <c r="AF1271" i="1"/>
  <c r="AE1271" i="1"/>
  <c r="AF1270" i="1"/>
  <c r="AE1270" i="1"/>
  <c r="AF1269" i="1"/>
  <c r="AE1269" i="1"/>
  <c r="AF1268" i="1"/>
  <c r="AE1268" i="1"/>
  <c r="AF1267" i="1"/>
  <c r="AE1267" i="1"/>
  <c r="AF1266" i="1"/>
  <c r="AE1266" i="1"/>
  <c r="AF1265" i="1"/>
  <c r="AE1265" i="1"/>
  <c r="AF1264" i="1"/>
  <c r="AE1264" i="1"/>
  <c r="AF1263" i="1"/>
  <c r="AE1263" i="1"/>
  <c r="AF1262" i="1"/>
  <c r="AE1262" i="1"/>
  <c r="AF1261" i="1"/>
  <c r="AE1261" i="1"/>
  <c r="AF1260" i="1"/>
  <c r="AE1260" i="1"/>
  <c r="AF1259" i="1"/>
  <c r="AE1259" i="1"/>
  <c r="AF1258" i="1"/>
  <c r="AE1258" i="1"/>
  <c r="AF1257" i="1"/>
  <c r="AE1257" i="1"/>
  <c r="AF1256" i="1"/>
  <c r="AE1256" i="1"/>
  <c r="AF1255" i="1"/>
  <c r="AE1255" i="1"/>
  <c r="AF1254" i="1"/>
  <c r="AE1254" i="1"/>
  <c r="AF1253" i="1"/>
  <c r="AE1253" i="1"/>
  <c r="AF1252" i="1"/>
  <c r="AE1252" i="1"/>
  <c r="AF1251" i="1"/>
  <c r="AE1251" i="1"/>
  <c r="AF1250" i="1"/>
  <c r="AE1250" i="1"/>
  <c r="AF1249" i="1"/>
  <c r="AE1249" i="1"/>
  <c r="AF1248" i="1"/>
  <c r="AE1248" i="1"/>
  <c r="AF1247" i="1"/>
  <c r="AE1247" i="1"/>
  <c r="AF1246" i="1"/>
  <c r="AE1246" i="1"/>
  <c r="AF1245" i="1"/>
  <c r="AE1245" i="1"/>
  <c r="AF1244" i="1"/>
  <c r="AE1244" i="1"/>
  <c r="AF1243" i="1"/>
  <c r="AE1243" i="1"/>
  <c r="AF1242" i="1"/>
  <c r="AE1242" i="1"/>
  <c r="AF1241" i="1"/>
  <c r="AE1241" i="1"/>
  <c r="AF1240" i="1"/>
  <c r="AE1240" i="1"/>
  <c r="AF1239" i="1"/>
  <c r="AE1239" i="1"/>
  <c r="AF1238" i="1"/>
  <c r="AE1238" i="1"/>
  <c r="AF1237" i="1"/>
  <c r="AE1237" i="1"/>
  <c r="AF1236" i="1"/>
  <c r="AE1236" i="1"/>
  <c r="AF1235" i="1"/>
  <c r="AE1235" i="1"/>
  <c r="AF1234" i="1"/>
  <c r="AE1234" i="1"/>
  <c r="AF1233" i="1"/>
  <c r="AE1233" i="1"/>
  <c r="AF1232" i="1"/>
  <c r="AE1232" i="1"/>
  <c r="AF1231" i="1"/>
  <c r="AE1231" i="1"/>
  <c r="AF1230" i="1"/>
  <c r="AE1230" i="1"/>
  <c r="AF1229" i="1"/>
  <c r="AE1229" i="1"/>
  <c r="AF1228" i="1"/>
  <c r="AE1228" i="1"/>
  <c r="AF1227" i="1"/>
  <c r="AE1227" i="1"/>
  <c r="AF1226" i="1"/>
  <c r="AE1226" i="1"/>
  <c r="AF1225" i="1"/>
  <c r="AE1225" i="1"/>
  <c r="AF1224" i="1"/>
  <c r="AE1224" i="1"/>
  <c r="AF1223" i="1"/>
  <c r="AE1223" i="1"/>
  <c r="AF1222" i="1"/>
  <c r="AE1222" i="1"/>
  <c r="AF1221" i="1"/>
  <c r="AE1221" i="1"/>
  <c r="AF1220" i="1"/>
  <c r="AE1220" i="1"/>
  <c r="AF1219" i="1"/>
  <c r="AE1219" i="1"/>
  <c r="AF1218" i="1"/>
  <c r="AE1218" i="1"/>
  <c r="AF1217" i="1"/>
  <c r="AE1217" i="1"/>
  <c r="AF1216" i="1"/>
  <c r="AE1216" i="1"/>
  <c r="AF1215" i="1"/>
  <c r="AE1215" i="1"/>
  <c r="AF1214" i="1"/>
  <c r="AE1214" i="1"/>
  <c r="AF1213" i="1"/>
  <c r="AE1213" i="1"/>
  <c r="AF1212" i="1"/>
  <c r="AE1212" i="1"/>
  <c r="AF1211" i="1"/>
  <c r="AE1211" i="1"/>
  <c r="AF1210" i="1"/>
  <c r="AE1210" i="1"/>
  <c r="AF1209" i="1"/>
  <c r="AE1209" i="1"/>
  <c r="AF1208" i="1"/>
  <c r="AE1208" i="1"/>
  <c r="AF1207" i="1"/>
  <c r="AE1207" i="1"/>
  <c r="AF1206" i="1"/>
  <c r="AE1206" i="1"/>
  <c r="AF1205" i="1"/>
  <c r="AE1205" i="1"/>
  <c r="AF1204" i="1"/>
  <c r="AE1204" i="1"/>
  <c r="AF1203" i="1"/>
  <c r="AE1203" i="1"/>
  <c r="AF1202" i="1"/>
  <c r="AE1202" i="1"/>
  <c r="AF1201" i="1"/>
  <c r="AE1201" i="1"/>
  <c r="AF1200" i="1"/>
  <c r="AE1200" i="1"/>
  <c r="AF1199" i="1"/>
  <c r="AE1199" i="1"/>
  <c r="AF1198" i="1"/>
  <c r="AE1198" i="1"/>
  <c r="AF1197" i="1"/>
  <c r="AE1197" i="1"/>
  <c r="AF1196" i="1"/>
  <c r="AE1196" i="1"/>
  <c r="AF1195" i="1"/>
  <c r="AE1195" i="1"/>
  <c r="AF1194" i="1"/>
  <c r="AE1194" i="1"/>
  <c r="AF1193" i="1"/>
  <c r="AE1193" i="1"/>
  <c r="AF1192" i="1"/>
  <c r="AE1192" i="1"/>
  <c r="AF1191" i="1"/>
  <c r="AE1191" i="1"/>
  <c r="AF1190" i="1"/>
  <c r="AE1190" i="1"/>
  <c r="AF1189" i="1"/>
  <c r="AE1189" i="1"/>
  <c r="AF1188" i="1"/>
  <c r="AE1188" i="1"/>
  <c r="AF1187" i="1"/>
  <c r="AE1187" i="1"/>
  <c r="AF1186" i="1"/>
  <c r="AE1186" i="1"/>
  <c r="AF1185" i="1"/>
  <c r="AE1185" i="1"/>
  <c r="AF1184" i="1"/>
  <c r="AE1184" i="1"/>
  <c r="AF1183" i="1"/>
  <c r="AE1183" i="1"/>
  <c r="AF1182" i="1"/>
  <c r="AE1182" i="1"/>
  <c r="AF1181" i="1"/>
  <c r="AE1181" i="1"/>
  <c r="AF1180" i="1"/>
  <c r="AE1180" i="1"/>
  <c r="AF1179" i="1"/>
  <c r="AE1179" i="1"/>
  <c r="AF1178" i="1"/>
  <c r="AE1178" i="1"/>
  <c r="AF1177" i="1"/>
  <c r="AE1177" i="1"/>
  <c r="AF1176" i="1"/>
  <c r="AE1176" i="1"/>
  <c r="AF1175" i="1"/>
  <c r="AE1175" i="1"/>
  <c r="AF1174" i="1"/>
  <c r="AE1174" i="1"/>
  <c r="AF1173" i="1"/>
  <c r="AE1173" i="1"/>
  <c r="AF1172" i="1"/>
  <c r="AE1172" i="1"/>
  <c r="AF1171" i="1"/>
  <c r="AE1171" i="1"/>
  <c r="AF1170" i="1"/>
  <c r="AE1170" i="1"/>
  <c r="AF1169" i="1"/>
  <c r="AE1169" i="1"/>
  <c r="AF1168" i="1"/>
  <c r="AE1168" i="1"/>
  <c r="AF1167" i="1"/>
  <c r="AE1167" i="1"/>
  <c r="AF1166" i="1"/>
  <c r="AE1166" i="1"/>
  <c r="AF1164" i="1"/>
  <c r="AE1164" i="1"/>
  <c r="AF1163" i="1"/>
  <c r="AE1163" i="1"/>
  <c r="AF1162" i="1"/>
  <c r="AE1162" i="1"/>
  <c r="AF1161" i="1"/>
  <c r="AE1161" i="1"/>
  <c r="AF1160" i="1"/>
  <c r="AE1160" i="1"/>
  <c r="AF1159" i="1"/>
  <c r="AE1159" i="1"/>
  <c r="AF1158" i="1"/>
  <c r="AE1158" i="1"/>
  <c r="AF1157" i="1"/>
  <c r="AE1157" i="1"/>
  <c r="AF1156" i="1"/>
  <c r="AE1156" i="1"/>
  <c r="AF1155" i="1"/>
  <c r="AE1155" i="1"/>
  <c r="AF1154" i="1"/>
  <c r="AE1154" i="1"/>
  <c r="AF1153" i="1"/>
  <c r="AE1153" i="1"/>
  <c r="AF1152" i="1"/>
  <c r="AE1152" i="1"/>
  <c r="AF1151" i="1"/>
  <c r="AE1151" i="1"/>
  <c r="AF1150" i="1"/>
  <c r="AE1150" i="1"/>
  <c r="AF1149" i="1"/>
  <c r="AE1149" i="1"/>
  <c r="AF1148" i="1"/>
  <c r="AE1148" i="1"/>
  <c r="AF1147" i="1"/>
  <c r="AE1147" i="1"/>
  <c r="AF1146" i="1"/>
  <c r="AE1146" i="1"/>
  <c r="AF1145" i="1"/>
  <c r="AE1145" i="1"/>
  <c r="AF1144" i="1"/>
  <c r="AE1144" i="1"/>
  <c r="AF1143" i="1"/>
  <c r="AE1143" i="1"/>
  <c r="AF1142" i="1"/>
  <c r="AE1142" i="1"/>
  <c r="AF1141" i="1"/>
  <c r="AE1141" i="1"/>
  <c r="AF1140" i="1"/>
  <c r="AE1140" i="1"/>
  <c r="AF1139" i="1"/>
  <c r="AE1139" i="1"/>
  <c r="AF1138" i="1"/>
  <c r="AE1138" i="1"/>
  <c r="AF1137" i="1"/>
  <c r="AE1137" i="1"/>
  <c r="AF1136" i="1"/>
  <c r="AE1136" i="1"/>
  <c r="AF1135" i="1"/>
  <c r="AE1135" i="1"/>
  <c r="AF1134" i="1"/>
  <c r="AE1134" i="1"/>
  <c r="AF1133" i="1"/>
  <c r="AE1133" i="1"/>
  <c r="AF1132" i="1"/>
  <c r="AE1132" i="1"/>
  <c r="AF1131" i="1"/>
  <c r="AE1131" i="1"/>
  <c r="AF1130" i="1"/>
  <c r="AE1130" i="1"/>
  <c r="AF1129" i="1"/>
  <c r="AE1129" i="1"/>
  <c r="AF1128" i="1"/>
  <c r="AE1128" i="1"/>
  <c r="AF1127" i="1"/>
  <c r="AE1127" i="1"/>
  <c r="AF1126" i="1"/>
  <c r="AE1126" i="1"/>
  <c r="AF1125" i="1"/>
  <c r="AE1125" i="1"/>
  <c r="AF1124" i="1"/>
  <c r="AE1124" i="1"/>
  <c r="AF1123" i="1"/>
  <c r="AE1123" i="1"/>
  <c r="AF1122" i="1"/>
  <c r="AE1122" i="1"/>
  <c r="AF1121" i="1"/>
  <c r="AE1121" i="1"/>
  <c r="AF1120" i="1"/>
  <c r="AE1120" i="1"/>
  <c r="AF1119" i="1"/>
  <c r="AE1119" i="1"/>
  <c r="AF1118" i="1"/>
  <c r="AE1118" i="1"/>
  <c r="AF1117" i="1"/>
  <c r="AE1117" i="1"/>
  <c r="AF1116" i="1"/>
  <c r="AE1116" i="1"/>
  <c r="AF1115" i="1"/>
  <c r="AE1115" i="1"/>
  <c r="AF1114" i="1"/>
  <c r="AE1114" i="1"/>
  <c r="AF1113" i="1"/>
  <c r="AE1113" i="1"/>
  <c r="AF1112" i="1"/>
  <c r="AE1112" i="1"/>
  <c r="AF1111" i="1"/>
  <c r="AE1111" i="1"/>
  <c r="AF1110" i="1"/>
  <c r="AE1110" i="1"/>
  <c r="AF1109" i="1"/>
  <c r="AE1109" i="1"/>
  <c r="AF1108" i="1"/>
  <c r="AE1108" i="1"/>
  <c r="AF1107" i="1"/>
  <c r="AE1107" i="1"/>
  <c r="AF1106" i="1"/>
  <c r="AE1106" i="1"/>
  <c r="AF1105" i="1"/>
  <c r="AE1105" i="1"/>
  <c r="AF1103" i="1"/>
  <c r="AE1103" i="1"/>
  <c r="AF1102" i="1"/>
  <c r="AE1102" i="1"/>
  <c r="AF1101" i="1"/>
  <c r="AE1101" i="1"/>
  <c r="AF1100" i="1"/>
  <c r="AE1100" i="1"/>
  <c r="AF1099" i="1"/>
  <c r="AE1099" i="1"/>
  <c r="AF1098" i="1"/>
  <c r="AE1098" i="1"/>
  <c r="AF1097" i="1"/>
  <c r="AE1097" i="1"/>
  <c r="AF1096" i="1"/>
  <c r="AE1096" i="1"/>
  <c r="AF1095" i="1"/>
  <c r="AE1095" i="1"/>
  <c r="AF1094" i="1"/>
  <c r="AE1094" i="1"/>
  <c r="AF1092" i="1"/>
  <c r="AE1092" i="1"/>
  <c r="AF1091" i="1"/>
  <c r="AE1091" i="1"/>
  <c r="AF1090" i="1"/>
  <c r="AE1090" i="1"/>
  <c r="AF1089" i="1"/>
  <c r="AE1089" i="1"/>
  <c r="AF1088" i="1"/>
  <c r="AE1088" i="1"/>
  <c r="AF1087" i="1"/>
  <c r="AE1087" i="1"/>
  <c r="AF1086" i="1"/>
  <c r="AE1086" i="1"/>
  <c r="AF1085" i="1"/>
  <c r="AE1085" i="1"/>
  <c r="AF1084" i="1"/>
  <c r="AE1084" i="1"/>
  <c r="AF1083" i="1"/>
  <c r="AE1083" i="1"/>
  <c r="AF1082" i="1"/>
  <c r="AE1082" i="1"/>
  <c r="AF1081" i="1"/>
  <c r="AE1081" i="1"/>
  <c r="AF1080" i="1"/>
  <c r="AE1080" i="1"/>
  <c r="AF1079" i="1"/>
  <c r="AE1079" i="1"/>
  <c r="AF1078" i="1"/>
  <c r="AE1078" i="1"/>
  <c r="AF1077" i="1"/>
  <c r="AE1077" i="1"/>
  <c r="AF1076" i="1"/>
  <c r="AE1076" i="1"/>
  <c r="AF1075" i="1"/>
  <c r="AE1075" i="1"/>
  <c r="AF1074" i="1"/>
  <c r="AE1074" i="1"/>
  <c r="AF1073" i="1"/>
  <c r="AE1073" i="1"/>
  <c r="AF1072" i="1"/>
  <c r="AE1072" i="1"/>
  <c r="AF1071" i="1"/>
  <c r="AE1071" i="1"/>
  <c r="AF1070" i="1"/>
  <c r="AE1070" i="1"/>
  <c r="AF1069" i="1"/>
  <c r="AE1069" i="1"/>
  <c r="AF1068" i="1"/>
  <c r="AE1068" i="1"/>
  <c r="AF1067" i="1"/>
  <c r="AE1067" i="1"/>
  <c r="AF1066" i="1"/>
  <c r="AE1066" i="1"/>
  <c r="AF1065" i="1"/>
  <c r="AE1065" i="1"/>
  <c r="AF1064" i="1"/>
  <c r="AE1064" i="1"/>
  <c r="AF1063" i="1"/>
  <c r="AE1063" i="1"/>
  <c r="AF1062" i="1"/>
  <c r="AE1062" i="1"/>
  <c r="AF1061" i="1"/>
  <c r="AE1061" i="1"/>
  <c r="AF1060" i="1"/>
  <c r="AE1060" i="1"/>
  <c r="AF1059" i="1"/>
  <c r="AE1059" i="1"/>
  <c r="AF1058" i="1"/>
  <c r="AE1058" i="1"/>
  <c r="AF1057" i="1"/>
  <c r="AE1057" i="1"/>
  <c r="AF1056" i="1"/>
  <c r="AE1056" i="1"/>
  <c r="AF1054" i="1"/>
  <c r="AE1054" i="1"/>
  <c r="AF1053" i="1"/>
  <c r="AE1053" i="1"/>
  <c r="AF1052" i="1"/>
  <c r="AE1052" i="1"/>
  <c r="AF1051" i="1"/>
  <c r="AE1051" i="1"/>
  <c r="AF1050" i="1"/>
  <c r="AE1050" i="1"/>
  <c r="AF1049" i="1"/>
  <c r="AE1049" i="1"/>
  <c r="AF1048" i="1"/>
  <c r="AE1048" i="1"/>
  <c r="AF1047" i="1"/>
  <c r="AE1047" i="1"/>
  <c r="AF1046" i="1"/>
  <c r="AE1046" i="1"/>
  <c r="AF1045" i="1"/>
  <c r="AE1045" i="1"/>
  <c r="AF1044" i="1"/>
  <c r="AE1044" i="1"/>
  <c r="AF1043" i="1"/>
  <c r="AE1043" i="1"/>
  <c r="AF1042" i="1"/>
  <c r="AE1042" i="1"/>
  <c r="AF1041" i="1"/>
  <c r="AE1041" i="1"/>
  <c r="AF1040" i="1"/>
  <c r="AE1040" i="1"/>
  <c r="AF1039" i="1"/>
  <c r="AE1039" i="1"/>
  <c r="AF1038" i="1"/>
  <c r="AE1038" i="1"/>
  <c r="AF1037" i="1"/>
  <c r="AE1037" i="1"/>
  <c r="AF1036" i="1"/>
  <c r="AE1036" i="1"/>
  <c r="AF1035" i="1"/>
  <c r="AE1035" i="1"/>
  <c r="AF1034" i="1"/>
  <c r="AE1034" i="1"/>
  <c r="AF1033" i="1"/>
  <c r="AE1033" i="1"/>
  <c r="AF1032" i="1"/>
  <c r="AE1032" i="1"/>
  <c r="AF1031" i="1"/>
  <c r="AE1031" i="1"/>
  <c r="AF1030" i="1"/>
  <c r="AE1030" i="1"/>
  <c r="AF1029" i="1"/>
  <c r="AE1029" i="1"/>
  <c r="AF1028" i="1"/>
  <c r="AE1028" i="1"/>
  <c r="AF1027" i="1"/>
  <c r="AE1027" i="1"/>
  <c r="AF1026" i="1"/>
  <c r="AE1026" i="1"/>
  <c r="AF1025" i="1"/>
  <c r="AE1025" i="1"/>
  <c r="AF1024" i="1"/>
  <c r="AE1024" i="1"/>
  <c r="AF1023" i="1"/>
  <c r="AE1023" i="1"/>
  <c r="AF1022" i="1"/>
  <c r="AE1022" i="1"/>
  <c r="AF1021" i="1"/>
  <c r="AE1021" i="1"/>
  <c r="AF1020" i="1"/>
  <c r="AE1020" i="1"/>
  <c r="AF1018" i="1"/>
  <c r="AE1018" i="1"/>
  <c r="AF1017" i="1"/>
  <c r="AE1017" i="1"/>
  <c r="AF1016" i="1"/>
  <c r="AE1016" i="1"/>
  <c r="AF1015" i="1"/>
  <c r="AE1015" i="1"/>
  <c r="AF1014" i="1"/>
  <c r="AE1014" i="1"/>
  <c r="AF1013" i="1"/>
  <c r="AE1013" i="1"/>
  <c r="AF1012" i="1"/>
  <c r="AE1012" i="1"/>
  <c r="AF1011" i="1"/>
  <c r="AE1011" i="1"/>
  <c r="AF1010" i="1"/>
  <c r="AE1010" i="1"/>
  <c r="AF1009" i="1"/>
  <c r="AE1009" i="1"/>
  <c r="AF1008" i="1"/>
  <c r="AE1008" i="1"/>
  <c r="AF1007" i="1"/>
  <c r="AE1007" i="1"/>
  <c r="AF1006" i="1"/>
  <c r="AE1006" i="1"/>
  <c r="AF1005" i="1"/>
  <c r="AE1005" i="1"/>
  <c r="AF1004" i="1"/>
  <c r="AE1004" i="1"/>
  <c r="AF1003" i="1"/>
  <c r="AE1003" i="1"/>
  <c r="AF1002" i="1"/>
  <c r="AE1002" i="1"/>
  <c r="AF1001" i="1"/>
  <c r="AE1001" i="1"/>
  <c r="AF1000" i="1"/>
  <c r="AE1000" i="1"/>
  <c r="AF999" i="1"/>
  <c r="AE999" i="1"/>
  <c r="AF998" i="1"/>
  <c r="AE998" i="1"/>
  <c r="AF997" i="1"/>
  <c r="AE997" i="1"/>
  <c r="AF996" i="1"/>
  <c r="AE996" i="1"/>
  <c r="AF995" i="1"/>
  <c r="AE995" i="1"/>
  <c r="AF994" i="1"/>
  <c r="AE994" i="1"/>
  <c r="AF352" i="1"/>
  <c r="AE352" i="1"/>
  <c r="AF992" i="1"/>
  <c r="AE992" i="1"/>
  <c r="AF991" i="1"/>
  <c r="AE991" i="1"/>
  <c r="AF990" i="1"/>
  <c r="AE990" i="1"/>
  <c r="AF989" i="1"/>
  <c r="AE989" i="1"/>
  <c r="AF988" i="1"/>
  <c r="AE988" i="1"/>
  <c r="AF987" i="1"/>
  <c r="AE987" i="1"/>
  <c r="AF985" i="1"/>
  <c r="AE985" i="1"/>
  <c r="AF984" i="1"/>
  <c r="AE984" i="1"/>
  <c r="AF983" i="1"/>
  <c r="AE983" i="1"/>
  <c r="AF982" i="1"/>
  <c r="AE982" i="1"/>
  <c r="AF981" i="1"/>
  <c r="AE981" i="1"/>
  <c r="AF980" i="1"/>
  <c r="AE980" i="1"/>
  <c r="AF979" i="1"/>
  <c r="AE979" i="1"/>
  <c r="AF978" i="1"/>
  <c r="AE978" i="1"/>
  <c r="AF977" i="1"/>
  <c r="AE977" i="1"/>
  <c r="AF976" i="1"/>
  <c r="AE976" i="1"/>
  <c r="AF975" i="1"/>
  <c r="AE975" i="1"/>
  <c r="AF974" i="1"/>
  <c r="AE974" i="1"/>
  <c r="AF973" i="1"/>
  <c r="AE973" i="1"/>
  <c r="AF972" i="1"/>
  <c r="AE972" i="1"/>
  <c r="AF971" i="1"/>
  <c r="AE971" i="1"/>
  <c r="AF970" i="1"/>
  <c r="AE970" i="1"/>
  <c r="AF969" i="1"/>
  <c r="AE969" i="1"/>
  <c r="AF968" i="1"/>
  <c r="AE968" i="1"/>
  <c r="AF967" i="1"/>
  <c r="AE967" i="1"/>
  <c r="AF966" i="1"/>
  <c r="AE966" i="1"/>
  <c r="AF965" i="1"/>
  <c r="AE965" i="1"/>
  <c r="AF964" i="1"/>
  <c r="AE964" i="1"/>
  <c r="AF963" i="1"/>
  <c r="AE963" i="1"/>
  <c r="AF962" i="1"/>
  <c r="AE962" i="1"/>
  <c r="AF961" i="1"/>
  <c r="AE961" i="1"/>
  <c r="AF960" i="1"/>
  <c r="AE960" i="1"/>
  <c r="AF959" i="1"/>
  <c r="AE959" i="1"/>
  <c r="AF958" i="1"/>
  <c r="AE958" i="1"/>
  <c r="AF957" i="1"/>
  <c r="AE957" i="1"/>
  <c r="AF956" i="1"/>
  <c r="AE956" i="1"/>
  <c r="AF955" i="1"/>
  <c r="AE955" i="1"/>
  <c r="AF954" i="1"/>
  <c r="AE954" i="1"/>
  <c r="AF953" i="1"/>
  <c r="AE953" i="1"/>
  <c r="AF952" i="1"/>
  <c r="AE952" i="1"/>
  <c r="AF951" i="1"/>
  <c r="AE951" i="1"/>
  <c r="AF950" i="1"/>
  <c r="AE950" i="1"/>
  <c r="AF949" i="1"/>
  <c r="AE949" i="1"/>
  <c r="AF948" i="1"/>
  <c r="AE948" i="1"/>
  <c r="AF947" i="1"/>
  <c r="AE947" i="1"/>
  <c r="AF946" i="1"/>
  <c r="AE946" i="1"/>
  <c r="AF945" i="1"/>
  <c r="AE945" i="1"/>
  <c r="AF944" i="1"/>
  <c r="AE944" i="1"/>
  <c r="AF943" i="1"/>
  <c r="AE943" i="1"/>
  <c r="AF942" i="1"/>
  <c r="AE942" i="1"/>
  <c r="AF941" i="1"/>
  <c r="AE941" i="1"/>
  <c r="AF940" i="1"/>
  <c r="AE940" i="1"/>
  <c r="AF939" i="1"/>
  <c r="AE939" i="1"/>
  <c r="AF938" i="1"/>
  <c r="AE938" i="1"/>
  <c r="AF937" i="1"/>
  <c r="AE937" i="1"/>
  <c r="AF936" i="1"/>
  <c r="AE936" i="1"/>
  <c r="AF935" i="1"/>
  <c r="AE935" i="1"/>
  <c r="AF934" i="1"/>
  <c r="AE934" i="1"/>
  <c r="AF933" i="1"/>
  <c r="AE933" i="1"/>
  <c r="AF931" i="1"/>
  <c r="AE931" i="1"/>
  <c r="AF930" i="1"/>
  <c r="AE930" i="1"/>
  <c r="AF929" i="1"/>
  <c r="AE929" i="1"/>
  <c r="AF928" i="1"/>
  <c r="AE928" i="1"/>
  <c r="AF927" i="1"/>
  <c r="AE927" i="1"/>
  <c r="AF926" i="1"/>
  <c r="AE926" i="1"/>
  <c r="AF925" i="1"/>
  <c r="AE925" i="1"/>
  <c r="AF924" i="1"/>
  <c r="AE924" i="1"/>
  <c r="AF923" i="1"/>
  <c r="AE923" i="1"/>
  <c r="AF922" i="1"/>
  <c r="AE922" i="1"/>
  <c r="AF921" i="1"/>
  <c r="AE921" i="1"/>
  <c r="AF920" i="1"/>
  <c r="AE920" i="1"/>
  <c r="AF919" i="1"/>
  <c r="AE919" i="1"/>
  <c r="AF918" i="1"/>
  <c r="AE918" i="1"/>
  <c r="AF917" i="1"/>
  <c r="AE917" i="1"/>
  <c r="AF916" i="1"/>
  <c r="AE916" i="1"/>
  <c r="AF915" i="1"/>
  <c r="AE915" i="1"/>
  <c r="AF914" i="1"/>
  <c r="AE914" i="1"/>
  <c r="AF913" i="1"/>
  <c r="AE913" i="1"/>
  <c r="AF912" i="1"/>
  <c r="AE912" i="1"/>
  <c r="AF911" i="1"/>
  <c r="AE911" i="1"/>
  <c r="AF910" i="1"/>
  <c r="AE910" i="1"/>
  <c r="AF909" i="1"/>
  <c r="AE909" i="1"/>
  <c r="AF908" i="1"/>
  <c r="AE908" i="1"/>
  <c r="AF907" i="1"/>
  <c r="AE907" i="1"/>
  <c r="AF906" i="1"/>
  <c r="AE906" i="1"/>
  <c r="AF905" i="1"/>
  <c r="AE905" i="1"/>
  <c r="AF904" i="1"/>
  <c r="AE904" i="1"/>
  <c r="AF903" i="1"/>
  <c r="AE903" i="1"/>
  <c r="AF902" i="1"/>
  <c r="AE902" i="1"/>
  <c r="AF901" i="1"/>
  <c r="AE901" i="1"/>
  <c r="AF900" i="1"/>
  <c r="AE900" i="1"/>
  <c r="AF899" i="1"/>
  <c r="AE899" i="1"/>
  <c r="AF898" i="1"/>
  <c r="AE898" i="1"/>
  <c r="AF897" i="1"/>
  <c r="AE897" i="1"/>
  <c r="AF896" i="1"/>
  <c r="AE896" i="1"/>
  <c r="AF895" i="1"/>
  <c r="AE895" i="1"/>
  <c r="AF894" i="1"/>
  <c r="AE894" i="1"/>
  <c r="AF893" i="1"/>
  <c r="AE893" i="1"/>
  <c r="AF892" i="1"/>
  <c r="AE892" i="1"/>
  <c r="AF891" i="1"/>
  <c r="AE891" i="1"/>
  <c r="AF890" i="1"/>
  <c r="AE890" i="1"/>
  <c r="AF889" i="1"/>
  <c r="AE889" i="1"/>
  <c r="AF888" i="1"/>
  <c r="AE888" i="1"/>
  <c r="AF887" i="1"/>
  <c r="AE887" i="1"/>
  <c r="AF886" i="1"/>
  <c r="AE886" i="1"/>
  <c r="AF885" i="1"/>
  <c r="AE885" i="1"/>
  <c r="AF884" i="1"/>
  <c r="AE884" i="1"/>
  <c r="AF883" i="1"/>
  <c r="AE883" i="1"/>
  <c r="AF882" i="1"/>
  <c r="AE882" i="1"/>
  <c r="AF881" i="1"/>
  <c r="AE881" i="1"/>
  <c r="AF880" i="1"/>
  <c r="AE880" i="1"/>
  <c r="AF879" i="1"/>
  <c r="AE879" i="1"/>
  <c r="AF878" i="1"/>
  <c r="AE878" i="1"/>
  <c r="AF877" i="1"/>
  <c r="AE877" i="1"/>
  <c r="AF876" i="1"/>
  <c r="AE876" i="1"/>
  <c r="AF875" i="1"/>
  <c r="AE875" i="1"/>
  <c r="AF874" i="1"/>
  <c r="AE874" i="1"/>
  <c r="AF872" i="1"/>
  <c r="AE872" i="1"/>
  <c r="AF871" i="1"/>
  <c r="AE871" i="1"/>
  <c r="AF870" i="1"/>
  <c r="AE870" i="1"/>
  <c r="AF869" i="1"/>
  <c r="AE869" i="1"/>
  <c r="AF868" i="1"/>
  <c r="AE868" i="1"/>
  <c r="AF867" i="1"/>
  <c r="AE867" i="1"/>
  <c r="AF866" i="1"/>
  <c r="AE866" i="1"/>
  <c r="AF865" i="1"/>
  <c r="AE865" i="1"/>
  <c r="AF864" i="1"/>
  <c r="AE864" i="1"/>
  <c r="AF863" i="1"/>
  <c r="AE863" i="1"/>
  <c r="AF862" i="1"/>
  <c r="AE862" i="1"/>
  <c r="AF861" i="1"/>
  <c r="AE861" i="1"/>
  <c r="AF860" i="1"/>
  <c r="AE860" i="1"/>
  <c r="AF859" i="1"/>
  <c r="AE859" i="1"/>
  <c r="AF858" i="1"/>
  <c r="AE858" i="1"/>
  <c r="AF857" i="1"/>
  <c r="AE857" i="1"/>
  <c r="AF856" i="1"/>
  <c r="AE856" i="1"/>
  <c r="AF855" i="1"/>
  <c r="AE855" i="1"/>
  <c r="AF854" i="1"/>
  <c r="AE854" i="1"/>
  <c r="AF853" i="1"/>
  <c r="AE853" i="1"/>
  <c r="AF852" i="1"/>
  <c r="AE852" i="1"/>
  <c r="AF851" i="1"/>
  <c r="AE851" i="1"/>
  <c r="AF850" i="1"/>
  <c r="AE850" i="1"/>
  <c r="AF849" i="1"/>
  <c r="AE849" i="1"/>
  <c r="AF848" i="1"/>
  <c r="AE848" i="1"/>
  <c r="AF847" i="1"/>
  <c r="AE847" i="1"/>
  <c r="AF846" i="1"/>
  <c r="AE846" i="1"/>
  <c r="AF845" i="1"/>
  <c r="AE845" i="1"/>
  <c r="AF844" i="1"/>
  <c r="AE844" i="1"/>
  <c r="AF843" i="1"/>
  <c r="AE843" i="1"/>
  <c r="AF842" i="1"/>
  <c r="AE842" i="1"/>
  <c r="AF841" i="1"/>
  <c r="AE841" i="1"/>
  <c r="AF296" i="1"/>
  <c r="AE296" i="1"/>
  <c r="AF839" i="1"/>
  <c r="AE839" i="1"/>
  <c r="AF836" i="1"/>
  <c r="AE836" i="1"/>
  <c r="AF835" i="1"/>
  <c r="AE835" i="1"/>
  <c r="AF834" i="1"/>
  <c r="AE834" i="1"/>
  <c r="AF833" i="1"/>
  <c r="AE833" i="1"/>
  <c r="AF832" i="1"/>
  <c r="AE832" i="1"/>
  <c r="AF831" i="1"/>
  <c r="AE831" i="1"/>
  <c r="AF830" i="1"/>
  <c r="AE830" i="1"/>
  <c r="AF829" i="1"/>
  <c r="AE829" i="1"/>
  <c r="AF828" i="1"/>
  <c r="AE828" i="1"/>
  <c r="AF827" i="1"/>
  <c r="AE827" i="1"/>
  <c r="AF826" i="1"/>
  <c r="AE826" i="1"/>
  <c r="AF825" i="1"/>
  <c r="AE825" i="1"/>
  <c r="AF824" i="1"/>
  <c r="AE824" i="1"/>
  <c r="AF823" i="1"/>
  <c r="AE823" i="1"/>
  <c r="AF822" i="1"/>
  <c r="AE822" i="1"/>
  <c r="AF821" i="1"/>
  <c r="AE821" i="1"/>
  <c r="AF820" i="1"/>
  <c r="AE820" i="1"/>
  <c r="AF819" i="1"/>
  <c r="AE819" i="1"/>
  <c r="AF818" i="1"/>
  <c r="AE818" i="1"/>
  <c r="AF817" i="1"/>
  <c r="AE817" i="1"/>
  <c r="AF816" i="1"/>
  <c r="AE816" i="1"/>
  <c r="AF815" i="1"/>
  <c r="AE815" i="1"/>
  <c r="AF814" i="1"/>
  <c r="AE814" i="1"/>
  <c r="AF813" i="1"/>
  <c r="AE813" i="1"/>
  <c r="AF812" i="1"/>
  <c r="AE812" i="1"/>
  <c r="AF811" i="1"/>
  <c r="AE811" i="1"/>
  <c r="AF810" i="1"/>
  <c r="AE810" i="1"/>
  <c r="AF809" i="1"/>
  <c r="AE809" i="1"/>
  <c r="AF808" i="1"/>
  <c r="AE808" i="1"/>
  <c r="AF807" i="1"/>
  <c r="AE807" i="1"/>
  <c r="AF806" i="1"/>
  <c r="AE806" i="1"/>
  <c r="AF805" i="1"/>
  <c r="AE805" i="1"/>
  <c r="AF804" i="1"/>
  <c r="AE804" i="1"/>
  <c r="AF803" i="1"/>
  <c r="AE803" i="1"/>
  <c r="AF802" i="1"/>
  <c r="AE802" i="1"/>
  <c r="AF801" i="1"/>
  <c r="AE801" i="1"/>
  <c r="AF800" i="1"/>
  <c r="AE800" i="1"/>
  <c r="AF799" i="1"/>
  <c r="AE799" i="1"/>
  <c r="AF798" i="1"/>
  <c r="AE798" i="1"/>
  <c r="AF797" i="1"/>
  <c r="AE797" i="1"/>
  <c r="AF796" i="1"/>
  <c r="AE796" i="1"/>
  <c r="AF795" i="1"/>
  <c r="AE795" i="1"/>
  <c r="AF794" i="1"/>
  <c r="AE794" i="1"/>
  <c r="AF793" i="1"/>
  <c r="AE793" i="1"/>
  <c r="AF792" i="1"/>
  <c r="AE792" i="1"/>
  <c r="AF790" i="1"/>
  <c r="AE790" i="1"/>
  <c r="AF789" i="1"/>
  <c r="AE789" i="1"/>
  <c r="AF788" i="1"/>
  <c r="AE788" i="1"/>
  <c r="AF787" i="1"/>
  <c r="AE787" i="1"/>
  <c r="AF786" i="1"/>
  <c r="AE786" i="1"/>
  <c r="AF785" i="1"/>
  <c r="AE785" i="1"/>
  <c r="AF784" i="1"/>
  <c r="AE784" i="1"/>
  <c r="AF783" i="1"/>
  <c r="AE783" i="1"/>
  <c r="AF782" i="1"/>
  <c r="AE782" i="1"/>
  <c r="AF781" i="1"/>
  <c r="AE781" i="1"/>
  <c r="AF780" i="1"/>
  <c r="AE780" i="1"/>
  <c r="AF779" i="1"/>
  <c r="AE779" i="1"/>
  <c r="AF778" i="1"/>
  <c r="AE778" i="1"/>
  <c r="AF777" i="1"/>
  <c r="AE777" i="1"/>
  <c r="AF776" i="1"/>
  <c r="AE776" i="1"/>
  <c r="AF775" i="1"/>
  <c r="AE775" i="1"/>
  <c r="AF774" i="1"/>
  <c r="AE774" i="1"/>
  <c r="AF773" i="1"/>
  <c r="AE773" i="1"/>
  <c r="AF772" i="1"/>
  <c r="AE772" i="1"/>
  <c r="AF771" i="1"/>
  <c r="AE771" i="1"/>
  <c r="AF770" i="1"/>
  <c r="AE770" i="1"/>
  <c r="AF769" i="1"/>
  <c r="AE769" i="1"/>
  <c r="AF768" i="1"/>
  <c r="AE768" i="1"/>
  <c r="AF767" i="1"/>
  <c r="AE767" i="1"/>
  <c r="AF766" i="1"/>
  <c r="AE766" i="1"/>
  <c r="AF765" i="1"/>
  <c r="AE765" i="1"/>
  <c r="AF764" i="1"/>
  <c r="AE764" i="1"/>
  <c r="AF763" i="1"/>
  <c r="AE763" i="1"/>
  <c r="AF762" i="1"/>
  <c r="AE762" i="1"/>
  <c r="AF761" i="1"/>
  <c r="AE761" i="1"/>
  <c r="AF760" i="1"/>
  <c r="AE760" i="1"/>
  <c r="AF759" i="1"/>
  <c r="AE759" i="1"/>
  <c r="AF758" i="1"/>
  <c r="AE758" i="1"/>
  <c r="AF757" i="1"/>
  <c r="AE757" i="1"/>
  <c r="AF756" i="1"/>
  <c r="AE756" i="1"/>
  <c r="AF755" i="1"/>
  <c r="AE755" i="1"/>
  <c r="AF754" i="1"/>
  <c r="AE754" i="1"/>
  <c r="AF753" i="1"/>
  <c r="AE753" i="1"/>
  <c r="AF752" i="1"/>
  <c r="AE752" i="1"/>
  <c r="AF751" i="1"/>
  <c r="AE751" i="1"/>
  <c r="AF750" i="1"/>
  <c r="AE750" i="1"/>
  <c r="AF749" i="1"/>
  <c r="AE749" i="1"/>
  <c r="AF424" i="1"/>
  <c r="AE424" i="1"/>
  <c r="AF383" i="1"/>
  <c r="AE383" i="1"/>
  <c r="AF384" i="1"/>
  <c r="AE384" i="1"/>
  <c r="AF745" i="1"/>
  <c r="AE745" i="1"/>
  <c r="AF744" i="1"/>
  <c r="AE744" i="1"/>
  <c r="AF743" i="1"/>
  <c r="AE743" i="1"/>
  <c r="AF742" i="1"/>
  <c r="AE742" i="1"/>
  <c r="AF741" i="1"/>
  <c r="AE741" i="1"/>
  <c r="AF740" i="1"/>
  <c r="AE740" i="1"/>
  <c r="AF739" i="1"/>
  <c r="AE739" i="1"/>
  <c r="AF738" i="1"/>
  <c r="AE738" i="1"/>
  <c r="AF737" i="1"/>
  <c r="AE737" i="1"/>
  <c r="AF736" i="1"/>
  <c r="AE736" i="1"/>
  <c r="AF735" i="1"/>
  <c r="AE735" i="1"/>
  <c r="AF734" i="1"/>
  <c r="AE734" i="1"/>
  <c r="AF733" i="1"/>
  <c r="AE733" i="1"/>
  <c r="AF732" i="1"/>
  <c r="AE732" i="1"/>
  <c r="AF731" i="1"/>
  <c r="AE731" i="1"/>
  <c r="AF730" i="1"/>
  <c r="AE730" i="1"/>
  <c r="AF729" i="1"/>
  <c r="AE729" i="1"/>
  <c r="AF728" i="1"/>
  <c r="AE728" i="1"/>
  <c r="AF727" i="1"/>
  <c r="AE727" i="1"/>
  <c r="AF726" i="1"/>
  <c r="AE726" i="1"/>
  <c r="AF725" i="1"/>
  <c r="AE725" i="1"/>
  <c r="AF724" i="1"/>
  <c r="AE724" i="1"/>
  <c r="AF723" i="1"/>
  <c r="AE723" i="1"/>
  <c r="AF722" i="1"/>
  <c r="AE722" i="1"/>
  <c r="AF721" i="1"/>
  <c r="AE721" i="1"/>
  <c r="AF720" i="1"/>
  <c r="AE720" i="1"/>
  <c r="AF719" i="1"/>
  <c r="AE719" i="1"/>
  <c r="AF718" i="1"/>
  <c r="AE718" i="1"/>
  <c r="AF717" i="1"/>
  <c r="AE717" i="1"/>
  <c r="AF716" i="1"/>
  <c r="AE716" i="1"/>
  <c r="AF715" i="1"/>
  <c r="AE715" i="1"/>
  <c r="AF714" i="1"/>
  <c r="AE714" i="1"/>
  <c r="AF712" i="1"/>
  <c r="AE712" i="1"/>
  <c r="AF711" i="1"/>
  <c r="AE711" i="1"/>
  <c r="AF710" i="1"/>
  <c r="AE710" i="1"/>
  <c r="AF709" i="1"/>
  <c r="AE709" i="1"/>
  <c r="AF708" i="1"/>
  <c r="AE708" i="1"/>
  <c r="AF707" i="1"/>
  <c r="AE707" i="1"/>
  <c r="AF706" i="1"/>
  <c r="AE706" i="1"/>
  <c r="AF705" i="1"/>
  <c r="AE705" i="1"/>
  <c r="AF704" i="1"/>
  <c r="AE704" i="1"/>
  <c r="AF703" i="1"/>
  <c r="AE703" i="1"/>
  <c r="AF702" i="1"/>
  <c r="AE702" i="1"/>
  <c r="AF701" i="1"/>
  <c r="AE701" i="1"/>
  <c r="AF700" i="1"/>
  <c r="AE700" i="1"/>
  <c r="AF699" i="1"/>
  <c r="AE699" i="1"/>
  <c r="AF698" i="1"/>
  <c r="AE698" i="1"/>
  <c r="AF697" i="1"/>
  <c r="AE697" i="1"/>
  <c r="AF696" i="1"/>
  <c r="AE696" i="1"/>
  <c r="AF695" i="1"/>
  <c r="AE695" i="1"/>
  <c r="AF694" i="1"/>
  <c r="AE694" i="1"/>
  <c r="AF693" i="1"/>
  <c r="AE693" i="1"/>
  <c r="AF692" i="1"/>
  <c r="AE692" i="1"/>
  <c r="AF691" i="1"/>
  <c r="AE691" i="1"/>
  <c r="AF690" i="1"/>
  <c r="AE690" i="1"/>
  <c r="AF689" i="1"/>
  <c r="AE689" i="1"/>
  <c r="AF688" i="1"/>
  <c r="AE688" i="1"/>
  <c r="AF687" i="1"/>
  <c r="AE687" i="1"/>
  <c r="AF686" i="1"/>
  <c r="AE686" i="1"/>
  <c r="AF685" i="1"/>
  <c r="AE685" i="1"/>
  <c r="AF684" i="1"/>
  <c r="AE684" i="1"/>
  <c r="AF683" i="1"/>
  <c r="AE683" i="1"/>
  <c r="AF682" i="1"/>
  <c r="AE682" i="1"/>
  <c r="AF681" i="1"/>
  <c r="AE681" i="1"/>
  <c r="AF680" i="1"/>
  <c r="AE680" i="1"/>
  <c r="AF679" i="1"/>
  <c r="AE679" i="1"/>
  <c r="AF678" i="1"/>
  <c r="AE678" i="1"/>
  <c r="AF677" i="1"/>
  <c r="AE677" i="1"/>
  <c r="AF676" i="1"/>
  <c r="AE676" i="1"/>
  <c r="AF675" i="1"/>
  <c r="AE675" i="1"/>
  <c r="AF674" i="1"/>
  <c r="AE674" i="1"/>
  <c r="AF673" i="1"/>
  <c r="AE673" i="1"/>
  <c r="AF672" i="1"/>
  <c r="AE672" i="1"/>
  <c r="AF671" i="1"/>
  <c r="AE671" i="1"/>
  <c r="AF670" i="1"/>
  <c r="AE670" i="1"/>
  <c r="AF669" i="1"/>
  <c r="AE669" i="1"/>
  <c r="AF668" i="1"/>
  <c r="AE668" i="1"/>
  <c r="AF667" i="1"/>
  <c r="AE667" i="1"/>
  <c r="AF666" i="1"/>
  <c r="AE666" i="1"/>
  <c r="AF665" i="1"/>
  <c r="AE665" i="1"/>
  <c r="AF664" i="1"/>
  <c r="AE664" i="1"/>
  <c r="AF663" i="1"/>
  <c r="AE663" i="1"/>
  <c r="AF662" i="1"/>
  <c r="AE662" i="1"/>
  <c r="AF661" i="1"/>
  <c r="AE661" i="1"/>
  <c r="AF660" i="1"/>
  <c r="AE660" i="1"/>
  <c r="AF659" i="1"/>
  <c r="AE659" i="1"/>
  <c r="AF656" i="1"/>
  <c r="AE656" i="1"/>
  <c r="AF655" i="1"/>
  <c r="AE655" i="1"/>
  <c r="AF654" i="1"/>
  <c r="AE654" i="1"/>
  <c r="AF653" i="1"/>
  <c r="AE653" i="1"/>
  <c r="AF652" i="1"/>
  <c r="AE652" i="1"/>
  <c r="AF651" i="1"/>
  <c r="AE651" i="1"/>
  <c r="AF650" i="1"/>
  <c r="AE650" i="1"/>
  <c r="AF649" i="1"/>
  <c r="AE649" i="1"/>
  <c r="AF648" i="1"/>
  <c r="AE648" i="1"/>
  <c r="AF647" i="1"/>
  <c r="AE647" i="1"/>
  <c r="AF646" i="1"/>
  <c r="AE646" i="1"/>
  <c r="AF645" i="1"/>
  <c r="AE645" i="1"/>
  <c r="AF644" i="1"/>
  <c r="AE644" i="1"/>
  <c r="AF643" i="1"/>
  <c r="AE643" i="1"/>
  <c r="AF642" i="1"/>
  <c r="AE642" i="1"/>
  <c r="AF641" i="1"/>
  <c r="AE641" i="1"/>
  <c r="AF640" i="1"/>
  <c r="AE640" i="1"/>
  <c r="AF639" i="1"/>
  <c r="AE639" i="1"/>
  <c r="AF638" i="1"/>
  <c r="AE638" i="1"/>
  <c r="AF637" i="1"/>
  <c r="AE637" i="1"/>
  <c r="AF636" i="1"/>
  <c r="AE636" i="1"/>
  <c r="AF635" i="1"/>
  <c r="AE635" i="1"/>
  <c r="AF634" i="1"/>
  <c r="AE634" i="1"/>
  <c r="AF633" i="1"/>
  <c r="AE633" i="1"/>
  <c r="AF631" i="1"/>
  <c r="AE631" i="1"/>
  <c r="AF630" i="1"/>
  <c r="AE630" i="1"/>
  <c r="AF629" i="1"/>
  <c r="AE629" i="1"/>
  <c r="AF628" i="1"/>
  <c r="AE628" i="1"/>
  <c r="AF627" i="1"/>
  <c r="AE627" i="1"/>
  <c r="AF626" i="1"/>
  <c r="AE626" i="1"/>
  <c r="AF625" i="1"/>
  <c r="AE625" i="1"/>
  <c r="AF624" i="1"/>
  <c r="AE624" i="1"/>
  <c r="AF623" i="1"/>
  <c r="AE623" i="1"/>
  <c r="AF622" i="1"/>
  <c r="AE622" i="1"/>
  <c r="AF621" i="1"/>
  <c r="AE621" i="1"/>
  <c r="AF620" i="1"/>
  <c r="AE620" i="1"/>
  <c r="AF619" i="1"/>
  <c r="AE619" i="1"/>
  <c r="AF618" i="1"/>
  <c r="AE618" i="1"/>
  <c r="AF617" i="1"/>
  <c r="AE617" i="1"/>
  <c r="AF615" i="1"/>
  <c r="AE615" i="1"/>
  <c r="AF614" i="1"/>
  <c r="AE614" i="1"/>
  <c r="AF613" i="1"/>
  <c r="AE613" i="1"/>
  <c r="AF612" i="1"/>
  <c r="AE612" i="1"/>
  <c r="AF611" i="1"/>
  <c r="AE611" i="1"/>
  <c r="AF610" i="1"/>
  <c r="AE610" i="1"/>
  <c r="AF609" i="1"/>
  <c r="AE609" i="1"/>
  <c r="AF608" i="1"/>
  <c r="AE608" i="1"/>
  <c r="AF607" i="1"/>
  <c r="AE607" i="1"/>
  <c r="AF606" i="1"/>
  <c r="AE606" i="1"/>
  <c r="AF605" i="1"/>
  <c r="AE605" i="1"/>
  <c r="AF603" i="1"/>
  <c r="AE603" i="1"/>
  <c r="AF602" i="1"/>
  <c r="AE602" i="1"/>
  <c r="AF601" i="1"/>
  <c r="AE601" i="1"/>
  <c r="AF600" i="1"/>
  <c r="AE600" i="1"/>
  <c r="AF599" i="1"/>
  <c r="AE599" i="1"/>
  <c r="AF598" i="1"/>
  <c r="AE598" i="1"/>
  <c r="AF597" i="1"/>
  <c r="AE597" i="1"/>
  <c r="AF596" i="1"/>
  <c r="AE596" i="1"/>
  <c r="AF595" i="1"/>
  <c r="AE595" i="1"/>
  <c r="AF594" i="1"/>
  <c r="AE594" i="1"/>
  <c r="AF593" i="1"/>
  <c r="AE593" i="1"/>
  <c r="AF592" i="1"/>
  <c r="AE592" i="1"/>
  <c r="AF591" i="1"/>
  <c r="AE591" i="1"/>
  <c r="AF590" i="1"/>
  <c r="AE590" i="1"/>
  <c r="AF589" i="1"/>
  <c r="AE589" i="1"/>
  <c r="AF588" i="1"/>
  <c r="AE588" i="1"/>
  <c r="AF587" i="1"/>
  <c r="AE587" i="1"/>
  <c r="AF586" i="1"/>
  <c r="AE586" i="1"/>
  <c r="AF585" i="1"/>
  <c r="AE585" i="1"/>
  <c r="AF584" i="1"/>
  <c r="AE584" i="1"/>
  <c r="AF583" i="1"/>
  <c r="AE583" i="1"/>
  <c r="AF582" i="1"/>
  <c r="AE582" i="1"/>
  <c r="AF581" i="1"/>
  <c r="AE581" i="1"/>
  <c r="AF580" i="1"/>
  <c r="AE580" i="1"/>
  <c r="AF579" i="1"/>
  <c r="AE579" i="1"/>
  <c r="AF578" i="1"/>
  <c r="AE578" i="1"/>
  <c r="AF577" i="1"/>
  <c r="AE577" i="1"/>
  <c r="AF576" i="1"/>
  <c r="AE576" i="1"/>
  <c r="AF575" i="1"/>
  <c r="AE575" i="1"/>
  <c r="AF574" i="1"/>
  <c r="AE574" i="1"/>
  <c r="AF573" i="1"/>
  <c r="AE573" i="1"/>
  <c r="AF572" i="1"/>
  <c r="AE572" i="1"/>
  <c r="AF571" i="1"/>
  <c r="AE571" i="1"/>
  <c r="AF570" i="1"/>
  <c r="AE570" i="1"/>
  <c r="AF569" i="1"/>
  <c r="AE569" i="1"/>
  <c r="AF568" i="1"/>
  <c r="AE568" i="1"/>
  <c r="AF567" i="1"/>
  <c r="AE567" i="1"/>
  <c r="AF566" i="1"/>
  <c r="AE566" i="1"/>
  <c r="AF565" i="1"/>
  <c r="AE565" i="1"/>
  <c r="AF564" i="1"/>
  <c r="AE564" i="1"/>
  <c r="AF563" i="1"/>
  <c r="AE563" i="1"/>
  <c r="AF562" i="1"/>
  <c r="AE562" i="1"/>
  <c r="AF561" i="1"/>
  <c r="AE561" i="1"/>
  <c r="AF560" i="1"/>
  <c r="AE560" i="1"/>
  <c r="AF559" i="1"/>
  <c r="AE559" i="1"/>
  <c r="AF558" i="1"/>
  <c r="AE558" i="1"/>
  <c r="AF557" i="1"/>
  <c r="AE557" i="1"/>
  <c r="AF556" i="1"/>
  <c r="AE556" i="1"/>
  <c r="AF555" i="1"/>
  <c r="AE555" i="1"/>
  <c r="AF554" i="1"/>
  <c r="AE554" i="1"/>
  <c r="AF553" i="1"/>
  <c r="AE553" i="1"/>
  <c r="AF552" i="1"/>
  <c r="AE552" i="1"/>
  <c r="AF551" i="1"/>
  <c r="AE551" i="1"/>
  <c r="AF550" i="1"/>
  <c r="AE550" i="1"/>
  <c r="AF549" i="1"/>
  <c r="AE549" i="1"/>
  <c r="AF548" i="1"/>
  <c r="AE548" i="1"/>
  <c r="AF547" i="1"/>
  <c r="AE547" i="1"/>
  <c r="AF426" i="1"/>
  <c r="AE426" i="1"/>
  <c r="AF545" i="1"/>
  <c r="AE545" i="1"/>
  <c r="AF544" i="1"/>
  <c r="AE544" i="1"/>
  <c r="AF543" i="1"/>
  <c r="AE543" i="1"/>
  <c r="AF542" i="1"/>
  <c r="AE542" i="1"/>
  <c r="AF541" i="1"/>
  <c r="AE541" i="1"/>
  <c r="AF540" i="1"/>
  <c r="AE540" i="1"/>
  <c r="AF539" i="1"/>
  <c r="AE539" i="1"/>
  <c r="AF538" i="1"/>
  <c r="AE538" i="1"/>
  <c r="AF537" i="1"/>
  <c r="AE537" i="1"/>
  <c r="AF536" i="1"/>
  <c r="AE536" i="1"/>
  <c r="AF535" i="1"/>
  <c r="AE535" i="1"/>
  <c r="AF534" i="1"/>
  <c r="AE534" i="1"/>
  <c r="AF533" i="1"/>
  <c r="AE533" i="1"/>
  <c r="AF532" i="1"/>
  <c r="AE532" i="1"/>
  <c r="AF531" i="1"/>
  <c r="AE531" i="1"/>
  <c r="AF529" i="1"/>
  <c r="AE529" i="1"/>
  <c r="AF528" i="1"/>
  <c r="AE528" i="1"/>
  <c r="AF527" i="1"/>
  <c r="AE527" i="1"/>
  <c r="AF526" i="1"/>
  <c r="AE526" i="1"/>
  <c r="AF525" i="1"/>
  <c r="AE525" i="1"/>
  <c r="AF524" i="1"/>
  <c r="AE524" i="1"/>
  <c r="AF523" i="1"/>
  <c r="AE523" i="1"/>
  <c r="AF522" i="1"/>
  <c r="AE522" i="1"/>
  <c r="AF521" i="1"/>
  <c r="AE521" i="1"/>
  <c r="AF520" i="1"/>
  <c r="AE520" i="1"/>
  <c r="AF519" i="1"/>
  <c r="AE519" i="1"/>
  <c r="AF518" i="1"/>
  <c r="AE518" i="1"/>
  <c r="AF517" i="1"/>
  <c r="AE517" i="1"/>
  <c r="AF516" i="1"/>
  <c r="AE516" i="1"/>
  <c r="AF515" i="1"/>
  <c r="AE515" i="1"/>
  <c r="AF514" i="1"/>
  <c r="AE514" i="1"/>
  <c r="AF513" i="1"/>
  <c r="AE513" i="1"/>
  <c r="AF512" i="1"/>
  <c r="AE512" i="1"/>
  <c r="AF511" i="1"/>
  <c r="AE511" i="1"/>
  <c r="AF510" i="1"/>
  <c r="AE510" i="1"/>
  <c r="AF509" i="1"/>
  <c r="AE509" i="1"/>
  <c r="AF508" i="1"/>
  <c r="AE508" i="1"/>
  <c r="AF507" i="1"/>
  <c r="AE507" i="1"/>
  <c r="AF505" i="1"/>
  <c r="AE505" i="1"/>
  <c r="AF504" i="1"/>
  <c r="AE504" i="1"/>
  <c r="AF503" i="1"/>
  <c r="AE503" i="1"/>
  <c r="AF502" i="1"/>
  <c r="AE502" i="1"/>
  <c r="AF501" i="1"/>
  <c r="AE501" i="1"/>
  <c r="AF500" i="1"/>
  <c r="AE500" i="1"/>
  <c r="AF499" i="1"/>
  <c r="AE499" i="1"/>
  <c r="AF498" i="1"/>
  <c r="AE498" i="1"/>
  <c r="AF497" i="1"/>
  <c r="AE497" i="1"/>
  <c r="AF496" i="1"/>
  <c r="AE496" i="1"/>
  <c r="AF495" i="1"/>
  <c r="AE495" i="1"/>
  <c r="AF494" i="1"/>
  <c r="AE494" i="1"/>
  <c r="AF493" i="1"/>
  <c r="AE493" i="1"/>
  <c r="AF492" i="1"/>
  <c r="AE492" i="1"/>
  <c r="AF491" i="1"/>
  <c r="AE491" i="1"/>
  <c r="AF490" i="1"/>
  <c r="AE490" i="1"/>
  <c r="AF489" i="1"/>
  <c r="AE489" i="1"/>
  <c r="AF488" i="1"/>
  <c r="AE488" i="1"/>
  <c r="AF487" i="1"/>
  <c r="AE487" i="1"/>
  <c r="AF486" i="1"/>
  <c r="AE486" i="1"/>
  <c r="AF485" i="1"/>
  <c r="AE485" i="1"/>
  <c r="AF484" i="1"/>
  <c r="AE484" i="1"/>
  <c r="AF483" i="1"/>
  <c r="AE483" i="1"/>
  <c r="AF482" i="1"/>
  <c r="AE482" i="1"/>
  <c r="AF351" i="1"/>
  <c r="AE351" i="1"/>
  <c r="AF481" i="1"/>
  <c r="AE481" i="1"/>
  <c r="AF479" i="1"/>
  <c r="AE479" i="1"/>
  <c r="AF478" i="1"/>
  <c r="AE478" i="1"/>
  <c r="AF477" i="1"/>
  <c r="AE477" i="1"/>
  <c r="AF476" i="1"/>
  <c r="AE476" i="1"/>
  <c r="AF475" i="1"/>
  <c r="AE475" i="1"/>
  <c r="AF474" i="1"/>
  <c r="AE474" i="1"/>
  <c r="AF473" i="1"/>
  <c r="AE473" i="1"/>
  <c r="AF472" i="1"/>
  <c r="AE472" i="1"/>
  <c r="AF471" i="1"/>
  <c r="AE471" i="1"/>
  <c r="AF470" i="1"/>
  <c r="AE470" i="1"/>
  <c r="AF469" i="1"/>
  <c r="AE469" i="1"/>
  <c r="AF468" i="1"/>
  <c r="AE468" i="1"/>
  <c r="AF467" i="1"/>
  <c r="AE467" i="1"/>
  <c r="AF466" i="1"/>
  <c r="AE466" i="1"/>
  <c r="AF465" i="1"/>
  <c r="AE465" i="1"/>
  <c r="AF464" i="1"/>
  <c r="AE464" i="1"/>
  <c r="AF463" i="1"/>
  <c r="AE463" i="1"/>
  <c r="AF462" i="1"/>
  <c r="AE462" i="1"/>
  <c r="AF461" i="1"/>
  <c r="AE461" i="1"/>
  <c r="AF460" i="1"/>
  <c r="AE460" i="1"/>
  <c r="AF459" i="1"/>
  <c r="AE459" i="1"/>
  <c r="AF458" i="1"/>
  <c r="AE458" i="1"/>
  <c r="AF457" i="1"/>
  <c r="AE457" i="1"/>
  <c r="AF456" i="1"/>
  <c r="AE456" i="1"/>
  <c r="AF455" i="1"/>
  <c r="AE455" i="1"/>
  <c r="AF454" i="1"/>
  <c r="AE454" i="1"/>
  <c r="AF453" i="1"/>
  <c r="AE453" i="1"/>
  <c r="AF452" i="1"/>
  <c r="AE452" i="1"/>
  <c r="AF451" i="1"/>
  <c r="AE451" i="1"/>
  <c r="AF450" i="1"/>
  <c r="AE450" i="1"/>
  <c r="AF449" i="1"/>
  <c r="AE449" i="1"/>
  <c r="AF448" i="1"/>
  <c r="AE448" i="1"/>
  <c r="AF447" i="1"/>
  <c r="AE447" i="1"/>
  <c r="AF446" i="1"/>
  <c r="AE446" i="1"/>
  <c r="AF445" i="1"/>
  <c r="AE445" i="1"/>
  <c r="AF444" i="1"/>
  <c r="AE444" i="1"/>
  <c r="AF443" i="1"/>
  <c r="AE443" i="1"/>
  <c r="AF442" i="1"/>
  <c r="AE442" i="1"/>
  <c r="AF441" i="1"/>
  <c r="AE441" i="1"/>
  <c r="AF440" i="1"/>
  <c r="AE440" i="1"/>
  <c r="AF439" i="1"/>
  <c r="AE439" i="1"/>
  <c r="AF438" i="1"/>
  <c r="AE438" i="1"/>
  <c r="AF437" i="1"/>
  <c r="AE437" i="1"/>
  <c r="AF436" i="1"/>
  <c r="AE436" i="1"/>
  <c r="AF435" i="1"/>
  <c r="AE435" i="1"/>
  <c r="AF434" i="1"/>
  <c r="AE434" i="1"/>
  <c r="AF433" i="1"/>
  <c r="AE433" i="1"/>
  <c r="AF432" i="1"/>
  <c r="AE432" i="1"/>
  <c r="AF431" i="1"/>
  <c r="AE431" i="1"/>
  <c r="AF430" i="1"/>
  <c r="AE430" i="1"/>
  <c r="AF429" i="1"/>
  <c r="AE429" i="1"/>
  <c r="AF428" i="1"/>
  <c r="AE428" i="1"/>
  <c r="AF993" i="1"/>
  <c r="AE993" i="1"/>
  <c r="AF748" i="1"/>
  <c r="AE748" i="1"/>
  <c r="AF746" i="1"/>
  <c r="AE746" i="1"/>
  <c r="AF546" i="1"/>
  <c r="AE546" i="1"/>
  <c r="AF423" i="1"/>
  <c r="AE423" i="1"/>
  <c r="AF422" i="1"/>
  <c r="AE422" i="1"/>
  <c r="AF421" i="1"/>
  <c r="AE421" i="1"/>
  <c r="AF420" i="1"/>
  <c r="AE420" i="1"/>
  <c r="AF419" i="1"/>
  <c r="AE419" i="1"/>
  <c r="AF418" i="1"/>
  <c r="AE418" i="1"/>
  <c r="AF417" i="1"/>
  <c r="AE417" i="1"/>
  <c r="AF416" i="1"/>
  <c r="AE416" i="1"/>
  <c r="AF415" i="1"/>
  <c r="AE415" i="1"/>
  <c r="AF414" i="1"/>
  <c r="AE414" i="1"/>
  <c r="AF413" i="1"/>
  <c r="AE413" i="1"/>
  <c r="AF412" i="1"/>
  <c r="AE412" i="1"/>
  <c r="AF411" i="1"/>
  <c r="AE411" i="1"/>
  <c r="AF410" i="1"/>
  <c r="AE410" i="1"/>
  <c r="AF409" i="1"/>
  <c r="AE409" i="1"/>
  <c r="AF408" i="1"/>
  <c r="AE408" i="1"/>
  <c r="AF407" i="1"/>
  <c r="AE407" i="1"/>
  <c r="AF406" i="1"/>
  <c r="AE406" i="1"/>
  <c r="AF405" i="1"/>
  <c r="AE405" i="1"/>
  <c r="AF404" i="1"/>
  <c r="AE404" i="1"/>
  <c r="AF403" i="1"/>
  <c r="AE403" i="1"/>
  <c r="AF402" i="1"/>
  <c r="AE402" i="1"/>
  <c r="AF401" i="1"/>
  <c r="AE401" i="1"/>
  <c r="AF400" i="1"/>
  <c r="AE400" i="1"/>
  <c r="AF399" i="1"/>
  <c r="AE399" i="1"/>
  <c r="AF398" i="1"/>
  <c r="AE398" i="1"/>
  <c r="AF397" i="1"/>
  <c r="AE397" i="1"/>
  <c r="AF396" i="1"/>
  <c r="AE396" i="1"/>
  <c r="AF395" i="1"/>
  <c r="AE395" i="1"/>
  <c r="AF394" i="1"/>
  <c r="AE394" i="1"/>
  <c r="AF393" i="1"/>
  <c r="AE393" i="1"/>
  <c r="AF392" i="1"/>
  <c r="AE392" i="1"/>
  <c r="AF391" i="1"/>
  <c r="AE391" i="1"/>
  <c r="AF390" i="1"/>
  <c r="AE390" i="1"/>
  <c r="AF389" i="1"/>
  <c r="AE389" i="1"/>
  <c r="AF388" i="1"/>
  <c r="AE388" i="1"/>
  <c r="AF387" i="1"/>
  <c r="AE387" i="1"/>
  <c r="AF386" i="1"/>
  <c r="AE386" i="1"/>
  <c r="AF385" i="1"/>
  <c r="AE385" i="1"/>
  <c r="AF480" i="1"/>
  <c r="AE480" i="1"/>
  <c r="AF427" i="1"/>
  <c r="AE427" i="1"/>
  <c r="AF381" i="1"/>
  <c r="AE381" i="1"/>
  <c r="AF382" i="1"/>
  <c r="AE382" i="1"/>
  <c r="AF380" i="1"/>
  <c r="AE380" i="1"/>
  <c r="AF379" i="1"/>
  <c r="AE379" i="1"/>
  <c r="AF378" i="1"/>
  <c r="AE378" i="1"/>
  <c r="AF377" i="1"/>
  <c r="AE377" i="1"/>
  <c r="AF376" i="1"/>
  <c r="AE376" i="1"/>
  <c r="AF375" i="1"/>
  <c r="AE375" i="1"/>
  <c r="AF374" i="1"/>
  <c r="AE374" i="1"/>
  <c r="AF373" i="1"/>
  <c r="AE373" i="1"/>
  <c r="AF372" i="1"/>
  <c r="AE372" i="1"/>
  <c r="AF371" i="1"/>
  <c r="AE371" i="1"/>
  <c r="AF370" i="1"/>
  <c r="AE370" i="1"/>
  <c r="AF369" i="1"/>
  <c r="AE369" i="1"/>
  <c r="AF368" i="1"/>
  <c r="AE368" i="1"/>
  <c r="AF367" i="1"/>
  <c r="AE367" i="1"/>
  <c r="AF366" i="1"/>
  <c r="AE366" i="1"/>
  <c r="AF365" i="1"/>
  <c r="AE365" i="1"/>
  <c r="AF364" i="1"/>
  <c r="AE364" i="1"/>
  <c r="AF363" i="1"/>
  <c r="AE363" i="1"/>
  <c r="AF362" i="1"/>
  <c r="AE362" i="1"/>
  <c r="AF361" i="1"/>
  <c r="AE361" i="1"/>
  <c r="AF360" i="1"/>
  <c r="AE360" i="1"/>
  <c r="AF359" i="1"/>
  <c r="AE359" i="1"/>
  <c r="AF358" i="1"/>
  <c r="AE358" i="1"/>
  <c r="AF357" i="1"/>
  <c r="AE357" i="1"/>
  <c r="AF356" i="1"/>
  <c r="AE356" i="1"/>
  <c r="AF355" i="1"/>
  <c r="AE355" i="1"/>
  <c r="AF354" i="1"/>
  <c r="AE354" i="1"/>
  <c r="AF353" i="1"/>
  <c r="AE353" i="1"/>
  <c r="AF840" i="1"/>
  <c r="AE840" i="1"/>
  <c r="AF747" i="1"/>
  <c r="AE747" i="1"/>
  <c r="AF350" i="1"/>
  <c r="AE350" i="1"/>
  <c r="AF349" i="1"/>
  <c r="AE349" i="1"/>
  <c r="AF348" i="1"/>
  <c r="AE348" i="1"/>
  <c r="AF347" i="1"/>
  <c r="AE347" i="1"/>
  <c r="AF346" i="1"/>
  <c r="AE346" i="1"/>
  <c r="AF345" i="1"/>
  <c r="AE345" i="1"/>
  <c r="AF344" i="1"/>
  <c r="AE344" i="1"/>
  <c r="AF343" i="1"/>
  <c r="AE343" i="1"/>
  <c r="AF342" i="1"/>
  <c r="AE342" i="1"/>
  <c r="AF341" i="1"/>
  <c r="AE341" i="1"/>
  <c r="AF340" i="1"/>
  <c r="AE340" i="1"/>
  <c r="AF339" i="1"/>
  <c r="AE339" i="1"/>
  <c r="AF338" i="1"/>
  <c r="AE338" i="1"/>
  <c r="AF337" i="1"/>
  <c r="AE337" i="1"/>
  <c r="AF336" i="1"/>
  <c r="AE336" i="1"/>
  <c r="AF335" i="1"/>
  <c r="AE335" i="1"/>
  <c r="AF334" i="1"/>
  <c r="AE334" i="1"/>
  <c r="AF333" i="1"/>
  <c r="AE333" i="1"/>
  <c r="AF332" i="1"/>
  <c r="AE332" i="1"/>
  <c r="AF331" i="1"/>
  <c r="AE331" i="1"/>
  <c r="AF329" i="1"/>
  <c r="AE329" i="1"/>
  <c r="AF328" i="1"/>
  <c r="AE328" i="1"/>
  <c r="AF327" i="1"/>
  <c r="AE327" i="1"/>
  <c r="AF326" i="1"/>
  <c r="AE326" i="1"/>
  <c r="AF325" i="1"/>
  <c r="AE325" i="1"/>
  <c r="AF324" i="1"/>
  <c r="AE324" i="1"/>
  <c r="AF323" i="1"/>
  <c r="AE323" i="1"/>
  <c r="AF322" i="1"/>
  <c r="AE322" i="1"/>
  <c r="AF321" i="1"/>
  <c r="AE321" i="1"/>
  <c r="AF320" i="1"/>
  <c r="AE320" i="1"/>
  <c r="AF319" i="1"/>
  <c r="AE319" i="1"/>
  <c r="AF318" i="1"/>
  <c r="AE318" i="1"/>
  <c r="AF316" i="1"/>
  <c r="AE316" i="1"/>
  <c r="AF315" i="1"/>
  <c r="AE315" i="1"/>
  <c r="AF314" i="1"/>
  <c r="AE314" i="1"/>
  <c r="AF313" i="1"/>
  <c r="AE313" i="1"/>
  <c r="AF312" i="1"/>
  <c r="AE312" i="1"/>
  <c r="AF311" i="1"/>
  <c r="AE311" i="1"/>
  <c r="AF309" i="1"/>
  <c r="AE309" i="1"/>
  <c r="AF308" i="1"/>
  <c r="AE308" i="1"/>
  <c r="AF307" i="1"/>
  <c r="AE307" i="1"/>
  <c r="AF306" i="1"/>
  <c r="AE306" i="1"/>
  <c r="AF305" i="1"/>
  <c r="AE305" i="1"/>
  <c r="AF304" i="1"/>
  <c r="AE304" i="1"/>
  <c r="AF303" i="1"/>
  <c r="AE303" i="1"/>
  <c r="AF302" i="1"/>
  <c r="AE302" i="1"/>
  <c r="AF301" i="1"/>
  <c r="AE301" i="1"/>
  <c r="AF300" i="1"/>
  <c r="AE300" i="1"/>
  <c r="AF299" i="1"/>
  <c r="AE299" i="1"/>
  <c r="AF298" i="1"/>
  <c r="AE298" i="1"/>
  <c r="AF297" i="1"/>
  <c r="AE297" i="1"/>
  <c r="AF425" i="1"/>
  <c r="AE425" i="1"/>
  <c r="AF295" i="1"/>
  <c r="AE295" i="1"/>
  <c r="AF294" i="1"/>
  <c r="AE294" i="1"/>
  <c r="AF293" i="1"/>
  <c r="AE293" i="1"/>
  <c r="AF292" i="1"/>
  <c r="AE292" i="1"/>
  <c r="AF291" i="1"/>
  <c r="AE291" i="1"/>
  <c r="AF290" i="1"/>
  <c r="AE290" i="1"/>
  <c r="AF289" i="1"/>
  <c r="AE289" i="1"/>
  <c r="AF288" i="1"/>
  <c r="AE288" i="1"/>
  <c r="AF287" i="1"/>
  <c r="AE287" i="1"/>
  <c r="AF286" i="1"/>
  <c r="AE286" i="1"/>
  <c r="AF285" i="1"/>
  <c r="AE285" i="1"/>
  <c r="AF284" i="1"/>
  <c r="AE284" i="1"/>
  <c r="AF283" i="1"/>
  <c r="AE283" i="1"/>
  <c r="AF282" i="1"/>
  <c r="AE282" i="1"/>
  <c r="AF281" i="1"/>
  <c r="AE281" i="1"/>
  <c r="AF280" i="1"/>
  <c r="AE280" i="1"/>
  <c r="AF279" i="1"/>
  <c r="AE279" i="1"/>
  <c r="AF278" i="1"/>
  <c r="AE278" i="1"/>
  <c r="AF277" i="1"/>
  <c r="AE277" i="1"/>
  <c r="AF276" i="1"/>
  <c r="AE276" i="1"/>
  <c r="AF275" i="1"/>
  <c r="AE275" i="1"/>
  <c r="AF274" i="1"/>
  <c r="AE274" i="1"/>
  <c r="AF272" i="1"/>
  <c r="AE272" i="1"/>
  <c r="AF271" i="1"/>
  <c r="AE271" i="1"/>
  <c r="AF270" i="1"/>
  <c r="AE270" i="1"/>
  <c r="AF269" i="1"/>
  <c r="AE269" i="1"/>
  <c r="AF268" i="1"/>
  <c r="AE268" i="1"/>
  <c r="AF267" i="1"/>
  <c r="AE267" i="1"/>
  <c r="AF266" i="1"/>
  <c r="AE266" i="1"/>
  <c r="AF265" i="1"/>
  <c r="AE265" i="1"/>
  <c r="AF264" i="1"/>
  <c r="AE264" i="1"/>
  <c r="AF263" i="1"/>
  <c r="AE263" i="1"/>
  <c r="AF262" i="1"/>
  <c r="AE262" i="1"/>
  <c r="AF261" i="1"/>
  <c r="AE261" i="1"/>
  <c r="AF260" i="1"/>
  <c r="AE260" i="1"/>
  <c r="AF259" i="1"/>
  <c r="AE259" i="1"/>
  <c r="AF258" i="1"/>
  <c r="AE258" i="1"/>
  <c r="AF257" i="1"/>
  <c r="AE257" i="1"/>
  <c r="AF256" i="1"/>
  <c r="AE256" i="1"/>
  <c r="AF254" i="1"/>
  <c r="AE254" i="1"/>
  <c r="AF253" i="1"/>
  <c r="AE253" i="1"/>
  <c r="AF252" i="1"/>
  <c r="AE252" i="1"/>
  <c r="AF251" i="1"/>
  <c r="AE251" i="1"/>
  <c r="AF250" i="1"/>
  <c r="AE250" i="1"/>
  <c r="AF249" i="1"/>
  <c r="AE249" i="1"/>
  <c r="AF248" i="1"/>
  <c r="AE248" i="1"/>
  <c r="AF247" i="1"/>
  <c r="AE247" i="1"/>
  <c r="AF246" i="1"/>
  <c r="AE246" i="1"/>
  <c r="AF245" i="1"/>
  <c r="AE245" i="1"/>
  <c r="AF244" i="1"/>
  <c r="AE244" i="1"/>
  <c r="AF242" i="1"/>
  <c r="AE242" i="1"/>
  <c r="AF241" i="1"/>
  <c r="AE241" i="1"/>
  <c r="AF240" i="1"/>
  <c r="AE240" i="1"/>
  <c r="AF239" i="1"/>
  <c r="AE239" i="1"/>
  <c r="AF238" i="1"/>
  <c r="AE238" i="1"/>
  <c r="AF237" i="1"/>
  <c r="AE237" i="1"/>
  <c r="AF236" i="1"/>
  <c r="AE236" i="1"/>
  <c r="AF235" i="1"/>
  <c r="AE235" i="1"/>
  <c r="AF234" i="1"/>
  <c r="AE234" i="1"/>
  <c r="AF233" i="1"/>
  <c r="AE233" i="1"/>
  <c r="AF232" i="1"/>
  <c r="AE232" i="1"/>
  <c r="AF231" i="1"/>
  <c r="AE231" i="1"/>
  <c r="AF230" i="1"/>
  <c r="AE230" i="1"/>
  <c r="AF229" i="1"/>
  <c r="AE229" i="1"/>
  <c r="AF228" i="1"/>
  <c r="AE228" i="1"/>
  <c r="AF227" i="1"/>
  <c r="AE227" i="1"/>
  <c r="AF225" i="1"/>
  <c r="AE225" i="1"/>
  <c r="AF224" i="1"/>
  <c r="AE224" i="1"/>
  <c r="AF223" i="1"/>
  <c r="AE223" i="1"/>
  <c r="AF222" i="1"/>
  <c r="AE222" i="1"/>
  <c r="AF221" i="1"/>
  <c r="AE221" i="1"/>
  <c r="AF220" i="1"/>
  <c r="AE220" i="1"/>
  <c r="AF219" i="1"/>
  <c r="AE219" i="1"/>
  <c r="AF218" i="1"/>
  <c r="AE218" i="1"/>
  <c r="AF217" i="1"/>
  <c r="AE217" i="1"/>
  <c r="AF216" i="1"/>
  <c r="AE216" i="1"/>
  <c r="AF215" i="1"/>
  <c r="AE215" i="1"/>
  <c r="AF214" i="1"/>
  <c r="AE214" i="1"/>
  <c r="AF213" i="1"/>
  <c r="AE213" i="1"/>
  <c r="AF212" i="1"/>
  <c r="AE212" i="1"/>
  <c r="AF211" i="1"/>
  <c r="AE211" i="1"/>
  <c r="AF210" i="1"/>
  <c r="AE210" i="1"/>
  <c r="AF209" i="1"/>
  <c r="AE209" i="1"/>
  <c r="AF208" i="1"/>
  <c r="AE208" i="1"/>
  <c r="AF207" i="1"/>
  <c r="AE207" i="1"/>
  <c r="AF206" i="1"/>
  <c r="AE206" i="1"/>
  <c r="AF205" i="1"/>
  <c r="AE205" i="1"/>
  <c r="AF204" i="1"/>
  <c r="AE204" i="1"/>
  <c r="AF203" i="1"/>
  <c r="AE203" i="1"/>
  <c r="AF202" i="1"/>
  <c r="AE202" i="1"/>
  <c r="AF201" i="1"/>
  <c r="AE201" i="1"/>
  <c r="AF200" i="1"/>
  <c r="AE200" i="1"/>
  <c r="AF199" i="1"/>
  <c r="AE199" i="1"/>
  <c r="AF198" i="1"/>
  <c r="AE198" i="1"/>
  <c r="AF197" i="1"/>
  <c r="AE197" i="1"/>
  <c r="AF196" i="1"/>
  <c r="AE196" i="1"/>
  <c r="AF195" i="1"/>
  <c r="AE195" i="1"/>
  <c r="AF194" i="1"/>
  <c r="AE194" i="1"/>
  <c r="AF193" i="1"/>
  <c r="AE193" i="1"/>
  <c r="AF192" i="1"/>
  <c r="AE192" i="1"/>
  <c r="AF191" i="1"/>
  <c r="AE191" i="1"/>
  <c r="AF190" i="1"/>
  <c r="AE190" i="1"/>
  <c r="AF189" i="1"/>
  <c r="AE189" i="1"/>
  <c r="AF188" i="1"/>
  <c r="AE188" i="1"/>
  <c r="AF187" i="1"/>
  <c r="AE187" i="1"/>
  <c r="AF186" i="1"/>
  <c r="AE186" i="1"/>
  <c r="AF185" i="1"/>
  <c r="AE185" i="1"/>
  <c r="AF184" i="1"/>
  <c r="AE184" i="1"/>
  <c r="AF183" i="1"/>
  <c r="AE183" i="1"/>
  <c r="AF182" i="1"/>
  <c r="AE182" i="1"/>
  <c r="AF181" i="1"/>
  <c r="AE181" i="1"/>
  <c r="AF180" i="1"/>
  <c r="AE180" i="1"/>
  <c r="AF179" i="1"/>
  <c r="AE179" i="1"/>
  <c r="AF178" i="1"/>
  <c r="AE178" i="1"/>
  <c r="AF177" i="1"/>
  <c r="AE177" i="1"/>
  <c r="AF176" i="1"/>
  <c r="AE176" i="1"/>
  <c r="AF175" i="1"/>
  <c r="AE175" i="1"/>
  <c r="AF174" i="1"/>
  <c r="AE174" i="1"/>
  <c r="AF173" i="1"/>
  <c r="AE173" i="1"/>
  <c r="AF172" i="1"/>
  <c r="AE172" i="1"/>
  <c r="AF171" i="1"/>
  <c r="AE171" i="1"/>
  <c r="AF170" i="1"/>
  <c r="AE170" i="1"/>
  <c r="AF169" i="1"/>
  <c r="AE169" i="1"/>
  <c r="AF168" i="1"/>
  <c r="AE168" i="1"/>
  <c r="AF167" i="1"/>
  <c r="AE167" i="1"/>
  <c r="AF166" i="1"/>
  <c r="AE166" i="1"/>
  <c r="AF165" i="1"/>
  <c r="AE165" i="1"/>
  <c r="AF164" i="1"/>
  <c r="AE164" i="1"/>
  <c r="AF163" i="1"/>
  <c r="AE163" i="1"/>
  <c r="AF162" i="1"/>
  <c r="AE162" i="1"/>
  <c r="AF161" i="1"/>
  <c r="AE161" i="1"/>
  <c r="AF160" i="1"/>
  <c r="AE160" i="1"/>
  <c r="AF159" i="1"/>
  <c r="AE159" i="1"/>
  <c r="AF158" i="1"/>
  <c r="AE158" i="1"/>
  <c r="AF157" i="1"/>
  <c r="AE157" i="1"/>
  <c r="AF156" i="1"/>
  <c r="AE156" i="1"/>
  <c r="AF155" i="1"/>
  <c r="AE155" i="1"/>
  <c r="AF154" i="1"/>
  <c r="AE154" i="1"/>
  <c r="AF153" i="1"/>
  <c r="AE153" i="1"/>
  <c r="AF152" i="1"/>
  <c r="AE152" i="1"/>
  <c r="AF151" i="1"/>
  <c r="AE151" i="1"/>
  <c r="AF150" i="1"/>
  <c r="AE150" i="1"/>
  <c r="AF149" i="1"/>
  <c r="AE149" i="1"/>
  <c r="AF148" i="1"/>
  <c r="AE148" i="1"/>
  <c r="AF147" i="1"/>
  <c r="AE147" i="1"/>
  <c r="AF146" i="1"/>
  <c r="AE146" i="1"/>
  <c r="AF145" i="1"/>
  <c r="AE145" i="1"/>
  <c r="AF144" i="1"/>
  <c r="AE144" i="1"/>
  <c r="AF143" i="1"/>
  <c r="AE143" i="1"/>
  <c r="AF142" i="1"/>
  <c r="AE142" i="1"/>
  <c r="AF141" i="1"/>
  <c r="AE141" i="1"/>
  <c r="AF140" i="1"/>
  <c r="AE140" i="1"/>
  <c r="AF139" i="1"/>
  <c r="AE139" i="1"/>
  <c r="AF138" i="1"/>
  <c r="AE138" i="1"/>
  <c r="AF137" i="1"/>
  <c r="AE137" i="1"/>
  <c r="AF136" i="1"/>
  <c r="AE136" i="1"/>
  <c r="AF135" i="1"/>
  <c r="AE135" i="1"/>
  <c r="AF134" i="1"/>
  <c r="AE134" i="1"/>
  <c r="AF133" i="1"/>
  <c r="AE133" i="1"/>
  <c r="AF132" i="1"/>
  <c r="AE132" i="1"/>
  <c r="AF131" i="1"/>
  <c r="AE131" i="1"/>
  <c r="AF130" i="1"/>
  <c r="AE130" i="1"/>
  <c r="AF129" i="1"/>
  <c r="AE129" i="1"/>
  <c r="AF128" i="1"/>
  <c r="AE128" i="1"/>
  <c r="AF127" i="1"/>
  <c r="AE127" i="1"/>
  <c r="AF126" i="1"/>
  <c r="AE126" i="1"/>
  <c r="AF125" i="1"/>
  <c r="AE125" i="1"/>
  <c r="AF124" i="1"/>
  <c r="AE124" i="1"/>
  <c r="AF123" i="1"/>
  <c r="AE123" i="1"/>
  <c r="AF122" i="1"/>
  <c r="AE122" i="1"/>
  <c r="AF121" i="1"/>
  <c r="AE121" i="1"/>
  <c r="AF119" i="1"/>
  <c r="AE119" i="1"/>
  <c r="AF118" i="1"/>
  <c r="AE118" i="1"/>
  <c r="AF117" i="1"/>
  <c r="AE117" i="1"/>
  <c r="AF116" i="1"/>
  <c r="AE116" i="1"/>
  <c r="AF115" i="1"/>
  <c r="AE115" i="1"/>
  <c r="AF114" i="1"/>
  <c r="AE114" i="1"/>
  <c r="AF113" i="1"/>
  <c r="AE113" i="1"/>
  <c r="AF112" i="1"/>
  <c r="AE112" i="1"/>
  <c r="AF111" i="1"/>
  <c r="AE111" i="1"/>
  <c r="AF110" i="1"/>
  <c r="AE110" i="1"/>
  <c r="AF109" i="1"/>
  <c r="AE109" i="1"/>
  <c r="AF108" i="1"/>
  <c r="AE108" i="1"/>
  <c r="AF107" i="1"/>
  <c r="AE107" i="1"/>
  <c r="AF106" i="1"/>
  <c r="AE106" i="1"/>
  <c r="AF105" i="1"/>
  <c r="AE105" i="1"/>
  <c r="AF104" i="1"/>
  <c r="AE104" i="1"/>
  <c r="AF103" i="1"/>
  <c r="AE103" i="1"/>
  <c r="AF102" i="1"/>
  <c r="AE102" i="1"/>
  <c r="AF101" i="1"/>
  <c r="AE101" i="1"/>
  <c r="AF100" i="1"/>
  <c r="AE100" i="1"/>
  <c r="AF99" i="1"/>
  <c r="AE99" i="1"/>
  <c r="AF98" i="1"/>
  <c r="AE98" i="1"/>
  <c r="AF97" i="1"/>
  <c r="AE97" i="1"/>
  <c r="AF96" i="1"/>
  <c r="AE96" i="1"/>
  <c r="AF95" i="1"/>
  <c r="AE95" i="1"/>
  <c r="AF94" i="1"/>
  <c r="AE94" i="1"/>
  <c r="AF93" i="1"/>
  <c r="AE93" i="1"/>
  <c r="AF92" i="1"/>
  <c r="AE92" i="1"/>
  <c r="AF91" i="1"/>
  <c r="AE91" i="1"/>
  <c r="AF90" i="1"/>
  <c r="AE90" i="1"/>
  <c r="AF89" i="1"/>
  <c r="AE89" i="1"/>
  <c r="AF88" i="1"/>
  <c r="AE88" i="1"/>
  <c r="AF87" i="1"/>
  <c r="AE87" i="1"/>
  <c r="AF86" i="1"/>
  <c r="AE86" i="1"/>
  <c r="AF85" i="1"/>
  <c r="AE85" i="1"/>
  <c r="AF84" i="1"/>
  <c r="AE84" i="1"/>
  <c r="AF83" i="1"/>
  <c r="AE83" i="1"/>
  <c r="AF82" i="1"/>
  <c r="AE82" i="1"/>
  <c r="AF81" i="1"/>
  <c r="AE81" i="1"/>
  <c r="AF80" i="1"/>
  <c r="AE80" i="1"/>
  <c r="AF79" i="1"/>
  <c r="AE79" i="1"/>
  <c r="AF78" i="1"/>
  <c r="AE78" i="1"/>
  <c r="AF77" i="1"/>
  <c r="AE77" i="1"/>
  <c r="AF76" i="1"/>
  <c r="AE76" i="1"/>
  <c r="AF75" i="1"/>
  <c r="AE75" i="1"/>
  <c r="AF74" i="1"/>
  <c r="AE74" i="1"/>
  <c r="AF73" i="1"/>
  <c r="AE73" i="1"/>
  <c r="AF72" i="1"/>
  <c r="AE72" i="1"/>
  <c r="AF71" i="1"/>
  <c r="AE71" i="1"/>
  <c r="AF70" i="1"/>
  <c r="AE70" i="1"/>
  <c r="AF69" i="1"/>
  <c r="AE69" i="1"/>
  <c r="AF68" i="1"/>
  <c r="AE68" i="1"/>
  <c r="AF67" i="1"/>
  <c r="AE67" i="1"/>
  <c r="AF66" i="1"/>
  <c r="AE66" i="1"/>
  <c r="AF65" i="1"/>
  <c r="AE65" i="1"/>
  <c r="AF64" i="1"/>
  <c r="AE64" i="1"/>
  <c r="AF63" i="1"/>
  <c r="AE63" i="1"/>
  <c r="AF62" i="1"/>
  <c r="AE62" i="1"/>
  <c r="AF61" i="1"/>
  <c r="AE61" i="1"/>
  <c r="AF60" i="1"/>
  <c r="AE60" i="1"/>
  <c r="AF59" i="1"/>
  <c r="AE59" i="1"/>
  <c r="AF58" i="1"/>
  <c r="AE58" i="1"/>
  <c r="AF57" i="1"/>
  <c r="AE57" i="1"/>
  <c r="AF56" i="1"/>
  <c r="AE56" i="1"/>
  <c r="AF55" i="1"/>
  <c r="AE55" i="1"/>
  <c r="AF54" i="1"/>
  <c r="AE54" i="1"/>
  <c r="AF53" i="1"/>
  <c r="AE53" i="1"/>
  <c r="AF52" i="1"/>
  <c r="AE52" i="1"/>
  <c r="AF51" i="1"/>
  <c r="AE51" i="1"/>
  <c r="AF50" i="1"/>
  <c r="AE50" i="1"/>
  <c r="AF49" i="1"/>
  <c r="AE49" i="1"/>
  <c r="AF48" i="1"/>
  <c r="AE48" i="1"/>
  <c r="AF47" i="1"/>
  <c r="AE47" i="1"/>
  <c r="AF46" i="1"/>
  <c r="AE46" i="1"/>
  <c r="AF45" i="1"/>
  <c r="AE45" i="1"/>
  <c r="AF44" i="1"/>
  <c r="AE44" i="1"/>
  <c r="AF43" i="1"/>
  <c r="AE43" i="1"/>
  <c r="AF42" i="1"/>
  <c r="AE42" i="1"/>
  <c r="AF41" i="1"/>
  <c r="AE41" i="1"/>
  <c r="AF40" i="1"/>
  <c r="AE40" i="1"/>
  <c r="AF39" i="1"/>
  <c r="AE39" i="1"/>
  <c r="AF38" i="1"/>
  <c r="AE38" i="1"/>
  <c r="AF37" i="1"/>
  <c r="AE37" i="1"/>
  <c r="AF36" i="1"/>
  <c r="AE36" i="1"/>
  <c r="AF35" i="1"/>
  <c r="AE35" i="1"/>
  <c r="AF34" i="1"/>
  <c r="AE34" i="1"/>
  <c r="AF33" i="1"/>
  <c r="AE33" i="1"/>
  <c r="AF32" i="1"/>
  <c r="AE32" i="1"/>
  <c r="AF31" i="1"/>
  <c r="AE31" i="1"/>
  <c r="AF29" i="1"/>
  <c r="AE29" i="1"/>
  <c r="AF28" i="1"/>
  <c r="AE28" i="1"/>
  <c r="AF27" i="1"/>
  <c r="AE27" i="1"/>
  <c r="AF26" i="1"/>
  <c r="AE26" i="1"/>
  <c r="AF25" i="1"/>
  <c r="AE25" i="1"/>
  <c r="AF24" i="1"/>
  <c r="AE24" i="1"/>
  <c r="AF23" i="1"/>
  <c r="AE23" i="1"/>
  <c r="AF22" i="1"/>
  <c r="AE22" i="1"/>
  <c r="AF21" i="1"/>
  <c r="AE21" i="1"/>
  <c r="AF20" i="1"/>
  <c r="AE20" i="1"/>
  <c r="AF19" i="1"/>
  <c r="AE19" i="1"/>
  <c r="AF18" i="1"/>
  <c r="AE18" i="1"/>
  <c r="AF17" i="1"/>
  <c r="AE17" i="1"/>
  <c r="AF16" i="1"/>
  <c r="AE16" i="1"/>
  <c r="AF15" i="1"/>
  <c r="AE15" i="1"/>
  <c r="AF14" i="1"/>
  <c r="AE14" i="1"/>
  <c r="AF13" i="1"/>
  <c r="AE13" i="1"/>
  <c r="AF12" i="1"/>
  <c r="AE12" i="1"/>
  <c r="AF9" i="1"/>
  <c r="AE9" i="1"/>
  <c r="AF8" i="1"/>
  <c r="AE8" i="1"/>
  <c r="AF7" i="1"/>
  <c r="AE7" i="1"/>
  <c r="AF6" i="1"/>
  <c r="AE6" i="1"/>
  <c r="AF5" i="1"/>
  <c r="AE5" i="1"/>
  <c r="AF4" i="1"/>
  <c r="AE4" i="1"/>
  <c r="AF3" i="1"/>
  <c r="AE3" i="1"/>
  <c r="AF2" i="1"/>
  <c r="AE2" i="1"/>
  <c r="AK1622" i="1"/>
  <c r="AK1621" i="1"/>
  <c r="AK1620" i="1"/>
  <c r="AK1619" i="1"/>
  <c r="AK1618" i="1"/>
  <c r="AK1617" i="1"/>
  <c r="AK1616" i="1"/>
  <c r="AK1615" i="1"/>
  <c r="AK1614" i="1"/>
  <c r="AK1613" i="1"/>
  <c r="AK1612" i="1"/>
  <c r="AK1611" i="1"/>
  <c r="AK1610" i="1"/>
  <c r="AK1609" i="1"/>
  <c r="AK1607" i="1"/>
  <c r="AK1606" i="1"/>
  <c r="AK1605" i="1"/>
  <c r="AK1604" i="1"/>
  <c r="AK1603" i="1"/>
  <c r="AK1602" i="1"/>
  <c r="AK1601" i="1"/>
  <c r="AK1600" i="1"/>
  <c r="AK1598" i="1"/>
  <c r="AK1597" i="1"/>
  <c r="AK1596" i="1"/>
  <c r="AK1595" i="1"/>
  <c r="AK1594" i="1"/>
  <c r="AK1593" i="1"/>
  <c r="AK1592" i="1"/>
  <c r="AK1591" i="1"/>
  <c r="AK1590" i="1"/>
  <c r="AK1589" i="1"/>
  <c r="AK1588" i="1"/>
  <c r="AK1587" i="1"/>
  <c r="AK1586" i="1"/>
  <c r="AK1585" i="1"/>
  <c r="AK1584" i="1"/>
  <c r="AK1583" i="1"/>
  <c r="AK1582" i="1"/>
  <c r="AK1581" i="1"/>
  <c r="AK1580" i="1"/>
  <c r="AK1579" i="1"/>
  <c r="AK1578" i="1"/>
  <c r="AK1577" i="1"/>
  <c r="AK1576" i="1"/>
  <c r="AK1575" i="1"/>
  <c r="AK1574" i="1"/>
  <c r="AK1573" i="1"/>
  <c r="AK1572" i="1"/>
  <c r="AK1571" i="1"/>
  <c r="AK1570" i="1"/>
  <c r="AK1569" i="1"/>
  <c r="AK1568" i="1"/>
  <c r="AK1567" i="1"/>
  <c r="AK1566" i="1"/>
  <c r="AK1565" i="1"/>
  <c r="AK1564" i="1"/>
  <c r="AK1563" i="1"/>
  <c r="AK1562" i="1"/>
  <c r="AK1561" i="1"/>
  <c r="AK1560" i="1"/>
  <c r="AK1559" i="1"/>
  <c r="AK1558" i="1"/>
  <c r="AK1557" i="1"/>
  <c r="AK1556" i="1"/>
  <c r="AK1555" i="1"/>
  <c r="AK1554" i="1"/>
  <c r="AK1553" i="1"/>
  <c r="AK1552" i="1"/>
  <c r="AK1551" i="1"/>
  <c r="AK1550" i="1"/>
  <c r="AK1549" i="1"/>
  <c r="AK1548" i="1"/>
  <c r="AK1547" i="1"/>
  <c r="AK1546" i="1"/>
  <c r="AK1545" i="1"/>
  <c r="AK1544" i="1"/>
  <c r="AK1543" i="1"/>
  <c r="AK1542" i="1"/>
  <c r="AK1541" i="1"/>
  <c r="AK1540" i="1"/>
  <c r="AK1539" i="1"/>
  <c r="AK1538" i="1"/>
  <c r="AK1537" i="1"/>
  <c r="AK1536" i="1"/>
  <c r="AK1535" i="1"/>
  <c r="AK1534" i="1"/>
  <c r="AK1533" i="1"/>
  <c r="AK1532" i="1"/>
  <c r="AK1531" i="1"/>
  <c r="AK1530" i="1"/>
  <c r="AK1529" i="1"/>
  <c r="AK1528" i="1"/>
  <c r="AK1527" i="1"/>
  <c r="AK1526" i="1"/>
  <c r="AK1525" i="1"/>
  <c r="AK1523" i="1"/>
  <c r="AK1522" i="1"/>
  <c r="AK1521" i="1"/>
  <c r="AK1520" i="1"/>
  <c r="AK1519" i="1"/>
  <c r="AK1518" i="1"/>
  <c r="AK1517" i="1"/>
  <c r="AK1516" i="1"/>
  <c r="AK1515" i="1"/>
  <c r="AK1514" i="1"/>
  <c r="AK1513" i="1"/>
  <c r="AK1512" i="1"/>
  <c r="AK1511" i="1"/>
  <c r="AK1510" i="1"/>
  <c r="AK1509" i="1"/>
  <c r="AK1508" i="1"/>
  <c r="AK1507" i="1"/>
  <c r="AK1506" i="1"/>
  <c r="AK1505" i="1"/>
  <c r="AK1504" i="1"/>
  <c r="AK1503" i="1"/>
  <c r="AK1502" i="1"/>
  <c r="AK1501" i="1"/>
  <c r="AK1500" i="1"/>
  <c r="AK1499" i="1"/>
  <c r="AK1498" i="1"/>
  <c r="AK1497" i="1"/>
  <c r="AK1496" i="1"/>
  <c r="AK1495" i="1"/>
  <c r="AK1494" i="1"/>
  <c r="AK1493" i="1"/>
  <c r="AK1492" i="1"/>
  <c r="AK1491" i="1"/>
  <c r="AK1490" i="1"/>
  <c r="AK1489" i="1"/>
  <c r="AK1488" i="1"/>
  <c r="AK1487" i="1"/>
  <c r="AK1486" i="1"/>
  <c r="AK1485" i="1"/>
  <c r="AK1484" i="1"/>
  <c r="AK1483" i="1"/>
  <c r="AK1482" i="1"/>
  <c r="AK1481" i="1"/>
  <c r="AK1480" i="1"/>
  <c r="AK1479" i="1"/>
  <c r="AK1478" i="1"/>
  <c r="AK1477" i="1"/>
  <c r="AK1476" i="1"/>
  <c r="AK1475" i="1"/>
  <c r="AK1474" i="1"/>
  <c r="AK1473" i="1"/>
  <c r="AK1472" i="1"/>
  <c r="AK1471" i="1"/>
  <c r="AK1470" i="1"/>
  <c r="AK1469" i="1"/>
  <c r="AK1468" i="1"/>
  <c r="AK1467" i="1"/>
  <c r="AK1466" i="1"/>
  <c r="AK1465" i="1"/>
  <c r="AK1464" i="1"/>
  <c r="AK1463" i="1"/>
  <c r="AK1462" i="1"/>
  <c r="AK1461" i="1"/>
  <c r="AK1460" i="1"/>
  <c r="AK1459" i="1"/>
  <c r="AK1458" i="1"/>
  <c r="AK1457" i="1"/>
  <c r="AK1456" i="1"/>
  <c r="AK1455" i="1"/>
  <c r="AK1454" i="1"/>
  <c r="AK1453" i="1"/>
  <c r="AK1452" i="1"/>
  <c r="AK1451" i="1"/>
  <c r="AK1450" i="1"/>
  <c r="AK1449" i="1"/>
  <c r="AK1448" i="1"/>
  <c r="AK1447" i="1"/>
  <c r="AK1446" i="1"/>
  <c r="AK1445" i="1"/>
  <c r="AK1444" i="1"/>
  <c r="AK1443" i="1"/>
  <c r="AK1442" i="1"/>
  <c r="AK1441" i="1"/>
  <c r="AK1440" i="1"/>
  <c r="AK1439" i="1"/>
  <c r="AK1438" i="1"/>
  <c r="AK1437" i="1"/>
  <c r="AK1436" i="1"/>
  <c r="AK1435" i="1"/>
  <c r="AK1434" i="1"/>
  <c r="AK1433" i="1"/>
  <c r="AK1432" i="1"/>
  <c r="AK1431" i="1"/>
  <c r="AK1430" i="1"/>
  <c r="AK1429" i="1"/>
  <c r="AK1428" i="1"/>
  <c r="AK1427" i="1"/>
  <c r="AK1426" i="1"/>
  <c r="AK1425" i="1"/>
  <c r="AK1424" i="1"/>
  <c r="AK1423" i="1"/>
  <c r="AK1422" i="1"/>
  <c r="AK1421" i="1"/>
  <c r="AK1420" i="1"/>
  <c r="AK1419" i="1"/>
  <c r="AK1418" i="1"/>
  <c r="AK1417" i="1"/>
  <c r="AK1416" i="1"/>
  <c r="AK1415" i="1"/>
  <c r="AK1414" i="1"/>
  <c r="AK1413" i="1"/>
  <c r="AK1412" i="1"/>
  <c r="AK1411" i="1"/>
  <c r="AK1410" i="1"/>
  <c r="AK1409" i="1"/>
  <c r="AK1408" i="1"/>
  <c r="AK1407" i="1"/>
  <c r="AK1406" i="1"/>
  <c r="AK1405" i="1"/>
  <c r="AK1404" i="1"/>
  <c r="AK1403" i="1"/>
  <c r="AK1402" i="1"/>
  <c r="AK1401" i="1"/>
  <c r="AK1400" i="1"/>
  <c r="AK1399" i="1"/>
  <c r="AK1398" i="1"/>
  <c r="AK1397" i="1"/>
  <c r="AK1396" i="1"/>
  <c r="AK1395" i="1"/>
  <c r="AK1394" i="1"/>
  <c r="AK1393" i="1"/>
  <c r="AK1392" i="1"/>
  <c r="AK1391" i="1"/>
  <c r="AK1390" i="1"/>
  <c r="AK1389" i="1"/>
  <c r="AK1388" i="1"/>
  <c r="AK1387" i="1"/>
  <c r="AK1386" i="1"/>
  <c r="AK1385" i="1"/>
  <c r="AK1384" i="1"/>
  <c r="AK1383" i="1"/>
  <c r="AK1382" i="1"/>
  <c r="AK1381" i="1"/>
  <c r="AK1380" i="1"/>
  <c r="AK1379" i="1"/>
  <c r="AK1378" i="1"/>
  <c r="AK1377" i="1"/>
  <c r="AK1376" i="1"/>
  <c r="AK1375" i="1"/>
  <c r="AK1374" i="1"/>
  <c r="AK1373" i="1"/>
  <c r="AK1372" i="1"/>
  <c r="AK1371" i="1"/>
  <c r="AK1370" i="1"/>
  <c r="AK1369" i="1"/>
  <c r="AK1368" i="1"/>
  <c r="AK1367" i="1"/>
  <c r="AK1366" i="1"/>
  <c r="AK1365" i="1"/>
  <c r="AK1364" i="1"/>
  <c r="AK1363" i="1"/>
  <c r="AK1362" i="1"/>
  <c r="AK1361" i="1"/>
  <c r="AK1360" i="1"/>
  <c r="AK1359" i="1"/>
  <c r="AK1358" i="1"/>
  <c r="AK1357" i="1"/>
  <c r="AK1356" i="1"/>
  <c r="AK1355" i="1"/>
  <c r="AK1354" i="1"/>
  <c r="AK1353" i="1"/>
  <c r="AK1352" i="1"/>
  <c r="AK1351" i="1"/>
  <c r="AK1350" i="1"/>
  <c r="AK1349" i="1"/>
  <c r="AK1348" i="1"/>
  <c r="AK1347" i="1"/>
  <c r="AK1346" i="1"/>
  <c r="AK1345" i="1"/>
  <c r="AK1344" i="1"/>
  <c r="AK1343" i="1"/>
  <c r="AK1342" i="1"/>
  <c r="AK1341" i="1"/>
  <c r="AK1340" i="1"/>
  <c r="AK1339" i="1"/>
  <c r="AK1338" i="1"/>
  <c r="AK1337" i="1"/>
  <c r="AK1336" i="1"/>
  <c r="AK1335" i="1"/>
  <c r="AK1334" i="1"/>
  <c r="AK1333" i="1"/>
  <c r="AK1332" i="1"/>
  <c r="AK1331" i="1"/>
  <c r="AK1330" i="1"/>
  <c r="AK1329" i="1"/>
  <c r="AK1328" i="1"/>
  <c r="AK1327" i="1"/>
  <c r="AK1326" i="1"/>
  <c r="AK1325" i="1"/>
  <c r="AK1324" i="1"/>
  <c r="AK1323" i="1"/>
  <c r="AK1322" i="1"/>
  <c r="AK1321" i="1"/>
  <c r="AK1320" i="1"/>
  <c r="AK1319" i="1"/>
  <c r="AK1318" i="1"/>
  <c r="AK1317" i="1"/>
  <c r="AK1316" i="1"/>
  <c r="AK1315" i="1"/>
  <c r="AK1314" i="1"/>
  <c r="AK1313" i="1"/>
  <c r="AK1312" i="1"/>
  <c r="AK1311" i="1"/>
  <c r="AK1310" i="1"/>
  <c r="AK1309" i="1"/>
  <c r="AK1308" i="1"/>
  <c r="AK1307" i="1"/>
  <c r="AK1306" i="1"/>
  <c r="AK1305" i="1"/>
  <c r="AK1304" i="1"/>
  <c r="AK1303" i="1"/>
  <c r="AK1302" i="1"/>
  <c r="AK1301" i="1"/>
  <c r="AK1300" i="1"/>
  <c r="AK1299" i="1"/>
  <c r="AK1298" i="1"/>
  <c r="AK1297" i="1"/>
  <c r="AK1296" i="1"/>
  <c r="AK1295" i="1"/>
  <c r="AK1294" i="1"/>
  <c r="AK1293" i="1"/>
  <c r="AK1292" i="1"/>
  <c r="AK1291" i="1"/>
  <c r="AK1290" i="1"/>
  <c r="AK1289" i="1"/>
  <c r="AK1288" i="1"/>
  <c r="AK1287" i="1"/>
  <c r="AK1286" i="1"/>
  <c r="AK1285" i="1"/>
  <c r="AK1284" i="1"/>
  <c r="AK1283" i="1"/>
  <c r="AK1282" i="1"/>
  <c r="AK1281" i="1"/>
  <c r="AK1280" i="1"/>
  <c r="AK1279" i="1"/>
  <c r="AK1278" i="1"/>
  <c r="AK1277" i="1"/>
  <c r="AK1276" i="1"/>
  <c r="AK1275" i="1"/>
  <c r="AK1274" i="1"/>
  <c r="AK1273" i="1"/>
  <c r="AK1272" i="1"/>
  <c r="AK1271" i="1"/>
  <c r="AK1270" i="1"/>
  <c r="AK1269" i="1"/>
  <c r="AK1268" i="1"/>
  <c r="AK1267" i="1"/>
  <c r="AK1266" i="1"/>
  <c r="AK1265" i="1"/>
  <c r="AK1264" i="1"/>
  <c r="AK1263" i="1"/>
  <c r="AK1262" i="1"/>
  <c r="AK1261" i="1"/>
  <c r="AK1260" i="1"/>
  <c r="AK1259" i="1"/>
  <c r="AK1258" i="1"/>
  <c r="AK1257" i="1"/>
  <c r="AK1256" i="1"/>
  <c r="AK1255" i="1"/>
  <c r="AK1254" i="1"/>
  <c r="AK1253" i="1"/>
  <c r="AK1252" i="1"/>
  <c r="AK1251" i="1"/>
  <c r="AK1250" i="1"/>
  <c r="AK1249" i="1"/>
  <c r="AK1248" i="1"/>
  <c r="AK1247" i="1"/>
  <c r="AK1246" i="1"/>
  <c r="AK1245" i="1"/>
  <c r="AK1244" i="1"/>
  <c r="AK1243" i="1"/>
  <c r="AK1242" i="1"/>
  <c r="AK1241" i="1"/>
  <c r="AK1240" i="1"/>
  <c r="AK1239" i="1"/>
  <c r="AK1238" i="1"/>
  <c r="AK1237" i="1"/>
  <c r="AK1236" i="1"/>
  <c r="AK1235" i="1"/>
  <c r="AK1234" i="1"/>
  <c r="AK1233" i="1"/>
  <c r="AK1232" i="1"/>
  <c r="AK1231" i="1"/>
  <c r="AK1230" i="1"/>
  <c r="AK1229" i="1"/>
  <c r="AK1228" i="1"/>
  <c r="AK1227" i="1"/>
  <c r="AK1226" i="1"/>
  <c r="AK1225" i="1"/>
  <c r="AK1224" i="1"/>
  <c r="AK1223" i="1"/>
  <c r="AK1222" i="1"/>
  <c r="AK1221" i="1"/>
  <c r="AK1220" i="1"/>
  <c r="AK1219" i="1"/>
  <c r="AK1218" i="1"/>
  <c r="AK1217" i="1"/>
  <c r="AK1216" i="1"/>
  <c r="AK1215" i="1"/>
  <c r="AK1214" i="1"/>
  <c r="AK1213" i="1"/>
  <c r="AK1212" i="1"/>
  <c r="AK1211" i="1"/>
  <c r="AK1210" i="1"/>
  <c r="AK1209" i="1"/>
  <c r="AK1208" i="1"/>
  <c r="AK1207" i="1"/>
  <c r="AK1206" i="1"/>
  <c r="AK1205" i="1"/>
  <c r="AK1204" i="1"/>
  <c r="AK1203" i="1"/>
  <c r="AK1202" i="1"/>
  <c r="AK1201" i="1"/>
  <c r="AK1200" i="1"/>
  <c r="AK1199" i="1"/>
  <c r="AK1198" i="1"/>
  <c r="AK1197" i="1"/>
  <c r="AK1196" i="1"/>
  <c r="AK1195" i="1"/>
  <c r="AK1194" i="1"/>
  <c r="AK1193" i="1"/>
  <c r="AK1192" i="1"/>
  <c r="AK1191" i="1"/>
  <c r="AK1190" i="1"/>
  <c r="AK1189" i="1"/>
  <c r="AK1188" i="1"/>
  <c r="AK1187" i="1"/>
  <c r="AK1186" i="1"/>
  <c r="AK1185" i="1"/>
  <c r="AK1184" i="1"/>
  <c r="AK1183" i="1"/>
  <c r="AK1182" i="1"/>
  <c r="AK1181" i="1"/>
  <c r="AK1180" i="1"/>
  <c r="AK1179" i="1"/>
  <c r="AK1178" i="1"/>
  <c r="AK1177" i="1"/>
  <c r="AK1176" i="1"/>
  <c r="AK1175" i="1"/>
  <c r="AK1174" i="1"/>
  <c r="AK1173" i="1"/>
  <c r="AK1172" i="1"/>
  <c r="AK1171" i="1"/>
  <c r="AK1170" i="1"/>
  <c r="AK1169" i="1"/>
  <c r="AK1168" i="1"/>
  <c r="AK1167" i="1"/>
  <c r="AK1166" i="1"/>
  <c r="AK1164" i="1"/>
  <c r="AK1163" i="1"/>
  <c r="AK1162" i="1"/>
  <c r="AK1161" i="1"/>
  <c r="AK1160" i="1"/>
  <c r="AK1159" i="1"/>
  <c r="AK1158" i="1"/>
  <c r="AK1157" i="1"/>
  <c r="AK1156" i="1"/>
  <c r="AK1155" i="1"/>
  <c r="AK1154" i="1"/>
  <c r="AK1153" i="1"/>
  <c r="AK1152" i="1"/>
  <c r="AK1151" i="1"/>
  <c r="AK1150" i="1"/>
  <c r="AK1149" i="1"/>
  <c r="AK1148" i="1"/>
  <c r="AK1147" i="1"/>
  <c r="AK1146" i="1"/>
  <c r="AK1145" i="1"/>
  <c r="AK1144" i="1"/>
  <c r="AK1143" i="1"/>
  <c r="AK1142" i="1"/>
  <c r="AK1141" i="1"/>
  <c r="AK1140" i="1"/>
  <c r="AK1139" i="1"/>
  <c r="AK1138" i="1"/>
  <c r="AK1137" i="1"/>
  <c r="AK1136" i="1"/>
  <c r="AK1135" i="1"/>
  <c r="AK1134" i="1"/>
  <c r="AK1133" i="1"/>
  <c r="AK1132" i="1"/>
  <c r="AK1131" i="1"/>
  <c r="AK1130" i="1"/>
  <c r="AK1129" i="1"/>
  <c r="AK1128" i="1"/>
  <c r="AK1127" i="1"/>
  <c r="AK1126" i="1"/>
  <c r="AK1125" i="1"/>
  <c r="AK1124" i="1"/>
  <c r="AK1123" i="1"/>
  <c r="AK1122" i="1"/>
  <c r="AK1121" i="1"/>
  <c r="AK1120" i="1"/>
  <c r="AK1119" i="1"/>
  <c r="AK1118" i="1"/>
  <c r="AK1117" i="1"/>
  <c r="AK1116" i="1"/>
  <c r="AK1115" i="1"/>
  <c r="AK1114" i="1"/>
  <c r="AK1113" i="1"/>
  <c r="AK1112" i="1"/>
  <c r="AK1111" i="1"/>
  <c r="AK1110" i="1"/>
  <c r="AK1109" i="1"/>
  <c r="AK1108" i="1"/>
  <c r="AK1107" i="1"/>
  <c r="AK1106" i="1"/>
  <c r="AK1105" i="1"/>
  <c r="AK1103" i="1"/>
  <c r="AK1102" i="1"/>
  <c r="AK1101" i="1"/>
  <c r="AK1100" i="1"/>
  <c r="AK1099" i="1"/>
  <c r="AK1098" i="1"/>
  <c r="AK1097" i="1"/>
  <c r="AK1096" i="1"/>
  <c r="AK1095" i="1"/>
  <c r="AK1094" i="1"/>
  <c r="AK1092" i="1"/>
  <c r="AK1091" i="1"/>
  <c r="AK1090" i="1"/>
  <c r="AK1089" i="1"/>
  <c r="AK1088" i="1"/>
  <c r="AK1087" i="1"/>
  <c r="AK1086" i="1"/>
  <c r="AK1085" i="1"/>
  <c r="AK1084" i="1"/>
  <c r="AK1083" i="1"/>
  <c r="AK1082" i="1"/>
  <c r="AK1081" i="1"/>
  <c r="AK1080" i="1"/>
  <c r="AK1079" i="1"/>
  <c r="AK1078" i="1"/>
  <c r="AK1077" i="1"/>
  <c r="AK1076" i="1"/>
  <c r="AK1075" i="1"/>
  <c r="AK1074" i="1"/>
  <c r="AK1073" i="1"/>
  <c r="AK1072" i="1"/>
  <c r="AK1071" i="1"/>
  <c r="AK1070" i="1"/>
  <c r="AK1069" i="1"/>
  <c r="AK1068" i="1"/>
  <c r="AK1067" i="1"/>
  <c r="AK1066" i="1"/>
  <c r="AK1065" i="1"/>
  <c r="AK1064" i="1"/>
  <c r="AK1063" i="1"/>
  <c r="AK1062" i="1"/>
  <c r="AK1061" i="1"/>
  <c r="AK1060" i="1"/>
  <c r="AK1059" i="1"/>
  <c r="AK1058" i="1"/>
  <c r="AK1057" i="1"/>
  <c r="AK1056" i="1"/>
  <c r="AK1054" i="1"/>
  <c r="AK1053" i="1"/>
  <c r="AK1052" i="1"/>
  <c r="AK1051" i="1"/>
  <c r="AK1050" i="1"/>
  <c r="AK1049" i="1"/>
  <c r="AK1048" i="1"/>
  <c r="AK1047" i="1"/>
  <c r="AK1046" i="1"/>
  <c r="AK1045" i="1"/>
  <c r="AK1044" i="1"/>
  <c r="AK1043" i="1"/>
  <c r="AK1042" i="1"/>
  <c r="AK1041" i="1"/>
  <c r="AK1040" i="1"/>
  <c r="AK1039" i="1"/>
  <c r="AK1038" i="1"/>
  <c r="AK1037" i="1"/>
  <c r="AK1036" i="1"/>
  <c r="AK1035" i="1"/>
  <c r="AK1034" i="1"/>
  <c r="AK1033" i="1"/>
  <c r="AK1032" i="1"/>
  <c r="AK1031" i="1"/>
  <c r="AK1030" i="1"/>
  <c r="AK1029" i="1"/>
  <c r="AK1028" i="1"/>
  <c r="AK1027" i="1"/>
  <c r="AK1026" i="1"/>
  <c r="AK1025" i="1"/>
  <c r="AK1024" i="1"/>
  <c r="AK1023" i="1"/>
  <c r="AK1022" i="1"/>
  <c r="AK1021" i="1"/>
  <c r="AK1020" i="1"/>
  <c r="AK1018" i="1"/>
  <c r="AK1017" i="1"/>
  <c r="AK1016" i="1"/>
  <c r="AK1015" i="1"/>
  <c r="AK1014" i="1"/>
  <c r="AK1013" i="1"/>
  <c r="AK1012" i="1"/>
  <c r="AK1011" i="1"/>
  <c r="AK1010" i="1"/>
  <c r="AK1009" i="1"/>
  <c r="AK1008" i="1"/>
  <c r="AK1007" i="1"/>
  <c r="AK1006" i="1"/>
  <c r="AK1005" i="1"/>
  <c r="AK1004" i="1"/>
  <c r="AK1003" i="1"/>
  <c r="AK1002" i="1"/>
  <c r="AK1001" i="1"/>
  <c r="AK1000" i="1"/>
  <c r="AK999" i="1"/>
  <c r="AK998" i="1"/>
  <c r="AK997" i="1"/>
  <c r="AK996" i="1"/>
  <c r="AK995" i="1"/>
  <c r="AK994" i="1"/>
  <c r="AK352" i="1"/>
  <c r="AK992" i="1"/>
  <c r="AK991" i="1"/>
  <c r="AK990" i="1"/>
  <c r="AK989" i="1"/>
  <c r="AK988" i="1"/>
  <c r="AK987" i="1"/>
  <c r="AK985" i="1"/>
  <c r="AK984" i="1"/>
  <c r="AK983" i="1"/>
  <c r="AK982" i="1"/>
  <c r="AK981" i="1"/>
  <c r="AK980" i="1"/>
  <c r="AK979" i="1"/>
  <c r="AK978" i="1"/>
  <c r="AK977" i="1"/>
  <c r="AK976" i="1"/>
  <c r="AK975" i="1"/>
  <c r="AK974" i="1"/>
  <c r="AK973" i="1"/>
  <c r="AK972" i="1"/>
  <c r="AK971" i="1"/>
  <c r="AK970" i="1"/>
  <c r="AK969" i="1"/>
  <c r="AK968" i="1"/>
  <c r="AK967" i="1"/>
  <c r="AK966" i="1"/>
  <c r="AK965" i="1"/>
  <c r="AK964" i="1"/>
  <c r="AK963" i="1"/>
  <c r="AK962" i="1"/>
  <c r="AK961" i="1"/>
  <c r="AK960" i="1"/>
  <c r="AK959" i="1"/>
  <c r="AK958" i="1"/>
  <c r="AK957" i="1"/>
  <c r="AK956" i="1"/>
  <c r="AK955" i="1"/>
  <c r="AK954" i="1"/>
  <c r="AK953" i="1"/>
  <c r="AK952" i="1"/>
  <c r="AK951" i="1"/>
  <c r="AK950" i="1"/>
  <c r="AK949" i="1"/>
  <c r="AK948" i="1"/>
  <c r="AK947" i="1"/>
  <c r="AK946" i="1"/>
  <c r="AK945" i="1"/>
  <c r="AK944" i="1"/>
  <c r="AK943" i="1"/>
  <c r="AK942" i="1"/>
  <c r="AK941" i="1"/>
  <c r="AK940" i="1"/>
  <c r="AK939" i="1"/>
  <c r="AK938" i="1"/>
  <c r="AK937" i="1"/>
  <c r="AK936" i="1"/>
  <c r="AK935" i="1"/>
  <c r="AK934" i="1"/>
  <c r="AK933" i="1"/>
  <c r="AK931" i="1"/>
  <c r="AK930" i="1"/>
  <c r="AK929" i="1"/>
  <c r="AK928" i="1"/>
  <c r="AK927" i="1"/>
  <c r="AK926" i="1"/>
  <c r="AK925" i="1"/>
  <c r="AK924" i="1"/>
  <c r="AK923" i="1"/>
  <c r="AK922" i="1"/>
  <c r="AK921" i="1"/>
  <c r="AK920" i="1"/>
  <c r="AK919" i="1"/>
  <c r="AK918" i="1"/>
  <c r="AK917" i="1"/>
  <c r="AK916" i="1"/>
  <c r="AK915" i="1"/>
  <c r="AK914" i="1"/>
  <c r="AK913" i="1"/>
  <c r="AK912" i="1"/>
  <c r="AK911" i="1"/>
  <c r="AK910" i="1"/>
  <c r="AK909" i="1"/>
  <c r="AK908" i="1"/>
  <c r="AK907" i="1"/>
  <c r="AK906" i="1"/>
  <c r="AK905" i="1"/>
  <c r="AK904" i="1"/>
  <c r="AK903" i="1"/>
  <c r="AK902" i="1"/>
  <c r="AK901" i="1"/>
  <c r="AK900" i="1"/>
  <c r="AK899" i="1"/>
  <c r="AK898" i="1"/>
  <c r="AK897" i="1"/>
  <c r="AK896" i="1"/>
  <c r="AK895" i="1"/>
  <c r="AK894" i="1"/>
  <c r="AK893" i="1"/>
  <c r="AK892" i="1"/>
  <c r="AK891" i="1"/>
  <c r="AK890" i="1"/>
  <c r="AK889" i="1"/>
  <c r="AK888" i="1"/>
  <c r="AK887" i="1"/>
  <c r="AK886" i="1"/>
  <c r="AK885" i="1"/>
  <c r="AK884" i="1"/>
  <c r="AK883" i="1"/>
  <c r="AK882" i="1"/>
  <c r="AK881" i="1"/>
  <c r="AK880" i="1"/>
  <c r="AK879" i="1"/>
  <c r="AK878" i="1"/>
  <c r="AK877" i="1"/>
  <c r="AK876" i="1"/>
  <c r="AK875" i="1"/>
  <c r="AK874" i="1"/>
  <c r="AK872" i="1"/>
  <c r="AK871" i="1"/>
  <c r="AK870" i="1"/>
  <c r="AK869" i="1"/>
  <c r="AK868" i="1"/>
  <c r="AK867" i="1"/>
  <c r="AK866" i="1"/>
  <c r="AK865" i="1"/>
  <c r="AK864" i="1"/>
  <c r="AK863" i="1"/>
  <c r="AK862" i="1"/>
  <c r="AK861" i="1"/>
  <c r="AK860" i="1"/>
  <c r="AK859" i="1"/>
  <c r="AK858" i="1"/>
  <c r="AK857" i="1"/>
  <c r="AK856" i="1"/>
  <c r="AK855" i="1"/>
  <c r="AK854" i="1"/>
  <c r="AK853" i="1"/>
  <c r="AK852" i="1"/>
  <c r="AK851" i="1"/>
  <c r="AK850" i="1"/>
  <c r="AK849" i="1"/>
  <c r="AK848" i="1"/>
  <c r="AK847" i="1"/>
  <c r="AK846" i="1"/>
  <c r="AK845" i="1"/>
  <c r="AK844" i="1"/>
  <c r="AK843" i="1"/>
  <c r="AK842" i="1"/>
  <c r="AK841" i="1"/>
  <c r="AK296" i="1"/>
  <c r="AK839" i="1"/>
  <c r="AK836" i="1"/>
  <c r="AK835" i="1"/>
  <c r="AK834" i="1"/>
  <c r="AK833" i="1"/>
  <c r="AK832" i="1"/>
  <c r="AK831" i="1"/>
  <c r="AK830" i="1"/>
  <c r="AK829" i="1"/>
  <c r="AK828" i="1"/>
  <c r="AK827" i="1"/>
  <c r="AK826" i="1"/>
  <c r="AK825" i="1"/>
  <c r="AK824" i="1"/>
  <c r="AK823" i="1"/>
  <c r="AK822" i="1"/>
  <c r="AK821" i="1"/>
  <c r="AK820" i="1"/>
  <c r="AK819" i="1"/>
  <c r="AK818" i="1"/>
  <c r="AK817" i="1"/>
  <c r="AK816" i="1"/>
  <c r="AK815" i="1"/>
  <c r="AK814" i="1"/>
  <c r="AK813" i="1"/>
  <c r="AK812" i="1"/>
  <c r="AK811" i="1"/>
  <c r="AK810" i="1"/>
  <c r="AK809" i="1"/>
  <c r="AK808" i="1"/>
  <c r="AK807" i="1"/>
  <c r="AK806" i="1"/>
  <c r="AK805" i="1"/>
  <c r="AK804" i="1"/>
  <c r="AK803" i="1"/>
  <c r="AK802" i="1"/>
  <c r="AK801" i="1"/>
  <c r="AK800" i="1"/>
  <c r="AK799" i="1"/>
  <c r="AK798" i="1"/>
  <c r="AK797" i="1"/>
  <c r="AK796" i="1"/>
  <c r="AK795" i="1"/>
  <c r="AK794" i="1"/>
  <c r="AK793" i="1"/>
  <c r="AK792" i="1"/>
  <c r="AK790" i="1"/>
  <c r="AK789" i="1"/>
  <c r="AK788" i="1"/>
  <c r="AK787" i="1"/>
  <c r="AK786" i="1"/>
  <c r="AK785" i="1"/>
  <c r="AK784" i="1"/>
  <c r="AK783" i="1"/>
  <c r="AK782" i="1"/>
  <c r="AK781" i="1"/>
  <c r="AK780" i="1"/>
  <c r="AK779" i="1"/>
  <c r="AK778" i="1"/>
  <c r="AK777" i="1"/>
  <c r="AK776" i="1"/>
  <c r="AK775" i="1"/>
  <c r="AK774" i="1"/>
  <c r="AK773" i="1"/>
  <c r="AK772" i="1"/>
  <c r="AK771" i="1"/>
  <c r="AK770" i="1"/>
  <c r="AK769" i="1"/>
  <c r="AK768" i="1"/>
  <c r="AK767" i="1"/>
  <c r="AK766" i="1"/>
  <c r="AK765" i="1"/>
  <c r="AK764" i="1"/>
  <c r="AK763" i="1"/>
  <c r="AK762" i="1"/>
  <c r="AK761" i="1"/>
  <c r="AK760" i="1"/>
  <c r="AK759" i="1"/>
  <c r="AK758" i="1"/>
  <c r="AK757" i="1"/>
  <c r="AK756" i="1"/>
  <c r="AK755" i="1"/>
  <c r="AK754" i="1"/>
  <c r="AK753" i="1"/>
  <c r="AK752" i="1"/>
  <c r="AK751" i="1"/>
  <c r="AK750" i="1"/>
  <c r="AK749" i="1"/>
  <c r="AK424" i="1"/>
  <c r="AK383" i="1"/>
  <c r="AK384" i="1"/>
  <c r="AK745" i="1"/>
  <c r="AK744" i="1"/>
  <c r="AK743" i="1"/>
  <c r="AK742" i="1"/>
  <c r="AK741" i="1"/>
  <c r="AK740" i="1"/>
  <c r="AK739" i="1"/>
  <c r="AK738" i="1"/>
  <c r="AK737" i="1"/>
  <c r="AK736" i="1"/>
  <c r="AK735" i="1"/>
  <c r="AK734" i="1"/>
  <c r="AK733" i="1"/>
  <c r="AK732" i="1"/>
  <c r="AK731" i="1"/>
  <c r="AK730" i="1"/>
  <c r="AK729" i="1"/>
  <c r="AK728" i="1"/>
  <c r="AK727" i="1"/>
  <c r="AK726" i="1"/>
  <c r="AK725" i="1"/>
  <c r="AK724" i="1"/>
  <c r="AK723" i="1"/>
  <c r="AK722" i="1"/>
  <c r="AK721" i="1"/>
  <c r="AK720" i="1"/>
  <c r="AK719" i="1"/>
  <c r="AK718" i="1"/>
  <c r="AK717" i="1"/>
  <c r="AK716" i="1"/>
  <c r="AK715" i="1"/>
  <c r="AK714" i="1"/>
  <c r="AK712" i="1"/>
  <c r="AK711" i="1"/>
  <c r="AK710" i="1"/>
  <c r="AK709" i="1"/>
  <c r="AK708" i="1"/>
  <c r="AK707" i="1"/>
  <c r="AK706" i="1"/>
  <c r="AK705" i="1"/>
  <c r="AK704" i="1"/>
  <c r="AK703" i="1"/>
  <c r="AK702" i="1"/>
  <c r="AK701" i="1"/>
  <c r="AK700" i="1"/>
  <c r="AK699" i="1"/>
  <c r="AK698" i="1"/>
  <c r="AK697" i="1"/>
  <c r="AK696" i="1"/>
  <c r="AK695" i="1"/>
  <c r="AK694" i="1"/>
  <c r="AK693" i="1"/>
  <c r="AK692" i="1"/>
  <c r="AK691" i="1"/>
  <c r="AK690" i="1"/>
  <c r="AK689" i="1"/>
  <c r="AK688" i="1"/>
  <c r="AK687" i="1"/>
  <c r="AK686" i="1"/>
  <c r="AK685" i="1"/>
  <c r="AK684" i="1"/>
  <c r="AK683" i="1"/>
  <c r="AK682" i="1"/>
  <c r="AK681" i="1"/>
  <c r="AK680" i="1"/>
  <c r="AK679" i="1"/>
  <c r="AK678" i="1"/>
  <c r="AK677" i="1"/>
  <c r="AK676" i="1"/>
  <c r="AK675" i="1"/>
  <c r="AK674" i="1"/>
  <c r="AK673" i="1"/>
  <c r="AK672" i="1"/>
  <c r="AK671" i="1"/>
  <c r="AK670" i="1"/>
  <c r="AK669" i="1"/>
  <c r="AK668" i="1"/>
  <c r="AK667" i="1"/>
  <c r="AK666" i="1"/>
  <c r="AK665" i="1"/>
  <c r="AK664" i="1"/>
  <c r="AK663" i="1"/>
  <c r="AK662" i="1"/>
  <c r="AK661" i="1"/>
  <c r="AK660" i="1"/>
  <c r="AK659" i="1"/>
  <c r="AK656" i="1"/>
  <c r="AK655" i="1"/>
  <c r="AK654" i="1"/>
  <c r="AK653" i="1"/>
  <c r="AK652" i="1"/>
  <c r="AK651" i="1"/>
  <c r="AK650" i="1"/>
  <c r="AK649" i="1"/>
  <c r="AK648" i="1"/>
  <c r="AK647" i="1"/>
  <c r="AK646" i="1"/>
  <c r="AK645" i="1"/>
  <c r="AK644" i="1"/>
  <c r="AK643" i="1"/>
  <c r="AK642" i="1"/>
  <c r="AK641" i="1"/>
  <c r="AK640" i="1"/>
  <c r="AK639" i="1"/>
  <c r="AK638" i="1"/>
  <c r="AK637" i="1"/>
  <c r="AK636" i="1"/>
  <c r="AK635" i="1"/>
  <c r="AK634" i="1"/>
  <c r="AK633" i="1"/>
  <c r="AK631" i="1"/>
  <c r="AK630" i="1"/>
  <c r="AK629" i="1"/>
  <c r="AK628" i="1"/>
  <c r="AK627" i="1"/>
  <c r="AK626" i="1"/>
  <c r="AK625" i="1"/>
  <c r="AK624" i="1"/>
  <c r="AK623" i="1"/>
  <c r="AK622" i="1"/>
  <c r="AK621" i="1"/>
  <c r="AK620" i="1"/>
  <c r="AK619" i="1"/>
  <c r="AK618" i="1"/>
  <c r="AK617" i="1"/>
  <c r="AK615" i="1"/>
  <c r="AK614" i="1"/>
  <c r="AK613" i="1"/>
  <c r="AK612" i="1"/>
  <c r="AK611" i="1"/>
  <c r="AK610" i="1"/>
  <c r="AK609" i="1"/>
  <c r="AK608" i="1"/>
  <c r="AK607" i="1"/>
  <c r="AK606" i="1"/>
  <c r="AK605" i="1"/>
  <c r="AK603" i="1"/>
  <c r="AK602" i="1"/>
  <c r="AK601" i="1"/>
  <c r="AK600" i="1"/>
  <c r="AK599" i="1"/>
  <c r="AK598" i="1"/>
  <c r="AK597" i="1"/>
  <c r="AK596" i="1"/>
  <c r="AK595" i="1"/>
  <c r="AK594" i="1"/>
  <c r="AK593" i="1"/>
  <c r="AK592" i="1"/>
  <c r="AK591" i="1"/>
  <c r="AK590" i="1"/>
  <c r="AK589" i="1"/>
  <c r="AK588" i="1"/>
  <c r="AK587" i="1"/>
  <c r="AK586" i="1"/>
  <c r="AK585" i="1"/>
  <c r="AK584" i="1"/>
  <c r="AK583" i="1"/>
  <c r="AK582" i="1"/>
  <c r="AK581" i="1"/>
  <c r="AK580" i="1"/>
  <c r="AK579" i="1"/>
  <c r="AK578" i="1"/>
  <c r="AK577" i="1"/>
  <c r="AK576" i="1"/>
  <c r="AK575" i="1"/>
  <c r="AK574" i="1"/>
  <c r="AK573" i="1"/>
  <c r="AK572" i="1"/>
  <c r="AK571" i="1"/>
  <c r="AK570" i="1"/>
  <c r="AK569" i="1"/>
  <c r="AK568" i="1"/>
  <c r="AK567" i="1"/>
  <c r="AK566" i="1"/>
  <c r="AK565" i="1"/>
  <c r="AK564" i="1"/>
  <c r="AK563" i="1"/>
  <c r="AK562" i="1"/>
  <c r="AK561" i="1"/>
  <c r="AK560" i="1"/>
  <c r="AK559" i="1"/>
  <c r="AK558" i="1"/>
  <c r="AK557" i="1"/>
  <c r="AK556" i="1"/>
  <c r="AK555" i="1"/>
  <c r="AK554" i="1"/>
  <c r="AK553" i="1"/>
  <c r="AK552" i="1"/>
  <c r="AK551" i="1"/>
  <c r="AK550" i="1"/>
  <c r="AK549" i="1"/>
  <c r="AK548" i="1"/>
  <c r="AK547" i="1"/>
  <c r="AK426" i="1"/>
  <c r="AK545" i="1"/>
  <c r="AK544" i="1"/>
  <c r="AK543" i="1"/>
  <c r="AK542" i="1"/>
  <c r="AK541" i="1"/>
  <c r="AK540" i="1"/>
  <c r="AK539" i="1"/>
  <c r="AK538" i="1"/>
  <c r="AK537" i="1"/>
  <c r="AK536" i="1"/>
  <c r="AK535" i="1"/>
  <c r="AK534" i="1"/>
  <c r="AK533" i="1"/>
  <c r="AK532" i="1"/>
  <c r="AK531" i="1"/>
  <c r="AK529" i="1"/>
  <c r="AK528" i="1"/>
  <c r="AK527" i="1"/>
  <c r="AK526" i="1"/>
  <c r="AK525" i="1"/>
  <c r="AK524" i="1"/>
  <c r="AK523" i="1"/>
  <c r="AK522" i="1"/>
  <c r="AK521" i="1"/>
  <c r="AK520" i="1"/>
  <c r="AK519" i="1"/>
  <c r="AK518" i="1"/>
  <c r="AK517" i="1"/>
  <c r="AK516" i="1"/>
  <c r="AK515" i="1"/>
  <c r="AK514" i="1"/>
  <c r="AK513" i="1"/>
  <c r="AK512" i="1"/>
  <c r="AK511" i="1"/>
  <c r="AK510" i="1"/>
  <c r="AK509" i="1"/>
  <c r="AK508" i="1"/>
  <c r="AK507" i="1"/>
  <c r="AK505" i="1"/>
  <c r="AK504" i="1"/>
  <c r="AK503" i="1"/>
  <c r="AK502" i="1"/>
  <c r="AK501" i="1"/>
  <c r="AK500" i="1"/>
  <c r="AK499" i="1"/>
  <c r="AK498" i="1"/>
  <c r="AK497" i="1"/>
  <c r="AK496" i="1"/>
  <c r="AK495" i="1"/>
  <c r="AK494" i="1"/>
  <c r="AK493" i="1"/>
  <c r="AK492" i="1"/>
  <c r="AK491" i="1"/>
  <c r="AK490" i="1"/>
  <c r="AK489" i="1"/>
  <c r="AK488" i="1"/>
  <c r="AK487" i="1"/>
  <c r="AK486" i="1"/>
  <c r="AK485" i="1"/>
  <c r="AK484" i="1"/>
  <c r="AK483" i="1"/>
  <c r="AK482" i="1"/>
  <c r="AK351" i="1"/>
  <c r="AK481" i="1"/>
  <c r="AK479" i="1"/>
  <c r="AK478" i="1"/>
  <c r="AK477" i="1"/>
  <c r="AK476" i="1"/>
  <c r="AK475" i="1"/>
  <c r="AK474" i="1"/>
  <c r="AK473" i="1"/>
  <c r="AK472" i="1"/>
  <c r="AK471" i="1"/>
  <c r="AK470" i="1"/>
  <c r="AK469" i="1"/>
  <c r="AK468" i="1"/>
  <c r="AK467" i="1"/>
  <c r="AK466" i="1"/>
  <c r="AK465" i="1"/>
  <c r="AK464" i="1"/>
  <c r="AK463" i="1"/>
  <c r="AK462" i="1"/>
  <c r="AK461" i="1"/>
  <c r="AK460" i="1"/>
  <c r="AK459" i="1"/>
  <c r="AK458" i="1"/>
  <c r="AK457" i="1"/>
  <c r="AK456" i="1"/>
  <c r="AK455" i="1"/>
  <c r="AK454" i="1"/>
  <c r="AK453" i="1"/>
  <c r="AK452" i="1"/>
  <c r="AK451" i="1"/>
  <c r="AK450" i="1"/>
  <c r="AK449" i="1"/>
  <c r="AK448" i="1"/>
  <c r="AK447" i="1"/>
  <c r="AK446" i="1"/>
  <c r="AK445" i="1"/>
  <c r="AK444" i="1"/>
  <c r="AK443" i="1"/>
  <c r="AK442" i="1"/>
  <c r="AK441" i="1"/>
  <c r="AK440" i="1"/>
  <c r="AK439" i="1"/>
  <c r="AK438" i="1"/>
  <c r="AK437" i="1"/>
  <c r="AK436" i="1"/>
  <c r="AK435" i="1"/>
  <c r="AK434" i="1"/>
  <c r="AK433" i="1"/>
  <c r="AK432" i="1"/>
  <c r="AK431" i="1"/>
  <c r="AK430" i="1"/>
  <c r="AK429" i="1"/>
  <c r="AK428" i="1"/>
  <c r="AK993" i="1"/>
  <c r="AK748" i="1"/>
  <c r="AK746" i="1"/>
  <c r="AK546" i="1"/>
  <c r="AK423" i="1"/>
  <c r="AK422" i="1"/>
  <c r="AK421" i="1"/>
  <c r="AK420" i="1"/>
  <c r="AK419" i="1"/>
  <c r="AK418" i="1"/>
  <c r="AK417" i="1"/>
  <c r="AK416" i="1"/>
  <c r="AK415" i="1"/>
  <c r="AK414" i="1"/>
  <c r="AK413" i="1"/>
  <c r="AK412" i="1"/>
  <c r="AK411" i="1"/>
  <c r="AK410" i="1"/>
  <c r="AK409" i="1"/>
  <c r="AK408" i="1"/>
  <c r="AK407" i="1"/>
  <c r="AK406" i="1"/>
  <c r="AK405" i="1"/>
  <c r="AK404" i="1"/>
  <c r="AK403" i="1"/>
  <c r="AK402" i="1"/>
  <c r="AK401" i="1"/>
  <c r="AK400" i="1"/>
  <c r="AK399" i="1"/>
  <c r="AK398" i="1"/>
  <c r="AK397" i="1"/>
  <c r="AK396" i="1"/>
  <c r="AK395" i="1"/>
  <c r="AK394" i="1"/>
  <c r="AK393" i="1"/>
  <c r="AK392" i="1"/>
  <c r="AK391" i="1"/>
  <c r="AK390" i="1"/>
  <c r="AK389" i="1"/>
  <c r="AK388" i="1"/>
  <c r="AK387" i="1"/>
  <c r="AK386" i="1"/>
  <c r="AK385" i="1"/>
  <c r="AK480" i="1"/>
  <c r="AK427" i="1"/>
  <c r="AK381" i="1"/>
  <c r="AK382" i="1"/>
  <c r="AK380" i="1"/>
  <c r="AK379" i="1"/>
  <c r="AK378" i="1"/>
  <c r="AK377" i="1"/>
  <c r="AK376" i="1"/>
  <c r="AK375" i="1"/>
  <c r="AK374" i="1"/>
  <c r="AK373" i="1"/>
  <c r="AK372" i="1"/>
  <c r="AK371" i="1"/>
  <c r="AK370" i="1"/>
  <c r="AK369" i="1"/>
  <c r="AK368" i="1"/>
  <c r="AK367" i="1"/>
  <c r="AK366" i="1"/>
  <c r="AK365" i="1"/>
  <c r="AK364" i="1"/>
  <c r="AK363" i="1"/>
  <c r="AK362" i="1"/>
  <c r="AK361" i="1"/>
  <c r="AK360" i="1"/>
  <c r="AK359" i="1"/>
  <c r="AK358" i="1"/>
  <c r="AK357" i="1"/>
  <c r="AK356" i="1"/>
  <c r="AK355" i="1"/>
  <c r="AK354" i="1"/>
  <c r="AK353" i="1"/>
  <c r="AK840" i="1"/>
  <c r="AK747" i="1"/>
  <c r="AK350" i="1"/>
  <c r="AK349" i="1"/>
  <c r="AK348" i="1"/>
  <c r="AK347" i="1"/>
  <c r="AK346" i="1"/>
  <c r="AK345" i="1"/>
  <c r="AK344" i="1"/>
  <c r="AK343" i="1"/>
  <c r="AK342" i="1"/>
  <c r="AK341" i="1"/>
  <c r="AK340" i="1"/>
  <c r="AK339" i="1"/>
  <c r="AK338" i="1"/>
  <c r="AK337" i="1"/>
  <c r="AK336" i="1"/>
  <c r="AK335" i="1"/>
  <c r="AK334" i="1"/>
  <c r="AK333" i="1"/>
  <c r="AK332" i="1"/>
  <c r="AK331" i="1"/>
  <c r="AK329" i="1"/>
  <c r="AK328" i="1"/>
  <c r="AK327" i="1"/>
  <c r="AK326" i="1"/>
  <c r="AK325" i="1"/>
  <c r="AK324" i="1"/>
  <c r="AK323" i="1"/>
  <c r="AK322" i="1"/>
  <c r="AK321" i="1"/>
  <c r="AK320" i="1"/>
  <c r="AK319" i="1"/>
  <c r="AK318" i="1"/>
  <c r="AK316" i="1"/>
  <c r="AK315" i="1"/>
  <c r="AK314" i="1"/>
  <c r="AK313" i="1"/>
  <c r="AK312" i="1"/>
  <c r="AK311" i="1"/>
  <c r="AK309" i="1"/>
  <c r="AK308" i="1"/>
  <c r="AK307" i="1"/>
  <c r="AK306" i="1"/>
  <c r="AK305" i="1"/>
  <c r="AK304" i="1"/>
  <c r="AK303" i="1"/>
  <c r="AK302" i="1"/>
  <c r="AK301" i="1"/>
  <c r="AK300" i="1"/>
  <c r="AK299" i="1"/>
  <c r="AK298" i="1"/>
  <c r="AK297" i="1"/>
  <c r="AK425" i="1"/>
  <c r="AK295" i="1"/>
  <c r="AK294" i="1"/>
  <c r="AK293" i="1"/>
  <c r="AK292" i="1"/>
  <c r="AK291" i="1"/>
  <c r="AK290" i="1"/>
  <c r="AK289" i="1"/>
  <c r="AK288" i="1"/>
  <c r="AK287" i="1"/>
  <c r="AK286" i="1"/>
  <c r="AK285" i="1"/>
  <c r="AK284" i="1"/>
  <c r="AK283" i="1"/>
  <c r="AK282" i="1"/>
  <c r="AK281" i="1"/>
  <c r="AK280" i="1"/>
  <c r="AK279" i="1"/>
  <c r="AK278" i="1"/>
  <c r="AK277" i="1"/>
  <c r="AK276" i="1"/>
  <c r="AK275" i="1"/>
  <c r="AK274" i="1"/>
  <c r="AK272" i="1"/>
  <c r="AK271" i="1"/>
  <c r="AK270" i="1"/>
  <c r="AK269" i="1"/>
  <c r="AK268" i="1"/>
  <c r="AK267" i="1"/>
  <c r="AK266" i="1"/>
  <c r="AK265" i="1"/>
  <c r="AK264" i="1"/>
  <c r="AK263" i="1"/>
  <c r="AK262" i="1"/>
  <c r="AK261" i="1"/>
  <c r="AK260" i="1"/>
  <c r="AK259" i="1"/>
  <c r="AK258" i="1"/>
  <c r="AK257" i="1"/>
  <c r="AK256" i="1"/>
  <c r="AK254" i="1"/>
  <c r="AK253" i="1"/>
  <c r="AK252" i="1"/>
  <c r="AK251" i="1"/>
  <c r="AK250" i="1"/>
  <c r="AK249" i="1"/>
  <c r="AK248" i="1"/>
  <c r="AK247" i="1"/>
  <c r="AK246" i="1"/>
  <c r="AK245" i="1"/>
  <c r="AK244" i="1"/>
  <c r="AK242" i="1"/>
  <c r="AK241" i="1"/>
  <c r="AK240" i="1"/>
  <c r="AK239" i="1"/>
  <c r="AK238" i="1"/>
  <c r="AK237" i="1"/>
  <c r="AK236" i="1"/>
  <c r="AK235" i="1"/>
  <c r="AK234" i="1"/>
  <c r="AK233" i="1"/>
  <c r="AK232" i="1"/>
  <c r="AK231" i="1"/>
  <c r="AK230" i="1"/>
  <c r="AK229" i="1"/>
  <c r="AK228" i="1"/>
  <c r="AK227" i="1"/>
  <c r="AK225" i="1"/>
  <c r="AK224" i="1"/>
  <c r="AK223" i="1"/>
  <c r="AK222" i="1"/>
  <c r="AK221" i="1"/>
  <c r="AK220" i="1"/>
  <c r="AK219" i="1"/>
  <c r="AK218" i="1"/>
  <c r="AK217" i="1"/>
  <c r="AK216" i="1"/>
  <c r="AK215" i="1"/>
  <c r="AK214" i="1"/>
  <c r="AK213" i="1"/>
  <c r="AK212" i="1"/>
  <c r="AK211" i="1"/>
  <c r="AK210" i="1"/>
  <c r="AK209" i="1"/>
  <c r="AK208" i="1"/>
  <c r="AK207" i="1"/>
  <c r="AK206" i="1"/>
  <c r="AK205" i="1"/>
  <c r="AK204" i="1"/>
  <c r="AK203" i="1"/>
  <c r="AK202" i="1"/>
  <c r="AK201" i="1"/>
  <c r="AK200" i="1"/>
  <c r="AK199" i="1"/>
  <c r="AK198" i="1"/>
  <c r="AK197" i="1"/>
  <c r="AK196" i="1"/>
  <c r="AK195" i="1"/>
  <c r="AK194" i="1"/>
  <c r="AK193" i="1"/>
  <c r="AK192" i="1"/>
  <c r="AK191" i="1"/>
  <c r="AK190" i="1"/>
  <c r="AK189" i="1"/>
  <c r="AK188" i="1"/>
  <c r="AK187" i="1"/>
  <c r="AK186" i="1"/>
  <c r="AK185" i="1"/>
  <c r="AK184" i="1"/>
  <c r="AK183" i="1"/>
  <c r="AK182" i="1"/>
  <c r="AK181" i="1"/>
  <c r="AK180" i="1"/>
  <c r="AK179" i="1"/>
  <c r="AK178" i="1"/>
  <c r="AK177" i="1"/>
  <c r="AK176" i="1"/>
  <c r="AK175" i="1"/>
  <c r="AK174" i="1"/>
  <c r="AK173" i="1"/>
  <c r="AK172" i="1"/>
  <c r="AK171" i="1"/>
  <c r="AK170" i="1"/>
  <c r="AK169" i="1"/>
  <c r="AK168" i="1"/>
  <c r="AK167" i="1"/>
  <c r="AK166" i="1"/>
  <c r="AK165" i="1"/>
  <c r="AK164" i="1"/>
  <c r="AK163" i="1"/>
  <c r="AK162" i="1"/>
  <c r="AK161" i="1"/>
  <c r="AK160" i="1"/>
  <c r="AK159" i="1"/>
  <c r="AK158" i="1"/>
  <c r="AK157" i="1"/>
  <c r="AK156" i="1"/>
  <c r="AK155" i="1"/>
  <c r="AK154" i="1"/>
  <c r="AK153" i="1"/>
  <c r="AK152" i="1"/>
  <c r="AK151" i="1"/>
  <c r="AK150" i="1"/>
  <c r="AK149" i="1"/>
  <c r="AK148" i="1"/>
  <c r="AK147" i="1"/>
  <c r="AK146" i="1"/>
  <c r="AK145" i="1"/>
  <c r="AK144" i="1"/>
  <c r="AK143" i="1"/>
  <c r="AK142" i="1"/>
  <c r="AK141" i="1"/>
  <c r="AK140" i="1"/>
  <c r="AK139" i="1"/>
  <c r="AK138" i="1"/>
  <c r="AK137" i="1"/>
  <c r="AK136" i="1"/>
  <c r="AK135" i="1"/>
  <c r="AK134" i="1"/>
  <c r="AK133" i="1"/>
  <c r="AK132" i="1"/>
  <c r="AK131" i="1"/>
  <c r="AK130" i="1"/>
  <c r="AK129" i="1"/>
  <c r="AK128" i="1"/>
  <c r="AK127" i="1"/>
  <c r="AK126" i="1"/>
  <c r="AK125" i="1"/>
  <c r="AK124" i="1"/>
  <c r="AK123" i="1"/>
  <c r="AK122" i="1"/>
  <c r="AK121" i="1"/>
  <c r="AK119" i="1"/>
  <c r="AK118" i="1"/>
  <c r="AK117" i="1"/>
  <c r="AK116" i="1"/>
  <c r="AK115" i="1"/>
  <c r="AK114" i="1"/>
  <c r="AK113" i="1"/>
  <c r="AK112" i="1"/>
  <c r="AK111" i="1"/>
  <c r="AK110" i="1"/>
  <c r="AK109" i="1"/>
  <c r="AK108" i="1"/>
  <c r="AK107" i="1"/>
  <c r="AK106" i="1"/>
  <c r="AK105" i="1"/>
  <c r="AK104" i="1"/>
  <c r="AK103" i="1"/>
  <c r="AK102" i="1"/>
  <c r="AK101" i="1"/>
  <c r="AK100" i="1"/>
  <c r="AK99" i="1"/>
  <c r="AK98" i="1"/>
  <c r="AK97" i="1"/>
  <c r="AK96" i="1"/>
  <c r="AK95" i="1"/>
  <c r="AK94" i="1"/>
  <c r="AK93" i="1"/>
  <c r="AK92" i="1"/>
  <c r="AK91" i="1"/>
  <c r="AK90" i="1"/>
  <c r="AK89" i="1"/>
  <c r="AK88" i="1"/>
  <c r="AK87" i="1"/>
  <c r="AK86" i="1"/>
  <c r="AK85" i="1"/>
  <c r="AK84" i="1"/>
  <c r="AK83" i="1"/>
  <c r="AK82" i="1"/>
  <c r="AK81" i="1"/>
  <c r="AK80" i="1"/>
  <c r="AK79" i="1"/>
  <c r="AK78" i="1"/>
  <c r="AK77" i="1"/>
  <c r="AK76" i="1"/>
  <c r="AK75" i="1"/>
  <c r="AK74" i="1"/>
  <c r="AK73" i="1"/>
  <c r="AK72" i="1"/>
  <c r="AK71" i="1"/>
  <c r="AK70" i="1"/>
  <c r="AK69" i="1"/>
  <c r="AK68" i="1"/>
  <c r="AK67" i="1"/>
  <c r="AK66" i="1"/>
  <c r="AK65" i="1"/>
  <c r="AK64" i="1"/>
  <c r="AK63" i="1"/>
  <c r="AK62" i="1"/>
  <c r="AK61" i="1"/>
  <c r="AK60" i="1"/>
  <c r="AK59" i="1"/>
  <c r="AK58" i="1"/>
  <c r="AK57" i="1"/>
  <c r="AK56" i="1"/>
  <c r="AK55" i="1"/>
  <c r="AK54" i="1"/>
  <c r="AK53" i="1"/>
  <c r="AK52" i="1"/>
  <c r="AK51" i="1"/>
  <c r="AK50" i="1"/>
  <c r="AK49" i="1"/>
  <c r="AK48" i="1"/>
  <c r="AK47" i="1"/>
  <c r="AK46" i="1"/>
  <c r="AK45" i="1"/>
  <c r="AK44" i="1"/>
  <c r="AK43" i="1"/>
  <c r="AK42" i="1"/>
  <c r="AK41" i="1"/>
  <c r="AK40" i="1"/>
  <c r="AK39" i="1"/>
  <c r="AK38" i="1"/>
  <c r="AK37" i="1"/>
  <c r="AK36" i="1"/>
  <c r="AK35" i="1"/>
  <c r="AK34" i="1"/>
  <c r="AK33" i="1"/>
  <c r="AK32" i="1"/>
  <c r="AK31" i="1"/>
  <c r="AK29" i="1"/>
  <c r="AK28" i="1"/>
  <c r="AK27" i="1"/>
  <c r="AK26" i="1"/>
  <c r="AK25" i="1"/>
  <c r="AK24" i="1"/>
  <c r="AK23" i="1"/>
  <c r="AK22" i="1"/>
  <c r="AK21" i="1"/>
  <c r="AK20" i="1"/>
  <c r="AK19" i="1"/>
  <c r="AK18" i="1"/>
  <c r="AK17" i="1"/>
  <c r="AK16" i="1"/>
  <c r="AK15" i="1"/>
  <c r="AK14" i="1"/>
  <c r="AK13" i="1"/>
  <c r="AK12" i="1"/>
  <c r="AK9" i="1"/>
  <c r="AK8" i="1"/>
  <c r="AK7" i="1"/>
  <c r="AK6" i="1"/>
  <c r="AK5" i="1"/>
  <c r="AK4" i="1"/>
  <c r="AK3" i="1"/>
  <c r="AK2" i="1"/>
  <c r="X2" i="1"/>
  <c r="X3" i="1"/>
  <c r="X4" i="1"/>
  <c r="X5" i="1"/>
  <c r="AW5" i="1"/>
  <c r="X6" i="1"/>
  <c r="X7" i="1"/>
  <c r="X8" i="1"/>
  <c r="X9" i="1"/>
  <c r="X1104" i="1"/>
  <c r="AW1104" i="1"/>
  <c r="X657" i="1"/>
  <c r="AW657" i="1"/>
  <c r="X12" i="1"/>
  <c r="X13" i="1"/>
  <c r="AW13" i="1"/>
  <c r="X14" i="1"/>
  <c r="X15" i="1"/>
  <c r="AW15" i="1"/>
  <c r="X16" i="1"/>
  <c r="X17" i="1"/>
  <c r="AW17" i="1"/>
  <c r="X18" i="1"/>
  <c r="X19" i="1"/>
  <c r="AW19" i="1"/>
  <c r="X20" i="1"/>
  <c r="X21" i="1"/>
  <c r="AW21" i="1"/>
  <c r="X22" i="1"/>
  <c r="X23" i="1"/>
  <c r="AW23" i="1"/>
  <c r="X24" i="1"/>
  <c r="X25" i="1"/>
  <c r="AW25" i="1"/>
  <c r="X26" i="1"/>
  <c r="X27" i="1"/>
  <c r="AW27" i="1"/>
  <c r="X28" i="1"/>
  <c r="X29" i="1"/>
  <c r="AW29" i="1"/>
  <c r="X11" i="1"/>
  <c r="X31" i="1"/>
  <c r="AW31" i="1"/>
  <c r="X32" i="1"/>
  <c r="X33" i="1"/>
  <c r="AW33" i="1"/>
  <c r="X34" i="1"/>
  <c r="X35" i="1"/>
  <c r="AW35" i="1"/>
  <c r="X36" i="1"/>
  <c r="X37" i="1"/>
  <c r="AW37" i="1"/>
  <c r="X38" i="1"/>
  <c r="X39" i="1"/>
  <c r="AW39" i="1"/>
  <c r="X40" i="1"/>
  <c r="X41" i="1"/>
  <c r="AW41" i="1"/>
  <c r="X42" i="1"/>
  <c r="X43" i="1"/>
  <c r="AW43" i="1"/>
  <c r="X44" i="1"/>
  <c r="X45" i="1"/>
  <c r="AW45" i="1"/>
  <c r="X46" i="1"/>
  <c r="X47" i="1"/>
  <c r="AW47" i="1"/>
  <c r="X48" i="1"/>
  <c r="X49" i="1"/>
  <c r="AW49" i="1"/>
  <c r="X50" i="1"/>
  <c r="X51" i="1"/>
  <c r="AW51" i="1"/>
  <c r="X52" i="1"/>
  <c r="X53" i="1"/>
  <c r="AW53" i="1"/>
  <c r="X54" i="1"/>
  <c r="X55" i="1"/>
  <c r="AW55" i="1"/>
  <c r="X1599" i="1"/>
  <c r="X56" i="1"/>
  <c r="AW56" i="1"/>
  <c r="X57" i="1"/>
  <c r="X58" i="1"/>
  <c r="AW58" i="1"/>
  <c r="X59" i="1"/>
  <c r="X60" i="1"/>
  <c r="AW60" i="1"/>
  <c r="X61" i="1"/>
  <c r="X62" i="1"/>
  <c r="AW62" i="1"/>
  <c r="X63" i="1"/>
  <c r="X64" i="1"/>
  <c r="AW64" i="1"/>
  <c r="X65" i="1"/>
  <c r="X66" i="1"/>
  <c r="AW66" i="1"/>
  <c r="X67" i="1"/>
  <c r="X68" i="1"/>
  <c r="AW68" i="1"/>
  <c r="X69" i="1"/>
  <c r="X70" i="1"/>
  <c r="AW70" i="1"/>
  <c r="X71" i="1"/>
  <c r="X72" i="1"/>
  <c r="AW72" i="1"/>
  <c r="X73" i="1"/>
  <c r="X74" i="1"/>
  <c r="AW74" i="1"/>
  <c r="X75" i="1"/>
  <c r="X76" i="1"/>
  <c r="AW76" i="1"/>
  <c r="X77" i="1"/>
  <c r="X78" i="1"/>
  <c r="AW78" i="1"/>
  <c r="X79" i="1"/>
  <c r="X80" i="1"/>
  <c r="AW80" i="1"/>
  <c r="X81" i="1"/>
  <c r="X82" i="1"/>
  <c r="AW82" i="1"/>
  <c r="X83" i="1"/>
  <c r="X84" i="1"/>
  <c r="AW84" i="1"/>
  <c r="X85" i="1"/>
  <c r="X86" i="1"/>
  <c r="AW86" i="1"/>
  <c r="X87" i="1"/>
  <c r="X88" i="1"/>
  <c r="AW88" i="1"/>
  <c r="X89" i="1"/>
  <c r="X90" i="1"/>
  <c r="AW90" i="1"/>
  <c r="X91" i="1"/>
  <c r="X92" i="1"/>
  <c r="AW92" i="1"/>
  <c r="X93" i="1"/>
  <c r="X94" i="1"/>
  <c r="AW94" i="1"/>
  <c r="X95" i="1"/>
  <c r="X96" i="1"/>
  <c r="AW96" i="1"/>
  <c r="X97" i="1"/>
  <c r="X98" i="1"/>
  <c r="AW98" i="1"/>
  <c r="X99" i="1"/>
  <c r="X100" i="1"/>
  <c r="AW100" i="1"/>
  <c r="X101" i="1"/>
  <c r="X102" i="1"/>
  <c r="AW102" i="1"/>
  <c r="X103" i="1"/>
  <c r="X104" i="1"/>
  <c r="AW104" i="1"/>
  <c r="X105" i="1"/>
  <c r="X106" i="1"/>
  <c r="AW106" i="1"/>
  <c r="X107" i="1"/>
  <c r="X108" i="1"/>
  <c r="X109" i="1"/>
  <c r="X110" i="1"/>
  <c r="AW110" i="1"/>
  <c r="X111" i="1"/>
  <c r="X112" i="1"/>
  <c r="AW112" i="1"/>
  <c r="X113" i="1"/>
  <c r="X114" i="1"/>
  <c r="AW114" i="1"/>
  <c r="X115" i="1"/>
  <c r="X116" i="1"/>
  <c r="AW116" i="1"/>
  <c r="X117" i="1"/>
  <c r="X118" i="1"/>
  <c r="AW118" i="1"/>
  <c r="X119" i="1"/>
  <c r="X121" i="1"/>
  <c r="X122" i="1"/>
  <c r="AW122" i="1"/>
  <c r="X123" i="1"/>
  <c r="X124" i="1"/>
  <c r="AW124" i="1"/>
  <c r="X125" i="1"/>
  <c r="X126" i="1"/>
  <c r="AW126" i="1"/>
  <c r="X127" i="1"/>
  <c r="X128" i="1"/>
  <c r="X129" i="1"/>
  <c r="X130" i="1"/>
  <c r="AW130" i="1"/>
  <c r="X131" i="1"/>
  <c r="X132" i="1"/>
  <c r="X133" i="1"/>
  <c r="X134" i="1"/>
  <c r="X135" i="1"/>
  <c r="X30" i="1"/>
  <c r="X136" i="1"/>
  <c r="X137" i="1"/>
  <c r="AW137" i="1"/>
  <c r="X138" i="1"/>
  <c r="X139" i="1"/>
  <c r="AW139" i="1"/>
  <c r="X140" i="1"/>
  <c r="X141" i="1"/>
  <c r="AW141" i="1"/>
  <c r="X142" i="1"/>
  <c r="X143" i="1"/>
  <c r="X144" i="1"/>
  <c r="X145" i="1"/>
  <c r="X146" i="1"/>
  <c r="X147" i="1"/>
  <c r="AW147" i="1"/>
  <c r="X148" i="1"/>
  <c r="X149" i="1"/>
  <c r="X150" i="1"/>
  <c r="X151" i="1"/>
  <c r="AW151" i="1"/>
  <c r="X152" i="1"/>
  <c r="X153" i="1"/>
  <c r="X154" i="1"/>
  <c r="X155" i="1"/>
  <c r="X156" i="1"/>
  <c r="X157" i="1"/>
  <c r="AW157" i="1"/>
  <c r="X158" i="1"/>
  <c r="X1165" i="1"/>
  <c r="AW1165" i="1"/>
  <c r="X159" i="1"/>
  <c r="X160" i="1"/>
  <c r="X161" i="1"/>
  <c r="AW161" i="1"/>
  <c r="X162" i="1"/>
  <c r="X163" i="1"/>
  <c r="X164" i="1"/>
  <c r="X165" i="1"/>
  <c r="X166" i="1"/>
  <c r="X167" i="1"/>
  <c r="AW168" i="1"/>
  <c r="X169" i="1"/>
  <c r="AW169" i="1"/>
  <c r="X170" i="1"/>
  <c r="X171" i="1"/>
  <c r="AW171" i="1"/>
  <c r="X172" i="1"/>
  <c r="X173" i="1"/>
  <c r="AW173" i="1"/>
  <c r="X174" i="1"/>
  <c r="AW174" i="1"/>
  <c r="X175" i="1"/>
  <c r="AW175" i="1"/>
  <c r="X176" i="1"/>
  <c r="X177" i="1"/>
  <c r="AW177" i="1"/>
  <c r="X178" i="1"/>
  <c r="AW178" i="1"/>
  <c r="X179" i="1"/>
  <c r="AW179" i="1"/>
  <c r="X180" i="1"/>
  <c r="AW180" i="1"/>
  <c r="X181" i="1"/>
  <c r="X182" i="1"/>
  <c r="AW182" i="1"/>
  <c r="X183" i="1"/>
  <c r="X184" i="1"/>
  <c r="X185" i="1"/>
  <c r="AW185" i="1"/>
  <c r="X186" i="1"/>
  <c r="AW186" i="1"/>
  <c r="X187" i="1"/>
  <c r="AW187" i="1"/>
  <c r="X188" i="1"/>
  <c r="AW188" i="1"/>
  <c r="X189" i="1"/>
  <c r="AW189" i="1"/>
  <c r="X190" i="1"/>
  <c r="AW190" i="1"/>
  <c r="X191" i="1"/>
  <c r="X192" i="1"/>
  <c r="AW192" i="1"/>
  <c r="X193" i="1"/>
  <c r="AW193" i="1"/>
  <c r="X194" i="1"/>
  <c r="AW194" i="1"/>
  <c r="X195" i="1"/>
  <c r="AW195" i="1"/>
  <c r="X196" i="1"/>
  <c r="AW196" i="1"/>
  <c r="X197" i="1"/>
  <c r="X198" i="1"/>
  <c r="X199" i="1"/>
  <c r="X200" i="1"/>
  <c r="AW200" i="1"/>
  <c r="X201" i="1"/>
  <c r="X202" i="1"/>
  <c r="AW202" i="1"/>
  <c r="X203" i="1"/>
  <c r="X204" i="1"/>
  <c r="AW204" i="1"/>
  <c r="X205" i="1"/>
  <c r="AW205" i="1"/>
  <c r="X206" i="1"/>
  <c r="X207" i="1"/>
  <c r="X208" i="1"/>
  <c r="AW208" i="1"/>
  <c r="X209" i="1"/>
  <c r="AW209" i="1"/>
  <c r="X210" i="1"/>
  <c r="X211" i="1"/>
  <c r="AW211" i="1"/>
  <c r="X212" i="1"/>
  <c r="AW212" i="1"/>
  <c r="X213" i="1"/>
  <c r="AW213" i="1"/>
  <c r="X214" i="1"/>
  <c r="AW214" i="1"/>
  <c r="X317" i="1"/>
  <c r="AW317" i="1"/>
  <c r="X215" i="1"/>
  <c r="AW215" i="1"/>
  <c r="X216" i="1"/>
  <c r="AW216" i="1"/>
  <c r="X217" i="1"/>
  <c r="AW217" i="1"/>
  <c r="X218" i="1"/>
  <c r="X219" i="1"/>
  <c r="AW219" i="1"/>
  <c r="X220" i="1"/>
  <c r="AW220" i="1"/>
  <c r="X221" i="1"/>
  <c r="X222" i="1"/>
  <c r="X223" i="1"/>
  <c r="AW223" i="1"/>
  <c r="X224" i="1"/>
  <c r="AW224" i="1"/>
  <c r="X225" i="1"/>
  <c r="AW227" i="1"/>
  <c r="X228" i="1"/>
  <c r="X229" i="1"/>
  <c r="X230" i="1"/>
  <c r="X231" i="1"/>
  <c r="AW231" i="1"/>
  <c r="X232" i="1"/>
  <c r="X233" i="1"/>
  <c r="X234" i="1"/>
  <c r="X235" i="1"/>
  <c r="X236" i="1"/>
  <c r="X237" i="1"/>
  <c r="X238" i="1"/>
  <c r="X239" i="1"/>
  <c r="X240" i="1"/>
  <c r="X241" i="1"/>
  <c r="X242" i="1"/>
  <c r="X243" i="1"/>
  <c r="AW243" i="1"/>
  <c r="X244" i="1"/>
  <c r="X245" i="1"/>
  <c r="X246" i="1"/>
  <c r="X247" i="1"/>
  <c r="X248" i="1"/>
  <c r="X249" i="1"/>
  <c r="X250" i="1"/>
  <c r="X251" i="1"/>
  <c r="X252" i="1"/>
  <c r="X253" i="1"/>
  <c r="X254" i="1"/>
  <c r="X255" i="1"/>
  <c r="AW255" i="1"/>
  <c r="X256" i="1"/>
  <c r="X257" i="1"/>
  <c r="X258" i="1"/>
  <c r="AW259" i="1"/>
  <c r="X260" i="1"/>
  <c r="X261" i="1"/>
  <c r="AW261" i="1"/>
  <c r="X262" i="1"/>
  <c r="X263" i="1"/>
  <c r="AW263" i="1"/>
  <c r="X264" i="1"/>
  <c r="X265" i="1"/>
  <c r="AW265" i="1"/>
  <c r="X266" i="1"/>
  <c r="AW266" i="1"/>
  <c r="X267" i="1"/>
  <c r="AW267" i="1"/>
  <c r="X268" i="1"/>
  <c r="X269" i="1"/>
  <c r="AW269" i="1"/>
  <c r="X270" i="1"/>
  <c r="AW270" i="1"/>
  <c r="X271" i="1"/>
  <c r="X272" i="1"/>
  <c r="X1524" i="1"/>
  <c r="X274" i="1"/>
  <c r="AW274" i="1"/>
  <c r="X275" i="1"/>
  <c r="X276" i="1"/>
  <c r="X277" i="1"/>
  <c r="X278" i="1"/>
  <c r="AW278" i="1"/>
  <c r="X279" i="1"/>
  <c r="X280" i="1"/>
  <c r="X281" i="1"/>
  <c r="X282" i="1"/>
  <c r="AW282" i="1"/>
  <c r="X283" i="1"/>
  <c r="X284" i="1"/>
  <c r="X285" i="1"/>
  <c r="X286" i="1"/>
  <c r="X287" i="1"/>
  <c r="X288" i="1"/>
  <c r="X289" i="1"/>
  <c r="X273" i="1"/>
  <c r="AW273" i="1"/>
  <c r="X290" i="1"/>
  <c r="X291" i="1"/>
  <c r="X292" i="1"/>
  <c r="X293" i="1"/>
  <c r="X294" i="1"/>
  <c r="X295" i="1"/>
  <c r="X425" i="1"/>
  <c r="X297" i="1"/>
  <c r="X298" i="1"/>
  <c r="X299" i="1"/>
  <c r="X300" i="1"/>
  <c r="X301" i="1"/>
  <c r="AW301" i="1"/>
  <c r="X302" i="1"/>
  <c r="X303" i="1"/>
  <c r="X304" i="1"/>
  <c r="X305" i="1"/>
  <c r="X306" i="1"/>
  <c r="X307" i="1"/>
  <c r="X308" i="1"/>
  <c r="X309" i="1"/>
  <c r="X604" i="1"/>
  <c r="X311" i="1"/>
  <c r="X312" i="1"/>
  <c r="X313" i="1"/>
  <c r="X314" i="1"/>
  <c r="X315" i="1"/>
  <c r="X316" i="1"/>
  <c r="X616" i="1"/>
  <c r="AW616" i="1"/>
  <c r="X318" i="1"/>
  <c r="X319" i="1"/>
  <c r="X320" i="1"/>
  <c r="X321" i="1"/>
  <c r="X322" i="1"/>
  <c r="X323" i="1"/>
  <c r="AW323" i="1"/>
  <c r="X324" i="1"/>
  <c r="AW324" i="1"/>
  <c r="AU324" i="1"/>
  <c r="X325" i="1"/>
  <c r="AW325" i="1"/>
  <c r="AU325" i="1"/>
  <c r="X326" i="1"/>
  <c r="X327" i="1"/>
  <c r="X328" i="1"/>
  <c r="X329" i="1"/>
  <c r="X658" i="1"/>
  <c r="X331" i="1"/>
  <c r="AW331" i="1"/>
  <c r="X332" i="1"/>
  <c r="X333" i="1"/>
  <c r="AW333" i="1"/>
  <c r="X334" i="1"/>
  <c r="X335" i="1"/>
  <c r="X336" i="1"/>
  <c r="X337" i="1"/>
  <c r="X338" i="1"/>
  <c r="X339" i="1"/>
  <c r="X340" i="1"/>
  <c r="X341" i="1"/>
  <c r="AW341" i="1"/>
  <c r="X342" i="1"/>
  <c r="X343" i="1"/>
  <c r="X344" i="1"/>
  <c r="X345" i="1"/>
  <c r="AW345" i="1"/>
  <c r="X346" i="1"/>
  <c r="X347" i="1"/>
  <c r="AW347" i="1"/>
  <c r="X348" i="1"/>
  <c r="X349" i="1"/>
  <c r="AW349" i="1"/>
  <c r="X350" i="1"/>
  <c r="X747" i="1"/>
  <c r="AW747" i="1"/>
  <c r="X840" i="1"/>
  <c r="X353" i="1"/>
  <c r="X354" i="1"/>
  <c r="X355" i="1"/>
  <c r="X356" i="1"/>
  <c r="X357" i="1"/>
  <c r="AW357" i="1"/>
  <c r="X358" i="1"/>
  <c r="X359" i="1"/>
  <c r="X360" i="1"/>
  <c r="AW360" i="1"/>
  <c r="AU360" i="1"/>
  <c r="X361" i="1"/>
  <c r="AW361" i="1"/>
  <c r="X362" i="1"/>
  <c r="AW362" i="1"/>
  <c r="AU362" i="1"/>
  <c r="X363" i="1"/>
  <c r="AW363" i="1"/>
  <c r="X364" i="1"/>
  <c r="X365" i="1"/>
  <c r="AW365" i="1"/>
  <c r="X366" i="1"/>
  <c r="X367" i="1"/>
  <c r="AW367" i="1"/>
  <c r="X368" i="1"/>
  <c r="X369" i="1"/>
  <c r="X370" i="1"/>
  <c r="X371" i="1"/>
  <c r="X372" i="1"/>
  <c r="X373" i="1"/>
  <c r="X374" i="1"/>
  <c r="X375" i="1"/>
  <c r="X376" i="1"/>
  <c r="X377" i="1"/>
  <c r="X378" i="1"/>
  <c r="X379" i="1"/>
  <c r="AW379" i="1"/>
  <c r="X380" i="1"/>
  <c r="X382" i="1"/>
  <c r="AW382" i="1"/>
  <c r="X381" i="1"/>
  <c r="X427" i="1"/>
  <c r="AW427" i="1"/>
  <c r="X480" i="1"/>
  <c r="X385" i="1"/>
  <c r="X386" i="1"/>
  <c r="X387" i="1"/>
  <c r="AW387" i="1"/>
  <c r="X388" i="1"/>
  <c r="X389" i="1"/>
  <c r="AW389" i="1"/>
  <c r="X390" i="1"/>
  <c r="X391" i="1"/>
  <c r="AW391" i="1"/>
  <c r="X392" i="1"/>
  <c r="X393" i="1"/>
  <c r="X394" i="1"/>
  <c r="X395" i="1"/>
  <c r="X396" i="1"/>
  <c r="X397" i="1"/>
  <c r="X398" i="1"/>
  <c r="X399" i="1"/>
  <c r="AW399" i="1"/>
  <c r="X400" i="1"/>
  <c r="X401" i="1"/>
  <c r="X402" i="1"/>
  <c r="AW402" i="1"/>
  <c r="AU402" i="1"/>
  <c r="X403" i="1"/>
  <c r="AW403" i="1"/>
  <c r="X404" i="1"/>
  <c r="X405" i="1"/>
  <c r="X406" i="1"/>
  <c r="X407" i="1"/>
  <c r="X408" i="1"/>
  <c r="X409" i="1"/>
  <c r="AW409" i="1"/>
  <c r="X410" i="1"/>
  <c r="X411" i="1"/>
  <c r="AW411" i="1"/>
  <c r="X412" i="1"/>
  <c r="X413" i="1"/>
  <c r="X414" i="1"/>
  <c r="X415" i="1"/>
  <c r="X416" i="1"/>
  <c r="X417" i="1"/>
  <c r="X418" i="1"/>
  <c r="X419" i="1"/>
  <c r="AW419" i="1"/>
  <c r="AU419" i="1"/>
  <c r="X420" i="1"/>
  <c r="AW421" i="1"/>
  <c r="X422" i="1"/>
  <c r="AW422" i="1"/>
  <c r="AU422" i="1"/>
  <c r="X423" i="1"/>
  <c r="X546" i="1"/>
  <c r="X746" i="1"/>
  <c r="AW746" i="1"/>
  <c r="X748" i="1"/>
  <c r="AW748" i="1"/>
  <c r="X993" i="1"/>
  <c r="AW993" i="1"/>
  <c r="X428" i="1"/>
  <c r="X429" i="1"/>
  <c r="X430" i="1"/>
  <c r="X431" i="1"/>
  <c r="X432" i="1"/>
  <c r="X433" i="1"/>
  <c r="AW433" i="1"/>
  <c r="X434" i="1"/>
  <c r="X435" i="1"/>
  <c r="X436" i="1"/>
  <c r="X437" i="1"/>
  <c r="X438" i="1"/>
  <c r="X439" i="1"/>
  <c r="X440" i="1"/>
  <c r="X441" i="1"/>
  <c r="X442" i="1"/>
  <c r="X443" i="1"/>
  <c r="X444" i="1"/>
  <c r="X445" i="1"/>
  <c r="X446" i="1"/>
  <c r="X447" i="1"/>
  <c r="X448" i="1"/>
  <c r="X449" i="1"/>
  <c r="AW449" i="1"/>
  <c r="X450" i="1"/>
  <c r="X451" i="1"/>
  <c r="X452" i="1"/>
  <c r="AW452" i="1"/>
  <c r="X453" i="1"/>
  <c r="X454" i="1"/>
  <c r="AW454" i="1"/>
  <c r="X455" i="1"/>
  <c r="AW455" i="1"/>
  <c r="X456" i="1"/>
  <c r="AW456" i="1"/>
  <c r="AU456" i="1"/>
  <c r="X457" i="1"/>
  <c r="X458" i="1"/>
  <c r="X459" i="1"/>
  <c r="X460" i="1"/>
  <c r="AW460" i="1"/>
  <c r="X461" i="1"/>
  <c r="AW461" i="1"/>
  <c r="X462" i="1"/>
  <c r="AW462" i="1"/>
  <c r="X463" i="1"/>
  <c r="AW463" i="1"/>
  <c r="X464" i="1"/>
  <c r="X465" i="1"/>
  <c r="AW465" i="1"/>
  <c r="X466" i="1"/>
  <c r="X467" i="1"/>
  <c r="AW467" i="1"/>
  <c r="X468" i="1"/>
  <c r="X469" i="1"/>
  <c r="AW469" i="1"/>
  <c r="X470" i="1"/>
  <c r="X471" i="1"/>
  <c r="AW471" i="1"/>
  <c r="X472" i="1"/>
  <c r="X473" i="1"/>
  <c r="AW473" i="1"/>
  <c r="X474" i="1"/>
  <c r="AW474" i="1"/>
  <c r="X475" i="1"/>
  <c r="AW475" i="1"/>
  <c r="X476" i="1"/>
  <c r="X477" i="1"/>
  <c r="X478" i="1"/>
  <c r="X479" i="1"/>
  <c r="AW479" i="1"/>
  <c r="X481" i="1"/>
  <c r="AW481" i="1"/>
  <c r="X351" i="1"/>
  <c r="AW351" i="1"/>
  <c r="X482" i="1"/>
  <c r="X483" i="1"/>
  <c r="AW483" i="1"/>
  <c r="X484" i="1"/>
  <c r="AW484" i="1"/>
  <c r="X485" i="1"/>
  <c r="AW485" i="1"/>
  <c r="X486" i="1"/>
  <c r="X487" i="1"/>
  <c r="AW487" i="1"/>
  <c r="X488" i="1"/>
  <c r="X489" i="1"/>
  <c r="X490" i="1"/>
  <c r="AW490" i="1"/>
  <c r="X491" i="1"/>
  <c r="AW491" i="1"/>
  <c r="X492" i="1"/>
  <c r="X493" i="1"/>
  <c r="AW493" i="1"/>
  <c r="X494" i="1"/>
  <c r="X495" i="1"/>
  <c r="AW495" i="1"/>
  <c r="X496" i="1"/>
  <c r="AW496" i="1"/>
  <c r="X497" i="1"/>
  <c r="AW497" i="1"/>
  <c r="X986" i="1"/>
  <c r="X498" i="1"/>
  <c r="AW498" i="1"/>
  <c r="X499" i="1"/>
  <c r="AW499" i="1"/>
  <c r="AU499" i="1"/>
  <c r="X500" i="1"/>
  <c r="X501" i="1"/>
  <c r="AW501" i="1"/>
  <c r="X502" i="1"/>
  <c r="AW502" i="1"/>
  <c r="X503" i="1"/>
  <c r="AW503" i="1"/>
  <c r="AU503" i="1"/>
  <c r="X504" i="1"/>
  <c r="AW504" i="1"/>
  <c r="X505" i="1"/>
  <c r="AW505" i="1"/>
  <c r="X530" i="1"/>
  <c r="X507" i="1"/>
  <c r="AW507" i="1"/>
  <c r="AU507" i="1"/>
  <c r="X508" i="1"/>
  <c r="AW508" i="1"/>
  <c r="AU508" i="1"/>
  <c r="X509" i="1"/>
  <c r="AW509" i="1"/>
  <c r="AU509" i="1"/>
  <c r="X510" i="1"/>
  <c r="AW510" i="1"/>
  <c r="AU510" i="1"/>
  <c r="X511" i="1"/>
  <c r="AW511" i="1"/>
  <c r="AU511" i="1"/>
  <c r="X512" i="1"/>
  <c r="AW512" i="1"/>
  <c r="AU512" i="1"/>
  <c r="X513" i="1"/>
  <c r="AW513" i="1"/>
  <c r="AU513" i="1"/>
  <c r="X514" i="1"/>
  <c r="AW514" i="1"/>
  <c r="AU514" i="1"/>
  <c r="X515" i="1"/>
  <c r="AW515" i="1"/>
  <c r="AU515" i="1"/>
  <c r="X516" i="1"/>
  <c r="AW516" i="1"/>
  <c r="AU516" i="1"/>
  <c r="X517" i="1"/>
  <c r="AW517" i="1"/>
  <c r="AU517" i="1"/>
  <c r="X518" i="1"/>
  <c r="AW518" i="1"/>
  <c r="AU518" i="1"/>
  <c r="X519" i="1"/>
  <c r="AW519" i="1"/>
  <c r="AU519" i="1"/>
  <c r="X520" i="1"/>
  <c r="AW520" i="1"/>
  <c r="AU520" i="1"/>
  <c r="X521" i="1"/>
  <c r="AW521" i="1"/>
  <c r="AU521" i="1"/>
  <c r="X522" i="1"/>
  <c r="AW522" i="1"/>
  <c r="AU522" i="1"/>
  <c r="X523" i="1"/>
  <c r="AW523" i="1"/>
  <c r="AU523" i="1"/>
  <c r="X524" i="1"/>
  <c r="AW524" i="1"/>
  <c r="AU524" i="1"/>
  <c r="X525" i="1"/>
  <c r="AW525" i="1"/>
  <c r="AU525" i="1"/>
  <c r="X526" i="1"/>
  <c r="AW526" i="1"/>
  <c r="AU526" i="1"/>
  <c r="X527" i="1"/>
  <c r="AW527" i="1"/>
  <c r="AU527" i="1"/>
  <c r="X528" i="1"/>
  <c r="AW528" i="1"/>
  <c r="AU528" i="1"/>
  <c r="X529" i="1"/>
  <c r="AW529" i="1"/>
  <c r="AU529" i="1"/>
  <c r="X713" i="1"/>
  <c r="AW713" i="1"/>
  <c r="AU713" i="1"/>
  <c r="X531" i="1"/>
  <c r="AW531" i="1"/>
  <c r="AU531" i="1"/>
  <c r="X532" i="1"/>
  <c r="AW532" i="1"/>
  <c r="AU532" i="1"/>
  <c r="X533" i="1"/>
  <c r="AW533" i="1"/>
  <c r="AU533" i="1"/>
  <c r="X534" i="1"/>
  <c r="AW534" i="1"/>
  <c r="AU534" i="1"/>
  <c r="X535" i="1"/>
  <c r="AW535" i="1"/>
  <c r="AU535" i="1"/>
  <c r="X536" i="1"/>
  <c r="AW536" i="1"/>
  <c r="AU536" i="1"/>
  <c r="X537" i="1"/>
  <c r="AW537" i="1"/>
  <c r="AU537" i="1"/>
  <c r="X538" i="1"/>
  <c r="AW538" i="1"/>
  <c r="AU538" i="1"/>
  <c r="X539" i="1"/>
  <c r="AW539" i="1"/>
  <c r="AU539" i="1"/>
  <c r="X540" i="1"/>
  <c r="AW540" i="1"/>
  <c r="AU540" i="1"/>
  <c r="X541" i="1"/>
  <c r="AW541" i="1"/>
  <c r="AU541" i="1"/>
  <c r="X542" i="1"/>
  <c r="AW542" i="1"/>
  <c r="AU542" i="1"/>
  <c r="X543" i="1"/>
  <c r="AW543" i="1"/>
  <c r="AU543" i="1"/>
  <c r="X544" i="1"/>
  <c r="AW544" i="1"/>
  <c r="AU544" i="1"/>
  <c r="X545" i="1"/>
  <c r="AW545" i="1"/>
  <c r="AU545" i="1"/>
  <c r="X426" i="1"/>
  <c r="AW426" i="1"/>
  <c r="AU426" i="1"/>
  <c r="X547" i="1"/>
  <c r="AW547" i="1"/>
  <c r="AU547" i="1"/>
  <c r="X548" i="1"/>
  <c r="AW548" i="1"/>
  <c r="AU548" i="1"/>
  <c r="X549" i="1"/>
  <c r="AW549" i="1"/>
  <c r="AU549" i="1"/>
  <c r="X550" i="1"/>
  <c r="AW550" i="1"/>
  <c r="AU550" i="1"/>
  <c r="X551" i="1"/>
  <c r="AW551" i="1"/>
  <c r="AU551" i="1"/>
  <c r="X552" i="1"/>
  <c r="AW552" i="1"/>
  <c r="AU552" i="1"/>
  <c r="X553" i="1"/>
  <c r="AW553" i="1"/>
  <c r="AU553" i="1"/>
  <c r="X554" i="1"/>
  <c r="AW554" i="1"/>
  <c r="AU554" i="1"/>
  <c r="X555" i="1"/>
  <c r="AW555" i="1"/>
  <c r="AU555" i="1"/>
  <c r="X556" i="1"/>
  <c r="AW556" i="1"/>
  <c r="AU556" i="1"/>
  <c r="X557" i="1"/>
  <c r="AW557" i="1"/>
  <c r="AU557" i="1"/>
  <c r="X558" i="1"/>
  <c r="AW558" i="1"/>
  <c r="AU558" i="1"/>
  <c r="X559" i="1"/>
  <c r="AW559" i="1"/>
  <c r="AU559" i="1"/>
  <c r="X560" i="1"/>
  <c r="AW560" i="1"/>
  <c r="AU560" i="1"/>
  <c r="X561" i="1"/>
  <c r="AW561" i="1"/>
  <c r="AU561" i="1"/>
  <c r="X562" i="1"/>
  <c r="AW562" i="1"/>
  <c r="AU562" i="1"/>
  <c r="X563" i="1"/>
  <c r="AW563" i="1"/>
  <c r="AU563" i="1"/>
  <c r="X564" i="1"/>
  <c r="AW564" i="1"/>
  <c r="AU564" i="1"/>
  <c r="X565" i="1"/>
  <c r="AW565" i="1"/>
  <c r="AU565" i="1"/>
  <c r="X566" i="1"/>
  <c r="AW566" i="1"/>
  <c r="AU566" i="1"/>
  <c r="X567" i="1"/>
  <c r="AW567" i="1"/>
  <c r="AU567" i="1"/>
  <c r="X568" i="1"/>
  <c r="AW568" i="1"/>
  <c r="AU568" i="1"/>
  <c r="X569" i="1"/>
  <c r="AW569" i="1"/>
  <c r="AU569" i="1"/>
  <c r="X570" i="1"/>
  <c r="AW570" i="1"/>
  <c r="AU570" i="1"/>
  <c r="X571" i="1"/>
  <c r="AW571" i="1"/>
  <c r="AU571" i="1"/>
  <c r="X572" i="1"/>
  <c r="AW572" i="1"/>
  <c r="AU572" i="1"/>
  <c r="X573" i="1"/>
  <c r="AW573" i="1"/>
  <c r="AU573" i="1"/>
  <c r="X574" i="1"/>
  <c r="AW574" i="1"/>
  <c r="AU574" i="1"/>
  <c r="X575" i="1"/>
  <c r="AW575" i="1"/>
  <c r="AU575" i="1"/>
  <c r="X576" i="1"/>
  <c r="AW576" i="1"/>
  <c r="AU576" i="1"/>
  <c r="X577" i="1"/>
  <c r="AW577" i="1"/>
  <c r="AU577" i="1"/>
  <c r="X578" i="1"/>
  <c r="AW578" i="1"/>
  <c r="AU578" i="1"/>
  <c r="X579" i="1"/>
  <c r="AW579" i="1"/>
  <c r="AU579" i="1"/>
  <c r="X580" i="1"/>
  <c r="AW580" i="1"/>
  <c r="AU580" i="1"/>
  <c r="X581" i="1"/>
  <c r="AW581" i="1"/>
  <c r="AU581" i="1"/>
  <c r="X582" i="1"/>
  <c r="AW582" i="1"/>
  <c r="AU582" i="1"/>
  <c r="X583" i="1"/>
  <c r="AW583" i="1"/>
  <c r="AU583" i="1"/>
  <c r="X584" i="1"/>
  <c r="AW584" i="1"/>
  <c r="AU584" i="1"/>
  <c r="X585" i="1"/>
  <c r="AW585" i="1"/>
  <c r="AU585" i="1"/>
  <c r="X586" i="1"/>
  <c r="AW586" i="1"/>
  <c r="AU586" i="1"/>
  <c r="X587" i="1"/>
  <c r="AW587" i="1"/>
  <c r="AU587" i="1"/>
  <c r="X588" i="1"/>
  <c r="AW588" i="1"/>
  <c r="AU588" i="1"/>
  <c r="X589" i="1"/>
  <c r="AW589" i="1"/>
  <c r="AU589" i="1"/>
  <c r="X590" i="1"/>
  <c r="AW590" i="1"/>
  <c r="AU590" i="1"/>
  <c r="X591" i="1"/>
  <c r="AW591" i="1"/>
  <c r="AU591" i="1"/>
  <c r="X592" i="1"/>
  <c r="AW592" i="1"/>
  <c r="AU592" i="1"/>
  <c r="X593" i="1"/>
  <c r="AW593" i="1"/>
  <c r="AU593" i="1"/>
  <c r="X594" i="1"/>
  <c r="AW594" i="1"/>
  <c r="AU594" i="1"/>
  <c r="X595" i="1"/>
  <c r="AW595" i="1"/>
  <c r="AU595" i="1"/>
  <c r="X596" i="1"/>
  <c r="AW596" i="1"/>
  <c r="AU596" i="1"/>
  <c r="X597" i="1"/>
  <c r="AW597" i="1"/>
  <c r="AU597" i="1"/>
  <c r="X598" i="1"/>
  <c r="AW598" i="1"/>
  <c r="AU598" i="1"/>
  <c r="X599" i="1"/>
  <c r="AW599" i="1"/>
  <c r="AU599" i="1"/>
  <c r="X600" i="1"/>
  <c r="AW600" i="1"/>
  <c r="AU600" i="1"/>
  <c r="X601" i="1"/>
  <c r="AW601" i="1"/>
  <c r="AU601" i="1"/>
  <c r="X602" i="1"/>
  <c r="AW602" i="1"/>
  <c r="AU602" i="1"/>
  <c r="X603" i="1"/>
  <c r="AW603" i="1"/>
  <c r="AU603" i="1"/>
  <c r="X1055" i="1"/>
  <c r="AW1055" i="1"/>
  <c r="AU1055" i="1"/>
  <c r="X605" i="1"/>
  <c r="AW605" i="1"/>
  <c r="AU605" i="1"/>
  <c r="X606" i="1"/>
  <c r="AW606" i="1"/>
  <c r="AU606" i="1"/>
  <c r="X607" i="1"/>
  <c r="AW607" i="1"/>
  <c r="AU607" i="1"/>
  <c r="X608" i="1"/>
  <c r="AW608" i="1"/>
  <c r="AU608" i="1"/>
  <c r="X609" i="1"/>
  <c r="AW609" i="1"/>
  <c r="AU609" i="1"/>
  <c r="X610" i="1"/>
  <c r="AW610" i="1"/>
  <c r="AU610" i="1"/>
  <c r="X611" i="1"/>
  <c r="AW611" i="1"/>
  <c r="AU611" i="1"/>
  <c r="X612" i="1"/>
  <c r="AW612" i="1"/>
  <c r="AU612" i="1"/>
  <c r="X613" i="1"/>
  <c r="AW613" i="1"/>
  <c r="AU613" i="1"/>
  <c r="X614" i="1"/>
  <c r="AW614" i="1"/>
  <c r="AU614" i="1"/>
  <c r="X615" i="1"/>
  <c r="AW615" i="1"/>
  <c r="AU615" i="1"/>
  <c r="X671" i="1"/>
  <c r="AW671" i="1"/>
  <c r="AU671" i="1"/>
  <c r="X672" i="1"/>
  <c r="AW672" i="1"/>
  <c r="AU672" i="1"/>
  <c r="X673" i="1"/>
  <c r="AW673" i="1"/>
  <c r="AU673" i="1"/>
  <c r="X669" i="1"/>
  <c r="AW669" i="1"/>
  <c r="AU669" i="1"/>
  <c r="X668" i="1"/>
  <c r="AW668" i="1"/>
  <c r="AU668" i="1"/>
  <c r="X676" i="1"/>
  <c r="AW676" i="1"/>
  <c r="AU676" i="1"/>
  <c r="X674" i="1"/>
  <c r="AW674" i="1"/>
  <c r="AU674" i="1"/>
  <c r="X656" i="1"/>
  <c r="AW656" i="1"/>
  <c r="AU656" i="1"/>
  <c r="X644" i="1"/>
  <c r="AW644" i="1"/>
  <c r="AU644" i="1"/>
  <c r="X624" i="1"/>
  <c r="AW624" i="1"/>
  <c r="AU624" i="1"/>
  <c r="X652" i="1"/>
  <c r="AW652" i="1"/>
  <c r="AU652" i="1"/>
  <c r="X650" i="1"/>
  <c r="AW650" i="1"/>
  <c r="AU650" i="1"/>
  <c r="X670" i="1"/>
  <c r="AW670" i="1"/>
  <c r="X675" i="1"/>
  <c r="AW675" i="1"/>
  <c r="AU675" i="1"/>
  <c r="X873" i="1"/>
  <c r="AW873" i="1"/>
  <c r="AU873" i="1"/>
  <c r="X666" i="1"/>
  <c r="AW666" i="1"/>
  <c r="AU666" i="1"/>
  <c r="X642" i="1"/>
  <c r="AW642" i="1"/>
  <c r="AU642" i="1"/>
  <c r="X661" i="1"/>
  <c r="AW661" i="1"/>
  <c r="AU661" i="1"/>
  <c r="X623" i="1"/>
  <c r="AW623" i="1"/>
  <c r="AU623" i="1"/>
  <c r="X626" i="1"/>
  <c r="AW626" i="1"/>
  <c r="AU626" i="1"/>
  <c r="X643" i="1"/>
  <c r="AW643" i="1"/>
  <c r="AU643" i="1"/>
  <c r="X667" i="1"/>
  <c r="AW667" i="1"/>
  <c r="AU667" i="1"/>
  <c r="X628" i="1"/>
  <c r="AW628" i="1"/>
  <c r="AU628" i="1"/>
  <c r="X629" i="1"/>
  <c r="AW629" i="1"/>
  <c r="AU629" i="1"/>
  <c r="X640" i="1"/>
  <c r="AW640" i="1"/>
  <c r="AU640" i="1"/>
  <c r="X639" i="1"/>
  <c r="AW639" i="1"/>
  <c r="AU639" i="1"/>
  <c r="X663" i="1"/>
  <c r="AW663" i="1"/>
  <c r="AU663" i="1"/>
  <c r="X647" i="1"/>
  <c r="AW647" i="1"/>
  <c r="AU647" i="1"/>
  <c r="X665" i="1"/>
  <c r="AW665" i="1"/>
  <c r="AU665" i="1"/>
  <c r="X617" i="1"/>
  <c r="AW617" i="1"/>
  <c r="AU617" i="1"/>
  <c r="X646" i="1"/>
  <c r="AW646" i="1"/>
  <c r="AU646" i="1"/>
  <c r="X654" i="1"/>
  <c r="AW654" i="1"/>
  <c r="AU654" i="1"/>
  <c r="X659" i="1"/>
  <c r="AW659" i="1"/>
  <c r="AU659" i="1"/>
  <c r="X634" i="1"/>
  <c r="AW634" i="1"/>
  <c r="AU634" i="1"/>
  <c r="X633" i="1"/>
  <c r="AW633" i="1"/>
  <c r="AU633" i="1"/>
  <c r="X638" i="1"/>
  <c r="AW638" i="1"/>
  <c r="AU638" i="1"/>
  <c r="X630" i="1"/>
  <c r="AW630" i="1"/>
  <c r="AU630" i="1"/>
  <c r="X631" i="1"/>
  <c r="AW631" i="1"/>
  <c r="AU631" i="1"/>
  <c r="X635" i="1"/>
  <c r="AW635" i="1"/>
  <c r="AU635" i="1"/>
  <c r="X636" i="1"/>
  <c r="AW636" i="1"/>
  <c r="AU636" i="1"/>
  <c r="X625" i="1"/>
  <c r="AW625" i="1"/>
  <c r="AU625" i="1"/>
  <c r="X653" i="1"/>
  <c r="AW653" i="1"/>
  <c r="AU653" i="1"/>
  <c r="X651" i="1"/>
  <c r="AW651" i="1"/>
  <c r="AU651" i="1"/>
  <c r="X637" i="1"/>
  <c r="AW637" i="1"/>
  <c r="AU637" i="1"/>
  <c r="X330" i="1"/>
  <c r="AW330" i="1"/>
  <c r="AU330" i="1"/>
  <c r="X645" i="1"/>
  <c r="AW645" i="1"/>
  <c r="AU645" i="1"/>
  <c r="X660" i="1"/>
  <c r="AW660" i="1"/>
  <c r="AU660" i="1"/>
  <c r="X621" i="1"/>
  <c r="AW621" i="1"/>
  <c r="AU621" i="1"/>
  <c r="X627" i="1"/>
  <c r="AW627" i="1"/>
  <c r="AU627" i="1"/>
  <c r="X618" i="1"/>
  <c r="AW618" i="1"/>
  <c r="AU618" i="1"/>
  <c r="X641" i="1"/>
  <c r="AW641" i="1"/>
  <c r="AU641" i="1"/>
  <c r="X648" i="1"/>
  <c r="AW648" i="1"/>
  <c r="AU648" i="1"/>
  <c r="X655" i="1"/>
  <c r="AW655" i="1"/>
  <c r="AU655" i="1"/>
  <c r="X622" i="1"/>
  <c r="AW622" i="1"/>
  <c r="AU622" i="1"/>
  <c r="X677" i="1"/>
  <c r="AW677" i="1"/>
  <c r="AU677" i="1"/>
  <c r="X662" i="1"/>
  <c r="AW662" i="1"/>
  <c r="AU662" i="1"/>
  <c r="X619" i="1"/>
  <c r="AW619" i="1"/>
  <c r="AU619" i="1"/>
  <c r="X649" i="1"/>
  <c r="AW649" i="1"/>
  <c r="AU649" i="1"/>
  <c r="X664" i="1"/>
  <c r="AW664" i="1"/>
  <c r="AU664" i="1"/>
  <c r="X620" i="1"/>
  <c r="AW620" i="1"/>
  <c r="AU620" i="1"/>
  <c r="X678" i="1"/>
  <c r="X679" i="1"/>
  <c r="AW679" i="1"/>
  <c r="X680" i="1"/>
  <c r="X681" i="1"/>
  <c r="AW681" i="1"/>
  <c r="X682" i="1"/>
  <c r="AW682" i="1"/>
  <c r="X683" i="1"/>
  <c r="AW683" i="1"/>
  <c r="X684" i="1"/>
  <c r="X685" i="1"/>
  <c r="AW685" i="1"/>
  <c r="X686" i="1"/>
  <c r="X687" i="1"/>
  <c r="AW687" i="1"/>
  <c r="X688" i="1"/>
  <c r="X689" i="1"/>
  <c r="AW689" i="1"/>
  <c r="X690" i="1"/>
  <c r="X691" i="1"/>
  <c r="X692" i="1"/>
  <c r="X693" i="1"/>
  <c r="AW693" i="1"/>
  <c r="X694" i="1"/>
  <c r="AW694" i="1"/>
  <c r="X695" i="1"/>
  <c r="AW695" i="1"/>
  <c r="X696" i="1"/>
  <c r="X697" i="1"/>
  <c r="AW697" i="1"/>
  <c r="X698" i="1"/>
  <c r="X699" i="1"/>
  <c r="AW699" i="1"/>
  <c r="X700" i="1"/>
  <c r="X701" i="1"/>
  <c r="AW701" i="1"/>
  <c r="X702" i="1"/>
  <c r="X703" i="1"/>
  <c r="X704" i="1"/>
  <c r="X705" i="1"/>
  <c r="AW705" i="1"/>
  <c r="X706" i="1"/>
  <c r="AW706" i="1"/>
  <c r="X707" i="1"/>
  <c r="AW707" i="1"/>
  <c r="X708" i="1"/>
  <c r="X709" i="1"/>
  <c r="AW709" i="1"/>
  <c r="X710" i="1"/>
  <c r="X711" i="1"/>
  <c r="AW711" i="1"/>
  <c r="X712" i="1"/>
  <c r="X714" i="1"/>
  <c r="X715" i="1"/>
  <c r="AW715" i="1"/>
  <c r="X716" i="1"/>
  <c r="X717" i="1"/>
  <c r="AW717" i="1"/>
  <c r="X718" i="1"/>
  <c r="X719" i="1"/>
  <c r="AW719" i="1"/>
  <c r="X720" i="1"/>
  <c r="X721" i="1"/>
  <c r="AW721" i="1"/>
  <c r="X722" i="1"/>
  <c r="X723" i="1"/>
  <c r="AW723" i="1"/>
  <c r="X724" i="1"/>
  <c r="X725" i="1"/>
  <c r="AW725" i="1"/>
  <c r="X726" i="1"/>
  <c r="AW726" i="1"/>
  <c r="X727" i="1"/>
  <c r="AW727" i="1"/>
  <c r="X728" i="1"/>
  <c r="X729" i="1"/>
  <c r="AW729" i="1"/>
  <c r="X730" i="1"/>
  <c r="X731" i="1"/>
  <c r="X732" i="1"/>
  <c r="X733" i="1"/>
  <c r="AW733" i="1"/>
  <c r="X734" i="1"/>
  <c r="X735" i="1"/>
  <c r="X736" i="1"/>
  <c r="X737" i="1"/>
  <c r="AW737" i="1"/>
  <c r="X738" i="1"/>
  <c r="AW738" i="1"/>
  <c r="X739" i="1"/>
  <c r="AW739" i="1"/>
  <c r="X740" i="1"/>
  <c r="X741" i="1"/>
  <c r="AW741" i="1"/>
  <c r="X742" i="1"/>
  <c r="AW742" i="1"/>
  <c r="X743" i="1"/>
  <c r="AW743" i="1"/>
  <c r="X744" i="1"/>
  <c r="X745" i="1"/>
  <c r="AW745" i="1"/>
  <c r="X384" i="1"/>
  <c r="AW384" i="1"/>
  <c r="X383" i="1"/>
  <c r="AW383" i="1"/>
  <c r="X424" i="1"/>
  <c r="AW424" i="1"/>
  <c r="X749" i="1"/>
  <c r="AW749" i="1"/>
  <c r="X750" i="1"/>
  <c r="X751" i="1"/>
  <c r="X752" i="1"/>
  <c r="X753" i="1"/>
  <c r="AW753" i="1"/>
  <c r="X754" i="1"/>
  <c r="AW754" i="1"/>
  <c r="X755" i="1"/>
  <c r="AW755" i="1"/>
  <c r="X756" i="1"/>
  <c r="X757" i="1"/>
  <c r="AW757" i="1"/>
  <c r="X758" i="1"/>
  <c r="AW758" i="1"/>
  <c r="X759" i="1"/>
  <c r="AW759" i="1"/>
  <c r="X760" i="1"/>
  <c r="X761" i="1"/>
  <c r="AW761" i="1"/>
  <c r="X762" i="1"/>
  <c r="X763" i="1"/>
  <c r="AW763" i="1"/>
  <c r="X764" i="1"/>
  <c r="X765" i="1"/>
  <c r="AW765" i="1"/>
  <c r="X766" i="1"/>
  <c r="X767" i="1"/>
  <c r="AW767" i="1"/>
  <c r="X768" i="1"/>
  <c r="X769" i="1"/>
  <c r="AW769" i="1"/>
  <c r="X770" i="1"/>
  <c r="X771" i="1"/>
  <c r="AW771" i="1"/>
  <c r="X772" i="1"/>
  <c r="X773" i="1"/>
  <c r="AW773" i="1"/>
  <c r="X774" i="1"/>
  <c r="AW774" i="1"/>
  <c r="X775" i="1"/>
  <c r="AW775" i="1"/>
  <c r="X776" i="1"/>
  <c r="X777" i="1"/>
  <c r="AW777" i="1"/>
  <c r="X778" i="1"/>
  <c r="AW778" i="1"/>
  <c r="X779" i="1"/>
  <c r="X780" i="1"/>
  <c r="X781" i="1"/>
  <c r="AW781" i="1"/>
  <c r="X782" i="1"/>
  <c r="X783" i="1"/>
  <c r="AW783" i="1"/>
  <c r="X784" i="1"/>
  <c r="X785" i="1"/>
  <c r="AW785" i="1"/>
  <c r="X786" i="1"/>
  <c r="AW786" i="1"/>
  <c r="X787" i="1"/>
  <c r="AW787" i="1"/>
  <c r="AW788" i="1"/>
  <c r="X789" i="1"/>
  <c r="AW789" i="1"/>
  <c r="X790" i="1"/>
  <c r="X1093" i="1"/>
  <c r="AW1093" i="1"/>
  <c r="X632" i="1"/>
  <c r="AW632" i="1"/>
  <c r="X792" i="1"/>
  <c r="AW792" i="1"/>
  <c r="X793" i="1"/>
  <c r="AW793" i="1"/>
  <c r="X794" i="1"/>
  <c r="AW794" i="1"/>
  <c r="X795" i="1"/>
  <c r="X796" i="1"/>
  <c r="X797" i="1"/>
  <c r="X798" i="1"/>
  <c r="AW798" i="1"/>
  <c r="X799" i="1"/>
  <c r="X800" i="1"/>
  <c r="X801" i="1"/>
  <c r="X802" i="1"/>
  <c r="AW802" i="1"/>
  <c r="X803" i="1"/>
  <c r="X804" i="1"/>
  <c r="AW804" i="1"/>
  <c r="X805" i="1"/>
  <c r="X806" i="1"/>
  <c r="X807" i="1"/>
  <c r="X808" i="1"/>
  <c r="AW808" i="1"/>
  <c r="X809" i="1"/>
  <c r="X810" i="1"/>
  <c r="AW810" i="1"/>
  <c r="X811" i="1"/>
  <c r="X812" i="1"/>
  <c r="AW812" i="1"/>
  <c r="X813" i="1"/>
  <c r="X814" i="1"/>
  <c r="AW814" i="1"/>
  <c r="X815" i="1"/>
  <c r="X816" i="1"/>
  <c r="X817" i="1"/>
  <c r="X818" i="1"/>
  <c r="AW818" i="1"/>
  <c r="X819" i="1"/>
  <c r="X820" i="1"/>
  <c r="AW820" i="1"/>
  <c r="X821" i="1"/>
  <c r="X822" i="1"/>
  <c r="AW822" i="1"/>
  <c r="X823" i="1"/>
  <c r="X824" i="1"/>
  <c r="AW824" i="1"/>
  <c r="X825" i="1"/>
  <c r="X826" i="1"/>
  <c r="AW826" i="1"/>
  <c r="X827" i="1"/>
  <c r="X828" i="1"/>
  <c r="AW828" i="1"/>
  <c r="X829" i="1"/>
  <c r="X830" i="1"/>
  <c r="AW830" i="1"/>
  <c r="X831" i="1"/>
  <c r="X832" i="1"/>
  <c r="AW832" i="1"/>
  <c r="X833" i="1"/>
  <c r="X834" i="1"/>
  <c r="AW834" i="1"/>
  <c r="AW835" i="1"/>
  <c r="AW836" i="1"/>
  <c r="X1624" i="1"/>
  <c r="AW1624" i="1"/>
  <c r="AU1624" i="1"/>
  <c r="X1625" i="1"/>
  <c r="AW1625" i="1"/>
  <c r="AU1625" i="1"/>
  <c r="X1628" i="1"/>
  <c r="AW1628" i="1"/>
  <c r="X1630" i="1"/>
  <c r="AW1630" i="1"/>
  <c r="X1633" i="1"/>
  <c r="AW1633" i="1"/>
  <c r="AW839" i="1"/>
  <c r="X296" i="1"/>
  <c r="AW296" i="1"/>
  <c r="X841" i="1"/>
  <c r="AW841" i="1"/>
  <c r="X842" i="1"/>
  <c r="X843" i="1"/>
  <c r="AW843" i="1"/>
  <c r="X844" i="1"/>
  <c r="X845" i="1"/>
  <c r="AW845" i="1"/>
  <c r="X846" i="1"/>
  <c r="X847" i="1"/>
  <c r="X848" i="1"/>
  <c r="AW848" i="1"/>
  <c r="X849" i="1"/>
  <c r="AW849" i="1"/>
  <c r="X850" i="1"/>
  <c r="AW850" i="1"/>
  <c r="X851" i="1"/>
  <c r="X852" i="1"/>
  <c r="X853" i="1"/>
  <c r="AW853" i="1"/>
  <c r="X854" i="1"/>
  <c r="X855" i="1"/>
  <c r="AW855" i="1"/>
  <c r="X856" i="1"/>
  <c r="X857" i="1"/>
  <c r="AW857" i="1"/>
  <c r="X858" i="1"/>
  <c r="X837" i="1"/>
  <c r="AW837" i="1"/>
  <c r="X859" i="1"/>
  <c r="X860" i="1"/>
  <c r="X861" i="1"/>
  <c r="X862" i="1"/>
  <c r="AW862" i="1"/>
  <c r="X863" i="1"/>
  <c r="AW863" i="1"/>
  <c r="X864" i="1"/>
  <c r="X865" i="1"/>
  <c r="AW865" i="1"/>
  <c r="X866" i="1"/>
  <c r="X867" i="1"/>
  <c r="X868" i="1"/>
  <c r="AW868" i="1"/>
  <c r="X869" i="1"/>
  <c r="AW869" i="1"/>
  <c r="X870" i="1"/>
  <c r="X871" i="1"/>
  <c r="X872" i="1"/>
  <c r="X1629" i="1"/>
  <c r="AW1629" i="1"/>
  <c r="X874" i="1"/>
  <c r="X875" i="1"/>
  <c r="AW875" i="1"/>
  <c r="X876" i="1"/>
  <c r="X877" i="1"/>
  <c r="AW877" i="1"/>
  <c r="X878" i="1"/>
  <c r="X879" i="1"/>
  <c r="X880" i="1"/>
  <c r="X881" i="1"/>
  <c r="AW881" i="1"/>
  <c r="X882" i="1"/>
  <c r="X883" i="1"/>
  <c r="AW883" i="1"/>
  <c r="X884" i="1"/>
  <c r="X885" i="1"/>
  <c r="AW885" i="1"/>
  <c r="X886" i="1"/>
  <c r="AW886" i="1"/>
  <c r="X887" i="1"/>
  <c r="X888" i="1"/>
  <c r="X889" i="1"/>
  <c r="AW889" i="1"/>
  <c r="X890" i="1"/>
  <c r="X891" i="1"/>
  <c r="AW891" i="1"/>
  <c r="X892" i="1"/>
  <c r="X893" i="1"/>
  <c r="AW893" i="1"/>
  <c r="X894" i="1"/>
  <c r="X895" i="1"/>
  <c r="X896" i="1"/>
  <c r="X897" i="1"/>
  <c r="AW897" i="1"/>
  <c r="X898" i="1"/>
  <c r="X899" i="1"/>
  <c r="AW899" i="1"/>
  <c r="X900" i="1"/>
  <c r="X901" i="1"/>
  <c r="AW901" i="1"/>
  <c r="X902" i="1"/>
  <c r="X903" i="1"/>
  <c r="X904" i="1"/>
  <c r="X905" i="1"/>
  <c r="AW905" i="1"/>
  <c r="X906" i="1"/>
  <c r="X907" i="1"/>
  <c r="AW907" i="1"/>
  <c r="X908" i="1"/>
  <c r="X909" i="1"/>
  <c r="AW909" i="1"/>
  <c r="X910" i="1"/>
  <c r="X911" i="1"/>
  <c r="X912" i="1"/>
  <c r="X913" i="1"/>
  <c r="AW913" i="1"/>
  <c r="X914" i="1"/>
  <c r="X915" i="1"/>
  <c r="X916" i="1"/>
  <c r="X917" i="1"/>
  <c r="AW917" i="1"/>
  <c r="X918" i="1"/>
  <c r="X919" i="1"/>
  <c r="X920" i="1"/>
  <c r="X921" i="1"/>
  <c r="AW921" i="1"/>
  <c r="X922" i="1"/>
  <c r="X923" i="1"/>
  <c r="AW923" i="1"/>
  <c r="X924" i="1"/>
  <c r="X925" i="1"/>
  <c r="AW925" i="1"/>
  <c r="X926" i="1"/>
  <c r="X927" i="1"/>
  <c r="X928" i="1"/>
  <c r="AW928" i="1"/>
  <c r="X929" i="1"/>
  <c r="X930" i="1"/>
  <c r="AW930" i="1"/>
  <c r="X931" i="1"/>
  <c r="X933" i="1"/>
  <c r="X934" i="1"/>
  <c r="X935" i="1"/>
  <c r="X936" i="1"/>
  <c r="AW936" i="1"/>
  <c r="X937" i="1"/>
  <c r="X938" i="1"/>
  <c r="AW938" i="1"/>
  <c r="AW939" i="1"/>
  <c r="X940" i="1"/>
  <c r="AW940" i="1"/>
  <c r="X941" i="1"/>
  <c r="X942" i="1"/>
  <c r="AW942" i="1"/>
  <c r="X943" i="1"/>
  <c r="X944" i="1"/>
  <c r="AW944" i="1"/>
  <c r="X945" i="1"/>
  <c r="X946" i="1"/>
  <c r="AW946" i="1"/>
  <c r="X947" i="1"/>
  <c r="X948" i="1"/>
  <c r="X949" i="1"/>
  <c r="X950" i="1"/>
  <c r="AW950" i="1"/>
  <c r="X951" i="1"/>
  <c r="X952" i="1"/>
  <c r="AW952" i="1"/>
  <c r="X953" i="1"/>
  <c r="X954" i="1"/>
  <c r="X955" i="1"/>
  <c r="X956" i="1"/>
  <c r="X957" i="1"/>
  <c r="X958" i="1"/>
  <c r="AW958" i="1"/>
  <c r="X959" i="1"/>
  <c r="X960" i="1"/>
  <c r="X961" i="1"/>
  <c r="AW962" i="1"/>
  <c r="X963" i="1"/>
  <c r="X964" i="1"/>
  <c r="AW964" i="1"/>
  <c r="X965" i="1"/>
  <c r="X966" i="1"/>
  <c r="X967" i="1"/>
  <c r="X968" i="1"/>
  <c r="X969" i="1"/>
  <c r="X970" i="1"/>
  <c r="AW970" i="1"/>
  <c r="X971" i="1"/>
  <c r="AW971" i="1"/>
  <c r="X972" i="1"/>
  <c r="AW972" i="1"/>
  <c r="X973" i="1"/>
  <c r="AW973" i="1"/>
  <c r="X974" i="1"/>
  <c r="X975" i="1"/>
  <c r="X976" i="1"/>
  <c r="X977" i="1"/>
  <c r="X978" i="1"/>
  <c r="AW978" i="1"/>
  <c r="X979" i="1"/>
  <c r="X980" i="1"/>
  <c r="AW980" i="1"/>
  <c r="X981" i="1"/>
  <c r="X982" i="1"/>
  <c r="X983" i="1"/>
  <c r="X984" i="1"/>
  <c r="X985" i="1"/>
  <c r="X1627" i="1"/>
  <c r="AW1627" i="1"/>
  <c r="X987" i="1"/>
  <c r="X988" i="1"/>
  <c r="X989" i="1"/>
  <c r="X990" i="1"/>
  <c r="X991" i="1"/>
  <c r="X992" i="1"/>
  <c r="X352" i="1"/>
  <c r="X994" i="1"/>
  <c r="X995" i="1"/>
  <c r="AW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20" i="1"/>
  <c r="X1021" i="1"/>
  <c r="X1022" i="1"/>
  <c r="X1023" i="1"/>
  <c r="X1024" i="1"/>
  <c r="X1025" i="1"/>
  <c r="X1026" i="1"/>
  <c r="X1027" i="1"/>
  <c r="X1028" i="1"/>
  <c r="X1029" i="1"/>
  <c r="X1030" i="1"/>
  <c r="X1031" i="1"/>
  <c r="X1032" i="1"/>
  <c r="AW1032" i="1"/>
  <c r="X1033" i="1"/>
  <c r="X1034" i="1"/>
  <c r="X1035" i="1"/>
  <c r="AW1036" i="1"/>
  <c r="AW1037" i="1"/>
  <c r="X1038" i="1"/>
  <c r="X1039" i="1"/>
  <c r="AW1039" i="1"/>
  <c r="X1040" i="1"/>
  <c r="X1041" i="1"/>
  <c r="X1042" i="1"/>
  <c r="X1043" i="1"/>
  <c r="X1044" i="1"/>
  <c r="X1045" i="1"/>
  <c r="X1046" i="1"/>
  <c r="X1047" i="1"/>
  <c r="X1048" i="1"/>
  <c r="X1049" i="1"/>
  <c r="X1050" i="1"/>
  <c r="X1051" i="1"/>
  <c r="X1052" i="1"/>
  <c r="X1053" i="1"/>
  <c r="AW1053" i="1"/>
  <c r="X1054" i="1"/>
  <c r="X1056" i="1"/>
  <c r="X1057" i="1"/>
  <c r="X1058" i="1"/>
  <c r="X1059" i="1"/>
  <c r="X1060" i="1"/>
  <c r="X1061" i="1"/>
  <c r="AW1061" i="1"/>
  <c r="X1062" i="1"/>
  <c r="X1063" i="1"/>
  <c r="X1064" i="1"/>
  <c r="X1065" i="1"/>
  <c r="X1066" i="1"/>
  <c r="X1067" i="1"/>
  <c r="X1068" i="1"/>
  <c r="AW1068" i="1"/>
  <c r="X1069" i="1"/>
  <c r="X1070" i="1"/>
  <c r="X1071" i="1"/>
  <c r="X1072" i="1"/>
  <c r="X1073" i="1"/>
  <c r="X1074" i="1"/>
  <c r="X1075" i="1"/>
  <c r="X1076" i="1"/>
  <c r="AW1076" i="1"/>
  <c r="X1077" i="1"/>
  <c r="X1078" i="1"/>
  <c r="AW1078" i="1"/>
  <c r="X1079" i="1"/>
  <c r="X1080" i="1"/>
  <c r="X1081" i="1"/>
  <c r="X1082" i="1"/>
  <c r="X1083" i="1"/>
  <c r="X1084" i="1"/>
  <c r="AW1084" i="1"/>
  <c r="X1085" i="1"/>
  <c r="X1086" i="1"/>
  <c r="X1087" i="1"/>
  <c r="X1088" i="1"/>
  <c r="X1089" i="1"/>
  <c r="X1090" i="1"/>
  <c r="X1091" i="1"/>
  <c r="AW1092" i="1"/>
  <c r="X838" i="1"/>
  <c r="X1094" i="1"/>
  <c r="AW1094" i="1"/>
  <c r="X1095" i="1"/>
  <c r="AW1095" i="1"/>
  <c r="X1096" i="1"/>
  <c r="AW1096" i="1"/>
  <c r="X1097" i="1"/>
  <c r="X1098" i="1"/>
  <c r="AW1098" i="1"/>
  <c r="X1099" i="1"/>
  <c r="AW1099" i="1"/>
  <c r="X1100" i="1"/>
  <c r="AW1100" i="1"/>
  <c r="X1101" i="1"/>
  <c r="X1102" i="1"/>
  <c r="AW1102" i="1"/>
  <c r="X1103" i="1"/>
  <c r="AW1103" i="1"/>
  <c r="X1105" i="1"/>
  <c r="X1106" i="1"/>
  <c r="AW1106" i="1"/>
  <c r="X1107" i="1"/>
  <c r="AW1107" i="1"/>
  <c r="X1108" i="1"/>
  <c r="AW1108" i="1"/>
  <c r="X1109" i="1"/>
  <c r="X1110" i="1"/>
  <c r="AW1110" i="1"/>
  <c r="X1111" i="1"/>
  <c r="X1112" i="1"/>
  <c r="AW1112" i="1"/>
  <c r="X1113" i="1"/>
  <c r="X1114" i="1"/>
  <c r="X1115" i="1"/>
  <c r="AW1115" i="1"/>
  <c r="X1116" i="1"/>
  <c r="AW1116" i="1"/>
  <c r="X1117" i="1"/>
  <c r="AW1117" i="1"/>
  <c r="X1118" i="1"/>
  <c r="AW1118" i="1"/>
  <c r="X1119" i="1"/>
  <c r="AW1119" i="1"/>
  <c r="X1120" i="1"/>
  <c r="AW1120" i="1"/>
  <c r="X1121" i="1"/>
  <c r="AW1121" i="1"/>
  <c r="X1122" i="1"/>
  <c r="X1123" i="1"/>
  <c r="AW1123" i="1"/>
  <c r="X1124" i="1"/>
  <c r="AW1124" i="1"/>
  <c r="X1125" i="1"/>
  <c r="AW1125" i="1"/>
  <c r="X1126" i="1"/>
  <c r="AW1126" i="1"/>
  <c r="X1127" i="1"/>
  <c r="AW1127" i="1"/>
  <c r="X1128" i="1"/>
  <c r="AW1128" i="1"/>
  <c r="X1129" i="1"/>
  <c r="X1130" i="1"/>
  <c r="AW1130" i="1"/>
  <c r="X1131" i="1"/>
  <c r="AW1131" i="1"/>
  <c r="X1132" i="1"/>
  <c r="AW1132" i="1"/>
  <c r="X1133" i="1"/>
  <c r="AW1133" i="1"/>
  <c r="X1134" i="1"/>
  <c r="AW1134" i="1"/>
  <c r="X1135" i="1"/>
  <c r="AW1135" i="1"/>
  <c r="X1136" i="1"/>
  <c r="AW1136" i="1"/>
  <c r="X1137" i="1"/>
  <c r="X1138" i="1"/>
  <c r="AW1138" i="1"/>
  <c r="X1139" i="1"/>
  <c r="AW1139" i="1"/>
  <c r="X1140" i="1"/>
  <c r="AW1140" i="1"/>
  <c r="X1141" i="1"/>
  <c r="AW1141" i="1"/>
  <c r="X1142" i="1"/>
  <c r="AW1142" i="1"/>
  <c r="X1143" i="1"/>
  <c r="AW1143" i="1"/>
  <c r="X1144" i="1"/>
  <c r="AW1144" i="1"/>
  <c r="X1145" i="1"/>
  <c r="X1146" i="1"/>
  <c r="AW1146" i="1"/>
  <c r="X1147" i="1"/>
  <c r="AW1147" i="1"/>
  <c r="X1148" i="1"/>
  <c r="AW1148" i="1"/>
  <c r="X1149" i="1"/>
  <c r="AW1149" i="1"/>
  <c r="X1150" i="1"/>
  <c r="AW1150" i="1"/>
  <c r="X1151" i="1"/>
  <c r="AW1151" i="1"/>
  <c r="X1152" i="1"/>
  <c r="AW1152" i="1"/>
  <c r="X1153" i="1"/>
  <c r="X1154" i="1"/>
  <c r="AW1154" i="1"/>
  <c r="X1155" i="1"/>
  <c r="AW1155" i="1"/>
  <c r="X1156" i="1"/>
  <c r="AW1156" i="1"/>
  <c r="X1157" i="1"/>
  <c r="AW1157" i="1"/>
  <c r="X1158" i="1"/>
  <c r="AW1158" i="1"/>
  <c r="X1159" i="1"/>
  <c r="AW1159" i="1"/>
  <c r="X1160" i="1"/>
  <c r="AW1160" i="1"/>
  <c r="X1161" i="1"/>
  <c r="X1162" i="1"/>
  <c r="AW1162" i="1"/>
  <c r="X1163" i="1"/>
  <c r="AW1163" i="1"/>
  <c r="X1164" i="1"/>
  <c r="AW1164" i="1"/>
  <c r="X310" i="1"/>
  <c r="AW310" i="1"/>
  <c r="X1166" i="1"/>
  <c r="AW1166" i="1"/>
  <c r="X1167" i="1"/>
  <c r="AW1167" i="1"/>
  <c r="X1168" i="1"/>
  <c r="AW1168" i="1"/>
  <c r="X1169" i="1"/>
  <c r="X1170" i="1"/>
  <c r="AW1170" i="1"/>
  <c r="X1171" i="1"/>
  <c r="AW1171" i="1"/>
  <c r="X1172" i="1"/>
  <c r="AW1172" i="1"/>
  <c r="X1173" i="1"/>
  <c r="AW1173" i="1"/>
  <c r="X1174" i="1"/>
  <c r="AW1174" i="1"/>
  <c r="X1175" i="1"/>
  <c r="AW1175" i="1"/>
  <c r="X1176" i="1"/>
  <c r="AW1176" i="1"/>
  <c r="X1177" i="1"/>
  <c r="X1178" i="1"/>
  <c r="AW1178" i="1"/>
  <c r="X1179" i="1"/>
  <c r="AW1179" i="1"/>
  <c r="X1180" i="1"/>
  <c r="AW1180" i="1"/>
  <c r="X1181" i="1"/>
  <c r="AW1181" i="1"/>
  <c r="X1182" i="1"/>
  <c r="AW1182" i="1"/>
  <c r="X1183" i="1"/>
  <c r="AW1183" i="1"/>
  <c r="X1184" i="1"/>
  <c r="AW1184" i="1"/>
  <c r="X1185" i="1"/>
  <c r="X1186" i="1"/>
  <c r="AW1186" i="1"/>
  <c r="X1187" i="1"/>
  <c r="AW1187" i="1"/>
  <c r="X1188" i="1"/>
  <c r="AW1188" i="1"/>
  <c r="X1189" i="1"/>
  <c r="AW1189" i="1"/>
  <c r="X1190" i="1"/>
  <c r="AW1190" i="1"/>
  <c r="X1191" i="1"/>
  <c r="AW1191" i="1"/>
  <c r="X1192" i="1"/>
  <c r="AW1192" i="1"/>
  <c r="X1193" i="1"/>
  <c r="X1194" i="1"/>
  <c r="AW1194" i="1"/>
  <c r="X1195" i="1"/>
  <c r="AW1195" i="1"/>
  <c r="X1196" i="1"/>
  <c r="AW1196" i="1"/>
  <c r="X1197" i="1"/>
  <c r="AW1197" i="1"/>
  <c r="X1198" i="1"/>
  <c r="AW1198" i="1"/>
  <c r="X1199" i="1"/>
  <c r="AW1199" i="1"/>
  <c r="X1200" i="1"/>
  <c r="AW1200" i="1"/>
  <c r="X1201" i="1"/>
  <c r="X1202" i="1"/>
  <c r="AW1202" i="1"/>
  <c r="X1203" i="1"/>
  <c r="AW1203" i="1"/>
  <c r="AU1203" i="1"/>
  <c r="X1204" i="1"/>
  <c r="AW1204" i="1"/>
  <c r="X1205" i="1"/>
  <c r="AW1205" i="1"/>
  <c r="AU1205" i="1"/>
  <c r="X1206" i="1"/>
  <c r="AW1206" i="1"/>
  <c r="AU1206" i="1"/>
  <c r="X1207" i="1"/>
  <c r="AW1207" i="1"/>
  <c r="AU1207" i="1"/>
  <c r="X1208" i="1"/>
  <c r="AW1208" i="1"/>
  <c r="AU1208" i="1"/>
  <c r="X1209" i="1"/>
  <c r="AW1209" i="1"/>
  <c r="AU1209" i="1"/>
  <c r="X1210" i="1"/>
  <c r="AW1210" i="1"/>
  <c r="X1211" i="1"/>
  <c r="AW1211" i="1"/>
  <c r="X1212" i="1"/>
  <c r="AW1212" i="1"/>
  <c r="AU1212" i="1"/>
  <c r="X1213" i="1"/>
  <c r="AW1213" i="1"/>
  <c r="X1214" i="1"/>
  <c r="AW1214" i="1"/>
  <c r="X1215" i="1"/>
  <c r="AW1215" i="1"/>
  <c r="AU1215" i="1"/>
  <c r="X1216" i="1"/>
  <c r="AW1216" i="1"/>
  <c r="AU1216" i="1"/>
  <c r="X1217" i="1"/>
  <c r="AW1217" i="1"/>
  <c r="AU1217" i="1"/>
  <c r="X1218" i="1"/>
  <c r="AW1218" i="1"/>
  <c r="AU1218" i="1"/>
  <c r="X1219" i="1"/>
  <c r="AW1219" i="1"/>
  <c r="AU1219" i="1"/>
  <c r="X1220" i="1"/>
  <c r="AW1220" i="1"/>
  <c r="AU1220" i="1"/>
  <c r="X1221" i="1"/>
  <c r="AW1221" i="1"/>
  <c r="AU1221" i="1"/>
  <c r="X1222" i="1"/>
  <c r="AW1222" i="1"/>
  <c r="AU1222" i="1"/>
  <c r="X1223" i="1"/>
  <c r="X1224" i="1"/>
  <c r="AW1224" i="1"/>
  <c r="AU1224" i="1"/>
  <c r="X1225" i="1"/>
  <c r="AW1225" i="1"/>
  <c r="AU1225" i="1"/>
  <c r="X1226" i="1"/>
  <c r="AW1226" i="1"/>
  <c r="AU1226" i="1"/>
  <c r="X1227" i="1"/>
  <c r="AW1227" i="1"/>
  <c r="AU1227" i="1"/>
  <c r="X1228" i="1"/>
  <c r="AW1228" i="1"/>
  <c r="AU1228" i="1"/>
  <c r="X1229" i="1"/>
  <c r="AW1229" i="1"/>
  <c r="AU1229" i="1"/>
  <c r="X1230" i="1"/>
  <c r="X1231" i="1"/>
  <c r="AW1231" i="1"/>
  <c r="X1232" i="1"/>
  <c r="X1233" i="1"/>
  <c r="AW1233" i="1"/>
  <c r="X1234" i="1"/>
  <c r="AW1234" i="1"/>
  <c r="AU1234" i="1"/>
  <c r="X1235" i="1"/>
  <c r="AW1235" i="1"/>
  <c r="AU1235" i="1"/>
  <c r="X1236" i="1"/>
  <c r="AW1236" i="1"/>
  <c r="AU1236" i="1"/>
  <c r="X1237" i="1"/>
  <c r="AW1237" i="1"/>
  <c r="AU1237" i="1"/>
  <c r="X1238" i="1"/>
  <c r="AW1238" i="1"/>
  <c r="AU1238" i="1"/>
  <c r="X1239" i="1"/>
  <c r="AW1239" i="1"/>
  <c r="AU1239" i="1"/>
  <c r="X1240" i="1"/>
  <c r="X1241" i="1"/>
  <c r="AW1241" i="1"/>
  <c r="X1242" i="1"/>
  <c r="AW1242" i="1"/>
  <c r="AU1242" i="1"/>
  <c r="X1243" i="1"/>
  <c r="AW1243" i="1"/>
  <c r="AU1243" i="1"/>
  <c r="X1244" i="1"/>
  <c r="X1245" i="1"/>
  <c r="AW1245" i="1"/>
  <c r="AU1245" i="1"/>
  <c r="X1246" i="1"/>
  <c r="AW1246" i="1"/>
  <c r="AU1246" i="1"/>
  <c r="X1247" i="1"/>
  <c r="AW1247" i="1"/>
  <c r="X1248" i="1"/>
  <c r="AW1248" i="1"/>
  <c r="AU1248" i="1"/>
  <c r="X1249" i="1"/>
  <c r="AW1249" i="1"/>
  <c r="AU1249" i="1"/>
  <c r="X1250" i="1"/>
  <c r="AW1250" i="1"/>
  <c r="AU1250" i="1"/>
  <c r="X1251" i="1"/>
  <c r="AW1251" i="1"/>
  <c r="AU1251" i="1"/>
  <c r="X1252" i="1"/>
  <c r="AW1252" i="1"/>
  <c r="AU1252" i="1"/>
  <c r="X1253" i="1"/>
  <c r="AW1253" i="1"/>
  <c r="X1254" i="1"/>
  <c r="X1255" i="1"/>
  <c r="AW1255" i="1"/>
  <c r="AU1255" i="1"/>
  <c r="X1256" i="1"/>
  <c r="AW1256" i="1"/>
  <c r="X1257" i="1"/>
  <c r="AW1257" i="1"/>
  <c r="AU1257" i="1"/>
  <c r="X1258" i="1"/>
  <c r="AW1258" i="1"/>
  <c r="AU1258" i="1"/>
  <c r="X1259" i="1"/>
  <c r="AW1259" i="1"/>
  <c r="AU1259" i="1"/>
  <c r="X1260" i="1"/>
  <c r="X1261" i="1"/>
  <c r="AW1261" i="1"/>
  <c r="AU1261" i="1"/>
  <c r="X1262" i="1"/>
  <c r="AW1262" i="1"/>
  <c r="AU1262" i="1"/>
  <c r="X1263" i="1"/>
  <c r="AW1263" i="1"/>
  <c r="AU1263" i="1"/>
  <c r="X1264" i="1"/>
  <c r="AW1264" i="1"/>
  <c r="AU1264" i="1"/>
  <c r="X1265" i="1"/>
  <c r="AW1265" i="1"/>
  <c r="AU1265" i="1"/>
  <c r="X1266" i="1"/>
  <c r="X1267" i="1"/>
  <c r="AW1267" i="1"/>
  <c r="X1268" i="1"/>
  <c r="X1269" i="1"/>
  <c r="AW1269" i="1"/>
  <c r="AU1269" i="1"/>
  <c r="X1270" i="1"/>
  <c r="AW1270" i="1"/>
  <c r="AU1270" i="1"/>
  <c r="X1271" i="1"/>
  <c r="AW1271" i="1"/>
  <c r="AU1271" i="1"/>
  <c r="X1272" i="1"/>
  <c r="X1273" i="1"/>
  <c r="X1274" i="1"/>
  <c r="AW1274" i="1"/>
  <c r="AU1274" i="1"/>
  <c r="X1275" i="1"/>
  <c r="X1276" i="1"/>
  <c r="X1277" i="1"/>
  <c r="AW1277" i="1"/>
  <c r="AU1277" i="1"/>
  <c r="X1278" i="1"/>
  <c r="AW1278" i="1"/>
  <c r="AU1278" i="1"/>
  <c r="X1279" i="1"/>
  <c r="AW1279" i="1"/>
  <c r="AU1279" i="1"/>
  <c r="X1280" i="1"/>
  <c r="AW1280" i="1"/>
  <c r="AU1280" i="1"/>
  <c r="X1281" i="1"/>
  <c r="AW1281" i="1"/>
  <c r="AU1281" i="1"/>
  <c r="X1282" i="1"/>
  <c r="X1283" i="1"/>
  <c r="X1284" i="1"/>
  <c r="AW1284" i="1"/>
  <c r="AU1284" i="1"/>
  <c r="AW1285" i="1"/>
  <c r="X1286" i="1"/>
  <c r="AW1286" i="1"/>
  <c r="X1287" i="1"/>
  <c r="X1288" i="1"/>
  <c r="AW1288" i="1"/>
  <c r="AU1288" i="1"/>
  <c r="X1289" i="1"/>
  <c r="X1290" i="1"/>
  <c r="AW1290" i="1"/>
  <c r="X1291" i="1"/>
  <c r="X1292" i="1"/>
  <c r="AW1292" i="1"/>
  <c r="AU1292" i="1"/>
  <c r="X1293" i="1"/>
  <c r="AW1293" i="1"/>
  <c r="AU1293" i="1"/>
  <c r="X1294" i="1"/>
  <c r="AW1294" i="1"/>
  <c r="AU1294" i="1"/>
  <c r="X1295" i="1"/>
  <c r="AW1295" i="1"/>
  <c r="AU1295" i="1"/>
  <c r="X1296" i="1"/>
  <c r="AW1296" i="1"/>
  <c r="AU1296" i="1"/>
  <c r="X1297" i="1"/>
  <c r="X1298" i="1"/>
  <c r="AW1298" i="1"/>
  <c r="X1299" i="1"/>
  <c r="AW1299" i="1"/>
  <c r="AU1299" i="1"/>
  <c r="X1300" i="1"/>
  <c r="AW1300" i="1"/>
  <c r="X1301" i="1"/>
  <c r="AW1301" i="1"/>
  <c r="AU1301" i="1"/>
  <c r="X1302" i="1"/>
  <c r="AW1302" i="1"/>
  <c r="AU1302" i="1"/>
  <c r="X1303" i="1"/>
  <c r="X1304" i="1"/>
  <c r="AW1304" i="1"/>
  <c r="X1305" i="1"/>
  <c r="X1306" i="1"/>
  <c r="AW1306" i="1"/>
  <c r="AU1306" i="1"/>
  <c r="X1307" i="1"/>
  <c r="X1308" i="1"/>
  <c r="AW1308" i="1"/>
  <c r="X1309" i="1"/>
  <c r="AW1309" i="1"/>
  <c r="AU1309" i="1"/>
  <c r="X1310" i="1"/>
  <c r="AW1310" i="1"/>
  <c r="AU1310" i="1"/>
  <c r="X1311" i="1"/>
  <c r="AW1311" i="1"/>
  <c r="AU1311" i="1"/>
  <c r="X1312" i="1"/>
  <c r="AW1312" i="1"/>
  <c r="X1313" i="1"/>
  <c r="X1314" i="1"/>
  <c r="AW1314" i="1"/>
  <c r="AU1314" i="1"/>
  <c r="X1315" i="1"/>
  <c r="AW1315" i="1"/>
  <c r="AU1315" i="1"/>
  <c r="X1316" i="1"/>
  <c r="AW1316" i="1"/>
  <c r="X1317" i="1"/>
  <c r="X1318" i="1"/>
  <c r="AW1318" i="1"/>
  <c r="AU1318" i="1"/>
  <c r="X1319" i="1"/>
  <c r="X1320" i="1"/>
  <c r="AW1320" i="1"/>
  <c r="X1321" i="1"/>
  <c r="AW1321" i="1"/>
  <c r="AU1321" i="1"/>
  <c r="X1322" i="1"/>
  <c r="AW1322" i="1"/>
  <c r="AU1322" i="1"/>
  <c r="X1323" i="1"/>
  <c r="X1324" i="1"/>
  <c r="AW1324" i="1"/>
  <c r="X1325" i="1"/>
  <c r="AW1325" i="1"/>
  <c r="AU1325" i="1"/>
  <c r="X1326" i="1"/>
  <c r="AW1326" i="1"/>
  <c r="AU1326" i="1"/>
  <c r="X1327" i="1"/>
  <c r="AW1327" i="1"/>
  <c r="AU1327" i="1"/>
  <c r="X1328" i="1"/>
  <c r="AW1328" i="1"/>
  <c r="X1329" i="1"/>
  <c r="AW1329" i="1"/>
  <c r="AU1329" i="1"/>
  <c r="X1330" i="1"/>
  <c r="AW1330" i="1"/>
  <c r="X1331" i="1"/>
  <c r="AW1331" i="1"/>
  <c r="AU1331" i="1"/>
  <c r="X1332" i="1"/>
  <c r="AW1332" i="1"/>
  <c r="AU1332" i="1"/>
  <c r="X1333" i="1"/>
  <c r="AW1333" i="1"/>
  <c r="AU1333" i="1"/>
  <c r="X1334" i="1"/>
  <c r="AW1334" i="1"/>
  <c r="AU1334" i="1"/>
  <c r="X1335" i="1"/>
  <c r="AW1335" i="1"/>
  <c r="AU1335" i="1"/>
  <c r="X1336" i="1"/>
  <c r="AW1336" i="1"/>
  <c r="AU1336" i="1"/>
  <c r="X1337" i="1"/>
  <c r="X1338" i="1"/>
  <c r="AW1338" i="1"/>
  <c r="AU1338" i="1"/>
  <c r="X1339" i="1"/>
  <c r="X1340" i="1"/>
  <c r="AW1340" i="1"/>
  <c r="X1341" i="1"/>
  <c r="X1342" i="1"/>
  <c r="AW1342" i="1"/>
  <c r="X1343" i="1"/>
  <c r="X1344" i="1"/>
  <c r="AW1344" i="1"/>
  <c r="X1345" i="1"/>
  <c r="X1346" i="1"/>
  <c r="AW1346" i="1"/>
  <c r="AU1346" i="1"/>
  <c r="X1347" i="1"/>
  <c r="X1348" i="1"/>
  <c r="AW1348" i="1"/>
  <c r="X1349" i="1"/>
  <c r="X1350" i="1"/>
  <c r="AW1350" i="1"/>
  <c r="AU1350" i="1"/>
  <c r="X1351" i="1"/>
  <c r="AW1351" i="1"/>
  <c r="AU1351" i="1"/>
  <c r="X1352" i="1"/>
  <c r="AW1352" i="1"/>
  <c r="X1353" i="1"/>
  <c r="X1354" i="1"/>
  <c r="AW1354" i="1"/>
  <c r="AU1354" i="1"/>
  <c r="X1355" i="1"/>
  <c r="X1356" i="1"/>
  <c r="AW1356" i="1"/>
  <c r="X1357" i="1"/>
  <c r="X1358" i="1"/>
  <c r="AW1358" i="1"/>
  <c r="AU1358" i="1"/>
  <c r="X1359" i="1"/>
  <c r="X1360" i="1"/>
  <c r="AW1360" i="1"/>
  <c r="X1361" i="1"/>
  <c r="X1362" i="1"/>
  <c r="AW1362" i="1"/>
  <c r="X1363" i="1"/>
  <c r="AW1363" i="1"/>
  <c r="AU1363" i="1"/>
  <c r="X1364" i="1"/>
  <c r="AW1364" i="1"/>
  <c r="X1365" i="1"/>
  <c r="X1366" i="1"/>
  <c r="AW1366" i="1"/>
  <c r="X1367" i="1"/>
  <c r="X1368" i="1"/>
  <c r="AW1368" i="1"/>
  <c r="X1369" i="1"/>
  <c r="AW1369" i="1"/>
  <c r="AU1369" i="1"/>
  <c r="X1370" i="1"/>
  <c r="AW1370" i="1"/>
  <c r="AU1370" i="1"/>
  <c r="X1371" i="1"/>
  <c r="AW1371" i="1"/>
  <c r="AU1371" i="1"/>
  <c r="X1372" i="1"/>
  <c r="AW1372" i="1"/>
  <c r="X1373" i="1"/>
  <c r="AW1373" i="1"/>
  <c r="AU1373" i="1"/>
  <c r="X1374" i="1"/>
  <c r="AW1374" i="1"/>
  <c r="X1375" i="1"/>
  <c r="AW1375" i="1"/>
  <c r="AU1375" i="1"/>
  <c r="X1376" i="1"/>
  <c r="AW1376" i="1"/>
  <c r="AU1376" i="1"/>
  <c r="X1377" i="1"/>
  <c r="AW1377" i="1"/>
  <c r="AU1377" i="1"/>
  <c r="X1378" i="1"/>
  <c r="AW1378" i="1"/>
  <c r="X1379" i="1"/>
  <c r="AW1379" i="1"/>
  <c r="AU1379" i="1"/>
  <c r="X1380" i="1"/>
  <c r="AW1380" i="1"/>
  <c r="AU1380" i="1"/>
  <c r="X1381" i="1"/>
  <c r="X1382" i="1"/>
  <c r="AW1382" i="1"/>
  <c r="AU1382" i="1"/>
  <c r="X1383" i="1"/>
  <c r="X1384" i="1"/>
  <c r="AW1384" i="1"/>
  <c r="X1385" i="1"/>
  <c r="X1386" i="1"/>
  <c r="AW1386" i="1"/>
  <c r="X1387" i="1"/>
  <c r="X1388" i="1"/>
  <c r="AW1388" i="1"/>
  <c r="AU1388" i="1"/>
  <c r="X1389" i="1"/>
  <c r="AW1389" i="1"/>
  <c r="AU1389" i="1"/>
  <c r="X1390" i="1"/>
  <c r="AW1390" i="1"/>
  <c r="X1391" i="1"/>
  <c r="AW1391" i="1"/>
  <c r="AU1391" i="1"/>
  <c r="X1392" i="1"/>
  <c r="AW1392" i="1"/>
  <c r="AU1392" i="1"/>
  <c r="X1393" i="1"/>
  <c r="AW1393" i="1"/>
  <c r="AU1393" i="1"/>
  <c r="X1394" i="1"/>
  <c r="AW1394" i="1"/>
  <c r="X1395" i="1"/>
  <c r="X1396" i="1"/>
  <c r="AW1396" i="1"/>
  <c r="X1397" i="1"/>
  <c r="X1398" i="1"/>
  <c r="AW1398" i="1"/>
  <c r="X1399" i="1"/>
  <c r="X1400" i="1"/>
  <c r="AW1400" i="1"/>
  <c r="AU1400" i="1"/>
  <c r="X1401" i="1"/>
  <c r="X1402" i="1"/>
  <c r="AW1402" i="1"/>
  <c r="X1403" i="1"/>
  <c r="AW1403" i="1"/>
  <c r="AU1403" i="1"/>
  <c r="X1404" i="1"/>
  <c r="AW1404" i="1"/>
  <c r="AU1404" i="1"/>
  <c r="X1405" i="1"/>
  <c r="AW1405" i="1"/>
  <c r="AU1405" i="1"/>
  <c r="X1406" i="1"/>
  <c r="AW1406" i="1"/>
  <c r="AU1406" i="1"/>
  <c r="X1407" i="1"/>
  <c r="AW1407" i="1"/>
  <c r="AU1407" i="1"/>
  <c r="X1408" i="1"/>
  <c r="AW1408" i="1"/>
  <c r="AU1408" i="1"/>
  <c r="X1409" i="1"/>
  <c r="AW1409" i="1"/>
  <c r="AU1409" i="1"/>
  <c r="X1410" i="1"/>
  <c r="AW1410" i="1"/>
  <c r="AU1410" i="1"/>
  <c r="X1411" i="1"/>
  <c r="AW1411" i="1"/>
  <c r="AU1411" i="1"/>
  <c r="X1412" i="1"/>
  <c r="AW1412" i="1"/>
  <c r="AU1412" i="1"/>
  <c r="X1413" i="1"/>
  <c r="AW1413" i="1"/>
  <c r="AU1413" i="1"/>
  <c r="X1414" i="1"/>
  <c r="AW1414" i="1"/>
  <c r="AU1414" i="1"/>
  <c r="X1415" i="1"/>
  <c r="AW1415" i="1"/>
  <c r="AU1415" i="1"/>
  <c r="X1416" i="1"/>
  <c r="AW1416" i="1"/>
  <c r="AU1416" i="1"/>
  <c r="X1417" i="1"/>
  <c r="AW1417" i="1"/>
  <c r="AU1417" i="1"/>
  <c r="X1418" i="1"/>
  <c r="AW1418" i="1"/>
  <c r="AU1418" i="1"/>
  <c r="X1419" i="1"/>
  <c r="AW1419" i="1"/>
  <c r="AU1419" i="1"/>
  <c r="X1420" i="1"/>
  <c r="AW1420" i="1"/>
  <c r="AU1420" i="1"/>
  <c r="X1421" i="1"/>
  <c r="AW1421" i="1"/>
  <c r="AU1421" i="1"/>
  <c r="X1422" i="1"/>
  <c r="AW1422" i="1"/>
  <c r="AU1422" i="1"/>
  <c r="X1423" i="1"/>
  <c r="AW1423" i="1"/>
  <c r="AU1423" i="1"/>
  <c r="X1424" i="1"/>
  <c r="AW1424" i="1"/>
  <c r="AU1424" i="1"/>
  <c r="X1425" i="1"/>
  <c r="AW1425" i="1"/>
  <c r="AU1425" i="1"/>
  <c r="X1426" i="1"/>
  <c r="AW1426" i="1"/>
  <c r="AU1426" i="1"/>
  <c r="X1427" i="1"/>
  <c r="AW1427" i="1"/>
  <c r="AU1427" i="1"/>
  <c r="X1428" i="1"/>
  <c r="AW1428" i="1"/>
  <c r="AU1428" i="1"/>
  <c r="X1429" i="1"/>
  <c r="AW1429" i="1"/>
  <c r="AU1429" i="1"/>
  <c r="X1430" i="1"/>
  <c r="AW1430" i="1"/>
  <c r="AU1430" i="1"/>
  <c r="X1431" i="1"/>
  <c r="AW1431" i="1"/>
  <c r="AU1431" i="1"/>
  <c r="X1432" i="1"/>
  <c r="AW1432" i="1"/>
  <c r="AU1432" i="1"/>
  <c r="X1433" i="1"/>
  <c r="AW1433" i="1"/>
  <c r="AU1433" i="1"/>
  <c r="X1434" i="1"/>
  <c r="AW1434" i="1"/>
  <c r="AU1434" i="1"/>
  <c r="X1435" i="1"/>
  <c r="AW1435" i="1"/>
  <c r="AU1435" i="1"/>
  <c r="X1436" i="1"/>
  <c r="AW1436" i="1"/>
  <c r="AU1436" i="1"/>
  <c r="X1437" i="1"/>
  <c r="AW1437" i="1"/>
  <c r="AU1437" i="1"/>
  <c r="X1438" i="1"/>
  <c r="AW1438" i="1"/>
  <c r="AU1438" i="1"/>
  <c r="X1439" i="1"/>
  <c r="AW1439" i="1"/>
  <c r="AU1439" i="1"/>
  <c r="X1440" i="1"/>
  <c r="AW1440" i="1"/>
  <c r="AU1440" i="1"/>
  <c r="X1441" i="1"/>
  <c r="AW1441" i="1"/>
  <c r="AU1441" i="1"/>
  <c r="X1442" i="1"/>
  <c r="AW1442" i="1"/>
  <c r="AU1442" i="1"/>
  <c r="X1443" i="1"/>
  <c r="AW1443" i="1"/>
  <c r="AU1443" i="1"/>
  <c r="X1444" i="1"/>
  <c r="AW1444" i="1"/>
  <c r="AU1444" i="1"/>
  <c r="X1445" i="1"/>
  <c r="AW1445" i="1"/>
  <c r="AU1445" i="1"/>
  <c r="X1446" i="1"/>
  <c r="AW1446" i="1"/>
  <c r="AU1446" i="1"/>
  <c r="X1447" i="1"/>
  <c r="AW1447" i="1"/>
  <c r="AU1447" i="1"/>
  <c r="X1448" i="1"/>
  <c r="AW1448" i="1"/>
  <c r="AU1448" i="1"/>
  <c r="X1449" i="1"/>
  <c r="AW1449" i="1"/>
  <c r="AU1449" i="1"/>
  <c r="X1450" i="1"/>
  <c r="AW1450" i="1"/>
  <c r="AU1450" i="1"/>
  <c r="X1451" i="1"/>
  <c r="AW1451" i="1"/>
  <c r="AU1451" i="1"/>
  <c r="X1452" i="1"/>
  <c r="AW1452" i="1"/>
  <c r="AU1452" i="1"/>
  <c r="X1453" i="1"/>
  <c r="AW1453" i="1"/>
  <c r="AU1453" i="1"/>
  <c r="X1454" i="1"/>
  <c r="AW1454" i="1"/>
  <c r="AU1454" i="1"/>
  <c r="X1455" i="1"/>
  <c r="AW1455" i="1"/>
  <c r="AU1455" i="1"/>
  <c r="X1456" i="1"/>
  <c r="AW1456" i="1"/>
  <c r="AU1456" i="1"/>
  <c r="X1457" i="1"/>
  <c r="AW1457" i="1"/>
  <c r="AU1457" i="1"/>
  <c r="X1458" i="1"/>
  <c r="AW1458" i="1"/>
  <c r="AU1458" i="1"/>
  <c r="X1459" i="1"/>
  <c r="AW1459" i="1"/>
  <c r="AU1459" i="1"/>
  <c r="X1460" i="1"/>
  <c r="AW1460" i="1"/>
  <c r="AU1460" i="1"/>
  <c r="X1461" i="1"/>
  <c r="AW1461" i="1"/>
  <c r="AU1461" i="1"/>
  <c r="X1462" i="1"/>
  <c r="AW1462" i="1"/>
  <c r="AU1462" i="1"/>
  <c r="X1463" i="1"/>
  <c r="AW1463" i="1"/>
  <c r="AU1463" i="1"/>
  <c r="X1464" i="1"/>
  <c r="AW1464" i="1"/>
  <c r="AU1464" i="1"/>
  <c r="X1465" i="1"/>
  <c r="AW1465" i="1"/>
  <c r="AU1465" i="1"/>
  <c r="X1466" i="1"/>
  <c r="AW1466" i="1"/>
  <c r="AU1466" i="1"/>
  <c r="X1467" i="1"/>
  <c r="AW1467" i="1"/>
  <c r="AU1467" i="1"/>
  <c r="X1468" i="1"/>
  <c r="AW1468" i="1"/>
  <c r="AU1468" i="1"/>
  <c r="X1469" i="1"/>
  <c r="AW1469" i="1"/>
  <c r="AU1469" i="1"/>
  <c r="X1470" i="1"/>
  <c r="AW1470" i="1"/>
  <c r="AU1470" i="1"/>
  <c r="X1471" i="1"/>
  <c r="AW1471" i="1"/>
  <c r="AU1471" i="1"/>
  <c r="X1472" i="1"/>
  <c r="AW1472" i="1"/>
  <c r="AU1472" i="1"/>
  <c r="X1473" i="1"/>
  <c r="AW1473" i="1"/>
  <c r="AU1473" i="1"/>
  <c r="X1474" i="1"/>
  <c r="AW1474" i="1"/>
  <c r="AU1474" i="1"/>
  <c r="X1475" i="1"/>
  <c r="AW1475" i="1"/>
  <c r="AU1475" i="1"/>
  <c r="X1476" i="1"/>
  <c r="AW1476" i="1"/>
  <c r="AU1476" i="1"/>
  <c r="X1477" i="1"/>
  <c r="AW1477" i="1"/>
  <c r="AU1477" i="1"/>
  <c r="X1478" i="1"/>
  <c r="AW1478" i="1"/>
  <c r="AU1478" i="1"/>
  <c r="X1479" i="1"/>
  <c r="AW1479" i="1"/>
  <c r="AU1479" i="1"/>
  <c r="X1480" i="1"/>
  <c r="AW1480" i="1"/>
  <c r="AU1480" i="1"/>
  <c r="X1481" i="1"/>
  <c r="AW1481" i="1"/>
  <c r="AU1481" i="1"/>
  <c r="X1482" i="1"/>
  <c r="AW1482" i="1"/>
  <c r="AU1482" i="1"/>
  <c r="X1483" i="1"/>
  <c r="AW1483" i="1"/>
  <c r="AU1483" i="1"/>
  <c r="X1484" i="1"/>
  <c r="AW1484" i="1"/>
  <c r="AU1484" i="1"/>
  <c r="X1485" i="1"/>
  <c r="AW1485" i="1"/>
  <c r="AU1485" i="1"/>
  <c r="X1486" i="1"/>
  <c r="AW1486" i="1"/>
  <c r="AU1486" i="1"/>
  <c r="X1487" i="1"/>
  <c r="AW1487" i="1"/>
  <c r="AU1487" i="1"/>
  <c r="X1488" i="1"/>
  <c r="AW1488" i="1"/>
  <c r="AU1488" i="1"/>
  <c r="X1489" i="1"/>
  <c r="AW1489" i="1"/>
  <c r="AU1489" i="1"/>
  <c r="X1490" i="1"/>
  <c r="AW1490" i="1"/>
  <c r="AU1490" i="1"/>
  <c r="X1491" i="1"/>
  <c r="AW1491" i="1"/>
  <c r="AU1491" i="1"/>
  <c r="X1492" i="1"/>
  <c r="AW1492" i="1"/>
  <c r="AU1492" i="1"/>
  <c r="X1493" i="1"/>
  <c r="AW1493" i="1"/>
  <c r="AU1493" i="1"/>
  <c r="X1494" i="1"/>
  <c r="AW1494" i="1"/>
  <c r="X1495" i="1"/>
  <c r="AW1495" i="1"/>
  <c r="AU1495" i="1"/>
  <c r="X1496" i="1"/>
  <c r="AW1496" i="1"/>
  <c r="AU1496" i="1"/>
  <c r="X1497" i="1"/>
  <c r="AW1497" i="1"/>
  <c r="AU1497" i="1"/>
  <c r="X1498" i="1"/>
  <c r="AW1498" i="1"/>
  <c r="AU1498" i="1"/>
  <c r="X1499" i="1"/>
  <c r="AW1499" i="1"/>
  <c r="AU1499" i="1"/>
  <c r="X1500" i="1"/>
  <c r="AW1500" i="1"/>
  <c r="AU1500" i="1"/>
  <c r="X1501" i="1"/>
  <c r="AW1501" i="1"/>
  <c r="AU1501" i="1"/>
  <c r="X1502" i="1"/>
  <c r="AW1502" i="1"/>
  <c r="AU1502" i="1"/>
  <c r="X1503" i="1"/>
  <c r="AW1503" i="1"/>
  <c r="AU1503" i="1"/>
  <c r="X1504" i="1"/>
  <c r="AW1504" i="1"/>
  <c r="AU1504" i="1"/>
  <c r="X1505" i="1"/>
  <c r="AW1505" i="1"/>
  <c r="AU1505" i="1"/>
  <c r="X1506" i="1"/>
  <c r="AW1506" i="1"/>
  <c r="AU1506" i="1"/>
  <c r="X1507" i="1"/>
  <c r="AW1507" i="1"/>
  <c r="AU1507" i="1"/>
  <c r="X1508" i="1"/>
  <c r="AW1508" i="1"/>
  <c r="AU1508" i="1"/>
  <c r="X1509" i="1"/>
  <c r="AW1509" i="1"/>
  <c r="AU1509" i="1"/>
  <c r="X1510" i="1"/>
  <c r="AW1510" i="1"/>
  <c r="AU1510" i="1"/>
  <c r="X1511" i="1"/>
  <c r="AW1511" i="1"/>
  <c r="AU1511" i="1"/>
  <c r="X1512" i="1"/>
  <c r="AW1512" i="1"/>
  <c r="AU1512" i="1"/>
  <c r="X1513" i="1"/>
  <c r="AW1513" i="1"/>
  <c r="AU1513" i="1"/>
  <c r="X1514" i="1"/>
  <c r="AW1514" i="1"/>
  <c r="AU1514" i="1"/>
  <c r="X1515" i="1"/>
  <c r="AW1515" i="1"/>
  <c r="AU1515" i="1"/>
  <c r="X1516" i="1"/>
  <c r="AW1516" i="1"/>
  <c r="AU1516" i="1"/>
  <c r="X1517" i="1"/>
  <c r="AW1517" i="1"/>
  <c r="AU1517" i="1"/>
  <c r="X1518" i="1"/>
  <c r="AW1518" i="1"/>
  <c r="AU1518" i="1"/>
  <c r="X1519" i="1"/>
  <c r="AW1519" i="1"/>
  <c r="AU1519" i="1"/>
  <c r="X1520" i="1"/>
  <c r="AW1520" i="1"/>
  <c r="AU1520" i="1"/>
  <c r="X1521" i="1"/>
  <c r="AW1521" i="1"/>
  <c r="AU1521" i="1"/>
  <c r="X1522" i="1"/>
  <c r="AW1522" i="1"/>
  <c r="AU1522" i="1"/>
  <c r="X1523" i="1"/>
  <c r="AW1523" i="1"/>
  <c r="AU1523" i="1"/>
  <c r="X1525" i="1"/>
  <c r="AW1525" i="1"/>
  <c r="AU1525" i="1"/>
  <c r="X1526" i="1"/>
  <c r="AW1526" i="1"/>
  <c r="AU1526" i="1"/>
  <c r="X1527" i="1"/>
  <c r="X1528" i="1"/>
  <c r="AW1528" i="1"/>
  <c r="AU1528" i="1"/>
  <c r="X1529" i="1"/>
  <c r="AW1529" i="1"/>
  <c r="AU1529" i="1"/>
  <c r="X1530" i="1"/>
  <c r="AW1530" i="1"/>
  <c r="X1531" i="1"/>
  <c r="AW1531" i="1"/>
  <c r="AU1531" i="1"/>
  <c r="X1532" i="1"/>
  <c r="AW1532" i="1"/>
  <c r="AU1532" i="1"/>
  <c r="X1533" i="1"/>
  <c r="AW1533" i="1"/>
  <c r="AU1533" i="1"/>
  <c r="X1534" i="1"/>
  <c r="AW1534" i="1"/>
  <c r="X1535" i="1"/>
  <c r="X1536" i="1"/>
  <c r="AW1536" i="1"/>
  <c r="X1537" i="1"/>
  <c r="AW1537" i="1"/>
  <c r="AU1537" i="1"/>
  <c r="X1538" i="1"/>
  <c r="AW1538" i="1"/>
  <c r="AU1538" i="1"/>
  <c r="X1539" i="1"/>
  <c r="X1540" i="1"/>
  <c r="AW1540" i="1"/>
  <c r="X1541" i="1"/>
  <c r="X1542" i="1"/>
  <c r="AW1542" i="1"/>
  <c r="AU1542" i="1"/>
  <c r="X1543" i="1"/>
  <c r="X1544" i="1"/>
  <c r="AW1544" i="1"/>
  <c r="X1545" i="1"/>
  <c r="X1546" i="1"/>
  <c r="AW1546" i="1"/>
  <c r="X1547" i="1"/>
  <c r="X1548" i="1"/>
  <c r="AW1548" i="1"/>
  <c r="X1549" i="1"/>
  <c r="X1550" i="1"/>
  <c r="AW1550" i="1"/>
  <c r="X1551" i="1"/>
  <c r="X1552" i="1"/>
  <c r="AW1552" i="1"/>
  <c r="X1553" i="1"/>
  <c r="X1554" i="1"/>
  <c r="AW1554" i="1"/>
  <c r="AU1554" i="1"/>
  <c r="X1555" i="1"/>
  <c r="X1556" i="1"/>
  <c r="AW1556" i="1"/>
  <c r="X1557" i="1"/>
  <c r="X1558" i="1"/>
  <c r="AW1558" i="1"/>
  <c r="X1559" i="1"/>
  <c r="X1560" i="1"/>
  <c r="AW1560" i="1"/>
  <c r="X1561" i="1"/>
  <c r="X1562" i="1"/>
  <c r="AW1562" i="1"/>
  <c r="X1563" i="1"/>
  <c r="AW1563" i="1"/>
  <c r="AU1563" i="1"/>
  <c r="X1564" i="1"/>
  <c r="AW1564" i="1"/>
  <c r="X1565" i="1"/>
  <c r="X1566" i="1"/>
  <c r="AW1566" i="1"/>
  <c r="AU1566" i="1"/>
  <c r="X1567" i="1"/>
  <c r="X1568" i="1"/>
  <c r="AW1568" i="1"/>
  <c r="X1569" i="1"/>
  <c r="X1570" i="1"/>
  <c r="AW1570" i="1"/>
  <c r="X1571" i="1"/>
  <c r="AW1571" i="1"/>
  <c r="AU1571" i="1"/>
  <c r="X1572" i="1"/>
  <c r="AW1572" i="1"/>
  <c r="AU1572" i="1"/>
  <c r="X1573" i="1"/>
  <c r="AW1573" i="1"/>
  <c r="AU1573" i="1"/>
  <c r="X1574" i="1"/>
  <c r="AW1574" i="1"/>
  <c r="AU1574" i="1"/>
  <c r="X1575" i="1"/>
  <c r="AW1575" i="1"/>
  <c r="AU1575" i="1"/>
  <c r="X1576" i="1"/>
  <c r="AW1576" i="1"/>
  <c r="AU1576" i="1"/>
  <c r="X1577" i="1"/>
  <c r="AW1577" i="1"/>
  <c r="AU1577" i="1"/>
  <c r="X1578" i="1"/>
  <c r="AW1578" i="1"/>
  <c r="AU1578" i="1"/>
  <c r="X1579" i="1"/>
  <c r="AW1579" i="1"/>
  <c r="AU1579" i="1"/>
  <c r="X1580" i="1"/>
  <c r="AW1580" i="1"/>
  <c r="AU1580" i="1"/>
  <c r="X1581" i="1"/>
  <c r="AW1581" i="1"/>
  <c r="AU1581" i="1"/>
  <c r="X1582" i="1"/>
  <c r="AW1582" i="1"/>
  <c r="AU1582" i="1"/>
  <c r="X1583" i="1"/>
  <c r="AW1583" i="1"/>
  <c r="AU1583" i="1"/>
  <c r="X1584" i="1"/>
  <c r="AW1584" i="1"/>
  <c r="AU1584" i="1"/>
  <c r="X1585" i="1"/>
  <c r="AW1585" i="1"/>
  <c r="AU1585" i="1"/>
  <c r="X1586" i="1"/>
  <c r="AW1586" i="1"/>
  <c r="AU1586" i="1"/>
  <c r="X1587" i="1"/>
  <c r="AW1587" i="1"/>
  <c r="AU1587" i="1"/>
  <c r="X1588" i="1"/>
  <c r="AW1588" i="1"/>
  <c r="AU1588" i="1"/>
  <c r="X1589" i="1"/>
  <c r="AW1589" i="1"/>
  <c r="AU1589" i="1"/>
  <c r="X1590" i="1"/>
  <c r="AW1590" i="1"/>
  <c r="AU1590" i="1"/>
  <c r="X1591" i="1"/>
  <c r="AW1591" i="1"/>
  <c r="AU1591" i="1"/>
  <c r="X1592" i="1"/>
  <c r="AW1592" i="1"/>
  <c r="AU1592" i="1"/>
  <c r="X1593" i="1"/>
  <c r="AW1593" i="1"/>
  <c r="AU1593" i="1"/>
  <c r="X1594" i="1"/>
  <c r="AW1594" i="1"/>
  <c r="X1595" i="1"/>
  <c r="AW1595" i="1"/>
  <c r="AU1595" i="1"/>
  <c r="X1596" i="1"/>
  <c r="AW1596" i="1"/>
  <c r="AU1596" i="1"/>
  <c r="X1597" i="1"/>
  <c r="AW1597" i="1"/>
  <c r="AU1597" i="1"/>
  <c r="X1598" i="1"/>
  <c r="AW1598" i="1"/>
  <c r="AU1598" i="1"/>
  <c r="X1608" i="1"/>
  <c r="AW1608" i="1"/>
  <c r="AU1608" i="1"/>
  <c r="X1600" i="1"/>
  <c r="AW1600" i="1"/>
  <c r="AU1600" i="1"/>
  <c r="X1601" i="1"/>
  <c r="AW1601" i="1"/>
  <c r="AU1601" i="1"/>
  <c r="X1602" i="1"/>
  <c r="AW1602" i="1"/>
  <c r="AU1602" i="1"/>
  <c r="X1603" i="1"/>
  <c r="AW1603" i="1"/>
  <c r="AU1603" i="1"/>
  <c r="X1604" i="1"/>
  <c r="AW1604" i="1"/>
  <c r="AU1604" i="1"/>
  <c r="X1605" i="1"/>
  <c r="AW1605" i="1"/>
  <c r="AU1605" i="1"/>
  <c r="X1606" i="1"/>
  <c r="AW1606" i="1"/>
  <c r="AU1606" i="1"/>
  <c r="X1607" i="1"/>
  <c r="AW1607" i="1"/>
  <c r="AU1607" i="1"/>
  <c r="X1609" i="1"/>
  <c r="AW1609" i="1"/>
  <c r="AU1609" i="1"/>
  <c r="X1610" i="1"/>
  <c r="AW1610" i="1"/>
  <c r="AU1610" i="1"/>
  <c r="X1611" i="1"/>
  <c r="AW1611" i="1"/>
  <c r="AU1611" i="1"/>
  <c r="X1612" i="1"/>
  <c r="AW1612" i="1"/>
  <c r="AU1612" i="1"/>
  <c r="X1613" i="1"/>
  <c r="AW1613" i="1"/>
  <c r="AU1613" i="1"/>
  <c r="X1614" i="1"/>
  <c r="AW1614" i="1"/>
  <c r="AU1614" i="1"/>
  <c r="X1615" i="1"/>
  <c r="AW1615" i="1"/>
  <c r="AU1615" i="1"/>
  <c r="X1616" i="1"/>
  <c r="AW1616" i="1"/>
  <c r="AU1616" i="1"/>
  <c r="X1617" i="1"/>
  <c r="AW1617" i="1"/>
  <c r="AU1617" i="1"/>
  <c r="X1618" i="1"/>
  <c r="AW1618" i="1"/>
  <c r="AU1618" i="1"/>
  <c r="X1619" i="1"/>
  <c r="AW1619" i="1"/>
  <c r="AU1619" i="1"/>
  <c r="X1620" i="1"/>
  <c r="AW1620" i="1"/>
  <c r="AU1620" i="1"/>
  <c r="X1621" i="1"/>
  <c r="AW1621" i="1"/>
  <c r="AU1621" i="1"/>
  <c r="X1622" i="1"/>
  <c r="AW1622" i="1"/>
  <c r="AU1622" i="1"/>
  <c r="AL226" i="1"/>
  <c r="Y1019" i="1"/>
  <c r="AW1019" i="1"/>
  <c r="AW1631" i="1"/>
  <c r="Y1632" i="1"/>
  <c r="AW1632" i="1"/>
  <c r="Y932" i="1"/>
  <c r="AW932" i="1"/>
  <c r="Y1634" i="1"/>
  <c r="AW1634" i="1"/>
  <c r="AW1635" i="1"/>
  <c r="AW245" i="1" l="1"/>
  <c r="AW730" i="1"/>
  <c r="AW254" i="1"/>
  <c r="AW1080" i="1"/>
  <c r="AW1046" i="1"/>
  <c r="AW780" i="1"/>
  <c r="AW1275" i="1"/>
  <c r="AW1071" i="1"/>
  <c r="AW920" i="1"/>
  <c r="AW878" i="1"/>
  <c r="AW948" i="1"/>
  <c r="AW431" i="1"/>
  <c r="AW1565" i="1"/>
  <c r="AW286" i="1"/>
  <c r="AW1065" i="1"/>
  <c r="AW844" i="1"/>
  <c r="AW417" i="1"/>
  <c r="AW1297" i="1"/>
  <c r="AW458" i="1"/>
  <c r="AW260" i="1"/>
  <c r="AW1059" i="1"/>
  <c r="AW1040" i="1"/>
  <c r="AW476" i="1"/>
  <c r="AW447" i="1"/>
  <c r="AW309" i="1"/>
  <c r="AW1561" i="1"/>
  <c r="AW1240" i="1"/>
  <c r="AW1086" i="1"/>
  <c r="AW1035" i="1"/>
  <c r="AW988" i="1"/>
  <c r="AW927" i="1"/>
  <c r="AW902" i="1"/>
  <c r="AW439" i="1"/>
  <c r="AW7" i="1"/>
  <c r="AW486" i="1"/>
  <c r="AW1088" i="1"/>
  <c r="AW1026" i="1"/>
  <c r="AW916" i="1"/>
  <c r="AW764" i="1"/>
  <c r="AW423" i="1"/>
  <c r="AW248" i="1"/>
  <c r="AW140" i="1"/>
  <c r="AW690" i="1"/>
  <c r="AW335" i="1"/>
  <c r="AW321" i="1"/>
  <c r="AW232" i="1"/>
  <c r="AW1260" i="1"/>
  <c r="AW1050" i="1"/>
  <c r="AW846" i="1"/>
  <c r="AW251" i="1"/>
  <c r="AW229" i="1"/>
  <c r="AW1553" i="1"/>
  <c r="AW1089" i="1"/>
  <c r="AW1042" i="1"/>
  <c r="AW888" i="1"/>
  <c r="AW700" i="1"/>
  <c r="AW472" i="1"/>
  <c r="AW974" i="1"/>
  <c r="AW162" i="1"/>
  <c r="AW1555" i="1"/>
  <c r="AW1545" i="1"/>
  <c r="AW1287" i="1"/>
  <c r="AW1072" i="1"/>
  <c r="AW991" i="1"/>
  <c r="AW968" i="1"/>
  <c r="AW960" i="1"/>
  <c r="AW722" i="1"/>
  <c r="AW355" i="1"/>
  <c r="AW152" i="1"/>
  <c r="AW3" i="1"/>
  <c r="AW982" i="1"/>
  <c r="AW954" i="1"/>
  <c r="AW762" i="1"/>
  <c r="AW714" i="1"/>
  <c r="AW464" i="1"/>
  <c r="AW441" i="1"/>
  <c r="AW405" i="1"/>
  <c r="AW313" i="1"/>
  <c r="AW262" i="1"/>
  <c r="AW256" i="1"/>
  <c r="AW253" i="1"/>
  <c r="AW244" i="1"/>
  <c r="AW241" i="1"/>
  <c r="AW238" i="1"/>
  <c r="AW235" i="1"/>
  <c r="AW136" i="1"/>
  <c r="AW1567" i="1"/>
  <c r="AW1244" i="1"/>
  <c r="AW1070" i="1"/>
  <c r="AW1058" i="1"/>
  <c r="AW994" i="1"/>
  <c r="AW912" i="1"/>
  <c r="AW884" i="1"/>
  <c r="AW359" i="1"/>
  <c r="AW337" i="1"/>
  <c r="AW164" i="1"/>
  <c r="AW156" i="1"/>
  <c r="AW142" i="1"/>
  <c r="AW133" i="1"/>
  <c r="AW1283" i="1"/>
  <c r="AW1051" i="1"/>
  <c r="AW1038" i="1"/>
  <c r="AW1034" i="1"/>
  <c r="AW1031" i="1"/>
  <c r="AW990" i="1"/>
  <c r="AW987" i="1"/>
  <c r="AW984" i="1"/>
  <c r="AW293" i="1"/>
  <c r="AW252" i="1"/>
  <c r="AW249" i="1"/>
  <c r="AW240" i="1"/>
  <c r="AW237" i="1"/>
  <c r="AW125" i="1"/>
  <c r="AW1547" i="1"/>
  <c r="AW1289" i="1"/>
  <c r="AW1054" i="1"/>
  <c r="AW1027" i="1"/>
  <c r="AW1024" i="1"/>
  <c r="AW981" i="1"/>
  <c r="AW966" i="1"/>
  <c r="AW963" i="1"/>
  <c r="AW931" i="1"/>
  <c r="AW900" i="1"/>
  <c r="AW872" i="1"/>
  <c r="AW732" i="1"/>
  <c r="AW492" i="1"/>
  <c r="AW166" i="1"/>
  <c r="AW144" i="1"/>
  <c r="AW975" i="1"/>
  <c r="AW678" i="1"/>
  <c r="AW477" i="1"/>
  <c r="AW450" i="1"/>
  <c r="AW442" i="1"/>
  <c r="AW434" i="1"/>
  <c r="AW210" i="1"/>
  <c r="AW935" i="1"/>
  <c r="AW908" i="1"/>
  <c r="AW861" i="1"/>
  <c r="AW842" i="1"/>
  <c r="AW691" i="1"/>
  <c r="AW413" i="1"/>
  <c r="AW203" i="1"/>
  <c r="AW163" i="1"/>
  <c r="AW148" i="1"/>
  <c r="AW108" i="1"/>
  <c r="AW1557" i="1"/>
  <c r="AW1549" i="1"/>
  <c r="AW1056" i="1"/>
  <c r="AW1048" i="1"/>
  <c r="AW1020" i="1"/>
  <c r="AW1014" i="1"/>
  <c r="AW1011" i="1"/>
  <c r="AW1008" i="1"/>
  <c r="AW1002" i="1"/>
  <c r="AW999" i="1"/>
  <c r="AW996" i="1"/>
  <c r="AW915" i="1"/>
  <c r="AW904" i="1"/>
  <c r="AW894" i="1"/>
  <c r="AW874" i="1"/>
  <c r="AW864" i="1"/>
  <c r="AW779" i="1"/>
  <c r="AW735" i="1"/>
  <c r="AW698" i="1"/>
  <c r="AW684" i="1"/>
  <c r="AW444" i="1"/>
  <c r="AW436" i="1"/>
  <c r="AW428" i="1"/>
  <c r="AW375" i="1"/>
  <c r="AW222" i="1"/>
  <c r="AW155" i="1"/>
  <c r="AW870" i="1"/>
  <c r="AW800" i="1"/>
  <c r="AW731" i="1"/>
  <c r="AW500" i="1"/>
  <c r="AW489" i="1"/>
  <c r="AW457" i="1"/>
  <c r="AW385" i="1"/>
  <c r="AW225" i="1"/>
  <c r="AW218" i="1"/>
  <c r="AW1559" i="1"/>
  <c r="AW1551" i="1"/>
  <c r="AW1273" i="1"/>
  <c r="AW1232" i="1"/>
  <c r="AW1077" i="1"/>
  <c r="AW1074" i="1"/>
  <c r="AW1064" i="1"/>
  <c r="AW1041" i="1"/>
  <c r="AW1016" i="1"/>
  <c r="AW1004" i="1"/>
  <c r="AW976" i="1"/>
  <c r="AW924" i="1"/>
  <c r="AW880" i="1"/>
  <c r="AW796" i="1"/>
  <c r="AW751" i="1"/>
  <c r="AW451" i="1"/>
  <c r="AW446" i="1"/>
  <c r="AW443" i="1"/>
  <c r="AW438" i="1"/>
  <c r="AW435" i="1"/>
  <c r="AW430" i="1"/>
  <c r="AW415" i="1"/>
  <c r="AW395" i="1"/>
  <c r="AW343" i="1"/>
  <c r="AW339" i="1"/>
  <c r="AW264" i="1"/>
  <c r="AW181" i="1"/>
  <c r="AW165" i="1"/>
  <c r="AW132" i="1"/>
  <c r="AW121" i="1"/>
  <c r="AW1569" i="1"/>
  <c r="AW1291" i="1"/>
  <c r="AW1066" i="1"/>
  <c r="AW1047" i="1"/>
  <c r="AW1028" i="1"/>
  <c r="AW1022" i="1"/>
  <c r="AW1010" i="1"/>
  <c r="AW998" i="1"/>
  <c r="AW992" i="1"/>
  <c r="AW956" i="1"/>
  <c r="AW876" i="1"/>
  <c r="AW859" i="1"/>
  <c r="AW856" i="1"/>
  <c r="AW466" i="1"/>
  <c r="AW159" i="1"/>
  <c r="AW1254" i="1"/>
  <c r="AW1057" i="1"/>
  <c r="AW1049" i="1"/>
  <c r="AW896" i="1"/>
  <c r="AW806" i="1"/>
  <c r="AW770" i="1"/>
  <c r="AW710" i="1"/>
  <c r="AW703" i="1"/>
  <c r="AW459" i="1"/>
  <c r="AW453" i="1"/>
  <c r="AW448" i="1"/>
  <c r="AW445" i="1"/>
  <c r="AW440" i="1"/>
  <c r="AW437" i="1"/>
  <c r="AW432" i="1"/>
  <c r="AW429" i="1"/>
  <c r="AW373" i="1"/>
  <c r="AW268" i="1"/>
  <c r="AW228" i="1"/>
  <c r="AW201" i="1"/>
  <c r="AW143" i="1"/>
  <c r="AW1087" i="1"/>
  <c r="AW1081" i="1"/>
  <c r="AW1073" i="1"/>
  <c r="AW1018" i="1"/>
  <c r="AW1015" i="1"/>
  <c r="AW1012" i="1"/>
  <c r="AW1006" i="1"/>
  <c r="AW1003" i="1"/>
  <c r="AW1000" i="1"/>
  <c r="AW983" i="1"/>
  <c r="AW967" i="1"/>
  <c r="AW892" i="1"/>
  <c r="AW816" i="1"/>
  <c r="AW716" i="1"/>
  <c r="AW407" i="1"/>
  <c r="AW397" i="1"/>
  <c r="AW297" i="1"/>
  <c r="AW230" i="1"/>
  <c r="AW197" i="1"/>
  <c r="AW149" i="1"/>
  <c r="AW134" i="1"/>
  <c r="AW129" i="1"/>
  <c r="AW8" i="1"/>
  <c r="AW6" i="1"/>
  <c r="AW4" i="1"/>
  <c r="AW2" i="1"/>
  <c r="AW1543" i="1"/>
  <c r="AW1541" i="1"/>
  <c r="AW1539" i="1"/>
  <c r="AW1535" i="1"/>
  <c r="AW1527" i="1"/>
  <c r="AW1401" i="1"/>
  <c r="AW1399" i="1"/>
  <c r="AW1397" i="1"/>
  <c r="AW1395" i="1"/>
  <c r="AW1387" i="1"/>
  <c r="AW1385" i="1"/>
  <c r="AW1383" i="1"/>
  <c r="AW1381" i="1"/>
  <c r="AW1282" i="1"/>
  <c r="AW1276" i="1"/>
  <c r="AW1272" i="1"/>
  <c r="AW1268" i="1"/>
  <c r="AW1266" i="1"/>
  <c r="AW1230" i="1"/>
  <c r="AW1223" i="1"/>
  <c r="AW1201" i="1"/>
  <c r="AW1193" i="1"/>
  <c r="AW1185" i="1"/>
  <c r="AW1177" i="1"/>
  <c r="AW1169" i="1"/>
  <c r="AW1161" i="1"/>
  <c r="AW1153" i="1"/>
  <c r="AW1145" i="1"/>
  <c r="AW1137" i="1"/>
  <c r="AW1129" i="1"/>
  <c r="AW1122" i="1"/>
  <c r="AW1114" i="1"/>
  <c r="AW1111" i="1"/>
  <c r="AW1105" i="1"/>
  <c r="AW1085" i="1"/>
  <c r="AW1082" i="1"/>
  <c r="AW1063" i="1"/>
  <c r="AW1060" i="1"/>
  <c r="AW1045" i="1"/>
  <c r="AW1030" i="1"/>
  <c r="AW1021" i="1"/>
  <c r="AW989" i="1"/>
  <c r="AW979" i="1"/>
  <c r="AW934" i="1"/>
  <c r="AW895" i="1"/>
  <c r="AW879" i="1"/>
  <c r="AW838" i="1"/>
  <c r="AW1079" i="1"/>
  <c r="AW1069" i="1"/>
  <c r="AW1067" i="1"/>
  <c r="AW1052" i="1"/>
  <c r="AW1009" i="1"/>
  <c r="AW911" i="1"/>
  <c r="AW1113" i="1"/>
  <c r="AW1062" i="1"/>
  <c r="AW1044" i="1"/>
  <c r="AW1029" i="1"/>
  <c r="AW1023" i="1"/>
  <c r="AW997" i="1"/>
  <c r="AW858" i="1"/>
  <c r="AW1101" i="1"/>
  <c r="AW1017" i="1"/>
  <c r="AW1091" i="1"/>
  <c r="AW1043" i="1"/>
  <c r="AW1005" i="1"/>
  <c r="AW903" i="1"/>
  <c r="AW887" i="1"/>
  <c r="AW1367" i="1"/>
  <c r="AW1365" i="1"/>
  <c r="AW1361" i="1"/>
  <c r="AW1359" i="1"/>
  <c r="AW1357" i="1"/>
  <c r="AW1355" i="1"/>
  <c r="AW1353" i="1"/>
  <c r="AW1349" i="1"/>
  <c r="AW1347" i="1"/>
  <c r="AW1345" i="1"/>
  <c r="AW1343" i="1"/>
  <c r="AW1341" i="1"/>
  <c r="AW1339" i="1"/>
  <c r="AW1337" i="1"/>
  <c r="AW1323" i="1"/>
  <c r="AW1319" i="1"/>
  <c r="AW1317" i="1"/>
  <c r="AW1313" i="1"/>
  <c r="AW1307" i="1"/>
  <c r="AW1305" i="1"/>
  <c r="AW1303" i="1"/>
  <c r="AW1109" i="1"/>
  <c r="AW1083" i="1"/>
  <c r="AW1025" i="1"/>
  <c r="AW352" i="1"/>
  <c r="AW945" i="1"/>
  <c r="AW871" i="1"/>
  <c r="AW1097" i="1"/>
  <c r="AW1090" i="1"/>
  <c r="AW1075" i="1"/>
  <c r="AW1013" i="1"/>
  <c r="AW1007" i="1"/>
  <c r="AW977" i="1"/>
  <c r="AW969" i="1"/>
  <c r="AW961" i="1"/>
  <c r="AW953" i="1"/>
  <c r="AW919" i="1"/>
  <c r="AW1033" i="1"/>
  <c r="AW1001" i="1"/>
  <c r="AW985" i="1"/>
  <c r="AW955" i="1"/>
  <c r="AW947" i="1"/>
  <c r="AW933" i="1"/>
  <c r="AW926" i="1"/>
  <c r="AW918" i="1"/>
  <c r="AW910" i="1"/>
  <c r="AW851" i="1"/>
  <c r="AW867" i="1"/>
  <c r="AW854" i="1"/>
  <c r="AW957" i="1"/>
  <c r="AW949" i="1"/>
  <c r="AW941" i="1"/>
  <c r="AW965" i="1"/>
  <c r="AW866" i="1"/>
  <c r="AW959" i="1"/>
  <c r="AW951" i="1"/>
  <c r="AW943" i="1"/>
  <c r="AW937" i="1"/>
  <c r="AW929" i="1"/>
  <c r="AW922" i="1"/>
  <c r="AW914" i="1"/>
  <c r="AW906" i="1"/>
  <c r="AW898" i="1"/>
  <c r="AW890" i="1"/>
  <c r="AW882" i="1"/>
  <c r="AW847" i="1"/>
  <c r="AW860" i="1"/>
  <c r="AW852" i="1"/>
  <c r="AW829" i="1"/>
  <c r="AW821" i="1"/>
  <c r="AW813" i="1"/>
  <c r="AW805" i="1"/>
  <c r="AW797" i="1"/>
  <c r="AW790" i="1"/>
  <c r="AW782" i="1"/>
  <c r="AW766" i="1"/>
  <c r="AW750" i="1"/>
  <c r="AW734" i="1"/>
  <c r="AW718" i="1"/>
  <c r="AW702" i="1"/>
  <c r="AW686" i="1"/>
  <c r="AW784" i="1"/>
  <c r="AW768" i="1"/>
  <c r="AW752" i="1"/>
  <c r="AW736" i="1"/>
  <c r="AW720" i="1"/>
  <c r="AW704" i="1"/>
  <c r="AW688" i="1"/>
  <c r="AW831" i="1"/>
  <c r="AW823" i="1"/>
  <c r="AW815" i="1"/>
  <c r="AW807" i="1"/>
  <c r="AW799" i="1"/>
  <c r="AW772" i="1"/>
  <c r="AW756" i="1"/>
  <c r="AW740" i="1"/>
  <c r="AW724" i="1"/>
  <c r="AW708" i="1"/>
  <c r="AW692" i="1"/>
  <c r="AW833" i="1"/>
  <c r="AW825" i="1"/>
  <c r="AW817" i="1"/>
  <c r="AW809" i="1"/>
  <c r="AW801" i="1"/>
  <c r="AW530" i="1"/>
  <c r="AW776" i="1"/>
  <c r="AW760" i="1"/>
  <c r="AW744" i="1"/>
  <c r="AW728" i="1"/>
  <c r="AW712" i="1"/>
  <c r="AW696" i="1"/>
  <c r="AW680" i="1"/>
  <c r="AW827" i="1"/>
  <c r="AW819" i="1"/>
  <c r="AW811" i="1"/>
  <c r="AW803" i="1"/>
  <c r="AW795" i="1"/>
  <c r="AW986" i="1"/>
  <c r="AW488" i="1"/>
  <c r="AW412" i="1"/>
  <c r="AW380" i="1"/>
  <c r="AW377" i="1"/>
  <c r="AW374" i="1"/>
  <c r="AW371" i="1"/>
  <c r="AW334" i="1"/>
  <c r="AW319" i="1"/>
  <c r="AW300" i="1"/>
  <c r="AW400" i="1"/>
  <c r="AW368" i="1"/>
  <c r="AW354" i="1"/>
  <c r="AW348" i="1"/>
  <c r="AW315" i="1"/>
  <c r="AW303" i="1"/>
  <c r="AW420" i="1"/>
  <c r="AW388" i="1"/>
  <c r="AW381" i="1"/>
  <c r="AW342" i="1"/>
  <c r="AW318" i="1"/>
  <c r="AW312" i="1"/>
  <c r="AW299" i="1"/>
  <c r="AW425" i="1"/>
  <c r="AW494" i="1"/>
  <c r="AW478" i="1"/>
  <c r="AW408" i="1"/>
  <c r="AW376" i="1"/>
  <c r="AW356" i="1"/>
  <c r="AW353" i="1"/>
  <c r="AW327" i="1"/>
  <c r="AW305" i="1"/>
  <c r="AW468" i="1"/>
  <c r="AW396" i="1"/>
  <c r="AW393" i="1"/>
  <c r="AW390" i="1"/>
  <c r="AW364" i="1"/>
  <c r="AW350" i="1"/>
  <c r="AW311" i="1"/>
  <c r="AW308" i="1"/>
  <c r="AW482" i="1"/>
  <c r="AW546" i="1"/>
  <c r="AW416" i="1"/>
  <c r="AW410" i="1"/>
  <c r="AW480" i="1"/>
  <c r="AW338" i="1"/>
  <c r="AW332" i="1"/>
  <c r="AW329" i="1"/>
  <c r="AW326" i="1"/>
  <c r="AW470" i="1"/>
  <c r="AW404" i="1"/>
  <c r="AW401" i="1"/>
  <c r="AW398" i="1"/>
  <c r="AW372" i="1"/>
  <c r="AW369" i="1"/>
  <c r="AW366" i="1"/>
  <c r="AW358" i="1"/>
  <c r="AW320" i="1"/>
  <c r="AW604" i="1"/>
  <c r="AW307" i="1"/>
  <c r="AW291" i="1"/>
  <c r="AW418" i="1"/>
  <c r="AW392" i="1"/>
  <c r="AW346" i="1"/>
  <c r="AW340" i="1"/>
  <c r="AW316" i="1"/>
  <c r="AW304" i="1"/>
  <c r="AW658" i="1"/>
  <c r="AW221" i="1"/>
  <c r="AW191" i="1"/>
  <c r="AW183" i="1"/>
  <c r="AW127" i="1"/>
  <c r="AW107" i="1"/>
  <c r="AW414" i="1"/>
  <c r="AW406" i="1"/>
  <c r="AW322" i="1"/>
  <c r="AW314" i="1"/>
  <c r="AW306" i="1"/>
  <c r="AW298" i="1"/>
  <c r="AW295" i="1"/>
  <c r="AW290" i="1"/>
  <c r="AW288" i="1"/>
  <c r="AW283" i="1"/>
  <c r="AW280" i="1"/>
  <c r="AW275" i="1"/>
  <c r="AW272" i="1"/>
  <c r="AW234" i="1"/>
  <c r="AW153" i="1"/>
  <c r="AW150" i="1"/>
  <c r="AW242" i="1"/>
  <c r="AW239" i="1"/>
  <c r="AW30" i="1"/>
  <c r="AW292" i="1"/>
  <c r="AW285" i="1"/>
  <c r="AW277" i="1"/>
  <c r="AW250" i="1"/>
  <c r="AW247" i="1"/>
  <c r="AW236" i="1"/>
  <c r="AW233" i="1"/>
  <c r="AW199" i="1"/>
  <c r="AW160" i="1"/>
  <c r="AW158" i="1"/>
  <c r="AW258" i="1"/>
  <c r="AW135" i="1"/>
  <c r="AW302" i="1"/>
  <c r="AW294" i="1"/>
  <c r="AW287" i="1"/>
  <c r="AW284" i="1"/>
  <c r="AW279" i="1"/>
  <c r="AW276" i="1"/>
  <c r="AW271" i="1"/>
  <c r="AW207" i="1"/>
  <c r="AW198" i="1"/>
  <c r="AW167" i="1"/>
  <c r="AW146" i="1"/>
  <c r="AW394" i="1"/>
  <c r="AW386" i="1"/>
  <c r="AW378" i="1"/>
  <c r="AW370" i="1"/>
  <c r="AW840" i="1"/>
  <c r="AW344" i="1"/>
  <c r="AW336" i="1"/>
  <c r="AW328" i="1"/>
  <c r="AW257" i="1"/>
  <c r="AW246" i="1"/>
  <c r="AW184" i="1"/>
  <c r="AW176" i="1"/>
  <c r="AW170" i="1"/>
  <c r="AW128" i="1"/>
  <c r="AW289" i="1"/>
  <c r="AW281" i="1"/>
  <c r="AW1524" i="1"/>
  <c r="AW206" i="1"/>
  <c r="AW154" i="1"/>
  <c r="AW145" i="1"/>
  <c r="AW117" i="1"/>
  <c r="AW101" i="1"/>
  <c r="AW85" i="1"/>
  <c r="AW69" i="1"/>
  <c r="AW54" i="1"/>
  <c r="AW38" i="1"/>
  <c r="AW91" i="1"/>
  <c r="AW75" i="1"/>
  <c r="AW59" i="1"/>
  <c r="AW44" i="1"/>
  <c r="AW28" i="1"/>
  <c r="AW113" i="1"/>
  <c r="AW97" i="1"/>
  <c r="AW81" i="1"/>
  <c r="AW65" i="1"/>
  <c r="AW50" i="1"/>
  <c r="AW34" i="1"/>
  <c r="AX1" i="1"/>
  <c r="AW119" i="1"/>
  <c r="AW103" i="1"/>
  <c r="AW87" i="1"/>
  <c r="AW71" i="1"/>
  <c r="AW1599" i="1"/>
  <c r="AW40" i="1"/>
  <c r="AW109" i="1"/>
  <c r="AW93" i="1"/>
  <c r="AW77" i="1"/>
  <c r="AW61" i="1"/>
  <c r="AW46" i="1"/>
  <c r="AW11" i="1"/>
  <c r="AW115" i="1"/>
  <c r="AW99" i="1"/>
  <c r="AW83" i="1"/>
  <c r="AW67" i="1"/>
  <c r="AW52" i="1"/>
  <c r="AW36" i="1"/>
  <c r="AW172" i="1"/>
  <c r="AW105" i="1"/>
  <c r="AW89" i="1"/>
  <c r="AW73" i="1"/>
  <c r="AW57" i="1"/>
  <c r="AW42" i="1"/>
  <c r="AW138" i="1"/>
  <c r="AW131" i="1"/>
  <c r="AW123" i="1"/>
  <c r="AW111" i="1"/>
  <c r="AW95" i="1"/>
  <c r="AW79" i="1"/>
  <c r="AW63" i="1"/>
  <c r="AW48" i="1"/>
  <c r="AW32" i="1"/>
  <c r="AW26" i="1"/>
  <c r="AW24" i="1"/>
  <c r="AW22" i="1"/>
  <c r="AW20" i="1"/>
  <c r="AW18" i="1"/>
  <c r="AW16" i="1"/>
  <c r="AW14" i="1"/>
  <c r="AW12" i="1"/>
  <c r="AW9" i="1"/>
  <c r="AU1647" i="1" l="1"/>
  <c r="AU1649" i="1"/>
  <c r="AU1648" i="1"/>
  <c r="AU1646" i="1"/>
  <c r="AU1644" i="1"/>
  <c r="AU1645" i="1"/>
  <c r="AU1643" i="1"/>
  <c r="AU1641" i="1"/>
  <c r="AU1089" i="1"/>
  <c r="AU1637" i="1"/>
  <c r="AU1638" i="1"/>
  <c r="AU1639" i="1"/>
  <c r="AU1640" i="1"/>
  <c r="AU1642" i="1"/>
  <c r="AU1636" i="1"/>
  <c r="AU32" i="1"/>
  <c r="AU258" i="1"/>
  <c r="AU316" i="1"/>
  <c r="AU327" i="1"/>
  <c r="AU794" i="1"/>
  <c r="AU1085" i="1"/>
  <c r="AU963" i="1"/>
  <c r="AU79" i="1"/>
  <c r="AU96" i="1"/>
  <c r="AU71" i="1"/>
  <c r="AU81" i="1"/>
  <c r="AU122" i="1"/>
  <c r="AU59" i="1"/>
  <c r="AU54" i="1"/>
  <c r="AU292" i="1"/>
  <c r="AU211" i="1"/>
  <c r="AU414" i="1"/>
  <c r="AU358" i="1"/>
  <c r="AU410" i="1"/>
  <c r="AU341" i="1"/>
  <c r="AU368" i="1"/>
  <c r="AU689" i="1"/>
  <c r="AU749" i="1"/>
  <c r="AU727" i="1"/>
  <c r="AU802" i="1"/>
  <c r="AU951" i="1"/>
  <c r="AU893" i="1"/>
  <c r="AU941" i="1"/>
  <c r="AU867" i="1"/>
  <c r="AU947" i="1"/>
  <c r="AU921" i="1"/>
  <c r="AU1075" i="1"/>
  <c r="AU1148" i="1"/>
  <c r="AU1211" i="1"/>
  <c r="AU1025" i="1"/>
  <c r="AU1170" i="1"/>
  <c r="AU1017" i="1"/>
  <c r="AU1029" i="1"/>
  <c r="AU1121" i="1"/>
  <c r="AU1184" i="1"/>
  <c r="AU1052" i="1"/>
  <c r="AU1147" i="1"/>
  <c r="AU879" i="1"/>
  <c r="AU1105" i="1"/>
  <c r="AU1129" i="1"/>
  <c r="AU149" i="1"/>
  <c r="AU132" i="1"/>
  <c r="AU485" i="1"/>
  <c r="AU219" i="1"/>
  <c r="AU479" i="1"/>
  <c r="AU898" i="1"/>
  <c r="AU458" i="1"/>
  <c r="AU1015" i="1"/>
  <c r="AU1000" i="1"/>
  <c r="AU441" i="1"/>
  <c r="AU114" i="1"/>
  <c r="AU223" i="1"/>
  <c r="AU418" i="1"/>
  <c r="AU885" i="1"/>
  <c r="AU1140" i="1"/>
  <c r="AU1210" i="1"/>
  <c r="AU1387" i="1"/>
  <c r="AU1541" i="1"/>
  <c r="AU427" i="1"/>
  <c r="AU143" i="1"/>
  <c r="AU864" i="1"/>
  <c r="AU767" i="1"/>
  <c r="AU821" i="1"/>
  <c r="AU82" i="1"/>
  <c r="AU57" i="1"/>
  <c r="AU99" i="1"/>
  <c r="AU61" i="1"/>
  <c r="AU34" i="1"/>
  <c r="AU84" i="1"/>
  <c r="AU130" i="1"/>
  <c r="AU145" i="1"/>
  <c r="AU170" i="1"/>
  <c r="AU370" i="1"/>
  <c r="AU146" i="1"/>
  <c r="AU271" i="1"/>
  <c r="AU294" i="1"/>
  <c r="AU160" i="1"/>
  <c r="AU215" i="1"/>
  <c r="AU283" i="1"/>
  <c r="AU221" i="1"/>
  <c r="AU340" i="1"/>
  <c r="AU291" i="1"/>
  <c r="AU396" i="1"/>
  <c r="AU342" i="1"/>
  <c r="AU303" i="1"/>
  <c r="AU391" i="1"/>
  <c r="AU319" i="1"/>
  <c r="AU705" i="1"/>
  <c r="AU765" i="1"/>
  <c r="AU729" i="1"/>
  <c r="AU810" i="1"/>
  <c r="AU709" i="1"/>
  <c r="AU860" i="1"/>
  <c r="AU901" i="1"/>
  <c r="AU851" i="1"/>
  <c r="AU928" i="1"/>
  <c r="AU1156" i="1"/>
  <c r="AU1253" i="1"/>
  <c r="AU1043" i="1"/>
  <c r="AU1178" i="1"/>
  <c r="AU1101" i="1"/>
  <c r="AU1128" i="1"/>
  <c r="AU1192" i="1"/>
  <c r="AU1155" i="1"/>
  <c r="AU989" i="1"/>
  <c r="AU1060" i="1"/>
  <c r="AU1169" i="1"/>
  <c r="AU1201" i="1"/>
  <c r="AU1268" i="1"/>
  <c r="AU1381" i="1"/>
  <c r="AU1395" i="1"/>
  <c r="AU1527" i="1"/>
  <c r="AU21" i="1"/>
  <c r="AU218" i="1"/>
  <c r="AU477" i="1"/>
  <c r="AU409" i="1"/>
  <c r="AU929" i="1"/>
  <c r="AU803" i="1"/>
  <c r="AU1064" i="1"/>
  <c r="AU1049" i="1"/>
  <c r="AU722" i="1"/>
  <c r="AU46" i="1"/>
  <c r="AU104" i="1"/>
  <c r="AU287" i="1"/>
  <c r="AU191" i="1"/>
  <c r="AU326" i="1"/>
  <c r="AU927" i="1"/>
  <c r="AU35" i="1"/>
  <c r="AU172" i="1"/>
  <c r="AU48" i="1"/>
  <c r="AU64" i="1"/>
  <c r="AU109" i="1"/>
  <c r="AU87" i="1"/>
  <c r="AU137" i="1"/>
  <c r="AU75" i="1"/>
  <c r="AU69" i="1"/>
  <c r="AU281" i="1"/>
  <c r="AU176" i="1"/>
  <c r="AU328" i="1"/>
  <c r="AU167" i="1"/>
  <c r="AU314" i="1"/>
  <c r="AU107" i="1"/>
  <c r="AU366" i="1"/>
  <c r="AU404" i="1"/>
  <c r="AU332" i="1"/>
  <c r="AU350" i="1"/>
  <c r="AU356" i="1"/>
  <c r="AU380" i="1"/>
  <c r="AU721" i="1"/>
  <c r="AU781" i="1"/>
  <c r="AU745" i="1"/>
  <c r="AU679" i="1"/>
  <c r="AU743" i="1"/>
  <c r="AU818" i="1"/>
  <c r="AU959" i="1"/>
  <c r="AU909" i="1"/>
  <c r="AU949" i="1"/>
  <c r="AU862" i="1"/>
  <c r="AU936" i="1"/>
  <c r="AU919" i="1"/>
  <c r="AU977" i="1"/>
  <c r="AU1097" i="1"/>
  <c r="AU1164" i="1"/>
  <c r="AU871" i="1"/>
  <c r="AU1083" i="1"/>
  <c r="AU887" i="1"/>
  <c r="AU1186" i="1"/>
  <c r="AU1044" i="1"/>
  <c r="AU1136" i="1"/>
  <c r="AU1200" i="1"/>
  <c r="AU1163" i="1"/>
  <c r="AU895" i="1"/>
  <c r="AU1111" i="1"/>
  <c r="AU1137" i="1"/>
  <c r="AU31" i="1"/>
  <c r="AU197" i="1"/>
  <c r="AU407" i="1"/>
  <c r="AU1076" i="1"/>
  <c r="AU430" i="1"/>
  <c r="AU719" i="1"/>
  <c r="AU998" i="1"/>
  <c r="AU954" i="1"/>
  <c r="AU1244" i="1"/>
  <c r="AU1361" i="1"/>
  <c r="AU965" i="1"/>
  <c r="AU93" i="1"/>
  <c r="AU318" i="1"/>
  <c r="AU693" i="1"/>
  <c r="AU913" i="1"/>
  <c r="AU1005" i="1"/>
  <c r="AU1193" i="1"/>
  <c r="AU156" i="1"/>
  <c r="AU51" i="1"/>
  <c r="AU95" i="1"/>
  <c r="AU13" i="1"/>
  <c r="AU73" i="1"/>
  <c r="AU36" i="1"/>
  <c r="AU115" i="1"/>
  <c r="AU50" i="1"/>
  <c r="AU97" i="1"/>
  <c r="AU378" i="1"/>
  <c r="AU302" i="1"/>
  <c r="AU174" i="1"/>
  <c r="AU250" i="1"/>
  <c r="AU242" i="1"/>
  <c r="AU234" i="1"/>
  <c r="AU346" i="1"/>
  <c r="AU487" i="1"/>
  <c r="AU299" i="1"/>
  <c r="AU381" i="1"/>
  <c r="AU400" i="1"/>
  <c r="AU334" i="1"/>
  <c r="AU403" i="1"/>
  <c r="AU737" i="1"/>
  <c r="AU855" i="1"/>
  <c r="AU761" i="1"/>
  <c r="AU826" i="1"/>
  <c r="AU725" i="1"/>
  <c r="AU847" i="1"/>
  <c r="AU866" i="1"/>
  <c r="AU917" i="1"/>
  <c r="AU881" i="1"/>
  <c r="AU1172" i="1"/>
  <c r="AU1109" i="1"/>
  <c r="AU1091" i="1"/>
  <c r="AU1194" i="1"/>
  <c r="AU1144" i="1"/>
  <c r="AU911" i="1"/>
  <c r="AU1171" i="1"/>
  <c r="AU1021" i="1"/>
  <c r="AU1063" i="1"/>
  <c r="AU1177" i="1"/>
  <c r="AU1223" i="1"/>
  <c r="AU1272" i="1"/>
  <c r="AU1383" i="1"/>
  <c r="AU1397" i="1"/>
  <c r="AU1535" i="1"/>
  <c r="AU41" i="1"/>
  <c r="AU15" i="1"/>
  <c r="AU465" i="1"/>
  <c r="AU1159" i="1"/>
  <c r="AU863" i="1"/>
  <c r="AU684" i="1"/>
  <c r="AU163" i="1"/>
  <c r="AU33" i="1"/>
  <c r="AU1039" i="1"/>
  <c r="AU849" i="1"/>
  <c r="AU1241" i="1"/>
  <c r="AU72" i="1"/>
  <c r="AU1034" i="1"/>
  <c r="AU353" i="1"/>
  <c r="AU1289" i="1"/>
  <c r="AU16" i="1"/>
  <c r="AU1054" i="1"/>
  <c r="AU45" i="1"/>
  <c r="AU151" i="1"/>
  <c r="AU298" i="1"/>
  <c r="AU311" i="1"/>
  <c r="AU300" i="1"/>
  <c r="AU697" i="1"/>
  <c r="AU1033" i="1"/>
  <c r="AU1162" i="1"/>
  <c r="AU1266" i="1"/>
  <c r="AU309" i="1"/>
  <c r="AU29" i="1"/>
  <c r="AU17" i="1"/>
  <c r="AU77" i="1"/>
  <c r="AU40" i="1"/>
  <c r="AU103" i="1"/>
  <c r="AU100" i="1"/>
  <c r="AU28" i="1"/>
  <c r="AU91" i="1"/>
  <c r="AU85" i="1"/>
  <c r="AU154" i="1"/>
  <c r="AU289" i="1"/>
  <c r="AU184" i="1"/>
  <c r="AU336" i="1"/>
  <c r="AU198" i="1"/>
  <c r="AU279" i="1"/>
  <c r="AU199" i="1"/>
  <c r="AU188" i="1"/>
  <c r="AU290" i="1"/>
  <c r="AU322" i="1"/>
  <c r="AU127" i="1"/>
  <c r="AU475" i="1"/>
  <c r="AU338" i="1"/>
  <c r="AU364" i="1"/>
  <c r="AU502" i="1"/>
  <c r="AU376" i="1"/>
  <c r="AU348" i="1"/>
  <c r="AU469" i="1"/>
  <c r="AU357" i="1"/>
  <c r="AU753" i="1"/>
  <c r="AU685" i="1"/>
  <c r="AU777" i="1"/>
  <c r="AU695" i="1"/>
  <c r="AU759" i="1"/>
  <c r="AU834" i="1"/>
  <c r="AU925" i="1"/>
  <c r="AU957" i="1"/>
  <c r="AU889" i="1"/>
  <c r="AU1117" i="1"/>
  <c r="AU1180" i="1"/>
  <c r="AU903" i="1"/>
  <c r="AU1138" i="1"/>
  <c r="AU1202" i="1"/>
  <c r="AU858" i="1"/>
  <c r="AU1107" i="1"/>
  <c r="AU1152" i="1"/>
  <c r="AU1179" i="1"/>
  <c r="AU934" i="1"/>
  <c r="AU1114" i="1"/>
  <c r="AU1145" i="1"/>
  <c r="AU25" i="1"/>
  <c r="AU56" i="1"/>
  <c r="AU706" i="1"/>
  <c r="AU210" i="1"/>
  <c r="AU1099" i="1"/>
  <c r="AU1086" i="1"/>
  <c r="AU680" i="1"/>
  <c r="AU264" i="1"/>
  <c r="AU164" i="1"/>
  <c r="AU1339" i="1"/>
  <c r="AU1355" i="1"/>
  <c r="AU245" i="1"/>
  <c r="AU1567" i="1"/>
  <c r="AU1073" i="1"/>
  <c r="AU1042" i="1"/>
  <c r="AU766" i="1"/>
  <c r="AU702" i="1"/>
  <c r="AU359" i="1"/>
  <c r="AU809" i="1"/>
  <c r="AU472" i="1"/>
  <c r="AU244" i="1"/>
  <c r="AU142" i="1"/>
  <c r="AU1232" i="1"/>
  <c r="AU1088" i="1"/>
  <c r="AU1024" i="1"/>
  <c r="AU988" i="1"/>
  <c r="AU916" i="1"/>
  <c r="AU397" i="1"/>
  <c r="AU284" i="1"/>
  <c r="AU1551" i="1"/>
  <c r="AU247" i="1"/>
  <c r="AU1569" i="1"/>
  <c r="AU1040" i="1"/>
  <c r="AU1003" i="1"/>
  <c r="AU844" i="1"/>
  <c r="AU740" i="1"/>
  <c r="AU704" i="1"/>
  <c r="AU443" i="1"/>
  <c r="AU1565" i="1"/>
  <c r="AU823" i="1"/>
  <c r="AU494" i="1"/>
  <c r="AU246" i="1"/>
  <c r="AU144" i="1"/>
  <c r="AU18" i="1"/>
  <c r="AU1307" i="1"/>
  <c r="AU1067" i="1"/>
  <c r="AU1018" i="1"/>
  <c r="AU982" i="1"/>
  <c r="AU918" i="1"/>
  <c r="AU882" i="1"/>
  <c r="AU293" i="1"/>
  <c r="AU1103" i="1"/>
  <c r="AU118" i="1"/>
  <c r="AU1158" i="1"/>
  <c r="AU958" i="1"/>
  <c r="AU23" i="1"/>
  <c r="AU195" i="1"/>
  <c r="AU742" i="1"/>
  <c r="AU1175" i="1"/>
  <c r="AU389" i="1"/>
  <c r="AU1151" i="1"/>
  <c r="AU828" i="1"/>
  <c r="AU1231" i="1"/>
  <c r="AU88" i="1"/>
  <c r="AU282" i="1"/>
  <c r="AU1552" i="1"/>
  <c r="AU1174" i="1"/>
  <c r="AU496" i="1"/>
  <c r="AU186" i="1"/>
  <c r="AU379" i="1"/>
  <c r="AU1213" i="1"/>
  <c r="AU822" i="1"/>
  <c r="AU495" i="1"/>
  <c r="AU185" i="1"/>
  <c r="AU975" i="1"/>
  <c r="AU442" i="1"/>
  <c r="AU908" i="1"/>
  <c r="AU1198" i="1"/>
  <c r="AU755" i="1"/>
  <c r="AU444" i="1"/>
  <c r="AU385" i="1"/>
  <c r="AU1098" i="1"/>
  <c r="AU950" i="1"/>
  <c r="AU792" i="1"/>
  <c r="AU395" i="1"/>
  <c r="AU944" i="1"/>
  <c r="AU703" i="1"/>
  <c r="AU228" i="1"/>
  <c r="AU1530" i="1"/>
  <c r="AU967" i="1"/>
  <c r="AU716" i="1"/>
  <c r="AU177" i="1"/>
  <c r="AU39" i="1"/>
  <c r="AU1345" i="1"/>
  <c r="AU241" i="1"/>
  <c r="AU1337" i="1"/>
  <c r="AU1069" i="1"/>
  <c r="AU1038" i="1"/>
  <c r="AU762" i="1"/>
  <c r="AU690" i="1"/>
  <c r="AU355" i="1"/>
  <c r="AU805" i="1"/>
  <c r="AU468" i="1"/>
  <c r="AU240" i="1"/>
  <c r="AU138" i="1"/>
  <c r="AU948" i="1"/>
  <c r="AU1080" i="1"/>
  <c r="AU1016" i="1"/>
  <c r="AU984" i="1"/>
  <c r="AU912" i="1"/>
  <c r="AU393" i="1"/>
  <c r="AU280" i="1"/>
  <c r="AU1547" i="1"/>
  <c r="AU239" i="1"/>
  <c r="AU1353" i="1"/>
  <c r="AU1035" i="1"/>
  <c r="AU999" i="1"/>
  <c r="AU780" i="1"/>
  <c r="AU736" i="1"/>
  <c r="AU700" i="1"/>
  <c r="AU439" i="1"/>
  <c r="AU1367" i="1"/>
  <c r="AU819" i="1"/>
  <c r="AU486" i="1"/>
  <c r="AU238" i="1"/>
  <c r="AU140" i="1"/>
  <c r="AU14" i="1"/>
  <c r="AU1297" i="1"/>
  <c r="AU1059" i="1"/>
  <c r="AU1014" i="1"/>
  <c r="AU974" i="1"/>
  <c r="AU914" i="1"/>
  <c r="AU878" i="1"/>
  <c r="AU286" i="1"/>
  <c r="AU1386" i="1"/>
  <c r="AU1562" i="1"/>
  <c r="AU1316" i="1"/>
  <c r="AU940" i="1"/>
  <c r="AU891" i="1"/>
  <c r="AU182" i="1"/>
  <c r="AU723" i="1"/>
  <c r="AU263" i="1"/>
  <c r="AU1123" i="1"/>
  <c r="AU771" i="1"/>
  <c r="AU175" i="1"/>
  <c r="AU1143" i="1"/>
  <c r="AU763" i="1"/>
  <c r="AU868" i="1"/>
  <c r="AU267" i="1"/>
  <c r="AU62" i="1"/>
  <c r="AU707" i="1"/>
  <c r="AU265" i="1"/>
  <c r="AU208" i="1"/>
  <c r="AU1394" i="1"/>
  <c r="AU1167" i="1"/>
  <c r="AU493" i="1"/>
  <c r="AU171" i="1"/>
  <c r="AU1149" i="1"/>
  <c r="AU361" i="1"/>
  <c r="AU92" i="1"/>
  <c r="AU1173" i="1"/>
  <c r="AU946" i="1"/>
  <c r="AU808" i="1"/>
  <c r="AU173" i="1"/>
  <c r="AU413" i="1"/>
  <c r="AU108" i="1"/>
  <c r="AU1191" i="1"/>
  <c r="AU222" i="1"/>
  <c r="AU731" i="1"/>
  <c r="AU1396" i="1"/>
  <c r="AU930" i="1"/>
  <c r="AU778" i="1"/>
  <c r="AU181" i="1"/>
  <c r="AU1556" i="1"/>
  <c r="AU1247" i="1"/>
  <c r="AU876" i="1"/>
  <c r="AU411" i="1"/>
  <c r="AU1313" i="1"/>
  <c r="AU237" i="1"/>
  <c r="AU1319" i="1"/>
  <c r="AU1066" i="1"/>
  <c r="AU985" i="1"/>
  <c r="AU750" i="1"/>
  <c r="AU686" i="1"/>
  <c r="AU339" i="1"/>
  <c r="AU801" i="1"/>
  <c r="AU464" i="1"/>
  <c r="AU236" i="1"/>
  <c r="AU123" i="1"/>
  <c r="AU825" i="1"/>
  <c r="AU1072" i="1"/>
  <c r="AU1012" i="1"/>
  <c r="AU976" i="1"/>
  <c r="AU904" i="1"/>
  <c r="AU377" i="1"/>
  <c r="AU276" i="1"/>
  <c r="AU1357" i="1"/>
  <c r="AU235" i="1"/>
  <c r="AU1087" i="1"/>
  <c r="AU1031" i="1"/>
  <c r="AU991" i="1"/>
  <c r="AU768" i="1"/>
  <c r="AU732" i="1"/>
  <c r="AU696" i="1"/>
  <c r="AU435" i="1"/>
  <c r="AU1317" i="1"/>
  <c r="AU815" i="1"/>
  <c r="AU482" i="1"/>
  <c r="AU166" i="1"/>
  <c r="AU136" i="1"/>
  <c r="AU6" i="1"/>
  <c r="AU1260" i="1"/>
  <c r="AU1010" i="1"/>
  <c r="AU966" i="1"/>
  <c r="AU910" i="1"/>
  <c r="AU371" i="1"/>
  <c r="AU262" i="1"/>
  <c r="AU266" i="1"/>
  <c r="AU1368" i="1"/>
  <c r="AU715" i="1"/>
  <c r="AU824" i="1"/>
  <c r="AU850" i="1"/>
  <c r="AU1540" i="1"/>
  <c r="AU853" i="1"/>
  <c r="AU1078" i="1"/>
  <c r="AU1094" i="1"/>
  <c r="AU738" i="1"/>
  <c r="AU147" i="1"/>
  <c r="AU1100" i="1"/>
  <c r="AU1536" i="1"/>
  <c r="AU192" i="1"/>
  <c r="AU1320" i="1"/>
  <c r="AU505" i="1"/>
  <c r="AU178" i="1"/>
  <c r="AU1344" i="1"/>
  <c r="AU1115" i="1"/>
  <c r="AU964" i="1"/>
  <c r="AU490" i="1"/>
  <c r="AU1142" i="1"/>
  <c r="AU78" i="1"/>
  <c r="AU1166" i="1"/>
  <c r="AU384" i="1"/>
  <c r="AU367" i="1"/>
  <c r="AU434" i="1"/>
  <c r="AU861" i="1"/>
  <c r="AU1570" i="1"/>
  <c r="AU1127" i="1"/>
  <c r="AU874" i="1"/>
  <c r="AU735" i="1"/>
  <c r="AU436" i="1"/>
  <c r="AU1364" i="1"/>
  <c r="AU438" i="1"/>
  <c r="AU382" i="1"/>
  <c r="AU1548" i="1"/>
  <c r="AU1197" i="1"/>
  <c r="AU224" i="1"/>
  <c r="AU806" i="1"/>
  <c r="AU459" i="1"/>
  <c r="AU432" i="1"/>
  <c r="AU1372" i="1"/>
  <c r="AU892" i="1"/>
  <c r="AU1303" i="1"/>
  <c r="AU233" i="1"/>
  <c r="AU1287" i="1"/>
  <c r="AU1062" i="1"/>
  <c r="AU981" i="1"/>
  <c r="AU734" i="1"/>
  <c r="AU453" i="1"/>
  <c r="AU335" i="1"/>
  <c r="AU797" i="1"/>
  <c r="AU417" i="1"/>
  <c r="AU232" i="1"/>
  <c r="AU24" i="1"/>
  <c r="AU1559" i="1"/>
  <c r="AU1065" i="1"/>
  <c r="AU1008" i="1"/>
  <c r="AU968" i="1"/>
  <c r="AU900" i="1"/>
  <c r="AU369" i="1"/>
  <c r="AU272" i="1"/>
  <c r="AU1343" i="1"/>
  <c r="AU7" i="1"/>
  <c r="AU1079" i="1"/>
  <c r="AU1027" i="1"/>
  <c r="AU987" i="1"/>
  <c r="AU764" i="1"/>
  <c r="AU728" i="1"/>
  <c r="AU692" i="1"/>
  <c r="AU431" i="1"/>
  <c r="AU1275" i="1"/>
  <c r="AU811" i="1"/>
  <c r="AU478" i="1"/>
  <c r="AU162" i="1"/>
  <c r="AU133" i="1"/>
  <c r="AU2" i="1"/>
  <c r="AU1254" i="1"/>
  <c r="AU1051" i="1"/>
  <c r="AU1006" i="1"/>
  <c r="AU937" i="1"/>
  <c r="AU906" i="1"/>
  <c r="AU321" i="1"/>
  <c r="AU848" i="1"/>
  <c r="AU37" i="1"/>
  <c r="AU1534" i="1"/>
  <c r="AU1324" i="1"/>
  <c r="AU804" i="1"/>
  <c r="AU1546" i="1"/>
  <c r="AU205" i="1"/>
  <c r="AU269" i="1"/>
  <c r="AU1084" i="1"/>
  <c r="AU682" i="1"/>
  <c r="AU106" i="1"/>
  <c r="AU501" i="1"/>
  <c r="AU180" i="1"/>
  <c r="AU1157" i="1"/>
  <c r="AU471" i="1"/>
  <c r="AU1290" i="1"/>
  <c r="AU1108" i="1"/>
  <c r="AU467" i="1"/>
  <c r="AU161" i="1"/>
  <c r="AU1135" i="1"/>
  <c r="AU907" i="1"/>
  <c r="AU739" i="1"/>
  <c r="AU347" i="1"/>
  <c r="AU678" i="1"/>
  <c r="AU203" i="1"/>
  <c r="AU1118" i="1"/>
  <c r="AU698" i="1"/>
  <c r="AU155" i="1"/>
  <c r="AU500" i="1"/>
  <c r="AU225" i="1"/>
  <c r="AU1304" i="1"/>
  <c r="AU880" i="1"/>
  <c r="AU751" i="1"/>
  <c r="AU343" i="1"/>
  <c r="AU165" i="1"/>
  <c r="AU1402" i="1"/>
  <c r="AU1190" i="1"/>
  <c r="AU859" i="1"/>
  <c r="AU770" i="1"/>
  <c r="AU201" i="1"/>
  <c r="AU1360" i="1"/>
  <c r="AU699" i="1"/>
  <c r="AU1291" i="1"/>
  <c r="AU229" i="1"/>
  <c r="AU1283" i="1"/>
  <c r="AU1058" i="1"/>
  <c r="AU969" i="1"/>
  <c r="AU730" i="1"/>
  <c r="AU445" i="1"/>
  <c r="AU833" i="1"/>
  <c r="AU790" i="1"/>
  <c r="AU405" i="1"/>
  <c r="AU20" i="1"/>
  <c r="AU1555" i="1"/>
  <c r="AU1057" i="1"/>
  <c r="AU1004" i="1"/>
  <c r="AU931" i="1"/>
  <c r="AU888" i="1"/>
  <c r="AU315" i="1"/>
  <c r="AU268" i="1"/>
  <c r="AU1305" i="1"/>
  <c r="AU3" i="1"/>
  <c r="AU1071" i="1"/>
  <c r="AU1023" i="1"/>
  <c r="AU983" i="1"/>
  <c r="AU760" i="1"/>
  <c r="AU724" i="1"/>
  <c r="AU688" i="1"/>
  <c r="AU423" i="1"/>
  <c r="AU807" i="1"/>
  <c r="AU470" i="1"/>
  <c r="AU159" i="1"/>
  <c r="AU129" i="1"/>
  <c r="AU1561" i="1"/>
  <c r="AU1090" i="1"/>
  <c r="AU1047" i="1"/>
  <c r="AU1002" i="1"/>
  <c r="AU933" i="1"/>
  <c r="AU902" i="1"/>
  <c r="AU313" i="1"/>
  <c r="AU204" i="1"/>
  <c r="AU1130" i="1"/>
  <c r="AU1374" i="1"/>
  <c r="AU363" i="1"/>
  <c r="AU473" i="1"/>
  <c r="AU754" i="1"/>
  <c r="AU1134" i="1"/>
  <c r="AU202" i="1"/>
  <c r="AU923" i="1"/>
  <c r="AU102" i="1"/>
  <c r="AU433" i="1"/>
  <c r="AU5" i="1"/>
  <c r="AU187" i="1"/>
  <c r="AU1106" i="1"/>
  <c r="AU498" i="1"/>
  <c r="AU74" i="1"/>
  <c r="AU126" i="1"/>
  <c r="AU1267" i="1"/>
  <c r="AU1102" i="1"/>
  <c r="AU812" i="1"/>
  <c r="AU1494" i="1"/>
  <c r="AU261" i="1"/>
  <c r="AU141" i="1"/>
  <c r="AU842" i="1"/>
  <c r="AU428" i="1"/>
  <c r="AU870" i="1"/>
  <c r="AU1286" i="1"/>
  <c r="AU683" i="1"/>
  <c r="AU1390" i="1"/>
  <c r="AU1183" i="1"/>
  <c r="AU448" i="1"/>
  <c r="AU1119" i="1"/>
  <c r="AU875" i="1"/>
  <c r="AU504" i="1"/>
  <c r="AU230" i="1"/>
  <c r="AU134" i="1"/>
  <c r="AU1543" i="1"/>
  <c r="AU253" i="1"/>
  <c r="AU1549" i="1"/>
  <c r="AU1081" i="1"/>
  <c r="AU1050" i="1"/>
  <c r="AU846" i="1"/>
  <c r="AU718" i="1"/>
  <c r="AU437" i="1"/>
  <c r="AU817" i="1"/>
  <c r="AU488" i="1"/>
  <c r="AU252" i="1"/>
  <c r="AU158" i="1"/>
  <c r="AU8" i="1"/>
  <c r="AU1347" i="1"/>
  <c r="AU1041" i="1"/>
  <c r="AU996" i="1"/>
  <c r="AU924" i="1"/>
  <c r="AU872" i="1"/>
  <c r="AU295" i="1"/>
  <c r="AU260" i="1"/>
  <c r="AU1240" i="1"/>
  <c r="AU960" i="1"/>
  <c r="AU1056" i="1"/>
  <c r="AU1011" i="1"/>
  <c r="AU856" i="1"/>
  <c r="AU752" i="1"/>
  <c r="AU712" i="1"/>
  <c r="AU451" i="1"/>
  <c r="AU337" i="1"/>
  <c r="AU831" i="1"/>
  <c r="AU799" i="1"/>
  <c r="AU415" i="1"/>
  <c r="AU152" i="1"/>
  <c r="AU26" i="1"/>
  <c r="AU1359" i="1"/>
  <c r="AU1074" i="1"/>
  <c r="AU1026" i="1"/>
  <c r="AU994" i="1"/>
  <c r="AU926" i="1"/>
  <c r="AU894" i="1"/>
  <c r="AU305" i="1"/>
  <c r="AU331" i="1"/>
  <c r="AU169" i="1"/>
  <c r="AU1594" i="1"/>
  <c r="AU1068" i="1"/>
  <c r="AU1560" i="1"/>
  <c r="AU814" i="1"/>
  <c r="AU1095" i="1"/>
  <c r="AU387" i="1"/>
  <c r="AU1356" i="1"/>
  <c r="AU978" i="1"/>
  <c r="AU474" i="1"/>
  <c r="AU76" i="1"/>
  <c r="AU1214" i="1"/>
  <c r="AU820" i="1"/>
  <c r="AU278" i="1"/>
  <c r="AU726" i="1"/>
  <c r="AU1300" i="1"/>
  <c r="AU694" i="1"/>
  <c r="AU200" i="1"/>
  <c r="AU60" i="1"/>
  <c r="AU450" i="1"/>
  <c r="AU935" i="1"/>
  <c r="AU1328" i="1"/>
  <c r="AU1020" i="1"/>
  <c r="AU1564" i="1"/>
  <c r="AU333" i="1"/>
  <c r="AU121" i="1"/>
  <c r="AU1378" i="1"/>
  <c r="AU956" i="1"/>
  <c r="AU789" i="1"/>
  <c r="AU710" i="1"/>
  <c r="AU1558" i="1"/>
  <c r="AU816" i="1"/>
  <c r="AU249" i="1"/>
  <c r="AU1545" i="1"/>
  <c r="AU1077" i="1"/>
  <c r="AU1046" i="1"/>
  <c r="AU782" i="1"/>
  <c r="AU714" i="1"/>
  <c r="AU429" i="1"/>
  <c r="AU813" i="1"/>
  <c r="AU476" i="1"/>
  <c r="AU248" i="1"/>
  <c r="AU150" i="1"/>
  <c r="AU4" i="1"/>
  <c r="AU1273" i="1"/>
  <c r="AU1028" i="1"/>
  <c r="AU992" i="1"/>
  <c r="AU920" i="1"/>
  <c r="AU401" i="1"/>
  <c r="AU288" i="1"/>
  <c r="AU1365" i="1"/>
  <c r="AU251" i="1"/>
  <c r="AU829" i="1"/>
  <c r="AU1048" i="1"/>
  <c r="AU1007" i="1"/>
  <c r="AU852" i="1"/>
  <c r="AU744" i="1"/>
  <c r="AU708" i="1"/>
  <c r="AU447" i="1"/>
  <c r="AU329" i="1"/>
  <c r="AU827" i="1"/>
  <c r="AU795" i="1"/>
  <c r="AU254" i="1"/>
  <c r="AU148" i="1"/>
  <c r="AU22" i="1"/>
  <c r="AU1349" i="1"/>
  <c r="AU1070" i="1"/>
  <c r="AU1022" i="1"/>
  <c r="AU990" i="1"/>
  <c r="AU922" i="1"/>
  <c r="AU890" i="1"/>
  <c r="AU297" i="1"/>
  <c r="AU841" i="1"/>
  <c r="AU1568" i="1"/>
  <c r="AU1141" i="1"/>
  <c r="AU1544" i="1"/>
  <c r="AU179" i="1"/>
  <c r="AU399" i="1"/>
  <c r="AU980" i="1"/>
  <c r="AU1348" i="1"/>
  <c r="AU1189" i="1"/>
  <c r="AU843" i="1"/>
  <c r="AU1312" i="1"/>
  <c r="AU899" i="1"/>
  <c r="AU112" i="1"/>
  <c r="AU449" i="1"/>
  <c r="AU1181" i="1"/>
  <c r="AU1061" i="1"/>
  <c r="AU758" i="1"/>
  <c r="AU189" i="1"/>
  <c r="AU47" i="1"/>
  <c r="AU463" i="1"/>
  <c r="AU216" i="1"/>
  <c r="AU832" i="1"/>
  <c r="AU687" i="1"/>
  <c r="AU193" i="1"/>
  <c r="AU27" i="1"/>
  <c r="AU691" i="1"/>
  <c r="AU139" i="1"/>
  <c r="AU1308" i="1"/>
  <c r="AU915" i="1"/>
  <c r="AU779" i="1"/>
  <c r="AU483" i="1"/>
  <c r="AU375" i="1"/>
  <c r="AU800" i="1"/>
  <c r="AU457" i="1"/>
  <c r="AU1133" i="1"/>
  <c r="AU796" i="1"/>
  <c r="AU446" i="1"/>
  <c r="AU1342" i="1"/>
  <c r="AU466" i="1"/>
  <c r="AU896" i="1"/>
  <c r="AU440" i="1"/>
  <c r="AU374" i="1"/>
  <c r="AU961" i="1"/>
  <c r="AU1139" i="1"/>
  <c r="AU979" i="1"/>
  <c r="AU1282" i="1"/>
  <c r="AU1401" i="1"/>
  <c r="AU1352" i="1"/>
  <c r="AU90" i="1"/>
  <c r="AU86" i="1"/>
  <c r="AU98" i="1"/>
  <c r="AU19" i="1"/>
  <c r="AU89" i="1"/>
  <c r="AU80" i="1"/>
  <c r="AU43" i="1"/>
  <c r="AU65" i="1"/>
  <c r="AU206" i="1"/>
  <c r="AU128" i="1"/>
  <c r="AU386" i="1"/>
  <c r="AU135" i="1"/>
  <c r="AU183" i="1"/>
  <c r="AU304" i="1"/>
  <c r="AU392" i="1"/>
  <c r="AU320" i="1"/>
  <c r="AU372" i="1"/>
  <c r="AU491" i="1"/>
  <c r="AU308" i="1"/>
  <c r="AU312" i="1"/>
  <c r="AU388" i="1"/>
  <c r="AU497" i="1"/>
  <c r="AU412" i="1"/>
  <c r="AU769" i="1"/>
  <c r="AU701" i="1"/>
  <c r="AU845" i="1"/>
  <c r="AU741" i="1"/>
  <c r="AU869" i="1"/>
  <c r="AU897" i="1"/>
  <c r="AU1001" i="1"/>
  <c r="AU953" i="1"/>
  <c r="AU1013" i="1"/>
  <c r="AU1125" i="1"/>
  <c r="AU1188" i="1"/>
  <c r="AU945" i="1"/>
  <c r="AU1146" i="1"/>
  <c r="AU1110" i="1"/>
  <c r="AU1160" i="1"/>
  <c r="AU1116" i="1"/>
  <c r="AU1187" i="1"/>
  <c r="AU1030" i="1"/>
  <c r="AU1082" i="1"/>
  <c r="AU1185" i="1"/>
  <c r="AU1276" i="1"/>
  <c r="AU1385" i="1"/>
  <c r="AU1399" i="1"/>
  <c r="AU1539" i="1"/>
  <c r="AU53" i="1"/>
  <c r="AU94" i="1"/>
  <c r="AU1398" i="1"/>
  <c r="AU373" i="1"/>
  <c r="AU1384" i="1"/>
  <c r="AU110" i="1"/>
  <c r="AU883" i="1"/>
  <c r="AU484" i="1"/>
  <c r="AU1112" i="1"/>
  <c r="AU1150" i="1"/>
  <c r="AU157" i="1"/>
  <c r="AU865" i="1"/>
  <c r="AU1557" i="1"/>
  <c r="AU720" i="1"/>
  <c r="AU307" i="1"/>
  <c r="AU256" i="1"/>
  <c r="AU1553" i="1"/>
  <c r="AU105" i="1"/>
  <c r="AU116" i="1"/>
  <c r="AU394" i="1"/>
  <c r="AU398" i="1"/>
  <c r="AU420" i="1"/>
  <c r="AU733" i="1"/>
  <c r="AU757" i="1"/>
  <c r="AU1204" i="1"/>
  <c r="AU1176" i="1"/>
  <c r="AU1182" i="1"/>
  <c r="AU63" i="1"/>
  <c r="AU66" i="1"/>
  <c r="AU111" i="1"/>
  <c r="AU42" i="1"/>
  <c r="AU67" i="1"/>
  <c r="AU119" i="1"/>
  <c r="AU68" i="1"/>
  <c r="AU113" i="1"/>
  <c r="AU44" i="1"/>
  <c r="AU38" i="1"/>
  <c r="AU101" i="1"/>
  <c r="AU212" i="1"/>
  <c r="AU344" i="1"/>
  <c r="AU207" i="1"/>
  <c r="AU217" i="1"/>
  <c r="AU285" i="1"/>
  <c r="AU196" i="1"/>
  <c r="AU275" i="1"/>
  <c r="AU406" i="1"/>
  <c r="AU349" i="1"/>
  <c r="AU480" i="1"/>
  <c r="AU390" i="1"/>
  <c r="AU408" i="1"/>
  <c r="AU354" i="1"/>
  <c r="AU717" i="1"/>
  <c r="AU681" i="1"/>
  <c r="AU711" i="1"/>
  <c r="AU943" i="1"/>
  <c r="AU877" i="1"/>
  <c r="AU854" i="1"/>
  <c r="AU905" i="1"/>
  <c r="AU1053" i="1"/>
  <c r="AU1132" i="1"/>
  <c r="AU1196" i="1"/>
  <c r="AU1154" i="1"/>
  <c r="AU1113" i="1"/>
  <c r="AU1168" i="1"/>
  <c r="AU1009" i="1"/>
  <c r="AU1124" i="1"/>
  <c r="AU1195" i="1"/>
  <c r="AU1045" i="1"/>
  <c r="AU1122" i="1"/>
  <c r="AU1153" i="1"/>
  <c r="AU70" i="1"/>
  <c r="AU365" i="1"/>
  <c r="AU798" i="1"/>
  <c r="AU1550" i="1"/>
  <c r="AU489" i="1"/>
  <c r="AU1362" i="1"/>
  <c r="AU830" i="1"/>
  <c r="AU190" i="1"/>
  <c r="AU125" i="1"/>
  <c r="AU756" i="1"/>
  <c r="AU884" i="1"/>
  <c r="AU492" i="1"/>
  <c r="AU257" i="1"/>
  <c r="AU995" i="1"/>
  <c r="AU52" i="1"/>
  <c r="AU153" i="1"/>
  <c r="AU455" i="1"/>
  <c r="AU793" i="1"/>
  <c r="AU670" i="1"/>
  <c r="AU955" i="1"/>
  <c r="AU1233" i="1"/>
  <c r="AU1161" i="1"/>
  <c r="AU306" i="1"/>
  <c r="AU775" i="1"/>
  <c r="AU1230" i="1"/>
  <c r="AU462" i="1"/>
  <c r="AU323" i="1"/>
  <c r="AU460" i="1"/>
  <c r="AU425" i="1"/>
  <c r="AU530" i="1"/>
  <c r="AU424" i="1"/>
  <c r="AU1630" i="1"/>
  <c r="AU971" i="1"/>
  <c r="AU352" i="1"/>
  <c r="AU243" i="1"/>
  <c r="AU747" i="1"/>
  <c r="AU785" i="1"/>
  <c r="AU546" i="1"/>
  <c r="AU997" i="1"/>
  <c r="AU1627" i="1"/>
  <c r="AU838" i="1"/>
  <c r="AU11" i="1"/>
  <c r="AU12" i="1"/>
  <c r="AU131" i="1"/>
  <c r="AU30" i="1"/>
  <c r="AU231" i="1"/>
  <c r="AU986" i="1"/>
  <c r="AU351" i="1"/>
  <c r="AU83" i="1"/>
  <c r="AU277" i="1"/>
  <c r="AU658" i="1"/>
  <c r="AU773" i="1"/>
  <c r="AU1629" i="1"/>
  <c r="AU1341" i="1"/>
  <c r="AU1524" i="1"/>
  <c r="AU840" i="1"/>
  <c r="AU214" i="1"/>
  <c r="AU461" i="1"/>
  <c r="AU632" i="1"/>
  <c r="AU772" i="1"/>
  <c r="AU1298" i="1"/>
  <c r="AU1635" i="1"/>
  <c r="AU1366" i="1"/>
  <c r="AU1631" i="1"/>
  <c r="AU932" i="1"/>
  <c r="AU1330" i="1"/>
  <c r="AU1096" i="1"/>
  <c r="AU1632" i="1"/>
  <c r="AU1634" i="1"/>
  <c r="AU1340" i="1"/>
  <c r="AU1019" i="1"/>
  <c r="AU784" i="1"/>
  <c r="AU117" i="1"/>
  <c r="AU49" i="1"/>
  <c r="AU1599" i="1"/>
  <c r="AU255" i="1"/>
  <c r="AU604" i="1"/>
  <c r="AU416" i="1"/>
  <c r="AU776" i="1"/>
  <c r="AU1032" i="1"/>
  <c r="AU973" i="1"/>
  <c r="AU886" i="1"/>
  <c r="AU1131" i="1"/>
  <c r="AU1323" i="1"/>
  <c r="AU1104" i="1"/>
  <c r="AU194" i="1"/>
  <c r="AU746" i="1"/>
  <c r="AU993" i="1"/>
  <c r="AU55" i="1"/>
  <c r="AU213" i="1"/>
  <c r="AU657" i="1"/>
  <c r="AU58" i="1"/>
  <c r="AU9" i="1"/>
  <c r="AU209" i="1"/>
  <c r="AU317" i="1"/>
  <c r="AU274" i="1"/>
  <c r="AU273" i="1"/>
  <c r="AU220" i="1"/>
  <c r="AU124" i="1"/>
  <c r="AU1165" i="1"/>
  <c r="AU270" i="1"/>
  <c r="AU301" i="1"/>
  <c r="AU616" i="1"/>
  <c r="AU748" i="1"/>
  <c r="AU481" i="1"/>
  <c r="AU345" i="1"/>
  <c r="AU452" i="1"/>
  <c r="AU454" i="1"/>
  <c r="AU787" i="1"/>
  <c r="AU774" i="1"/>
  <c r="AU783" i="1"/>
  <c r="AU1093" i="1"/>
  <c r="AU383" i="1"/>
  <c r="AU786" i="1"/>
  <c r="AU1628" i="1"/>
  <c r="AU1633" i="1"/>
  <c r="AU837" i="1"/>
  <c r="AU970" i="1"/>
  <c r="AU972" i="1"/>
  <c r="AU296" i="1"/>
  <c r="AU938" i="1"/>
  <c r="AU952" i="1"/>
  <c r="AU857" i="1"/>
  <c r="AU942" i="1"/>
  <c r="AU1120" i="1"/>
  <c r="AU1199" i="1"/>
  <c r="AU1126" i="1"/>
  <c r="AU310" i="1"/>
  <c r="AU1256"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91B25BB-40E1-48D0-B574-A01595153D53}" keepAlive="1" name="Query - From Master Customer Listing" description="Connection to the 'From Master Customer Listing' query in the workbook." type="5" refreshedVersion="0" background="1">
    <dbPr connection="Provider=Microsoft.Mashup.OleDb.1;Data Source=$Workbook$;Location=&quot;From Master Customer Listing&quot;;Extended Properties=&quot;&quot;" command="SELECT * FROM [From Master Customer Listing]"/>
  </connection>
  <connection id="2" xr16:uid="{848D54A8-135A-45EA-86ED-7ADD4A191C2F}" keepAlive="1" name="Query - Master Adds" description="Connection to the 'Master Adds' query in the workbook." type="5" refreshedVersion="8" background="1" saveData="1">
    <dbPr connection="Provider=Microsoft.Mashup.OleDb.1;Data Source=$Workbook$;Location=&quot;Master Adds&quot;;Extended Properties=&quot;&quot;" command="SELECT * FROM [Master Adds]"/>
  </connection>
  <connection id="3" xr16:uid="{BCBBC8A5-DAE6-485A-B392-D5FACDC3A1F0}" keepAlive="1" name="Query - Master Changes" description="Connection to the 'Master Changes' query in the workbook." type="5" refreshedVersion="8" background="1" saveData="1">
    <dbPr connection="Provider=Microsoft.Mashup.OleDb.1;Data Source=$Workbook$;Location=&quot;Master Changes&quot;;Extended Properties=&quot;&quot;" command="SELECT * FROM [Master Changes]"/>
  </connection>
  <connection id="4" xr16:uid="{286115EC-FF4C-4ED1-BFFF-D42433368034}" keepAlive="1" name="Query - Master Current CUIDs" description="Connection to the 'Master Current CUIDs' query in the workbook." type="5" refreshedVersion="0" background="1">
    <dbPr connection="Provider=Microsoft.Mashup.OleDb.1;Data Source=$Workbook$;Location=&quot;Master Current CUIDs&quot;;Extended Properties=&quot;&quot;" command="SELECT * FROM [Master Current CUIDs]"/>
  </connection>
  <connection id="5" xr16:uid="{21946ECA-A86C-4B9E-B535-D550915E7FB1}" keepAlive="1" name="Query - Master Quits" description="Connection to the 'Master Quits' query in the workbook." type="5" refreshedVersion="8" background="1" saveData="1">
    <dbPr connection="Provider=Microsoft.Mashup.OleDb.1;Data Source=$Workbook$;Location=&quot;Master Quits&quot;;Extended Properties=&quot;&quot;" command="SELECT * FROM [Master Quits]"/>
  </connection>
  <connection id="6" xr16:uid="{27F769AD-921E-4C04-9B96-79D1ADF913C0}" keepAlive="1" name="Query - Sample File (3)" description="Connection to the 'Sample File (3)' query in the workbook." type="5" refreshedVersion="0" background="1">
    <dbPr connection="Provider=Microsoft.Mashup.OleDb.1;Data Source=$Workbook$;Location=&quot;Sample File (3)&quot;;Extended Properties=&quot;&quot;" command="SELECT * FROM [Sample File (3)]"/>
  </connection>
  <connection id="7" xr16:uid="{9FF2303C-2CF5-4E08-A516-2DBC1174DCB5}" keepAlive="1" name="Query - Transform File (4)" description="Connection to the 'Transform File (4)' query in the workbook." type="5" refreshedVersion="0" background="1">
    <dbPr connection="Provider=Microsoft.Mashup.OleDb.1;Data Source=$Workbook$;Location=&quot;Transform File (4)&quot;;Extended Properties=&quot;&quot;" command="SELECT * FROM [Transform File (4)]"/>
  </connection>
  <connection id="8" xr16:uid="{E71D9556-0145-46DD-AAFD-E555C2E9E1D4}" keepAlive="1" name="Query - Update Master Listing" description="Connection to the 'Update Master Listing' query in the workbook." type="5" refreshedVersion="0" background="1">
    <dbPr connection="Provider=Microsoft.Mashup.OleDb.1;Data Source=$Workbook$;Location=&quot;Update Master Listing&quot;;Extended Properties=&quot;&quot;" command="SELECT * FROM [Update Master Listing]"/>
  </connection>
  <connection id="9" xr16:uid="{B3D45926-BFDB-4236-A55E-E56136F80E96}" keepAlive="1" name="Query - Update Master New CUIDs" description="Connection to the 'Update Master New CUIDs' query in the workbook." type="5" refreshedVersion="0" background="1">
    <dbPr connection="Provider=Microsoft.Mashup.OleDb.1;Data Source=$Workbook$;Location=&quot;Update Master New CUIDs&quot;;Extended Properties=&quot;&quot;" command="SELECT * FROM [Update Master New CUIDs]"/>
  </connection>
</connections>
</file>

<file path=xl/sharedStrings.xml><?xml version="1.0" encoding="utf-8"?>
<sst xmlns="http://schemas.openxmlformats.org/spreadsheetml/2006/main" count="32986" uniqueCount="5633">
  <si>
    <t>MTWRF</t>
  </si>
  <si>
    <t>Need</t>
  </si>
  <si>
    <t>No</t>
  </si>
  <si>
    <t>Weekly</t>
  </si>
  <si>
    <t>49445</t>
  </si>
  <si>
    <t>MI</t>
  </si>
  <si>
    <t>MUSKEGON</t>
  </si>
  <si>
    <t/>
  </si>
  <si>
    <t>453 AGARD RD</t>
  </si>
  <si>
    <t>FTC&amp;H</t>
  </si>
  <si>
    <t>W</t>
  </si>
  <si>
    <t>49503</t>
  </si>
  <si>
    <t>GRAND RAPIDS</t>
  </si>
  <si>
    <t>139 SHELDON AVE.  SE</t>
  </si>
  <si>
    <t>DEGAGE MINISTRIES</t>
  </si>
  <si>
    <t>F</t>
  </si>
  <si>
    <t>49319</t>
  </si>
  <si>
    <t>CEDAR SPRINGS</t>
  </si>
  <si>
    <t>4025 17 MILE RD.  NE</t>
  </si>
  <si>
    <t xml:space="preserve">NONNO'S HOMESTYLE ITALIAN </t>
  </si>
  <si>
    <t>49525</t>
  </si>
  <si>
    <t>SUITE C</t>
  </si>
  <si>
    <t xml:space="preserve">2289 E. BELTLINE NE </t>
  </si>
  <si>
    <t>TIA JUANA</t>
  </si>
  <si>
    <t>M</t>
  </si>
  <si>
    <t>49337</t>
  </si>
  <si>
    <t>NEWAYGO</t>
  </si>
  <si>
    <t>53 W. WOOD ST.</t>
  </si>
  <si>
    <t>CHRISTIAN HEALTHCARE SPEC.</t>
  </si>
  <si>
    <t>Bi-Weekly Even</t>
  </si>
  <si>
    <t>49544</t>
  </si>
  <si>
    <t xml:space="preserve">WALKER              </t>
  </si>
  <si>
    <t xml:space="preserve">                              </t>
  </si>
  <si>
    <t xml:space="preserve">2103 ALPINE N.W.              </t>
  </si>
  <si>
    <t>RICO'S DELI</t>
  </si>
  <si>
    <t>T</t>
  </si>
  <si>
    <t>Any</t>
  </si>
  <si>
    <t xml:space="preserve">8 </t>
  </si>
  <si>
    <t>49423</t>
  </si>
  <si>
    <t>HOLLAND</t>
  </si>
  <si>
    <t>61 EAST 7TH STREET</t>
  </si>
  <si>
    <t>6PM HOSPITALITY PARTNERS</t>
  </si>
  <si>
    <t>00000</t>
  </si>
  <si>
    <t>R</t>
  </si>
  <si>
    <t>MTWRFSU</t>
  </si>
  <si>
    <t>48306</t>
  </si>
  <si>
    <t>BELMONT</t>
  </si>
  <si>
    <t>5801 NORTHLAND DRIVE</t>
  </si>
  <si>
    <t>BLYTHEFIELD CC</t>
  </si>
  <si>
    <t>49500</t>
  </si>
  <si>
    <t xml:space="preserve">GRAND RAPIDS        </t>
  </si>
  <si>
    <t xml:space="preserve">5801 NORTHLAND DR.            </t>
  </si>
  <si>
    <t xml:space="preserve">BLYTHEFIELD POOL              </t>
  </si>
  <si>
    <t>49301</t>
  </si>
  <si>
    <t xml:space="preserve">ADA                 </t>
  </si>
  <si>
    <t xml:space="preserve">7333 KNAPP N.E.               </t>
  </si>
  <si>
    <t xml:space="preserve">EGYPT VALLEY                  </t>
  </si>
  <si>
    <t>49506</t>
  </si>
  <si>
    <t>SUITE 220</t>
  </si>
  <si>
    <t xml:space="preserve">2213 WEALTHY ST SE </t>
  </si>
  <si>
    <t>GASLIGHT FAMILY CHIROPRACTIC</t>
  </si>
  <si>
    <t>49504</t>
  </si>
  <si>
    <t>2802 LAKE MICHIGAN DRIVE</t>
  </si>
  <si>
    <t>WESTSIDE SOCIAL</t>
  </si>
  <si>
    <t>00012</t>
  </si>
  <si>
    <t>3003 WALKENT DR NW</t>
  </si>
  <si>
    <t>WMSHL</t>
  </si>
  <si>
    <t xml:space="preserve">7 </t>
  </si>
  <si>
    <t>49442</t>
  </si>
  <si>
    <t>800 N. SWANSON RD.</t>
  </si>
  <si>
    <t>MUSK COUNTY WASTEWATER FLT MNT</t>
  </si>
  <si>
    <t>05940</t>
  </si>
  <si>
    <t>Corner of Swanson and White Rd</t>
  </si>
  <si>
    <t>MUSK COUNTY WASTEWATER FARM</t>
  </si>
  <si>
    <t>05930</t>
  </si>
  <si>
    <t>MUSK COUNTY WASTEWATER OP MNT</t>
  </si>
  <si>
    <t>05920</t>
  </si>
  <si>
    <t xml:space="preserve">6 </t>
  </si>
  <si>
    <t>49451</t>
  </si>
  <si>
    <t>RAVENNA</t>
  </si>
  <si>
    <t>9366 APPLE AVE</t>
  </si>
  <si>
    <t>MUSK CO WASTEWATER SYSTEM</t>
  </si>
  <si>
    <t>05900</t>
  </si>
  <si>
    <t>8301 WHITE RD</t>
  </si>
  <si>
    <t>MUSK CO WASTE SYSTEM ADMIN</t>
  </si>
  <si>
    <t>05910</t>
  </si>
  <si>
    <t>49442-4960</t>
  </si>
  <si>
    <t>7700 E APPLE AVE</t>
  </si>
  <si>
    <t>MUSKEGON COUNTY ROAD COMMISSIO</t>
  </si>
  <si>
    <t>04524</t>
  </si>
  <si>
    <t>Bi-Weekly Odd</t>
  </si>
  <si>
    <t xml:space="preserve">5 </t>
  </si>
  <si>
    <t>2417 CHESTNUT TRAIL</t>
  </si>
  <si>
    <t>MAISD MACTC-CHESTNUT</t>
  </si>
  <si>
    <t>03085</t>
  </si>
  <si>
    <t>200 HARVEY ST.</t>
  </si>
  <si>
    <t>MAISD MACTC-HARVEY (MATS)</t>
  </si>
  <si>
    <t>03083</t>
  </si>
  <si>
    <t>49442-1418</t>
  </si>
  <si>
    <t>MAISD MACTC-CULINARY MGT.</t>
  </si>
  <si>
    <t>03088</t>
  </si>
  <si>
    <t>915 WESLEY AVE.</t>
  </si>
  <si>
    <t>MAISD WESLEY SCHOOL LAKE. LC</t>
  </si>
  <si>
    <t>30415</t>
  </si>
  <si>
    <t>49442-2142</t>
  </si>
  <si>
    <t>200 HARVEY ST</t>
  </si>
  <si>
    <t>MUSKEGON AREA INTERMEDIATE SCH</t>
  </si>
  <si>
    <t>03084</t>
  </si>
  <si>
    <t>MAISD - WESLEY SCHOOL</t>
  </si>
  <si>
    <t>03082</t>
  </si>
  <si>
    <t>MUSKEGON CHARTER TOWNSHIP DPW</t>
  </si>
  <si>
    <t>02542</t>
  </si>
  <si>
    <t>221 QUARTERLINE ROAD</t>
  </si>
  <si>
    <t>MUSKEGON COMMUNITY COLLEGE</t>
  </si>
  <si>
    <t>02351</t>
  </si>
  <si>
    <t>49441</t>
  </si>
  <si>
    <t>WRF</t>
  </si>
  <si>
    <t>12058 E. APPLE AVE</t>
  </si>
  <si>
    <t>RUM RUNNERS</t>
  </si>
  <si>
    <t>10380 APPLE AVE</t>
  </si>
  <si>
    <t>MOORLAND TAVERN</t>
  </si>
  <si>
    <t>7791 HTS RAVENNA RD</t>
  </si>
  <si>
    <t>ROADSIDE EXPRESS</t>
  </si>
  <si>
    <t>Monthly Week 1</t>
  </si>
  <si>
    <t xml:space="preserve">1 </t>
  </si>
  <si>
    <t>49415-9700</t>
  </si>
  <si>
    <t>FRUITPORT</t>
  </si>
  <si>
    <t>3070 S BROTON RD</t>
  </si>
  <si>
    <t>MABRITO GARAGE</t>
  </si>
  <si>
    <t>49457</t>
  </si>
  <si>
    <t>TWIN LAKE</t>
  </si>
  <si>
    <t>4961 CADY RD</t>
  </si>
  <si>
    <t>JB FARMS AND CUSTOM MEAT</t>
  </si>
  <si>
    <t>MTWR</t>
  </si>
  <si>
    <t>76 GETTY ST</t>
  </si>
  <si>
    <t>RENK, AMERICA</t>
  </si>
  <si>
    <t>49444-9739</t>
  </si>
  <si>
    <t>6291 S. HARVEY</t>
  </si>
  <si>
    <t>SYTSEMA FUNERAL HOMES INC.</t>
  </si>
  <si>
    <t>07844</t>
  </si>
  <si>
    <t>Monthly Week 2</t>
  </si>
  <si>
    <t xml:space="preserve">2 </t>
  </si>
  <si>
    <t>1050 W WESTERN AVE</t>
  </si>
  <si>
    <t>HARBOR HOSPICE</t>
  </si>
  <si>
    <t>Yes</t>
  </si>
  <si>
    <t xml:space="preserve">0 </t>
  </si>
  <si>
    <t>49444</t>
  </si>
  <si>
    <t>5957 S HARVEY</t>
  </si>
  <si>
    <t>US10 PROPERTIES</t>
  </si>
  <si>
    <t>4585 GRAND HAVEN ROAD</t>
  </si>
  <si>
    <t>FIRST CLASS TOWING, LLC</t>
  </si>
  <si>
    <t>49440</t>
  </si>
  <si>
    <t>N MUSKEGON</t>
  </si>
  <si>
    <t>609 W WESTERN</t>
  </si>
  <si>
    <t>NO NAME BAR</t>
  </si>
  <si>
    <t>49442-1012</t>
  </si>
  <si>
    <t>411 OTTAWA</t>
  </si>
  <si>
    <t>COFESSCO FIRE PROTECTION, IN</t>
  </si>
  <si>
    <t>MUSKEGON HTS</t>
  </si>
  <si>
    <t>2754 PECK ST</t>
  </si>
  <si>
    <t>FANCY YANCY'S SALON LLC</t>
  </si>
  <si>
    <t>MUSKEGON HEIGHTS</t>
  </si>
  <si>
    <t>700 E BROADWAY</t>
  </si>
  <si>
    <t>ODYSSEY ENTERTAINMENT</t>
  </si>
  <si>
    <t>49415</t>
  </si>
  <si>
    <t>Muskegon</t>
  </si>
  <si>
    <t>6022 HARVEY ST</t>
  </si>
  <si>
    <t>BOOYAH'S SPORTS BAR</t>
  </si>
  <si>
    <t>DOMINO'S PIZZA</t>
  </si>
  <si>
    <t>NORTON SHORES</t>
  </si>
  <si>
    <t>4265 GRAND HAVEN RD</t>
  </si>
  <si>
    <t>WESTSHORE PROPERTY MGMT</t>
  </si>
  <si>
    <t>4289 GRAND HAVEN RD</t>
  </si>
  <si>
    <t>CINEMA CAROUSEL THEATRE</t>
  </si>
  <si>
    <t>TWRF</t>
  </si>
  <si>
    <t>1129 THIRD ST</t>
  </si>
  <si>
    <t>HAMBURGER MIKEY</t>
  </si>
  <si>
    <t>4190 Grand Haven Rd</t>
  </si>
  <si>
    <t>MR. QUICK RESTAURANTS</t>
  </si>
  <si>
    <t>356 W WESTERN AVE</t>
  </si>
  <si>
    <t>CENTURY BUILDING</t>
  </si>
  <si>
    <t>3223 BAILEY</t>
  </si>
  <si>
    <t>NORTON SHORES ESTATES 0325</t>
  </si>
  <si>
    <t>477 WEST WESTERN</t>
  </si>
  <si>
    <t>DR ROLF'S BBQ</t>
  </si>
  <si>
    <t>560 MART STREET</t>
  </si>
  <si>
    <t>WEST MICHIGAN DOCK &amp; MARKET</t>
  </si>
  <si>
    <t>545 OTTAWA ST</t>
  </si>
  <si>
    <t>SPORTFISHERMAN SERVICE (MIKE'S</t>
  </si>
  <si>
    <t>895 FOURTH ST (TAPROOM)</t>
  </si>
  <si>
    <t>PIGEON HILL BREWERY LLC</t>
  </si>
  <si>
    <t>888 TERRACE</t>
  </si>
  <si>
    <t>MERCY VISITING NURSE SERVICE</t>
  </si>
  <si>
    <t>Monthly Week 3</t>
  </si>
  <si>
    <t xml:space="preserve">3 </t>
  </si>
  <si>
    <t>451 S. GETTY</t>
  </si>
  <si>
    <t>OUR LADY OF GRACE</t>
  </si>
  <si>
    <t>49546</t>
  </si>
  <si>
    <t>ATTN: FINANCE</t>
  </si>
  <si>
    <t>2959 LUCERNE DR SE SUITE 200</t>
  </si>
  <si>
    <t>CANCER &amp; HEMATOLOGY CENTERS</t>
  </si>
  <si>
    <t>3680 AIRLINE</t>
  </si>
  <si>
    <t>AIRLINE BAR</t>
  </si>
  <si>
    <t>3712 AIRLINE RD</t>
  </si>
  <si>
    <t>BABBITT'S SPORT CENTER</t>
  </si>
  <si>
    <t>Monthly Week 4</t>
  </si>
  <si>
    <t xml:space="preserve">4 </t>
  </si>
  <si>
    <t>4861 S HENRY ST</t>
  </si>
  <si>
    <t xml:space="preserve">LAKE HARBOR UNITED METHODIST </t>
  </si>
  <si>
    <t>3361 MCCRACKEN</t>
  </si>
  <si>
    <t>HODGE PODGE BAKE SHOP</t>
  </si>
  <si>
    <t>1221 E. SHERMAN BLVD.</t>
  </si>
  <si>
    <t>SHORELINE DENTAL PLLC</t>
  </si>
  <si>
    <t>1075 E. SHERMAN BLVD</t>
  </si>
  <si>
    <t>SERVICE 1 FEDERAL CREDIT UNION</t>
  </si>
  <si>
    <t>1625 EASTWIND</t>
  </si>
  <si>
    <t>4210 GRAND HAVEN RD</t>
  </si>
  <si>
    <t>LEFLUER CORPORATION LLC</t>
  </si>
  <si>
    <t>1675 PATRIOT</t>
  </si>
  <si>
    <t>MUSK SURG-UPSTAIRS-PATRIOT</t>
  </si>
  <si>
    <t>05727</t>
  </si>
  <si>
    <t>4814 GRAND HAVEN RD</t>
  </si>
  <si>
    <t>OLD HOMESTEAD INC</t>
  </si>
  <si>
    <t>49442-5630</t>
  </si>
  <si>
    <t>1788 TERRACE ST</t>
  </si>
  <si>
    <t>CUISINE ARTS, MUSKEGON STORE</t>
  </si>
  <si>
    <t>02688</t>
  </si>
  <si>
    <t>2585 BARCLAY</t>
  </si>
  <si>
    <t>BIOMAT USA</t>
  </si>
  <si>
    <t>2034 LATIMER</t>
  </si>
  <si>
    <t>JOHNSON TECHNOLOGY</t>
  </si>
  <si>
    <t>08010</t>
  </si>
  <si>
    <t>950 W NORTON AVE</t>
  </si>
  <si>
    <t>YODELS FROZEN YOGURT LLC</t>
  </si>
  <si>
    <t>4927 STARIHA SUITE A</t>
  </si>
  <si>
    <t>HUNGERFORD NICHOLS</t>
  </si>
  <si>
    <t>2700 BAKER ST (3RD FLOOR)</t>
  </si>
  <si>
    <t>HACKLEY COMMUNITY CARE CENTER</t>
  </si>
  <si>
    <t>04654</t>
  </si>
  <si>
    <t>2632 PECK</t>
  </si>
  <si>
    <t>GRAPHICS HOUSE PRINTING</t>
  </si>
  <si>
    <t>755 E. ELLIS RD</t>
  </si>
  <si>
    <t>EARTHTRONICS INC.</t>
  </si>
  <si>
    <t>2624 6TH ST</t>
  </si>
  <si>
    <t>MUSKEGON AREA TRANSIT SYSTEM</t>
  </si>
  <si>
    <t>2152 NINTH ST</t>
  </si>
  <si>
    <t>LITHUANIAN CLUB</t>
  </si>
  <si>
    <t>49440-1215</t>
  </si>
  <si>
    <t>1133 E STERNBERG RD</t>
  </si>
  <si>
    <t>G &amp; L CHILI DOGS</t>
  </si>
  <si>
    <t>07974</t>
  </si>
  <si>
    <t>4280 AIRLINE RD</t>
  </si>
  <si>
    <t>MARINE &amp; INDUSTRIAL AUTO ELECT</t>
  </si>
  <si>
    <t>2526 6TH STREET</t>
  </si>
  <si>
    <t>TATRA HALL</t>
  </si>
  <si>
    <t>460 W LAKETON</t>
  </si>
  <si>
    <t>PORT CITY FEDERAL CREDIT UNION</t>
  </si>
  <si>
    <t>49444-1812</t>
  </si>
  <si>
    <t>2525 ROBERTS</t>
  </si>
  <si>
    <t>WESTSHORE CARDIOLOGY</t>
  </si>
  <si>
    <t>02595</t>
  </si>
  <si>
    <t>400 W. LAKETON</t>
  </si>
  <si>
    <t>MUSK RESCUE MISS SHELTER MATS</t>
  </si>
  <si>
    <t>45042</t>
  </si>
  <si>
    <t>4037 E APPLE AVENUE</t>
  </si>
  <si>
    <t>NATIONAL TRANSMISSION</t>
  </si>
  <si>
    <t>3132 LAKESHORE DRIVE</t>
  </si>
  <si>
    <t>VIKING LODGE</t>
  </si>
  <si>
    <t>4543 GRAND HAVEN RD</t>
  </si>
  <si>
    <t>GREEK TONY'S PIZZA</t>
  </si>
  <si>
    <t>2232 GLADE</t>
  </si>
  <si>
    <t>REDI RENTAL (GLADE)</t>
  </si>
  <si>
    <t>02175</t>
  </si>
  <si>
    <t>850 SEMINOLE RD</t>
  </si>
  <si>
    <t>HERITAGE PROPERTY MANAGEMENT</t>
  </si>
  <si>
    <t>SEMINOLE SHORES</t>
  </si>
  <si>
    <t>49442-6060</t>
  </si>
  <si>
    <t>1281 E LAKETON AVE</t>
  </si>
  <si>
    <t>CHETS TIRE SERVICE</t>
  </si>
  <si>
    <t>1763 LAKESHORE DR</t>
  </si>
  <si>
    <t>MUSKEGON REC CLUB</t>
  </si>
  <si>
    <t>5344 APPLE</t>
  </si>
  <si>
    <t>ARENA'S PIZZA</t>
  </si>
  <si>
    <t>950 E. BROADWAY</t>
  </si>
  <si>
    <t>SHEPHERD GARAGE DOOR</t>
  </si>
  <si>
    <t>2233 TEMPLE ST</t>
  </si>
  <si>
    <t>REDI RENTAL WAREHOUSE</t>
  </si>
  <si>
    <t>02176</t>
  </si>
  <si>
    <t>900 E. APPLE AVE.</t>
  </si>
  <si>
    <t>APPLE DENTURE CENTER DR GASTON</t>
  </si>
  <si>
    <t>08713</t>
  </si>
  <si>
    <t>1212 E. Sherman Boulevard</t>
  </si>
  <si>
    <t>WESTSHORE CARDIO CONSULTANTS</t>
  </si>
  <si>
    <t>02594</t>
  </si>
  <si>
    <t>220 W LAKETON</t>
  </si>
  <si>
    <t>KAMM ELECTRIC MOTORS INC</t>
  </si>
  <si>
    <t>TWRFSU</t>
  </si>
  <si>
    <t>1460 W LAKETON AVE</t>
  </si>
  <si>
    <t>MASTERS TOUCH THE</t>
  </si>
  <si>
    <t>346 W LAKETON</t>
  </si>
  <si>
    <t>KEENE LUMBER</t>
  </si>
  <si>
    <t>49444-1835</t>
  </si>
  <si>
    <t>1316 MERCY DRIVE</t>
  </si>
  <si>
    <t>MUSKEGON SURGICAL ASSOC-MERCY</t>
  </si>
  <si>
    <t>05730</t>
  </si>
  <si>
    <t>MTRF</t>
  </si>
  <si>
    <t>971 E. SHERMAN BLVD</t>
  </si>
  <si>
    <t>DR SUSANNE SANFORD</t>
  </si>
  <si>
    <t>MTWRFS</t>
  </si>
  <si>
    <t>2017 LAKESHORE DRIVE</t>
  </si>
  <si>
    <t>GHEZZI'S MARKET</t>
  </si>
  <si>
    <t>MUSK RESCUE MISS SHELTER LINEN</t>
  </si>
  <si>
    <t>04504</t>
  </si>
  <si>
    <t>MUSK SURG-DOWNSTAIRS-PATRIOT</t>
  </si>
  <si>
    <t>05728</t>
  </si>
  <si>
    <t>2264 E. APPLE AVE</t>
  </si>
  <si>
    <t>PRENGER JEWELRY CLINIC</t>
  </si>
  <si>
    <t xml:space="preserve"> 2019 APPLE AVE</t>
  </si>
  <si>
    <t>MUSK RES MISSION STORE - MATS</t>
  </si>
  <si>
    <t>04502</t>
  </si>
  <si>
    <t>1461 EVANSTON AVE</t>
  </si>
  <si>
    <t>TRIDONN CONSTRUCTION</t>
  </si>
  <si>
    <t>633 OTTAWA</t>
  </si>
  <si>
    <t>MUSK COUNTY WASTEWATER C STAT</t>
  </si>
  <si>
    <t>05950</t>
  </si>
  <si>
    <t>80 W. SOUTHERN</t>
  </si>
  <si>
    <t>CHARTWELLS (MUSKEGON H.S.)</t>
  </si>
  <si>
    <t>30402</t>
  </si>
  <si>
    <t>1ST FLOOR</t>
  </si>
  <si>
    <t>2700 BAKER ST</t>
  </si>
  <si>
    <t>HACKLEY COMMUNITY CARE-PHARMAC</t>
  </si>
  <si>
    <t>04651</t>
  </si>
  <si>
    <t>796 E APPLE AVE</t>
  </si>
  <si>
    <t>CAMPBELL'S AUTO &amp; 24 HR TOWING</t>
  </si>
  <si>
    <t>1945 LAKESHORE DR</t>
  </si>
  <si>
    <t>LAUREN TAYLOR EYEWARE</t>
  </si>
  <si>
    <t>2039 E APPLE AVE</t>
  </si>
  <si>
    <t>THE PITA PLACE</t>
  </si>
  <si>
    <t>2286 APPLE AVE</t>
  </si>
  <si>
    <t>AUTO WORLD</t>
  </si>
  <si>
    <t>2510 APPLE AVE</t>
  </si>
  <si>
    <t>04559</t>
  </si>
  <si>
    <t>49442-3618</t>
  </si>
  <si>
    <t>422 APPLE AVENUE</t>
  </si>
  <si>
    <t>CHARLES HEATING &amp; COOLING, INC</t>
  </si>
  <si>
    <t>61 E. APPLE</t>
  </si>
  <si>
    <t>WEST MICHIGAN LOCK AND DOOR</t>
  </si>
  <si>
    <t>SUITE A</t>
  </si>
  <si>
    <t>880 JEFFERSON</t>
  </si>
  <si>
    <t>GUNTER ACCOUNTING</t>
  </si>
  <si>
    <t>452 S GETTY</t>
  </si>
  <si>
    <t>DEXTER'S GARAGE</t>
  </si>
  <si>
    <t>1550 CLINTON</t>
  </si>
  <si>
    <t>04659</t>
  </si>
  <si>
    <t>665 WEST CLAY AVE</t>
  </si>
  <si>
    <t>GINMAN TIRE</t>
  </si>
  <si>
    <t>1384 W LAKETON</t>
  </si>
  <si>
    <t>LAKESIDE CAFE LLC</t>
  </si>
  <si>
    <t>275 S. WOLF LAKE RD</t>
  </si>
  <si>
    <t>HCCC - TEEN HLTH CTR OAK RIDGE</t>
  </si>
  <si>
    <t>04657</t>
  </si>
  <si>
    <t>1708 S GETTY</t>
  </si>
  <si>
    <t>B &amp; K TRANSMISSION &amp; AUTO</t>
  </si>
  <si>
    <t>1576 PECK ST.</t>
  </si>
  <si>
    <t>PREVENTIVE HEALTH SERVICES</t>
  </si>
  <si>
    <t>1550 EVANSTON AVE.</t>
  </si>
  <si>
    <t>BAUER SHEET METAL</t>
  </si>
  <si>
    <t>49442-3696</t>
  </si>
  <si>
    <t>737 APPLE AVENUE</t>
  </si>
  <si>
    <t>SYTSEMA FUNERAL HOME</t>
  </si>
  <si>
    <t>06194</t>
  </si>
  <si>
    <t>3200 LAKESHORE DRIVE</t>
  </si>
  <si>
    <t>LAKESIDE CANVAS INC</t>
  </si>
  <si>
    <t>896 W LAKETON</t>
  </si>
  <si>
    <t>LAKESHORE ANIMAL HOSPITAL</t>
  </si>
  <si>
    <t>555 W. WESTERN AVE</t>
  </si>
  <si>
    <t>MIKE'S INN, INC</t>
  </si>
  <si>
    <t>3429 FULTON</t>
  </si>
  <si>
    <t>HARBOUR TOWNE MARINA</t>
  </si>
  <si>
    <t>03965</t>
  </si>
  <si>
    <t>1777 LAKESHORE DR</t>
  </si>
  <si>
    <t>LAKESIDE VETERAN'S CLUB</t>
  </si>
  <si>
    <t>1891 LAKESHORE DRIVE</t>
  </si>
  <si>
    <t>SITTING PRETTY</t>
  </si>
  <si>
    <t>HCCC - TEEN HEALTH CENTER MHS</t>
  </si>
  <si>
    <t>04655</t>
  </si>
  <si>
    <t>1910 E APPLE AVE SUITE A</t>
  </si>
  <si>
    <t>MR B'S PANCAKE HOUSE</t>
  </si>
  <si>
    <t>KEY</t>
  </si>
  <si>
    <t>446 W. WESTERN</t>
  </si>
  <si>
    <t>LEGENDS BAR AND GRILLE</t>
  </si>
  <si>
    <t>993 W LAKETON</t>
  </si>
  <si>
    <t>THIRD GEAR MOTORCYCLE LLC</t>
  </si>
  <si>
    <t>3104 HENRY ST</t>
  </si>
  <si>
    <t>WESTSHORE DIAGNOSTICS</t>
  </si>
  <si>
    <t>4333 E APPLE AVE</t>
  </si>
  <si>
    <t>GREAT LAKES GRINDERS</t>
  </si>
  <si>
    <t>SUITE 135</t>
  </si>
  <si>
    <t>1675 E MOUNT GARFIELD</t>
  </si>
  <si>
    <t>MICHIGAN PAIN CONSULTANTS</t>
  </si>
  <si>
    <t>1317 S GETTY</t>
  </si>
  <si>
    <t>BLOOD'S FRONT END CLINIC DBA</t>
  </si>
  <si>
    <t>151 W. MUSKEGON</t>
  </si>
  <si>
    <t>US31 BBQ</t>
  </si>
  <si>
    <t>5209 GRAND HAVEN RD</t>
  </si>
  <si>
    <t>VFW POST 3195</t>
  </si>
  <si>
    <t>1250 MERCY DRIVE SUITE 201</t>
  </si>
  <si>
    <t>DAVITA TRC</t>
  </si>
  <si>
    <t>2441 SANFORD ST</t>
  </si>
  <si>
    <t>MUSKEGON HTS FOOD SERVICE</t>
  </si>
  <si>
    <t>03041</t>
  </si>
  <si>
    <t>1301 MERCY</t>
  </si>
  <si>
    <t>UNIVERSITY OF MICHIGAN</t>
  </si>
  <si>
    <t>1288 9TH STREET</t>
  </si>
  <si>
    <t>RELIABLE TOWING INC</t>
  </si>
  <si>
    <t>49444-2205</t>
  </si>
  <si>
    <t>323 E BROADWAY</t>
  </si>
  <si>
    <t>KENNEY'S SANDWICH AND CATERING</t>
  </si>
  <si>
    <t>49442-5538</t>
  </si>
  <si>
    <t>SUITE 103</t>
  </si>
  <si>
    <t>1675 LEAHY</t>
  </si>
  <si>
    <t>HACKLEY COMMUNITY CARE</t>
  </si>
  <si>
    <t>04652</t>
  </si>
  <si>
    <t>1086 CRESTON</t>
  </si>
  <si>
    <t>MICHIGAN COASTAL CREDIT UNION</t>
  </si>
  <si>
    <t>820 DELORA</t>
  </si>
  <si>
    <t>RICK'S REPAIRS LLC</t>
  </si>
  <si>
    <t>1031 W LAKETON AVE</t>
  </si>
  <si>
    <t>SAND BAR</t>
  </si>
  <si>
    <t>1469 PECK STREET</t>
  </si>
  <si>
    <t>CLOCK FUNERAL HOME</t>
  </si>
  <si>
    <t>Friday 9 -5</t>
  </si>
  <si>
    <t>3015 E. APPLE AVE</t>
  </si>
  <si>
    <t>M46 BAR - B MATHIS ENT. INC.</t>
  </si>
  <si>
    <t>1910 APPLE</t>
  </si>
  <si>
    <t>MUSKEGON AREA DISTRICT LIBRARY</t>
  </si>
  <si>
    <t>02541</t>
  </si>
  <si>
    <t>2279 E APPLE AVE</t>
  </si>
  <si>
    <t>GLO SUN AND SHADES</t>
  </si>
  <si>
    <t>05970</t>
  </si>
  <si>
    <t>1675 LEAHY ST, SUITE 324-B</t>
  </si>
  <si>
    <t>WEST MICHIGAN GASTROENTEROLOGY</t>
  </si>
  <si>
    <t>49441-1607</t>
  </si>
  <si>
    <t>1864 LAKESHORE DRIVE</t>
  </si>
  <si>
    <t>PATRICIA J ROY DO PC</t>
  </si>
  <si>
    <t>480 BENNETT St</t>
  </si>
  <si>
    <t>CHARTWELLS-MARQUETTE</t>
  </si>
  <si>
    <t>30408</t>
  </si>
  <si>
    <t>1150AMITY</t>
  </si>
  <si>
    <t>CHARTWELLS-MUSK MS</t>
  </si>
  <si>
    <t>03039</t>
  </si>
  <si>
    <t>1440 E SHERMAN SUITE 300</t>
  </si>
  <si>
    <t>JOHNSON FAMILY CANCER CENTER</t>
  </si>
  <si>
    <t>2486 S GETTY</t>
  </si>
  <si>
    <t>ASAP AUTO PARTS</t>
  </si>
  <si>
    <t>1560 E SHERMAN SUITE 309</t>
  </si>
  <si>
    <t>CARDIOTHORACIC SURGERY</t>
  </si>
  <si>
    <t>Closed 12 Friday</t>
  </si>
  <si>
    <t>2267 E APPLE AVE</t>
  </si>
  <si>
    <t>GARY LUKKARI DDS</t>
  </si>
  <si>
    <t>1675 E MOUNT GARFIELD SUITE 13</t>
  </si>
  <si>
    <t>1675 Leahey</t>
  </si>
  <si>
    <t>OSTEOPATHIC SERVICES</t>
  </si>
  <si>
    <t>1890 HENRY STREET</t>
  </si>
  <si>
    <t>POLISH UNION (PRUCAL)</t>
  </si>
  <si>
    <t>1332 E APPLE AVE</t>
  </si>
  <si>
    <t>DOMINO'S PIZZA (APPLE AVE)</t>
  </si>
  <si>
    <t>3535 PARK STE 106</t>
  </si>
  <si>
    <t>SONUS USA, INC</t>
  </si>
  <si>
    <t>1572 GETTY</t>
  </si>
  <si>
    <t>GETTY STREET GRILL</t>
  </si>
  <si>
    <t>2200 MARQUETTE</t>
  </si>
  <si>
    <t>MCC UNIVERSITY PARK GOLF CLUB</t>
  </si>
  <si>
    <t>02352</t>
  </si>
  <si>
    <t>16 N QUARTERLINE</t>
  </si>
  <si>
    <t>CHARTWELLS FOOD SERVICE OVHS</t>
  </si>
  <si>
    <t>02330</t>
  </si>
  <si>
    <t>49441-5542</t>
  </si>
  <si>
    <t>106 SINCLAIR DRIVE</t>
  </si>
  <si>
    <t>MUSKEGON COUNTY AIRPORT MAINT</t>
  </si>
  <si>
    <t>1155 E SHERMAN</t>
  </si>
  <si>
    <t>MUSKEGON HEARING &amp; SPEECH CENT</t>
  </si>
  <si>
    <t>1506 E HARBOUR TOWNE CIRCLE</t>
  </si>
  <si>
    <t>HARBOUR TOWNE MARINA-SOUTH</t>
  </si>
  <si>
    <t>03966</t>
  </si>
  <si>
    <t>HACKLEY CC DENTAL</t>
  </si>
  <si>
    <t>04656</t>
  </si>
  <si>
    <t>2820 MACARTHUR</t>
  </si>
  <si>
    <t>CHARTWELLS-OV EARLY ELEMENTARY</t>
  </si>
  <si>
    <t>02353</t>
  </si>
  <si>
    <t>831 E. HOVEY</t>
  </si>
  <si>
    <t>PORTER STEEL &amp; WELDING COMPANY</t>
  </si>
  <si>
    <t>333 W. WESTERN</t>
  </si>
  <si>
    <t>BURL &amp; SPRIG</t>
  </si>
  <si>
    <t>49444-3541</t>
  </si>
  <si>
    <t>1400 MERCY DR SUITE 150</t>
  </si>
  <si>
    <t>MUSKEGON SURGERY CENTER</t>
  </si>
  <si>
    <t>49442-5765</t>
  </si>
  <si>
    <t>565 E. LAKETON AVE.</t>
  </si>
  <si>
    <t>MR SCRIB'S PIZZA</t>
  </si>
  <si>
    <t>02659</t>
  </si>
  <si>
    <t>35 S SHERIDAN</t>
  </si>
  <si>
    <t>CHARTWELLS-OV MIDDLE SCHOOL</t>
  </si>
  <si>
    <t>02355</t>
  </si>
  <si>
    <t>372 RANDALL ROAD</t>
  </si>
  <si>
    <t>MONA LAKE BOAT CLUB</t>
  </si>
  <si>
    <t>1691 PECK ST.</t>
  </si>
  <si>
    <t>MUSK RES MISS WOMENS SHELT-LIN</t>
  </si>
  <si>
    <t>04503</t>
  </si>
  <si>
    <t>49443</t>
  </si>
  <si>
    <t>1150 E SHERMAN SUITE 1100</t>
  </si>
  <si>
    <t>WESTSHORE INTERNAL MEDICINE</t>
  </si>
  <si>
    <t>1560 E. SHERMAN STE 250</t>
  </si>
  <si>
    <t>PULMONARY MEDICINE-MERCY HEALT</t>
  </si>
  <si>
    <t>MLK ACADEMY</t>
  </si>
  <si>
    <t>55 E. SHERMAN</t>
  </si>
  <si>
    <t>MUSKEGON HTS. SCHOOLS</t>
  </si>
  <si>
    <t>30413</t>
  </si>
  <si>
    <t>EDGEWOOD ELEMENTARY</t>
  </si>
  <si>
    <t>3028 HOWDEN</t>
  </si>
  <si>
    <t>30414</t>
  </si>
  <si>
    <t>5428 E APPLE AVE</t>
  </si>
  <si>
    <t>EGELSTON TOWNSHIP FIRE DEPT</t>
  </si>
  <si>
    <t>02733</t>
  </si>
  <si>
    <t>1105 TERRACE</t>
  </si>
  <si>
    <t>BETHANY CHRISTIAN REFORMED</t>
  </si>
  <si>
    <t>2500 JEFFERSON STREET</t>
  </si>
  <si>
    <t>MUSKEGON SUPPER HOUSE</t>
  </si>
  <si>
    <t>1400 MERCY DRIVE</t>
  </si>
  <si>
    <t>ORTHOPAEDIC ASSOCIATES OF MUSK</t>
  </si>
  <si>
    <t>sat 9-12</t>
  </si>
  <si>
    <t>2201 S. GETTY</t>
  </si>
  <si>
    <t>MUSKEGON FAMILY CARE</t>
  </si>
  <si>
    <t>1826 Hoyt</t>
  </si>
  <si>
    <t>CHARTWELLS-MOON</t>
  </si>
  <si>
    <t>30406</t>
  </si>
  <si>
    <t>SUITE 101</t>
  </si>
  <si>
    <t>1250 MERCY DRIVE</t>
  </si>
  <si>
    <t>WEST MICHIGAN NEPHROLOGY PC</t>
  </si>
  <si>
    <t>4042 E APPLE AVE</t>
  </si>
  <si>
    <t>COPES AUTO REPAIR &amp; TIRES LLC</t>
  </si>
  <si>
    <t>2310 MARQUETTE</t>
  </si>
  <si>
    <t>CHARTWELLS-OV CARDINAL ELEM</t>
  </si>
  <si>
    <t>02354</t>
  </si>
  <si>
    <t>SUITE B</t>
  </si>
  <si>
    <t>1989 LAKESHORE DR</t>
  </si>
  <si>
    <t>WONDERLAND DISTILLING</t>
  </si>
  <si>
    <t>W - 11am</t>
  </si>
  <si>
    <t>4845 AIRLINE RD.</t>
  </si>
  <si>
    <t>1213 HACKLEY</t>
  </si>
  <si>
    <t>CHARTWELLS-GLENSIDE</t>
  </si>
  <si>
    <t>30410</t>
  </si>
  <si>
    <t>395 W BROADWAY</t>
  </si>
  <si>
    <t>SCHULTZ HOUSE</t>
  </si>
  <si>
    <t>6156 GRAND HAVEN RD</t>
  </si>
  <si>
    <t>WEST MI POWER CLEANING SYS INC</t>
  </si>
  <si>
    <t>2700 BAKER</t>
  </si>
  <si>
    <t>TRIDONN DEVELOPMENT</t>
  </si>
  <si>
    <t>2312 DENMARK</t>
  </si>
  <si>
    <t>CHARTWELLS-LAKESIDE ELEM.</t>
  </si>
  <si>
    <t>03038</t>
  </si>
  <si>
    <t>4788 GRAND HAVEN RD</t>
  </si>
  <si>
    <t>FOUR SEASONS HOME CRAFTERS</t>
  </si>
  <si>
    <t>WEST MICHIGAN RENAL PROPERTIES</t>
  </si>
  <si>
    <t>1675 LEAHY ST SUITE 401-A</t>
  </si>
  <si>
    <t>SHORELINE NEUROSURGICAL CONS</t>
  </si>
  <si>
    <t>5233 GRAND HAVEN RD</t>
  </si>
  <si>
    <t>TOP'S BODY SHOPPE</t>
  </si>
  <si>
    <t>5501 E APPLE AVE</t>
  </si>
  <si>
    <t>MR. QUICK RESTAURANTS-APPLE</t>
  </si>
  <si>
    <t>2140 LATIMER DR</t>
  </si>
  <si>
    <t>08005</t>
  </si>
  <si>
    <t>MSUKEGON</t>
  </si>
  <si>
    <t>6060 NORTON CENTER DR</t>
  </si>
  <si>
    <t>JOHNSON TECH PLANT 2 NORTH</t>
  </si>
  <si>
    <t>08011</t>
  </si>
  <si>
    <t>49441-1738</t>
  </si>
  <si>
    <t>1617 PALMER AVE</t>
  </si>
  <si>
    <t>PORT CITY CHURCH-MCGRAFT</t>
  </si>
  <si>
    <t>6120 NORTON CENTER DR</t>
  </si>
  <si>
    <t>JOHNSON TECH PLANT 2 SOUTH</t>
  </si>
  <si>
    <t>08007</t>
  </si>
  <si>
    <t>JOHNSON TECHNOLOGY PLANT 1</t>
  </si>
  <si>
    <t>08013</t>
  </si>
  <si>
    <t>981 THIRD ST</t>
  </si>
  <si>
    <t>02350</t>
  </si>
  <si>
    <t>49444-4501</t>
  </si>
  <si>
    <t>4610 AIRLINE RD</t>
  </si>
  <si>
    <t>WHITLOW'S FORERUNNER REST</t>
  </si>
  <si>
    <t>TWRFS</t>
  </si>
  <si>
    <t>1040 WOOD ST</t>
  </si>
  <si>
    <t>KEN'S ANOINTED HANDS</t>
  </si>
  <si>
    <t>2544 SANFORD</t>
  </si>
  <si>
    <t>CHICKEN COOP</t>
  </si>
  <si>
    <t>EGELSTON TOWNSHIP HALL</t>
  </si>
  <si>
    <t>02731</t>
  </si>
  <si>
    <t>05731</t>
  </si>
  <si>
    <t>05729</t>
  </si>
  <si>
    <t>2199 APPLE AVE</t>
  </si>
  <si>
    <t>LITTLE CAESARS PIZZA - APPLE</t>
  </si>
  <si>
    <t>1765 PECK ST</t>
  </si>
  <si>
    <t>FOUNTAIN FUNERAL HOME</t>
  </si>
  <si>
    <t>800 E ELLIS</t>
  </si>
  <si>
    <t>JENNIFER ROWE, MASSAGE THERAPY</t>
  </si>
  <si>
    <t>621 WESTERN AVE</t>
  </si>
  <si>
    <t>MUSKEGON EAGLES</t>
  </si>
  <si>
    <t>P O BOX 4290</t>
  </si>
  <si>
    <t>DEPARTMENT OF HUMAN SERVICES</t>
  </si>
  <si>
    <t>1279 E APPLE</t>
  </si>
  <si>
    <t>DIBS ON RESALE</t>
  </si>
  <si>
    <t>1420 MADISON</t>
  </si>
  <si>
    <t>CHARTWELLS-OAKVIEW</t>
  </si>
  <si>
    <t>30405</t>
  </si>
  <si>
    <t>05726</t>
  </si>
  <si>
    <t>08008</t>
  </si>
  <si>
    <t>851 E. Porter Rd.</t>
  </si>
  <si>
    <t>THERMO-O-DISC. INC.</t>
  </si>
  <si>
    <t>2034 LATIMER DR</t>
  </si>
  <si>
    <t>08012</t>
  </si>
  <si>
    <t>JOHNSON TECHNOLOGY PLANT 2</t>
  </si>
  <si>
    <t>08014</t>
  </si>
  <si>
    <t>1934 E. SHERMAN</t>
  </si>
  <si>
    <t>06087</t>
  </si>
  <si>
    <t>SUITE D</t>
  </si>
  <si>
    <t>2735 E. APPLE</t>
  </si>
  <si>
    <t>MUSKEGON RESCUE MISSION-MATS</t>
  </si>
  <si>
    <t>07777</t>
  </si>
  <si>
    <t>470 W. WESTERN STE A</t>
  </si>
  <si>
    <t>RAD DAD'S</t>
  </si>
  <si>
    <t>1445 E LAKETON</t>
  </si>
  <si>
    <t>SELECT AUDITORIUM (MAY RENTAL)</t>
  </si>
  <si>
    <t>2048 S DANGLE</t>
  </si>
  <si>
    <t>MICHIGAN SHORE MARINE &amp; EQUIP</t>
  </si>
  <si>
    <t>1041 E KEATING AVE</t>
  </si>
  <si>
    <t>SRS FIBERGLASS LLC</t>
  </si>
  <si>
    <t>1660 DODSON</t>
  </si>
  <si>
    <t>EMERGENCY SERVICES LLC</t>
  </si>
  <si>
    <t>2068 E. SHERMAN BLVD.</t>
  </si>
  <si>
    <t>DYNAMIC WOOD SOLUTIONS</t>
  </si>
  <si>
    <t>2031 E SHERMAN BLVD</t>
  </si>
  <si>
    <t>PACER SERVICE CENTER INC</t>
  </si>
  <si>
    <t>1751 EVANSTON AVE</t>
  </si>
  <si>
    <t xml:space="preserve">NORTHWAY LANES </t>
  </si>
  <si>
    <t>1450 E LAKETON</t>
  </si>
  <si>
    <t>INTRA CITY DISPATCH</t>
  </si>
  <si>
    <t>1710 Wierengo Dr.</t>
  </si>
  <si>
    <t>EAST RIVER MACHINE CO</t>
  </si>
  <si>
    <t>3440 E LAKETON AVE</t>
  </si>
  <si>
    <t>SCHERDEL SALES &amp; TECHNOLOGY</t>
  </si>
  <si>
    <t>2140 AURORA</t>
  </si>
  <si>
    <t>STEWART ENGINEERING &amp; SALES</t>
  </si>
  <si>
    <t>1875 ROBERTS ST</t>
  </si>
  <si>
    <t>NEWKIRK ELECTRIC</t>
  </si>
  <si>
    <t>2411 HALL RD</t>
  </si>
  <si>
    <t>RUSTY SPOKE LLC</t>
  </si>
  <si>
    <t>1744 S DANGLE RD</t>
  </si>
  <si>
    <t>WIRE EDM TECHNOLOGIES INC</t>
  </si>
  <si>
    <t>3785 EVANSTON</t>
  </si>
  <si>
    <t>ARLINGTON WOODS</t>
  </si>
  <si>
    <t>2270 S MILL IRON</t>
  </si>
  <si>
    <t>CONNECTION POINT CHURCH</t>
  </si>
  <si>
    <t>1848 E SHERMAN SUITE W</t>
  </si>
  <si>
    <t>THE PIZZA RANCH</t>
  </si>
  <si>
    <t>3162 HEIGHTS RAVENNA RD</t>
  </si>
  <si>
    <t>COZY CORNER CAFE INC</t>
  </si>
  <si>
    <t>2330 E BROADWAY</t>
  </si>
  <si>
    <t>MEAT BLOCK INC</t>
  </si>
  <si>
    <t>1888 E. SHERMAN</t>
  </si>
  <si>
    <t>BEST FINANCIAL CREDIT UNION</t>
  </si>
  <si>
    <t>2110 EVANSTON AVE</t>
  </si>
  <si>
    <t>LAKETON MART</t>
  </si>
  <si>
    <t>3032 HEIGHTS RAVENNA RD</t>
  </si>
  <si>
    <t>TEDDY'S SPAGHETTI</t>
  </si>
  <si>
    <t>1940 E LAKETON AVE</t>
  </si>
  <si>
    <t>DOG HOUSE SALOON</t>
  </si>
  <si>
    <t>49442-4945</t>
  </si>
  <si>
    <t>6826 E APPLE AVE</t>
  </si>
  <si>
    <t xml:space="preserve">MUSKEGON            </t>
  </si>
  <si>
    <t xml:space="preserve">1848 E. SHERMAN #M            </t>
  </si>
  <si>
    <t xml:space="preserve">LOS AMIGOS                    </t>
  </si>
  <si>
    <t>None</t>
  </si>
  <si>
    <t>1800 E. LAKETON AVENUE</t>
  </si>
  <si>
    <t>DEAN TRANSPORTATION-LAKETON</t>
  </si>
  <si>
    <t>00024</t>
  </si>
  <si>
    <t>3091 HEIGHTS RAVENNA RD</t>
  </si>
  <si>
    <t>MR. QUICK HAMBURGER-HTS RAVENN</t>
  </si>
  <si>
    <t>00001</t>
  </si>
  <si>
    <t>915 E. LAKETON AVE</t>
  </si>
  <si>
    <t>MR. QUICK HAMBURGER-LAKETON</t>
  </si>
  <si>
    <t>N. MUSKEGON</t>
  </si>
  <si>
    <t>1114 RUDDIMAN</t>
  </si>
  <si>
    <t>CITY OF N MUSK POLICE DEPT.</t>
  </si>
  <si>
    <t>09113</t>
  </si>
  <si>
    <t>1522 RUDDIMAN</t>
  </si>
  <si>
    <t>CITY OF N MUSK WALKER CC</t>
  </si>
  <si>
    <t>09112</t>
  </si>
  <si>
    <t>CITY OF N MUSK WALKER MEM LIB</t>
  </si>
  <si>
    <t>09111</t>
  </si>
  <si>
    <t>1522 RUDDIMAN DR</t>
  </si>
  <si>
    <t>CITY OF N MUSKEGON MEM LI</t>
  </si>
  <si>
    <t>09109</t>
  </si>
  <si>
    <t>49445-1329</t>
  </si>
  <si>
    <t>1404 W. GILES RD.</t>
  </si>
  <si>
    <t>REETHS PUFFER ELEMENTARY KITCH</t>
  </si>
  <si>
    <t>08101</t>
  </si>
  <si>
    <t>1911 W. GILES RD.</t>
  </si>
  <si>
    <t>REETHS PUFFER MID SCHL KITCHEN</t>
  </si>
  <si>
    <t>08289</t>
  </si>
  <si>
    <t>49445-2616</t>
  </si>
  <si>
    <t>1545 N ROBERTS RD</t>
  </si>
  <si>
    <t>REETHS PUFFER HIGH SCHOOL</t>
  </si>
  <si>
    <t>08100</t>
  </si>
  <si>
    <t>NORTH MUSKEGON</t>
  </si>
  <si>
    <t>1705 HOLTON RD</t>
  </si>
  <si>
    <t>08260</t>
  </si>
  <si>
    <t>G &amp; L CHILI DOGS FOOD TRUCK</t>
  </si>
  <si>
    <t>08259</t>
  </si>
  <si>
    <t>1169 WHITEHALL RD</t>
  </si>
  <si>
    <t>06089</t>
  </si>
  <si>
    <t>1906 HOLTON RD</t>
  </si>
  <si>
    <t>05972</t>
  </si>
  <si>
    <t>1819 HOLTON RD.</t>
  </si>
  <si>
    <t>MUSK RES MISS THRIFT STORE-MAT</t>
  </si>
  <si>
    <t>08390</t>
  </si>
  <si>
    <t>1577 HOLTON RD</t>
  </si>
  <si>
    <t>ANCHOR INSURANCE GROUP</t>
  </si>
  <si>
    <t>02871</t>
  </si>
  <si>
    <t>2006 HOLTON RD</t>
  </si>
  <si>
    <t>02593</t>
  </si>
  <si>
    <t>2625 CELERY LANE</t>
  </si>
  <si>
    <t>CLASSY CHASSY LTD</t>
  </si>
  <si>
    <t>1061 WITHAM</t>
  </si>
  <si>
    <t>VFW 8846 DON REA POST</t>
  </si>
  <si>
    <t>1179 WHITEHALL RD</t>
  </si>
  <si>
    <t>NORTHSHORE OPTOMETRY LLC</t>
  </si>
  <si>
    <t>2210 HOLTON RD</t>
  </si>
  <si>
    <t>RAY'S MINI MART</t>
  </si>
  <si>
    <t>49445-2419</t>
  </si>
  <si>
    <t>WHITEHALL</t>
  </si>
  <si>
    <t>1251 WITHAM</t>
  </si>
  <si>
    <t>MR SCRIBS PIZZA 4</t>
  </si>
  <si>
    <t>925 WITHAM</t>
  </si>
  <si>
    <t>H&amp;H LAWN SVC &amp; SNOWPLOWING LLC</t>
  </si>
  <si>
    <t>49445-1450</t>
  </si>
  <si>
    <t>1665 HOLTON ROAD</t>
  </si>
  <si>
    <t>EAST MUSKEGON ROOFING CO</t>
  </si>
  <si>
    <t>49445-1452</t>
  </si>
  <si>
    <t>1745 HOLTON ROAD</t>
  </si>
  <si>
    <t>CRAIG'S HARDWARE</t>
  </si>
  <si>
    <t>1965 HOLTON RD</t>
  </si>
  <si>
    <t>PURE OPTIONS LLC</t>
  </si>
  <si>
    <t>49445-9627</t>
  </si>
  <si>
    <t>3720 W GILES ROAD</t>
  </si>
  <si>
    <t>LJ'S PANTRY DBA</t>
  </si>
  <si>
    <t>2353 HOLTON RD</t>
  </si>
  <si>
    <t>NORTHSIDE PUB</t>
  </si>
  <si>
    <t>1271 HOLTON RD</t>
  </si>
  <si>
    <t>NORTHSIDE SPORTS PAGE BAR &amp; GR</t>
  </si>
  <si>
    <t>1535 HOLTON ROAD</t>
  </si>
  <si>
    <t>STEAK &amp; EGGER DBA</t>
  </si>
  <si>
    <t>1712 HOLTON RD SUITE A</t>
  </si>
  <si>
    <t>THE BAR &amp; PLATE</t>
  </si>
  <si>
    <t>3005 HOLTON RD</t>
  </si>
  <si>
    <t>MARATHON TERMINAL 5004</t>
  </si>
  <si>
    <t>1871 HOLTON RD #B</t>
  </si>
  <si>
    <t>BELLACINO'S PIZZA &amp; GRINDERS</t>
  </si>
  <si>
    <t>1519 E. RIVER RD</t>
  </si>
  <si>
    <t>HEALTH HUTT, DBA</t>
  </si>
  <si>
    <t>1975 HOLTON RD</t>
  </si>
  <si>
    <t>COX ACCOUNTING</t>
  </si>
  <si>
    <t>650 WHITEHALL RD.</t>
  </si>
  <si>
    <t>1110 DYKSTRA ROAD</t>
  </si>
  <si>
    <t>PRINCE OF PEACE CATHOLIC CHURC</t>
  </si>
  <si>
    <t>1179 WHITEHALL ROAD</t>
  </si>
  <si>
    <t>NORTHSHORE DENTAL ASSOCIATES</t>
  </si>
  <si>
    <t>1519 E RIVER</t>
  </si>
  <si>
    <t>O'BRIEN FAMILY CHIROPRACTIC</t>
  </si>
  <si>
    <t>1971 HOLTON RD</t>
  </si>
  <si>
    <t>1810 RUDDIMAN</t>
  </si>
  <si>
    <t>MICHELLE PIPER DDS</t>
  </si>
  <si>
    <t>1900 RUDDIMAN</t>
  </si>
  <si>
    <t>VALKYRIE-NORDIC CUISINE</t>
  </si>
  <si>
    <t>321 CENTER</t>
  </si>
  <si>
    <t>BERNIE O'S PIZZA</t>
  </si>
  <si>
    <t>485 N WHITEHALL RD</t>
  </si>
  <si>
    <t>LITTLE CAESARS PIZZA - N MUSK</t>
  </si>
  <si>
    <t>601 TERRACE</t>
  </si>
  <si>
    <t>PARMENTER-O'TOOLE LLC</t>
  </si>
  <si>
    <t>354 OTTAWA</t>
  </si>
  <si>
    <t>SUPERIOR MONUMENT</t>
  </si>
  <si>
    <t>310 RUDDIMAN DR</t>
  </si>
  <si>
    <t>49445-3146</t>
  </si>
  <si>
    <t>360 RUDDIMAN</t>
  </si>
  <si>
    <t>BEAR LAKE TAVERN</t>
  </si>
  <si>
    <t>485 WHITEHALL RD</t>
  </si>
  <si>
    <t>NORTHSHORE CHIROPRACTIC CTR PC</t>
  </si>
  <si>
    <t>NORTHSHORE CHIROPRACTIC</t>
  </si>
  <si>
    <t>460 E TYLER</t>
  </si>
  <si>
    <t>SHILOH TABERNACLE</t>
  </si>
  <si>
    <t>1261 HOLTON RD</t>
  </si>
  <si>
    <t>ADVANCED PRINTING &amp; GRAPHICS</t>
  </si>
  <si>
    <t>901 E. GILES RD</t>
  </si>
  <si>
    <t>DEAN TRANSPORTATION-GILES</t>
  </si>
  <si>
    <t>00023</t>
  </si>
  <si>
    <t>1519 E. RIVER ROAD</t>
  </si>
  <si>
    <t>00027</t>
  </si>
  <si>
    <t>49461</t>
  </si>
  <si>
    <t>3353 UNDERWOOD DR.</t>
  </si>
  <si>
    <t>06083</t>
  </si>
  <si>
    <t>7100 N.  WHITEHALL RD</t>
  </si>
  <si>
    <t>08201</t>
  </si>
  <si>
    <t>120 N THOMPSON</t>
  </si>
  <si>
    <t>WHITE LAKE AUTOMOTIVE (NAPA)</t>
  </si>
  <si>
    <t>49437</t>
  </si>
  <si>
    <t>MONTAGUE</t>
  </si>
  <si>
    <t>8560 ELLENWOOD DRIVE</t>
  </si>
  <si>
    <t>ELLENWOOD LANDING CONDO ASSN</t>
  </si>
  <si>
    <t>101 W COLBY</t>
  </si>
  <si>
    <t>PITKIN DRUGS</t>
  </si>
  <si>
    <t>6905 N. OLD CHANNEL TRAIL</t>
  </si>
  <si>
    <t>OLD CHANNEL INN</t>
  </si>
  <si>
    <t>111 COLBY STREET</t>
  </si>
  <si>
    <t>PUB 111 HOMETOWN HOSPITALITY</t>
  </si>
  <si>
    <t>504 E. COLBY ST</t>
  </si>
  <si>
    <t>BRUNWORTH RYAN DDS</t>
  </si>
  <si>
    <t>49461-1104</t>
  </si>
  <si>
    <t>504 E COLBY ST</t>
  </si>
  <si>
    <t>1500 S WARNER</t>
  </si>
  <si>
    <t>HOWMET - LAB</t>
  </si>
  <si>
    <t>HOWMET - RAPID PROTOTYPE</t>
  </si>
  <si>
    <t>49461-1802</t>
  </si>
  <si>
    <t>900 INDUSTRIAL PARK DRIVE</t>
  </si>
  <si>
    <t>BOB'S ROOFING CO</t>
  </si>
  <si>
    <t>415 E SOPHIA</t>
  </si>
  <si>
    <t>WHITEHALL SCHOOLS/BUS GARAGE</t>
  </si>
  <si>
    <t>3303 COLBY</t>
  </si>
  <si>
    <t>WHITEHALL QUICK LUBE</t>
  </si>
  <si>
    <t>4527 DOWLING STREET</t>
  </si>
  <si>
    <t>WEATHERVANE INN</t>
  </si>
  <si>
    <t>8945 STEBBINS</t>
  </si>
  <si>
    <t>ST JAMES LUTHERAN</t>
  </si>
  <si>
    <t>8718 FERRY</t>
  </si>
  <si>
    <t>LIPKA'S</t>
  </si>
  <si>
    <t>8720 FERRY</t>
  </si>
  <si>
    <t>JIMMY'S PUB- JCA ENTERPRISES</t>
  </si>
  <si>
    <t>8778 FERRY</t>
  </si>
  <si>
    <t>MONTAGUE CITY HALL</t>
  </si>
  <si>
    <t>615 E COLBY</t>
  </si>
  <si>
    <t>TWIN CITIES PARTS &amp; SERVICE</t>
  </si>
  <si>
    <t>1204 S LAKE</t>
  </si>
  <si>
    <t>WHITE LAKE EAGLES</t>
  </si>
  <si>
    <t>604 COLBY</t>
  </si>
  <si>
    <t>BONE ENDS</t>
  </si>
  <si>
    <t>212 E COLBY ST</t>
  </si>
  <si>
    <t>CHEN'S CHINESE &amp; THAI RESTAURA</t>
  </si>
  <si>
    <t>8718 WATER ST</t>
  </si>
  <si>
    <t>KB GROCERS, MONTAGUE FOODS DBA</t>
  </si>
  <si>
    <t>1411 WHITEHALL ROAD LLC</t>
  </si>
  <si>
    <t>HANDSOME HOBO'S</t>
  </si>
  <si>
    <t>1411 WHITEHALL RD</t>
  </si>
  <si>
    <t>HOBO'S TAVERN DBA BO'S LLC</t>
  </si>
  <si>
    <t>3205 E COLBY</t>
  </si>
  <si>
    <t>LITTLE CAESARS PIZZA-WHITEHALL</t>
  </si>
  <si>
    <t>8669 OLD CHANNEL TRAIL</t>
  </si>
  <si>
    <t>FERRY MEMORIAL REFORMED CHURCH</t>
  </si>
  <si>
    <t>104 THOMPSON ST</t>
  </si>
  <si>
    <t>BIG JOHN'S PIZZA</t>
  </si>
  <si>
    <t>8670 FERRY STREET</t>
  </si>
  <si>
    <t>JOSEPH FERGUSON DDS</t>
  </si>
  <si>
    <t>5333 SCENIC DR</t>
  </si>
  <si>
    <t>WHITE DUCK COUNTRY MARKET</t>
  </si>
  <si>
    <t>6748 S SHORE DRIVE</t>
  </si>
  <si>
    <t>WHITE LAKE YACHT CLUB</t>
  </si>
  <si>
    <t>803 E COLBY</t>
  </si>
  <si>
    <t>AMERICAN LEGION, POST 169</t>
  </si>
  <si>
    <t>8735 WATER ST</t>
  </si>
  <si>
    <t>NORTH GROVE BREWERS LLC</t>
  </si>
  <si>
    <t>8939 WATER ST</t>
  </si>
  <si>
    <t>BOARDWELL MECHANICAL SVS INC</t>
  </si>
  <si>
    <t>4575 DOWLING ST.</t>
  </si>
  <si>
    <t>DOG &amp; SUDS</t>
  </si>
  <si>
    <t>WHITHALL</t>
  </si>
  <si>
    <t>306 E COLBY ST.</t>
  </si>
  <si>
    <t>THE GNARLY HEIFER</t>
  </si>
  <si>
    <t>49444-2249</t>
  </si>
  <si>
    <t>541 E SHERMAN</t>
  </si>
  <si>
    <t>QUALITY TOOL &amp; STAMPING</t>
  </si>
  <si>
    <t>08149</t>
  </si>
  <si>
    <t>08147</t>
  </si>
  <si>
    <t>2808 SANFORD</t>
  </si>
  <si>
    <t>06810</t>
  </si>
  <si>
    <t>1484 ELLIS ROAD</t>
  </si>
  <si>
    <t>06086</t>
  </si>
  <si>
    <t>5247 HARVEY</t>
  </si>
  <si>
    <t>05971</t>
  </si>
  <si>
    <t>376 E. APPLE</t>
  </si>
  <si>
    <t>HCCC - INTEGRATED HLTH CLINIC</t>
  </si>
  <si>
    <t>04658</t>
  </si>
  <si>
    <t>SUITE 201</t>
  </si>
  <si>
    <t>255 SEMINOLE</t>
  </si>
  <si>
    <t>04653</t>
  </si>
  <si>
    <t>2445 PARK STREET</t>
  </si>
  <si>
    <t>PROFESSIONAL MED TEAM (HTS)</t>
  </si>
  <si>
    <t>03684</t>
  </si>
  <si>
    <t>49442-3257</t>
  </si>
  <si>
    <t>965 FORK STREET</t>
  </si>
  <si>
    <t>PROFESSIONAL MED TEAM</t>
  </si>
  <si>
    <t>03960</t>
  </si>
  <si>
    <t>1580 PARK ST</t>
  </si>
  <si>
    <t>MAISD-CRAIG CAMPUS</t>
  </si>
  <si>
    <t>03081</t>
  </si>
  <si>
    <t>877 TERRACE</t>
  </si>
  <si>
    <t>02870</t>
  </si>
  <si>
    <t>3350 GLADE</t>
  </si>
  <si>
    <t>HEARTHSTONE RESTAURANT</t>
  </si>
  <si>
    <t>49442-3331</t>
  </si>
  <si>
    <t>125 CATHERINE AVE.</t>
  </si>
  <si>
    <t>MUSKEGON COVENANT ACADEMY</t>
  </si>
  <si>
    <t>1664 E STERNBERG</t>
  </si>
  <si>
    <t>MEYER MUSIC</t>
  </si>
  <si>
    <t>100 E BROADWAY</t>
  </si>
  <si>
    <t>THE HIDEOUT</t>
  </si>
  <si>
    <t>412 E SHERMAN BLVD</t>
  </si>
  <si>
    <t>CHRIST TEMPLE CHURCH</t>
  </si>
  <si>
    <t>444 IRWIN AVENUE</t>
  </si>
  <si>
    <t>GRAPHICS HOUSE IMAGING</t>
  </si>
  <si>
    <t>4851 HARVEY ST</t>
  </si>
  <si>
    <t>J W &amp; CO HAIR STUDIO</t>
  </si>
  <si>
    <t>75 W APPLE AVE</t>
  </si>
  <si>
    <t>BRIANNA T SCOTT &amp; ASSOCIATES</t>
  </si>
  <si>
    <t>4915 HARVEY</t>
  </si>
  <si>
    <t>SALON 297</t>
  </si>
  <si>
    <t>49441-2323</t>
  </si>
  <si>
    <t>543 W. SOUTHERN</t>
  </si>
  <si>
    <t>SPEC ABRASIVES &amp; FINISHING LLC</t>
  </si>
  <si>
    <t>971 WASHINGTON AVE</t>
  </si>
  <si>
    <t>FATTY LUMPKINS SANDWICH SHACK</t>
  </si>
  <si>
    <t>480 W SHERMAN</t>
  </si>
  <si>
    <t>ARNOLD AUTO GLASS INC</t>
  </si>
  <si>
    <t xml:space="preserve">MUSKEGON </t>
  </si>
  <si>
    <t>560 SEMINOLE RD.</t>
  </si>
  <si>
    <t>LIFE CIRCLES</t>
  </si>
  <si>
    <t>EVOLVE HAIR SALON &amp; SPA LLC</t>
  </si>
  <si>
    <t>SUITE 755</t>
  </si>
  <si>
    <t>755 SEMINOLE RD.</t>
  </si>
  <si>
    <t>NORTON SHORES DENTAL PROPERTY</t>
  </si>
  <si>
    <t>557 SEMINOLE</t>
  </si>
  <si>
    <t>SHORELINE NEPHROLOGY</t>
  </si>
  <si>
    <t>2906 S GETTY</t>
  </si>
  <si>
    <t>SUNNY MART/TWO BROTHERZ</t>
  </si>
  <si>
    <t>2233 E APPLE AVE</t>
  </si>
  <si>
    <t>ENTITY TATTOO STUDIO</t>
  </si>
  <si>
    <t>1300 W. SHERMAN BLVD.</t>
  </si>
  <si>
    <t>NAUGHTY'S</t>
  </si>
  <si>
    <t>525 W. NORTON</t>
  </si>
  <si>
    <t>THE REEF</t>
  </si>
  <si>
    <t>MUSKEGON HTS.</t>
  </si>
  <si>
    <t>423 W. NORTON</t>
  </si>
  <si>
    <t>NEXT I.T.  4 R'S PROPERTY MGMT</t>
  </si>
  <si>
    <t>2815 SANFORD</t>
  </si>
  <si>
    <t>CLASSIC CUTS</t>
  </si>
  <si>
    <t>1017 SANFORD</t>
  </si>
  <si>
    <t>JEFFREY P WEST PLLC</t>
  </si>
  <si>
    <t>1042 TERRACE</t>
  </si>
  <si>
    <t>PANYARD BUILDING LLC</t>
  </si>
  <si>
    <t>550 W. GRAND AVE.</t>
  </si>
  <si>
    <t xml:space="preserve">CHARTWELL-NELSON ELEMENTARY </t>
  </si>
  <si>
    <t>00310</t>
  </si>
  <si>
    <t>2860 ESTES</t>
  </si>
  <si>
    <t>KAYDON CORP BDIV</t>
  </si>
  <si>
    <t>08995</t>
  </si>
  <si>
    <t>KAYDON CORP, PLANT 1</t>
  </si>
  <si>
    <t>08998</t>
  </si>
  <si>
    <t>49441-4016</t>
  </si>
  <si>
    <t>3044 HENRY</t>
  </si>
  <si>
    <t>04616</t>
  </si>
  <si>
    <t>771 W SHERMAN BLVD</t>
  </si>
  <si>
    <t>06208</t>
  </si>
  <si>
    <t>715 TERRACE ST</t>
  </si>
  <si>
    <t xml:space="preserve">MUSKEGON CO-OP FEDERAL CREDIT </t>
  </si>
  <si>
    <t>06176</t>
  </si>
  <si>
    <t>SUITE H</t>
  </si>
  <si>
    <t>950 W. NORTON</t>
  </si>
  <si>
    <t>06091</t>
  </si>
  <si>
    <t>2881 HENRY</t>
  </si>
  <si>
    <t>05973</t>
  </si>
  <si>
    <t>2570 HENRY</t>
  </si>
  <si>
    <t>04506</t>
  </si>
  <si>
    <t>3275 HENRY ST.</t>
  </si>
  <si>
    <t>DOMINO'S PIZZA-HENRY STREET</t>
  </si>
  <si>
    <t>03712</t>
  </si>
  <si>
    <t>49441-3542</t>
  </si>
  <si>
    <t>1547 W SHERMAN</t>
  </si>
  <si>
    <t xml:space="preserve">SYTSEMA FUNERAL HOME, WALBURN </t>
  </si>
  <si>
    <t>02664</t>
  </si>
  <si>
    <t>1402 HUDSON ST</t>
  </si>
  <si>
    <t>COFFEE FACTORY</t>
  </si>
  <si>
    <t>930 WASHINGTON SUITE 1A</t>
  </si>
  <si>
    <t>WATERMARK 920</t>
  </si>
  <si>
    <t>49440-1099</t>
  </si>
  <si>
    <t>470 W. WESTERN</t>
  </si>
  <si>
    <t>MERCY HEALTH ARENA</t>
  </si>
  <si>
    <t>1834 HOLTON RD., SUITE B</t>
  </si>
  <si>
    <t>J C COX INC</t>
  </si>
  <si>
    <t>1697 W SHERMAN</t>
  </si>
  <si>
    <t>LOMBARDO'S PIZZERIA</t>
  </si>
  <si>
    <t xml:space="preserve">1427 W SHERMAN </t>
  </si>
  <si>
    <t>LA CASA FIERRO</t>
  </si>
  <si>
    <t>2160 CROZIER</t>
  </si>
  <si>
    <t>THE SOLUTIONS GROUP</t>
  </si>
  <si>
    <t>3035 HENRY ST.</t>
  </si>
  <si>
    <t>DICKEY'S BARBECUE PIT</t>
  </si>
  <si>
    <t>DOOR G</t>
  </si>
  <si>
    <t xml:space="preserve">1204 W. WESTERN </t>
  </si>
  <si>
    <t>WESTPACK, INC.</t>
  </si>
  <si>
    <t>777 PINE STREET</t>
  </si>
  <si>
    <t>MUSKEGON GLASS COMPANY INC</t>
  </si>
  <si>
    <t>940 SECOND STREET</t>
  </si>
  <si>
    <t>HERITAGE SQUARE COMMONS</t>
  </si>
  <si>
    <t>2958 HENRY</t>
  </si>
  <si>
    <t>LITTLE CAESARS PIZZA - HENRY</t>
  </si>
  <si>
    <t>875 W. BROADWAY AVE</t>
  </si>
  <si>
    <t>SHORELINE INSURANCE AGENCY</t>
  </si>
  <si>
    <t>3065 HENRY</t>
  </si>
  <si>
    <t>BRUNCH HOUSE</t>
  </si>
  <si>
    <t>239 W CLAY</t>
  </si>
  <si>
    <t>ST MARY'S CATHOLIC</t>
  </si>
  <si>
    <t>930 WASHINGTON AVE.</t>
  </si>
  <si>
    <t>WATERMARK LOFTS</t>
  </si>
  <si>
    <t>1014 W HACKLEY</t>
  </si>
  <si>
    <t>POLISH FALCON HALL</t>
  </si>
  <si>
    <t>49443-0207</t>
  </si>
  <si>
    <t>31 E CLAY AVE</t>
  </si>
  <si>
    <t>UNITED WAY OF THE LAKESHORE</t>
  </si>
  <si>
    <t>513 W. PONTALUNA RD</t>
  </si>
  <si>
    <t>BELLA MARIA'S RISTORANTE &amp; EVE</t>
  </si>
  <si>
    <t>820 PINE STREET</t>
  </si>
  <si>
    <t>NORTHWESTERN INDUSTRIAL SALES</t>
  </si>
  <si>
    <t>910 W BROADWAY</t>
  </si>
  <si>
    <t>THE STATION GRILL</t>
  </si>
  <si>
    <t>3036 SHEFFIELD, SUITE C</t>
  </si>
  <si>
    <t>SHORELINE STAFFING</t>
  </si>
  <si>
    <t>821 W BROADWAY</t>
  </si>
  <si>
    <t>SANBORN'S JEWELRY</t>
  </si>
  <si>
    <t>3112 HENRY ST</t>
  </si>
  <si>
    <t>HEALTH HUTT, DBA NATURAL HEALT</t>
  </si>
  <si>
    <t>733 W SUMMIT</t>
  </si>
  <si>
    <t>PIZZA &amp; SUB SHOP  PELLET ENT.</t>
  </si>
  <si>
    <t>SUITE 415</t>
  </si>
  <si>
    <t>PARK PLACE CONDOMINIUMS</t>
  </si>
  <si>
    <t>950 W NORTON</t>
  </si>
  <si>
    <t>PARK PLACE OF ROOSEVELT PARK</t>
  </si>
  <si>
    <t>550 W WESTERN AVE</t>
  </si>
  <si>
    <t>AMAZON APARTMENTS DBA</t>
  </si>
  <si>
    <t>2735 ESTES ST</t>
  </si>
  <si>
    <t>COMMUNITY CHOICE CU</t>
  </si>
  <si>
    <t>3579 HENRY STREET</t>
  </si>
  <si>
    <t>TODD HUNT, DDS</t>
  </si>
  <si>
    <t>2511 WINCHESTER</t>
  </si>
  <si>
    <t>GLENSIDE GARDENS</t>
  </si>
  <si>
    <t>1308 W SHERMAN BLVD</t>
  </si>
  <si>
    <t>SKEETOWN TAVERN INC.</t>
  </si>
  <si>
    <t>2389 SHERMAN BLVD.</t>
  </si>
  <si>
    <t>MIBAR-MYMAC INC.</t>
  </si>
  <si>
    <t>2536 HENRY ST</t>
  </si>
  <si>
    <t>HANKS TAVERN</t>
  </si>
  <si>
    <t>2390 SHERMAN BLVD.</t>
  </si>
  <si>
    <t>SUPER STOP PARTY STORE</t>
  </si>
  <si>
    <t>2355 SHERMAN BOULEVARD</t>
  </si>
  <si>
    <t>LAKESIDE EAGLES</t>
  </si>
  <si>
    <t>SUITE E</t>
  </si>
  <si>
    <t>851 W. LAKETON</t>
  </si>
  <si>
    <t>G &amp; K AUTOMOTIVE INC.</t>
  </si>
  <si>
    <t>865 W. SUMMIT</t>
  </si>
  <si>
    <t>TAN &amp; TONE FINISHING TOUCH</t>
  </si>
  <si>
    <t>1150 7TH STREET</t>
  </si>
  <si>
    <t>EARLE PRESS</t>
  </si>
  <si>
    <t>880 W. BROADWAY</t>
  </si>
  <si>
    <t>NEXES REALTY, INC.</t>
  </si>
  <si>
    <t>1550 W SHERMAN</t>
  </si>
  <si>
    <t>GLENPARK ANIMAL HOSPITAL</t>
  </si>
  <si>
    <t>2628 HENRY ST</t>
  </si>
  <si>
    <t>CITGO, NKM PROPERTIES INC</t>
  </si>
  <si>
    <t>49417-1108</t>
  </si>
  <si>
    <t>GRAND HAVEN</t>
  </si>
  <si>
    <t>317 N BEACON</t>
  </si>
  <si>
    <t>MR SCRIB'S</t>
  </si>
  <si>
    <t>07717</t>
  </si>
  <si>
    <t>49417</t>
  </si>
  <si>
    <t>1050 FULTON</t>
  </si>
  <si>
    <t>GLOBAL AUTOWORK LLC</t>
  </si>
  <si>
    <t>518 S BEACON</t>
  </si>
  <si>
    <t>DR SID DISBROW</t>
  </si>
  <si>
    <t>1005 S BEACON</t>
  </si>
  <si>
    <t>GRAND HAVEN PIZZA &amp; SUB SHOP</t>
  </si>
  <si>
    <t>1444 WASHINGTON AVE</t>
  </si>
  <si>
    <t>SIGN FACTORY, THE</t>
  </si>
  <si>
    <t>600 PARK, SUITE 3</t>
  </si>
  <si>
    <t>YOUNG, DR. ROBBI</t>
  </si>
  <si>
    <t>600 PARK AVE</t>
  </si>
  <si>
    <t>MICHAEL L STERENBERG DO PLLC</t>
  </si>
  <si>
    <t>20 N FIRST</t>
  </si>
  <si>
    <t>VFW 2326</t>
  </si>
  <si>
    <t>12 N BEECHTREE</t>
  </si>
  <si>
    <t>CITY AUTO BODY</t>
  </si>
  <si>
    <t>41 W WASHINGTON AVE, SUITE 230</t>
  </si>
  <si>
    <t>REDS</t>
  </si>
  <si>
    <t>1115 WASHINGTON</t>
  </si>
  <si>
    <t>BODHI TREE JUICE CO. LLC</t>
  </si>
  <si>
    <t>1445 SHELDON, SUITE 101</t>
  </si>
  <si>
    <t>LAKESHORE UROLOGY PLC</t>
  </si>
  <si>
    <t>6 N SEVENTH ST</t>
  </si>
  <si>
    <t>J W'S</t>
  </si>
  <si>
    <t>311 NORTH 7TH STREET</t>
  </si>
  <si>
    <t>DOMINO'S PIZZA (S BEACON)</t>
  </si>
  <si>
    <t>49456</t>
  </si>
  <si>
    <t>SPRING LAKE</t>
  </si>
  <si>
    <t>909 W. SAVIDGE ST</t>
  </si>
  <si>
    <t>BEEFY'S BURGER SHACK</t>
  </si>
  <si>
    <t>909 W. SAVIDGE</t>
  </si>
  <si>
    <t>FINNS CHOPHOUSE</t>
  </si>
  <si>
    <t>RFSU</t>
  </si>
  <si>
    <t>116 CHRISTMAN</t>
  </si>
  <si>
    <t>ZIMMER AUTOMOTIVE SERVICES</t>
  </si>
  <si>
    <t>562 N. BEACON BLVD.</t>
  </si>
  <si>
    <t>MAMA'S THAI CAFE</t>
  </si>
  <si>
    <t xml:space="preserve">SPRING LAKE         </t>
  </si>
  <si>
    <t xml:space="preserve">728 E SAVAGE                  </t>
  </si>
  <si>
    <t xml:space="preserve">BUTCHS BEACH BURRITO          </t>
  </si>
  <si>
    <t xml:space="preserve">GRAND HAVEN         </t>
  </si>
  <si>
    <t xml:space="preserve">726 S HARBOR DR               </t>
  </si>
  <si>
    <t xml:space="preserve">BUTCHS BEACH BURRITOS         </t>
  </si>
  <si>
    <t xml:space="preserve">971 W SAVIDGE ST             </t>
  </si>
  <si>
    <t xml:space="preserve">OLD BOYS BREWHOUSE            </t>
  </si>
  <si>
    <t>1051 S. BEACON BLVD</t>
  </si>
  <si>
    <t>FOUR POINTES</t>
  </si>
  <si>
    <t xml:space="preserve">723 E. SAVIDGE                </t>
  </si>
  <si>
    <t xml:space="preserve">TWO TONY'S TAVERNA GRILLE     </t>
  </si>
  <si>
    <t xml:space="preserve">717 SHELDON                   </t>
  </si>
  <si>
    <t xml:space="preserve">CHURCH OF THE DUNES           </t>
  </si>
  <si>
    <t xml:space="preserve">HOLIDAY INN                   </t>
  </si>
  <si>
    <t xml:space="preserve">940 W. SAVIDGE                </t>
  </si>
  <si>
    <t>HORIZON EVENTS</t>
  </si>
  <si>
    <t>HORIZON HOSPITALITY</t>
  </si>
  <si>
    <t xml:space="preserve">17496 FRUITPORT RD.           </t>
  </si>
  <si>
    <t xml:space="preserve">SPRING LAKE COUNTRY CLUB      </t>
  </si>
  <si>
    <t xml:space="preserve">715 WASHINGTON                </t>
  </si>
  <si>
    <t xml:space="preserve">THE BOOKMAN                   </t>
  </si>
  <si>
    <t xml:space="preserve">1125 S. BEACON                </t>
  </si>
  <si>
    <t xml:space="preserve">RX OPTICAL                    </t>
  </si>
  <si>
    <t>17200 ROBBINS ROAD</t>
  </si>
  <si>
    <t>00484</t>
  </si>
  <si>
    <t>1116 ROBBINS ROAD</t>
  </si>
  <si>
    <t>D&amp;W 1570  FIRST AID</t>
  </si>
  <si>
    <t>00018</t>
  </si>
  <si>
    <t>502 W SAVIDGE ST</t>
  </si>
  <si>
    <t>00009</t>
  </si>
  <si>
    <t>14750 MERCURY DR.</t>
  </si>
  <si>
    <t>00005</t>
  </si>
  <si>
    <t>951 JACKSON ST</t>
  </si>
  <si>
    <t>LMCU 87</t>
  </si>
  <si>
    <t>00013</t>
  </si>
  <si>
    <t>00473</t>
  </si>
  <si>
    <t xml:space="preserve">D&amp;W 1570 FRONT </t>
  </si>
  <si>
    <t>D&amp;W 1570 STARBUCKS</t>
  </si>
  <si>
    <t>00022</t>
  </si>
  <si>
    <t xml:space="preserve">D&amp;W 1570 PRODUCE </t>
  </si>
  <si>
    <t>00021</t>
  </si>
  <si>
    <t xml:space="preserve">D&amp;W 1570 DELI </t>
  </si>
  <si>
    <t>00020</t>
  </si>
  <si>
    <t xml:space="preserve">D&amp;W 1570 BAKERY </t>
  </si>
  <si>
    <t>00019</t>
  </si>
  <si>
    <t xml:space="preserve">D&amp;W 1570 MEAT </t>
  </si>
  <si>
    <t>49448</t>
  </si>
  <si>
    <t>NUNICA</t>
  </si>
  <si>
    <t>11956 CLEVELAND</t>
  </si>
  <si>
    <t>BLARNEY CASTLE 728</t>
  </si>
  <si>
    <t>00055</t>
  </si>
  <si>
    <t xml:space="preserve"> </t>
  </si>
  <si>
    <t>1 S. BEACON</t>
  </si>
  <si>
    <t>BLARNEY CASTLE 496</t>
  </si>
  <si>
    <t>00054</t>
  </si>
  <si>
    <t>49404</t>
  </si>
  <si>
    <t>COOPERSVILLE</t>
  </si>
  <si>
    <t>1141 W. RANDALL</t>
  </si>
  <si>
    <t>06092</t>
  </si>
  <si>
    <t>5353 GRAND HAVEN RD SUITE A</t>
  </si>
  <si>
    <t>SEMLOW CHIROPRACTIC</t>
  </si>
  <si>
    <t xml:space="preserve">COOPERSVILLE </t>
  </si>
  <si>
    <t>214 CHURCH ST</t>
  </si>
  <si>
    <t>THROOP FUNERAL HOME</t>
  </si>
  <si>
    <t>SUITE G</t>
  </si>
  <si>
    <t>1136 W RANDALL ST</t>
  </si>
  <si>
    <t>FUNKY MONKEY SMOKE SHOP</t>
  </si>
  <si>
    <t>229 RANDALL</t>
  </si>
  <si>
    <t>SOUTHSIDE BAR &amp; GRILL INC</t>
  </si>
  <si>
    <t>939 E. PONTALUNA</t>
  </si>
  <si>
    <t>DR KEVIN FAIRFIELD</t>
  </si>
  <si>
    <t xml:space="preserve">COOPERSVILLE        </t>
  </si>
  <si>
    <t xml:space="preserve">25 68TH STREET                </t>
  </si>
  <si>
    <t xml:space="preserve">NEW BEGINNINGS REST           </t>
  </si>
  <si>
    <t>00015</t>
  </si>
  <si>
    <t>259 MAIN ST</t>
  </si>
  <si>
    <t>FATZO'S PIZZA-COOPERSVILLE</t>
  </si>
  <si>
    <t>865 E. PORTER</t>
  </si>
  <si>
    <t>DIETECH</t>
  </si>
  <si>
    <t>140 N 64TH AVE</t>
  </si>
  <si>
    <t>IBEW LOCAL 275</t>
  </si>
  <si>
    <t>49347</t>
  </si>
  <si>
    <t>3449 E. ARTHUR</t>
  </si>
  <si>
    <t>OTTAWA ORCHARDS, INC.</t>
  </si>
  <si>
    <t>49401</t>
  </si>
  <si>
    <t>#1</t>
  </si>
  <si>
    <t xml:space="preserve">4 EAST RANDALL </t>
  </si>
  <si>
    <t>TAQUERIA MANRIQUEZ</t>
  </si>
  <si>
    <t>49534</t>
  </si>
  <si>
    <t>WALKER</t>
  </si>
  <si>
    <t>2501 WILSON DR. NW</t>
  </si>
  <si>
    <t>IRONWOOD BAR &amp; GRILL</t>
  </si>
  <si>
    <t>287 MAIN ST</t>
  </si>
  <si>
    <t>CHAMPS BAR &amp; GRILL</t>
  </si>
  <si>
    <t>4610 AIRLINE AVENUE</t>
  </si>
  <si>
    <t>TUDOR EVENT SERVICES</t>
  </si>
  <si>
    <t>5817 HARVEY ST</t>
  </si>
  <si>
    <t>GRAND TRAVERSE PIE CO</t>
  </si>
  <si>
    <t>5710 S HARVEY ST</t>
  </si>
  <si>
    <t>KAZUMI</t>
  </si>
  <si>
    <t>49406</t>
  </si>
  <si>
    <t>327 MAIN ST.</t>
  </si>
  <si>
    <t>327 PIZZA &amp; PUB</t>
  </si>
  <si>
    <t>930 O'MALLY DRIVE</t>
  </si>
  <si>
    <t>BETTEN BAKER CHEVROLET</t>
  </si>
  <si>
    <t xml:space="preserve">NORTON SHORES       </t>
  </si>
  <si>
    <t xml:space="preserve">696 AIRPORT PLACE             </t>
  </si>
  <si>
    <t xml:space="preserve">SILVER CREEK MANF.            </t>
  </si>
  <si>
    <t xml:space="preserve">345 MAIN ST                   </t>
  </si>
  <si>
    <t xml:space="preserve">COOPERSVILLE DENTAL           </t>
  </si>
  <si>
    <t xml:space="preserve">675 W. RANDALL                </t>
  </si>
  <si>
    <t xml:space="preserve">RANDAL STREET MEDICAL         </t>
  </si>
  <si>
    <t>MTWF</t>
  </si>
  <si>
    <t xml:space="preserve">17150 88TH AVE.               </t>
  </si>
  <si>
    <t xml:space="preserve">MICHAELS CATHOLIC CHURCH      </t>
  </si>
  <si>
    <t>49435</t>
  </si>
  <si>
    <t xml:space="preserve">MARNE               </t>
  </si>
  <si>
    <t xml:space="preserve">1069 COMSTOCK                 </t>
  </si>
  <si>
    <t xml:space="preserve">TLC REPAIR                    </t>
  </si>
  <si>
    <t xml:space="preserve">1613 HAYES            </t>
  </si>
  <si>
    <t xml:space="preserve">CAMP-N-CRUISE                 </t>
  </si>
  <si>
    <t xml:space="preserve">FRUITPORT           </t>
  </si>
  <si>
    <t>00050</t>
  </si>
  <si>
    <t>1181 W. RANDALL</t>
  </si>
  <si>
    <t>00296</t>
  </si>
  <si>
    <t>1025 E. PONTALUNA RD</t>
  </si>
  <si>
    <t>00036</t>
  </si>
  <si>
    <t>6440 AIRLINE RD</t>
  </si>
  <si>
    <t>00032</t>
  </si>
  <si>
    <t>6419 AIRLINE HWY</t>
  </si>
  <si>
    <t>00031</t>
  </si>
  <si>
    <t>6430 SCHAMBER DR</t>
  </si>
  <si>
    <t>WESCO-BAKERY</t>
  </si>
  <si>
    <t>6524 SCHAMBER DR</t>
  </si>
  <si>
    <t>WESCO-DELI</t>
  </si>
  <si>
    <t>1619 MT GARFIELD ROAD</t>
  </si>
  <si>
    <t>LMCU 89</t>
  </si>
  <si>
    <t>00044</t>
  </si>
  <si>
    <t>7353 STATE RD</t>
  </si>
  <si>
    <t>BURNIPS EQUIPMENT CO</t>
  </si>
  <si>
    <t xml:space="preserve">5785 S HARVEY ST              </t>
  </si>
  <si>
    <t>2190 WHITEHALL RD</t>
  </si>
  <si>
    <t>The Broken Egg</t>
  </si>
  <si>
    <t>08050</t>
  </si>
  <si>
    <t>LANDSCAPE OFFICE</t>
  </si>
  <si>
    <t>10126 WALSH RD</t>
  </si>
  <si>
    <t>WEESIES BROS FARM-OFFICE</t>
  </si>
  <si>
    <t>06245</t>
  </si>
  <si>
    <t>10022 WALSH RD</t>
  </si>
  <si>
    <t>WEESIES BROS FARM-GREENHOUSE</t>
  </si>
  <si>
    <t>06244</t>
  </si>
  <si>
    <t>2505 WHITEHALL ROAD</t>
  </si>
  <si>
    <t>RIVERSIDE AUTOMOTIVE</t>
  </si>
  <si>
    <t>49445-9350</t>
  </si>
  <si>
    <t>4750 WHITEHALL RD</t>
  </si>
  <si>
    <t>MICHIGAN'S ADVENTURE AMUSEMENT</t>
  </si>
  <si>
    <t>4855 EILERS RD</t>
  </si>
  <si>
    <t>MONTAGUE SCHOOLS</t>
  </si>
  <si>
    <t>4207 WHITEHALL RD</t>
  </si>
  <si>
    <t>ICE BOX BRAND ICE CREAM BARS</t>
  </si>
  <si>
    <t>3408 WHITEHALL RD</t>
  </si>
  <si>
    <t>FULL MOON DINER HOMETOWN HOSPI</t>
  </si>
  <si>
    <t>ROTHBURY</t>
  </si>
  <si>
    <t>7212 S MICHIGAN</t>
  </si>
  <si>
    <t>KING ADULT FOSTER CARE</t>
  </si>
  <si>
    <t>49452</t>
  </si>
  <si>
    <t>7160 OCEANA DRIVE</t>
  </si>
  <si>
    <t>VILLAGE OF ROTHBURY</t>
  </si>
  <si>
    <t>11094 US 31</t>
  </si>
  <si>
    <t>WAYNE'S MART INC</t>
  </si>
  <si>
    <t>9370 WALSH RD</t>
  </si>
  <si>
    <t>VFW POST 3256</t>
  </si>
  <si>
    <t>LAKEWOOD CLUB</t>
  </si>
  <si>
    <t>220 W KENWOOD</t>
  </si>
  <si>
    <t>PUDGIE'S GENERAL STORE</t>
  </si>
  <si>
    <t>49446</t>
  </si>
  <si>
    <t xml:space="preserve">NEW ERA             </t>
  </si>
  <si>
    <t xml:space="preserve">5900 S. WATER RD              </t>
  </si>
  <si>
    <t xml:space="preserve">DOUBLE JJ RANCH               </t>
  </si>
  <si>
    <t>9760 N. US-31</t>
  </si>
  <si>
    <t>STANDARD SUPPLY &amp; LUMBER</t>
  </si>
  <si>
    <t>7807 S. MICHIGAN AVE</t>
  </si>
  <si>
    <t>RICO'S TAMALES</t>
  </si>
  <si>
    <t>906 E. COLBY STREET</t>
  </si>
  <si>
    <t>GARY'S RESTAURANT</t>
  </si>
  <si>
    <t xml:space="preserve">WHITEHALL           </t>
  </si>
  <si>
    <t xml:space="preserve">905 EAST COLBY                </t>
  </si>
  <si>
    <t xml:space="preserve">LAKESHORE MEDICAL CENTER      </t>
  </si>
  <si>
    <t>49455</t>
  </si>
  <si>
    <t xml:space="preserve">SHELBY              </t>
  </si>
  <si>
    <t>71 BEVIER ST</t>
  </si>
  <si>
    <t xml:space="preserve">LAKESHORE MEDICAL-SHELBY </t>
  </si>
  <si>
    <t xml:space="preserve">NORTH MUSKEGON      </t>
  </si>
  <si>
    <t xml:space="preserve">2915 WHITEHALL RD.            </t>
  </si>
  <si>
    <t xml:space="preserve">C &amp; T AUTO                    </t>
  </si>
  <si>
    <t xml:space="preserve">424 NORTH STATE STRE          </t>
  </si>
  <si>
    <t xml:space="preserve">SPT CHERRY HILL MKT           </t>
  </si>
  <si>
    <t xml:space="preserve">MONTAGUE </t>
  </si>
  <si>
    <t>9841 US-31 BUS.</t>
  </si>
  <si>
    <t>GREENSCAPE LAWNS</t>
  </si>
  <si>
    <t>520 WHITEHALL ROAD</t>
  </si>
  <si>
    <t>00073</t>
  </si>
  <si>
    <t>1470 WHITEHALL ROAD</t>
  </si>
  <si>
    <t>WESCO CENTRAL COMMISSARY</t>
  </si>
  <si>
    <t>7413 WHITEHALL ROAD</t>
  </si>
  <si>
    <t>00041</t>
  </si>
  <si>
    <t>3090 COLBY RD</t>
  </si>
  <si>
    <t>00040</t>
  </si>
  <si>
    <t>203 E COLBY ST</t>
  </si>
  <si>
    <t>00039</t>
  </si>
  <si>
    <t>1858 RUDDIMAN DR.</t>
  </si>
  <si>
    <t>00028</t>
  </si>
  <si>
    <t>1460 WHITEHALL RD</t>
  </si>
  <si>
    <t>WESCO-MAIN OFFICE</t>
  </si>
  <si>
    <t>00026</t>
  </si>
  <si>
    <t>8973 WATER ST</t>
  </si>
  <si>
    <t>00025</t>
  </si>
  <si>
    <t>1487 WHITEHALL RD</t>
  </si>
  <si>
    <t>00058</t>
  </si>
  <si>
    <t>SHELBY</t>
  </si>
  <si>
    <t>241 N STATE ST</t>
  </si>
  <si>
    <t>00062</t>
  </si>
  <si>
    <t>7588 S MICHIGAN AVE</t>
  </si>
  <si>
    <t>00060</t>
  </si>
  <si>
    <t>NEW ERA</t>
  </si>
  <si>
    <t>P.O. BOX 193</t>
  </si>
  <si>
    <t>4667 1ST STREET</t>
  </si>
  <si>
    <t>00059</t>
  </si>
  <si>
    <t>115 S. STATE ST</t>
  </si>
  <si>
    <t>NORTHWEST MI HEALTH SVC-SHELBY</t>
  </si>
  <si>
    <t>00078</t>
  </si>
  <si>
    <t>00077</t>
  </si>
  <si>
    <t>00076</t>
  </si>
  <si>
    <t>00075</t>
  </si>
  <si>
    <t>1385 HOLTON RD</t>
  </si>
  <si>
    <t>BLARNEY CASTLE 704</t>
  </si>
  <si>
    <t>00030</t>
  </si>
  <si>
    <t>3003 WHITEHALL RD</t>
  </si>
  <si>
    <t>BLARNEY CASTLE 208</t>
  </si>
  <si>
    <t>5pm</t>
  </si>
  <si>
    <t>948 ROBBINS RD</t>
  </si>
  <si>
    <t>LOVE IN ACTION</t>
  </si>
  <si>
    <t>08019</t>
  </si>
  <si>
    <t>1106 FULTON</t>
  </si>
  <si>
    <t>08018</t>
  </si>
  <si>
    <t>326 N FERRY</t>
  </si>
  <si>
    <t>08017</t>
  </si>
  <si>
    <t>1112 ROBBINS RD</t>
  </si>
  <si>
    <t>06082</t>
  </si>
  <si>
    <t>623 A-WAY</t>
  </si>
  <si>
    <t>CUISINE ARTS GRAND HAVEN STORE</t>
  </si>
  <si>
    <t>02689</t>
  </si>
  <si>
    <t>401 S BEECHTREE</t>
  </si>
  <si>
    <t>REDI RENTAL</t>
  </si>
  <si>
    <t>02178</t>
  </si>
  <si>
    <t>1410 S FERRY</t>
  </si>
  <si>
    <t>GRAND PINES ASSISTED LIVING</t>
  </si>
  <si>
    <t>16986 ROBBINS RD SUITE 180</t>
  </si>
  <si>
    <t>PREMIER MD PLUS</t>
  </si>
  <si>
    <t>6 S BEECHTREE STREET</t>
  </si>
  <si>
    <t>SPORTY'S BAR &amp; GRILL</t>
  </si>
  <si>
    <t>600 S BEACHTREE</t>
  </si>
  <si>
    <t>HI-WAY INN</t>
  </si>
  <si>
    <t>1625 S BEACON BLVD</t>
  </si>
  <si>
    <t>PREFERRED AUTOMOTIVE DEALERSHI</t>
  </si>
  <si>
    <t>927 BEECHTREE SUITE 5</t>
  </si>
  <si>
    <t>BEECHTREE FAMILY DENTISTRY</t>
  </si>
  <si>
    <t>700 WASHINGTON</t>
  </si>
  <si>
    <t>HEALTH HUT</t>
  </si>
  <si>
    <t>923 BEECHTREE, SUITE 9</t>
  </si>
  <si>
    <t>WORKPLACE HEALTH OF GRAND HAVE</t>
  </si>
  <si>
    <t>49409</t>
  </si>
  <si>
    <t>FERRYSBURG</t>
  </si>
  <si>
    <t>401 PINE STREET</t>
  </si>
  <si>
    <t>PINE STREET CAFE</t>
  </si>
  <si>
    <t>15 S. 3RD ST</t>
  </si>
  <si>
    <t>GRAND HAVEN ELKS</t>
  </si>
  <si>
    <t>18683 TRIMBLE CT.</t>
  </si>
  <si>
    <t>GLOBAL TECHNOLOGIES</t>
  </si>
  <si>
    <t>17127 HICKORY</t>
  </si>
  <si>
    <t>ACTIVE MANUFACTURING</t>
  </si>
  <si>
    <t>410 NORTH BEACON BLVD</t>
  </si>
  <si>
    <t>TROPICAL SMOOTHIE-GRAND HAVEN</t>
  </si>
  <si>
    <t>949 ROBBINS RD</t>
  </si>
  <si>
    <t>TWO YOLKS CAFE</t>
  </si>
  <si>
    <t xml:space="preserve">112 WASHINGTON </t>
  </si>
  <si>
    <t>TOASTED PICKLE</t>
  </si>
  <si>
    <t>14977 CLEVELAND STREET</t>
  </si>
  <si>
    <t>TED'S</t>
  </si>
  <si>
    <t>00004</t>
  </si>
  <si>
    <t>20 WASHINGTON</t>
  </si>
  <si>
    <t>ELECTRIC HERO</t>
  </si>
  <si>
    <t>1703 EATON DR</t>
  </si>
  <si>
    <t>HARBOR DEBURRING</t>
  </si>
  <si>
    <t>16955 HAYES ST</t>
  </si>
  <si>
    <t>AUTOMATIC SPRING</t>
  </si>
  <si>
    <t>121 N. BEACHTREE</t>
  </si>
  <si>
    <t>RAINY DAYS CAFE</t>
  </si>
  <si>
    <t>1118 WASHINGTON AVE</t>
  </si>
  <si>
    <t>STANZ CAFE</t>
  </si>
  <si>
    <t>FRANK'S MARKET</t>
  </si>
  <si>
    <t xml:space="preserve">1445 SHELDON AVE              </t>
  </si>
  <si>
    <t xml:space="preserve">HARBOR DUNES MEDICAL CENTER   </t>
  </si>
  <si>
    <t xml:space="preserve">41 WASHINGTON                 </t>
  </si>
  <si>
    <t xml:space="preserve">PIANO FACTORY LLC             </t>
  </si>
  <si>
    <t>49517</t>
  </si>
  <si>
    <t xml:space="preserve">17350 HAZEL STREET            </t>
  </si>
  <si>
    <t xml:space="preserve">W. MI ACADEMY OF ART          </t>
  </si>
  <si>
    <t xml:space="preserve">NUNICA              </t>
  </si>
  <si>
    <t xml:space="preserve">11139 CLEVELAND ROAD          </t>
  </si>
  <si>
    <t xml:space="preserve">TURKS INN INC.                </t>
  </si>
  <si>
    <t xml:space="preserve">905 PENNOYER                  </t>
  </si>
  <si>
    <t xml:space="preserve">TRI CITIES CREDIT UN          </t>
  </si>
  <si>
    <t>TWR</t>
  </si>
  <si>
    <t xml:space="preserve">601 S. BEECHTREE              </t>
  </si>
  <si>
    <t xml:space="preserve">CLOVER BAR                    </t>
  </si>
  <si>
    <t xml:space="preserve">803 TAYLOR AVE.               </t>
  </si>
  <si>
    <t xml:space="preserve">AUTOMATIC SPRING PRO          </t>
  </si>
  <si>
    <t>16928 148TH AVE</t>
  </si>
  <si>
    <t>CONCEPT METALS-FAB</t>
  </si>
  <si>
    <t>17237 VAN WAGONER RD.</t>
  </si>
  <si>
    <t>CONCEPT METALS-ROLL FORM</t>
  </si>
  <si>
    <t xml:space="preserve">529 MILLER </t>
  </si>
  <si>
    <t>WAVELAND-GRAND LANDINGS</t>
  </si>
  <si>
    <t>22 S. HARBOR</t>
  </si>
  <si>
    <t>WAVELAND-ZEPHYR HOUSE</t>
  </si>
  <si>
    <t>17228 VAN WAGONER</t>
  </si>
  <si>
    <t>AAC CU-SPRING LAKE</t>
  </si>
  <si>
    <t>00002</t>
  </si>
  <si>
    <t>16916 ROBBINS RD</t>
  </si>
  <si>
    <t>LMCU 390</t>
  </si>
  <si>
    <t>48417</t>
  </si>
  <si>
    <t>315 DAVIS STREET</t>
  </si>
  <si>
    <t xml:space="preserve">CHARTER COMMUNICATIONS        </t>
  </si>
  <si>
    <t>1433 FULTON STREET</t>
  </si>
  <si>
    <t>CHARTER COMMUNICATION</t>
  </si>
  <si>
    <t>901 SOUTH BEACON BLVD</t>
  </si>
  <si>
    <t>CONSUMERS CREDIT UNION</t>
  </si>
  <si>
    <t>123 PINE ST.</t>
  </si>
  <si>
    <t>BLARNEY CASTLE 392</t>
  </si>
  <si>
    <t>00052</t>
  </si>
  <si>
    <t>1990 E APPLE</t>
  </si>
  <si>
    <t>MUSKEGON CHARTER TOWNSHIP HALL</t>
  </si>
  <si>
    <t>02543</t>
  </si>
  <si>
    <t>1084 S. GETTY ST.</t>
  </si>
  <si>
    <t>KAYLA'S TACOS</t>
  </si>
  <si>
    <t>1064 S GETTY STREET</t>
  </si>
  <si>
    <t>MCDONALDS CANDIES</t>
  </si>
  <si>
    <t>3881 EAST BROADWAY</t>
  </si>
  <si>
    <t>CENTRAL WELLS &amp; PUMPS LLC</t>
  </si>
  <si>
    <t>1700 S. SHERIDAN</t>
  </si>
  <si>
    <t>PIONEER RESOURCES, INC</t>
  </si>
  <si>
    <t>2190 AURORA</t>
  </si>
  <si>
    <t>MIDWEST PRODUCT SPECIALTIES</t>
  </si>
  <si>
    <t>1970 E. APPLE AVE</t>
  </si>
  <si>
    <t>BIG APPLE BAGELS MUSKEGON</t>
  </si>
  <si>
    <t>3901 3 MILE RD NW</t>
  </si>
  <si>
    <t>FREDRICKSON SUPPLY</t>
  </si>
  <si>
    <t>1177 GETTY ST</t>
  </si>
  <si>
    <t>FISH-N-CHICKS</t>
  </si>
  <si>
    <t>1531 WEST SHERMAN BLVD</t>
  </si>
  <si>
    <t>SHERMAN BOWLING CENTER</t>
  </si>
  <si>
    <t>2323 SEMINOLE RD</t>
  </si>
  <si>
    <t>CITY OF MUSKEGON HEIGHTS-WATER</t>
  </si>
  <si>
    <t xml:space="preserve">MUSKEGON HEIGHTS    </t>
  </si>
  <si>
    <t xml:space="preserve">2580 BLACK CREEK RD           </t>
  </si>
  <si>
    <t xml:space="preserve">STAR TRUCK MUSKEGON           </t>
  </si>
  <si>
    <t>677 W LAKETON AVE</t>
  </si>
  <si>
    <t xml:space="preserve">EL TAPATIO                    </t>
  </si>
  <si>
    <t xml:space="preserve">3744 THREE MILE RD            </t>
  </si>
  <si>
    <t xml:space="preserve">ARH WALKER                    </t>
  </si>
  <si>
    <t xml:space="preserve">560 SEMINOLE                  </t>
  </si>
  <si>
    <t>AGE WELL SERVICES OF WEST MI</t>
  </si>
  <si>
    <t xml:space="preserve">1100 HACKLEY                  </t>
  </si>
  <si>
    <t xml:space="preserve">5311 APPLE AVENUE             </t>
  </si>
  <si>
    <t xml:space="preserve">TOWN &amp; COUNTRY FOODS          </t>
  </si>
  <si>
    <t>SUITE 110</t>
  </si>
  <si>
    <t xml:space="preserve">3445 HENRY STREET </t>
  </si>
  <si>
    <t>00061</t>
  </si>
  <si>
    <t xml:space="preserve">2159 APPLE AVE                </t>
  </si>
  <si>
    <t>1701 E APPLE AVE</t>
  </si>
  <si>
    <t>FIREHOUSE SUBS-APPLE</t>
  </si>
  <si>
    <t>1675 E. APPLE RD.</t>
  </si>
  <si>
    <t>3743 E APPLE AVE</t>
  </si>
  <si>
    <t>3239 HEIGHTS RAVENNA ROAD</t>
  </si>
  <si>
    <t>2277 EAST BROADWAY AVENUE</t>
  </si>
  <si>
    <t>49422</t>
  </si>
  <si>
    <t>1819 EAST APPLE AVENUE</t>
  </si>
  <si>
    <t xml:space="preserve">1385 W. SHERMAN </t>
  </si>
  <si>
    <t>1075 W. LAKETON AVE.</t>
  </si>
  <si>
    <t>00017</t>
  </si>
  <si>
    <t>3980 AIRLINE RD</t>
  </si>
  <si>
    <t>AUNT MILLIE'S MUSKEGON BRANCH</t>
  </si>
  <si>
    <t>00014</t>
  </si>
  <si>
    <t>3738 NORTHRIDGE DR NW</t>
  </si>
  <si>
    <t>AUNT MILLIE'S WALKER OUTLET</t>
  </si>
  <si>
    <t>00011</t>
  </si>
  <si>
    <t>925 W SHERMAN</t>
  </si>
  <si>
    <t>LMCU 72</t>
  </si>
  <si>
    <t>00051</t>
  </si>
  <si>
    <t>4400 E. EVANSTON</t>
  </si>
  <si>
    <t>CONSUMERS CONCRETE-MUSKEGON</t>
  </si>
  <si>
    <t>00010</t>
  </si>
  <si>
    <t>2359 OLTHOFF DR.</t>
  </si>
  <si>
    <t>DTE ENERGY</t>
  </si>
  <si>
    <t xml:space="preserve">950 W NORTON AVE              </t>
  </si>
  <si>
    <t>JET'S PIZZA MI-139</t>
  </si>
  <si>
    <t>3251 HENRY ST</t>
  </si>
  <si>
    <t>INDEPENDENT BANK 501</t>
  </si>
  <si>
    <t>00064</t>
  </si>
  <si>
    <t>3416 HENRY ST</t>
  </si>
  <si>
    <t>BLARNEY CASTLE 720</t>
  </si>
  <si>
    <t>3576 HTS RAVENNA RD</t>
  </si>
  <si>
    <t>BLARNEY CASTLE 348</t>
  </si>
  <si>
    <t>1 CARLTON AVE. SE</t>
  </si>
  <si>
    <t>DANZON CUBANO</t>
  </si>
  <si>
    <t>58 IONIA SW</t>
  </si>
  <si>
    <t>MAX'S SOUTHSEAS HIDEAWAY</t>
  </si>
  <si>
    <t>547 CHERRY SE</t>
  </si>
  <si>
    <t>OAKWOOD COMMONS</t>
  </si>
  <si>
    <t>1727 ALPINE AVE</t>
  </si>
  <si>
    <t>GREYLINE BREWING</t>
  </si>
  <si>
    <t>14656F</t>
  </si>
  <si>
    <t>1212 WALKER AVE. NW</t>
  </si>
  <si>
    <t>FOODESIGN BY CHEF BRECH</t>
  </si>
  <si>
    <t>1551 WEALTHY STREET SE</t>
  </si>
  <si>
    <t>TAMALES MARY-WEALTH ST</t>
  </si>
  <si>
    <t>1551 LAKE DRIVE</t>
  </si>
  <si>
    <t>HARMONY BREWING COMPANY</t>
  </si>
  <si>
    <t>48116</t>
  </si>
  <si>
    <t xml:space="preserve">146 MONROE CENTER             </t>
  </si>
  <si>
    <t xml:space="preserve">SUSHI YAMA                    </t>
  </si>
  <si>
    <t xml:space="preserve">EAST GRAND RAPIDS   </t>
  </si>
  <si>
    <t xml:space="preserve">2425 LAKE DR                  </t>
  </si>
  <si>
    <t>EAST GRAND RAPIDS MIDDLE SCHOO</t>
  </si>
  <si>
    <t xml:space="preserve">2110 LEONARD ST NE            </t>
  </si>
  <si>
    <t xml:space="preserve">HERON WOODS                   </t>
  </si>
  <si>
    <t xml:space="preserve">2162 WEALTHY ST               </t>
  </si>
  <si>
    <t xml:space="preserve">OLIVES RESTAURANT             </t>
  </si>
  <si>
    <t>100 CHERRY STREET SE</t>
  </si>
  <si>
    <t>HEART OF THE CITY-MAPLE HEALTH</t>
  </si>
  <si>
    <t>HEART OF THE CITY PEDIATRICS</t>
  </si>
  <si>
    <t>00007</t>
  </si>
  <si>
    <t>100 CHERRY ST SE</t>
  </si>
  <si>
    <t>HEART OF THE CITY ADULT MED</t>
  </si>
  <si>
    <t>00006</t>
  </si>
  <si>
    <t xml:space="preserve">550 CHERRY ST. S.E.           </t>
  </si>
  <si>
    <t xml:space="preserve">CHERRY STREET HEALTH CENTER </t>
  </si>
  <si>
    <t>Suite 150</t>
  </si>
  <si>
    <t xml:space="preserve">1140 MONROE AVE </t>
  </si>
  <si>
    <t xml:space="preserve">MED-1 PC                      </t>
  </si>
  <si>
    <t>49505</t>
  </si>
  <si>
    <t xml:space="preserve">Grand Rapids </t>
  </si>
  <si>
    <t>1201 LEONARD STREET</t>
  </si>
  <si>
    <t>00188</t>
  </si>
  <si>
    <t>GR. RAPIDS</t>
  </si>
  <si>
    <t>1225 LEONARD NE</t>
  </si>
  <si>
    <t>SPT FFARE 254 FIRST AID</t>
  </si>
  <si>
    <t>00299</t>
  </si>
  <si>
    <t>260 JEFFERSON AVE SE</t>
  </si>
  <si>
    <t>LMCU 60</t>
  </si>
  <si>
    <t>1820 LEONARD ST NE</t>
  </si>
  <si>
    <t>LMCU 20</t>
  </si>
  <si>
    <t>00016</t>
  </si>
  <si>
    <t xml:space="preserve">GRAND RAPIDS </t>
  </si>
  <si>
    <t>00303</t>
  </si>
  <si>
    <t>00302</t>
  </si>
  <si>
    <t>00301</t>
  </si>
  <si>
    <t>00300</t>
  </si>
  <si>
    <t>1551 FRANKLIN SE</t>
  </si>
  <si>
    <t>CLARK RETIREMENT-FRANKLIN</t>
  </si>
  <si>
    <t>00227</t>
  </si>
  <si>
    <t>49509</t>
  </si>
  <si>
    <t>WYOMING</t>
  </si>
  <si>
    <t>1535 44TH ST   SW</t>
  </si>
  <si>
    <t>SOLT PROPERTIES, LLC</t>
  </si>
  <si>
    <t>1740 44TH STREET</t>
  </si>
  <si>
    <t>IMPERIAL BAKERY</t>
  </si>
  <si>
    <t>49418</t>
  </si>
  <si>
    <t>GRANDVILLE</t>
  </si>
  <si>
    <t>SUITE 200</t>
  </si>
  <si>
    <t xml:space="preserve">2845 44TH SW </t>
  </si>
  <si>
    <t>GRANDVILLE PEDIATRICS</t>
  </si>
  <si>
    <t>5100 IVANREST AVE SW</t>
  </si>
  <si>
    <t>RESURRECTION LIFE-OLIVE TREE</t>
  </si>
  <si>
    <t>RESURRECTION LIFE-BANQUETS</t>
  </si>
  <si>
    <t>1560 44TH ST.</t>
  </si>
  <si>
    <t>SUPER CREAM BAKERY</t>
  </si>
  <si>
    <t>417 BRIDGE ST.</t>
  </si>
  <si>
    <t>THE KNICKERBOCKER</t>
  </si>
  <si>
    <t xml:space="preserve">WYOMING </t>
  </si>
  <si>
    <t>1600 28TH STREET SW</t>
  </si>
  <si>
    <t>00197</t>
  </si>
  <si>
    <t>3960 44TH ST SW</t>
  </si>
  <si>
    <t>FAMILY FARE 1579- FIRST AID</t>
  </si>
  <si>
    <t>4425 CANAL AVE</t>
  </si>
  <si>
    <t>LOGAN'S ROAD HOUSE</t>
  </si>
  <si>
    <t>49519</t>
  </si>
  <si>
    <t>2636 44TH ST SW</t>
  </si>
  <si>
    <t>LMCU 80</t>
  </si>
  <si>
    <t xml:space="preserve">GRANDVILLE          </t>
  </si>
  <si>
    <t xml:space="preserve">3722 POTOMAC CIRCLE           </t>
  </si>
  <si>
    <t>FAMILY FARE 1579-FRONT</t>
  </si>
  <si>
    <t>FAMILY FARE 1579-MEAT</t>
  </si>
  <si>
    <t>FAMILY FARE 1579-BAKERY</t>
  </si>
  <si>
    <t>00057</t>
  </si>
  <si>
    <t>FAMILY FARE 1579-DELI</t>
  </si>
  <si>
    <t>00056</t>
  </si>
  <si>
    <t>FAMILY FARE 1579-PRODUCE</t>
  </si>
  <si>
    <t>49426</t>
  </si>
  <si>
    <t xml:space="preserve">WYOMING             </t>
  </si>
  <si>
    <t xml:space="preserve">2300 28TH SW                  </t>
  </si>
  <si>
    <t xml:space="preserve">4499 IVANREST                 </t>
  </si>
  <si>
    <t>JET'S PIZZA MI-104</t>
  </si>
  <si>
    <t>4350 44TH ST</t>
  </si>
  <si>
    <t xml:space="preserve">2121 RENWOOD                  </t>
  </si>
  <si>
    <t>WYOMING JUNIOR HIGH</t>
  </si>
  <si>
    <t xml:space="preserve">1506 CHICAGO DR S.W.          </t>
  </si>
  <si>
    <t xml:space="preserve">NEW BEGINNINGS REST.          </t>
  </si>
  <si>
    <t xml:space="preserve">3749 28TH ST. S.W.            </t>
  </si>
  <si>
    <t>C-TECH PERFORMANCE</t>
  </si>
  <si>
    <t>3075 28TH ST SW</t>
  </si>
  <si>
    <t>FISH WINDOW SERVICES, INC</t>
  </si>
  <si>
    <t>1751 28TH SW</t>
  </si>
  <si>
    <t>MARGE'S DONUTS</t>
  </si>
  <si>
    <t>3910 CHICAGO SW DR</t>
  </si>
  <si>
    <t>GYROVILLE</t>
  </si>
  <si>
    <t>49428</t>
  </si>
  <si>
    <t>JENISON</t>
  </si>
  <si>
    <t>672 BALDWIN STREET</t>
  </si>
  <si>
    <t>BIRD DOG'S</t>
  </si>
  <si>
    <t>4555 WILSON AVE STE 2A</t>
  </si>
  <si>
    <t>ACCEL CHIROPRACTIC</t>
  </si>
  <si>
    <t>4210 FERRY STREET SW</t>
  </si>
  <si>
    <t>HARLO CORPORATION</t>
  </si>
  <si>
    <t>1523 GRANDVILLE AVE SW</t>
  </si>
  <si>
    <t>RINCON CRIOLLO LLC</t>
  </si>
  <si>
    <t>1442 BURTON</t>
  </si>
  <si>
    <t>TRES HERMANOS BAKERY</t>
  </si>
  <si>
    <t>1100 CHICAGO DR</t>
  </si>
  <si>
    <t>TAQUERIA MARAVATIO</t>
  </si>
  <si>
    <t>302 BALDWIN</t>
  </si>
  <si>
    <t>HARTMAN FAMILY CHIROPRACTIC</t>
  </si>
  <si>
    <t>2051 BURLINGAME SW</t>
  </si>
  <si>
    <t>K&amp;R TRUCK SALES, INC.</t>
  </si>
  <si>
    <t>1253 BURTON SW</t>
  </si>
  <si>
    <t>TAMALES</t>
  </si>
  <si>
    <t>2901 CHICAGO DRIVE</t>
  </si>
  <si>
    <t>BIG TRUCK SERVICE &amp; DETAIL</t>
  </si>
  <si>
    <t>1742 28th STREET SW</t>
  </si>
  <si>
    <t xml:space="preserve">LINDO MEXICO                  </t>
  </si>
  <si>
    <t xml:space="preserve">2941 CLYDON SW                </t>
  </si>
  <si>
    <t xml:space="preserve">DEKKER BOOKBINDING            </t>
  </si>
  <si>
    <t>4072 CHICAGO DRIVE</t>
  </si>
  <si>
    <t xml:space="preserve">DYNAMIC PROPERTIES GRANDVILLE </t>
  </si>
  <si>
    <t>4072 CHICAGO DR.</t>
  </si>
  <si>
    <t>DYNAMIC CHIROPRACTIC</t>
  </si>
  <si>
    <t xml:space="preserve">3640 CHICAGO DR SW            </t>
  </si>
  <si>
    <t xml:space="preserve">MEL'S PARTY STORE             </t>
  </si>
  <si>
    <t>49405</t>
  </si>
  <si>
    <t xml:space="preserve">435 BURTON S.W.               </t>
  </si>
  <si>
    <t xml:space="preserve">BURTON MEAT FARM              </t>
  </si>
  <si>
    <t xml:space="preserve">4555 WILSON AVE SW            </t>
  </si>
  <si>
    <t xml:space="preserve">JENISON             </t>
  </si>
  <si>
    <t xml:space="preserve">381 BALDWIN                   </t>
  </si>
  <si>
    <t xml:space="preserve">1717 28TH ST. S.W.            </t>
  </si>
  <si>
    <t>3960 28TH ST SW</t>
  </si>
  <si>
    <t>7409 COTTONWOOD DR</t>
  </si>
  <si>
    <t>LMCU 81</t>
  </si>
  <si>
    <t>00034</t>
  </si>
  <si>
    <t>1505 BURLINGAME SW</t>
  </si>
  <si>
    <t>CONSUMERS CONCRETE-WYOMING</t>
  </si>
  <si>
    <t>1324 BURTON ST. S.W.</t>
  </si>
  <si>
    <t>GODFREY-LEE  PUBLIC SCHOOL</t>
  </si>
  <si>
    <t xml:space="preserve">1840 38TH STREET              </t>
  </si>
  <si>
    <t>WYOMING WEST CENTRAL KITCHEN</t>
  </si>
  <si>
    <t xml:space="preserve">135 CHICAGO DRIVE             </t>
  </si>
  <si>
    <t xml:space="preserve">PEPPINOS PIZZA 5             </t>
  </si>
  <si>
    <t>38 COMMERCE AVE SW</t>
  </si>
  <si>
    <t>VIVID IV HEALTH</t>
  </si>
  <si>
    <t>616 FULTON ST W</t>
  </si>
  <si>
    <t>SHIFT COFFEE &amp; CULTURE</t>
  </si>
  <si>
    <t>169 LOUIS CAMPAU PROMENADE NW</t>
  </si>
  <si>
    <t>KROK KOREAN BARBECUE &amp; KAROKE</t>
  </si>
  <si>
    <t>342 STATE STREET SE</t>
  </si>
  <si>
    <t>BEIJING KITCHEN</t>
  </si>
  <si>
    <t>608 BRIDGE ST.</t>
  </si>
  <si>
    <t>ONE BOURBON</t>
  </si>
  <si>
    <t>2189 AVASTAR PKWY</t>
  </si>
  <si>
    <t>GERMAN AUTO SERVICE LTD</t>
  </si>
  <si>
    <t>25 OTTAWA SOUTH WEST</t>
  </si>
  <si>
    <t>634 BRIDGE ST NW</t>
  </si>
  <si>
    <t>STOCKBRIDGE PARTY STORE</t>
  </si>
  <si>
    <t>201 MONROE AVE N.W.</t>
  </si>
  <si>
    <t>RESERVE WINE &amp; FOOD</t>
  </si>
  <si>
    <t>435 IONIA</t>
  </si>
  <si>
    <t>DOWNTOWN MARKET - EVENTS</t>
  </si>
  <si>
    <t>45 FRANKLIN</t>
  </si>
  <si>
    <t>GARDEN FRESH GOURMET, LLC</t>
  </si>
  <si>
    <t>435 IONIA ST SW</t>
  </si>
  <si>
    <t>FIELD &amp; FIRE</t>
  </si>
  <si>
    <t>DOWNTOWN MARKET-GR</t>
  </si>
  <si>
    <t>33 SHELDON NE</t>
  </si>
  <si>
    <t>THE APARTMENT LOUNGE</t>
  </si>
  <si>
    <t>49501</t>
  </si>
  <si>
    <t>350 OTTAWA</t>
  </si>
  <si>
    <t>STATE OF MICHIGAN DTMB</t>
  </si>
  <si>
    <t>405 SEWARD AVE</t>
  </si>
  <si>
    <t>WESTSIDE DELI</t>
  </si>
  <si>
    <t>TWO BEARDS DELI</t>
  </si>
  <si>
    <t>401 STOCKING AVE</t>
  </si>
  <si>
    <t>HARMONY HALL</t>
  </si>
  <si>
    <t>340 STATE ST SE</t>
  </si>
  <si>
    <t>HERITAGE HILL PIZZA</t>
  </si>
  <si>
    <t>225 COMMERCE AVE SW</t>
  </si>
  <si>
    <t>MEL TROTTER MINISTRIES</t>
  </si>
  <si>
    <t>141 IONIA NW</t>
  </si>
  <si>
    <t>FIRST NATIONAL BANK OF MICHIGA</t>
  </si>
  <si>
    <t>1319 FRONT NW</t>
  </si>
  <si>
    <t>WEST MICHIGAN CREDIT UNION/GR</t>
  </si>
  <si>
    <t>333 BOSTWICK AVE NE</t>
  </si>
  <si>
    <t>EUREST-VAN ANDEL INSTITUTE</t>
  </si>
  <si>
    <t>00190</t>
  </si>
  <si>
    <t xml:space="preserve">130 IONIA                     </t>
  </si>
  <si>
    <t xml:space="preserve">PEPPINOS SPORTS LOUNGE        </t>
  </si>
  <si>
    <t xml:space="preserve">1601 ALPINE N.W.              </t>
  </si>
  <si>
    <t xml:space="preserve">1455 MICHIGAN N.E.            </t>
  </si>
  <si>
    <t>49507</t>
  </si>
  <si>
    <t>1269 MADISON AVE SE</t>
  </si>
  <si>
    <t>C'S FISH FRY</t>
  </si>
  <si>
    <t>1001 LAKE DRIVE SE</t>
  </si>
  <si>
    <t>RED BOWL</t>
  </si>
  <si>
    <t>1141 LEONARD NW</t>
  </si>
  <si>
    <t>PLAYSTATION PUB</t>
  </si>
  <si>
    <t>1006 DIVISION AVENUE</t>
  </si>
  <si>
    <t>ARVON BREWING</t>
  </si>
  <si>
    <t>422 PLYMOUTH NE</t>
  </si>
  <si>
    <t xml:space="preserve">CENTER FOR ADOLESCENT &amp; CHILD </t>
  </si>
  <si>
    <t>1300 HAMILTON NE</t>
  </si>
  <si>
    <t>VYTAUTAS AID SOCIETY</t>
  </si>
  <si>
    <t>1167 MADISON SE</t>
  </si>
  <si>
    <t>LINC UP</t>
  </si>
  <si>
    <t>1045 MICHIGAN ST NE</t>
  </si>
  <si>
    <t>TROPICAL SMOOTHIE-MICHIGAN AVE</t>
  </si>
  <si>
    <t>333 BRIDGE NW</t>
  </si>
  <si>
    <t>BRIDGEWATER CAFE</t>
  </si>
  <si>
    <t>300 FRANKLIN AVE SE</t>
  </si>
  <si>
    <t>CAPTAIN JAY'S FISH AND CHICKEN</t>
  </si>
  <si>
    <t>14656R</t>
  </si>
  <si>
    <t>701 FIFTH STREET NW</t>
  </si>
  <si>
    <t>ST. ADALBERT'S SOCIETY</t>
  </si>
  <si>
    <t>83 MONROE CENTER NW</t>
  </si>
  <si>
    <t>CITY FLATS HOTEL-CITY SEN</t>
  </si>
  <si>
    <t>35 IONIA AVE NEW</t>
  </si>
  <si>
    <t>CITY FLATS-EVENTS AT CITY FLAT</t>
  </si>
  <si>
    <t>CITY FLATS BALLROOM</t>
  </si>
  <si>
    <t>1447 MICHIGAN ST</t>
  </si>
  <si>
    <t>ESSEX BODY SHOP</t>
  </si>
  <si>
    <t>1024 BRIDGE ST</t>
  </si>
  <si>
    <t>TACO'S EL CUNADO</t>
  </si>
  <si>
    <t xml:space="preserve">750 FRONT STREET              </t>
  </si>
  <si>
    <t xml:space="preserve">EPS INC                       </t>
  </si>
  <si>
    <t xml:space="preserve">1720 HAMILTON NW              </t>
  </si>
  <si>
    <t>THE POINT, INC.</t>
  </si>
  <si>
    <t xml:space="preserve">602 LEONARD ST                </t>
  </si>
  <si>
    <t xml:space="preserve">SUPER MERCADO MICHOACAN       </t>
  </si>
  <si>
    <t xml:space="preserve">1000 FULTON ST SW             </t>
  </si>
  <si>
    <t xml:space="preserve">2626 WALKER AVE NW            </t>
  </si>
  <si>
    <t xml:space="preserve">MICHIGAN FAMILY RESOURCES     </t>
  </si>
  <si>
    <t>660 STOCKING AVE NW</t>
  </si>
  <si>
    <t>CHERRY STREET WSHC OB</t>
  </si>
  <si>
    <t xml:space="preserve">550 RICHMOND ST.              </t>
  </si>
  <si>
    <t xml:space="preserve">SPRUIT BROS. INC.             </t>
  </si>
  <si>
    <t xml:space="preserve">652 STOCKING NW               </t>
  </si>
  <si>
    <t xml:space="preserve">SALVATORE'S PIZZA             </t>
  </si>
  <si>
    <t>1226 MADISON SE</t>
  </si>
  <si>
    <t>GREAT GREEN SUPERMKT F.A.</t>
  </si>
  <si>
    <t>00074</t>
  </si>
  <si>
    <t>1415 E FULTON ST.</t>
  </si>
  <si>
    <t>SPT FAMILY FARE 1587 FIRST AID</t>
  </si>
  <si>
    <t>00065</t>
  </si>
  <si>
    <t>GR. RAPIDS (GASLIGHT</t>
  </si>
  <si>
    <t>2181 WEALTHY ST. SE</t>
  </si>
  <si>
    <t>D&amp;W 1576 FIRST AID</t>
  </si>
  <si>
    <t>904 BROADWAY NW</t>
  </si>
  <si>
    <t>AAC CU-GRAND RAPIDS</t>
  </si>
  <si>
    <t xml:space="preserve">1205 MICHIGAN </t>
  </si>
  <si>
    <t>1491 S DIVISION</t>
  </si>
  <si>
    <t>SALVATION ARMY-DIVISION</t>
  </si>
  <si>
    <t>342 MICHIGAN ST NE</t>
  </si>
  <si>
    <t>LMCU 55</t>
  </si>
  <si>
    <t>00029</t>
  </si>
  <si>
    <t xml:space="preserve">444 WEALTHY ST.               </t>
  </si>
  <si>
    <t>GREEN GIANT SUPERMARKET 5034</t>
  </si>
  <si>
    <t>00068</t>
  </si>
  <si>
    <t>00067</t>
  </si>
  <si>
    <t>00066</t>
  </si>
  <si>
    <t xml:space="preserve">GR. RAPIDS </t>
  </si>
  <si>
    <t xml:space="preserve">D&amp;W 1576 FRONT </t>
  </si>
  <si>
    <t>00045</t>
  </si>
  <si>
    <t xml:space="preserve">D&amp;W 1576 MEAT </t>
  </si>
  <si>
    <t xml:space="preserve">D&amp;W 1576 BAKERY </t>
  </si>
  <si>
    <t>00043</t>
  </si>
  <si>
    <t xml:space="preserve">D&amp;W 1576 DELI </t>
  </si>
  <si>
    <t>00042</t>
  </si>
  <si>
    <t xml:space="preserve">D&amp;W 1576 PRODUCE </t>
  </si>
  <si>
    <t xml:space="preserve">2163 WEALTHY SE               </t>
  </si>
  <si>
    <t>JET'S PIZZA MI-144</t>
  </si>
  <si>
    <t xml:space="preserve">77 MONROE CENTER </t>
  </si>
  <si>
    <t>00092</t>
  </si>
  <si>
    <t>PRIDGEON &amp; CLAY CAFE</t>
  </si>
  <si>
    <t>14656W</t>
  </si>
  <si>
    <t>14656T</t>
  </si>
  <si>
    <t>14656M</t>
  </si>
  <si>
    <t>12440R</t>
  </si>
  <si>
    <t>12440M</t>
  </si>
  <si>
    <t>49412</t>
  </si>
  <si>
    <t>FREMONT</t>
  </si>
  <si>
    <t>104 S. DIVISION AVE.</t>
  </si>
  <si>
    <t>ELSIE'S ICE CREAM</t>
  </si>
  <si>
    <t>49518</t>
  </si>
  <si>
    <t>850 76TH ST SW</t>
  </si>
  <si>
    <t>SPARTANNASH-STARBUCKS 8730</t>
  </si>
  <si>
    <t>49345</t>
  </si>
  <si>
    <t>SPARTA</t>
  </si>
  <si>
    <t>429 S. UNION STREET</t>
  </si>
  <si>
    <t>DEAN TRANSPORTATION-SPARTA</t>
  </si>
  <si>
    <t>900 UNION AVENUE</t>
  </si>
  <si>
    <t>DEAN TRANSPORTATION</t>
  </si>
  <si>
    <t>19 W. MAIN ST.</t>
  </si>
  <si>
    <t>THE BLIND SQUIRREL TAVERN</t>
  </si>
  <si>
    <t>2290 4 MILE ROAD</t>
  </si>
  <si>
    <t>STATE OF MICHIGAN-POLICE</t>
  </si>
  <si>
    <t>FREEMONT</t>
  </si>
  <si>
    <t>7143 W. 48TH STREET</t>
  </si>
  <si>
    <t>MOON DANCE CAFE</t>
  </si>
  <si>
    <t>1504 PLAINFIELD AVE NE</t>
  </si>
  <si>
    <t>CRESTON BREWERY</t>
  </si>
  <si>
    <t>1100 RAMSHORN DRIVE</t>
  </si>
  <si>
    <t>LAKES 23 - PAVILLION</t>
  </si>
  <si>
    <t>5333 HOLTON RD</t>
  </si>
  <si>
    <t>08276</t>
  </si>
  <si>
    <t>49318</t>
  </si>
  <si>
    <t>CASNOVIA</t>
  </si>
  <si>
    <t>3465 Maple island rd</t>
  </si>
  <si>
    <t>MAPLE ISLAND GROCERY DBA</t>
  </si>
  <si>
    <t>2940 S RAVENNA RD</t>
  </si>
  <si>
    <t>NUTT MEADOW FARMS</t>
  </si>
  <si>
    <t>7153 W 48TH</t>
  </si>
  <si>
    <t>LITTLE CAESARS PIZZA - FREMONT</t>
  </si>
  <si>
    <t>6027 N MAIN</t>
  </si>
  <si>
    <t>OVERBOARD INN</t>
  </si>
  <si>
    <t>49425</t>
  </si>
  <si>
    <t>HOLTON</t>
  </si>
  <si>
    <t>9150 HOLTON RD</t>
  </si>
  <si>
    <t>HOLTON AMERICAN LEGION</t>
  </si>
  <si>
    <t>5576 HOLTON RD</t>
  </si>
  <si>
    <t>NORM'S SPORT &amp; MARINE</t>
  </si>
  <si>
    <t>6500 FOURTH STREET</t>
  </si>
  <si>
    <t>HOLTON PUBLIC SCHOOLS</t>
  </si>
  <si>
    <t>8485 HOLTON RD</t>
  </si>
  <si>
    <t>THE PIZZA MILL</t>
  </si>
  <si>
    <t>8640 HOLTON RD</t>
  </si>
  <si>
    <t>HOLTON AUTOMOTIVE INC</t>
  </si>
  <si>
    <t>3190 4TH STREET</t>
  </si>
  <si>
    <t>TWIN LAKE AUTO &amp; TIRE</t>
  </si>
  <si>
    <t>5638 HOLTON RD</t>
  </si>
  <si>
    <t>HALLSTROM CASTLE ASSISTED LVNG</t>
  </si>
  <si>
    <t>8505 HOLTON ROAD</t>
  </si>
  <si>
    <t>CRAIG'S HOLTON HARDWARE</t>
  </si>
  <si>
    <t>8764 HOLTON DUCK LAKE ROAD</t>
  </si>
  <si>
    <t>JASON &amp; RICHARD KRIESEL, OWNER</t>
  </si>
  <si>
    <t>HOLTON FOODS</t>
  </si>
  <si>
    <t>9530 HOLTON DUCK LAKE ROAD</t>
  </si>
  <si>
    <t>HOLTON UNITED METHODIST</t>
  </si>
  <si>
    <t>10 E MAIN</t>
  </si>
  <si>
    <t>THE FRECKLED FAWN</t>
  </si>
  <si>
    <t>2121 RAYBROOK</t>
  </si>
  <si>
    <t>HOLLAND HOME</t>
  </si>
  <si>
    <t>49327</t>
  </si>
  <si>
    <t>GRANT</t>
  </si>
  <si>
    <t>33 E. STATE RD.</t>
  </si>
  <si>
    <t>GENE'S MARKET FIRST AID</t>
  </si>
  <si>
    <t>00105</t>
  </si>
  <si>
    <t>1490 E. BELTLINE SE</t>
  </si>
  <si>
    <t>HOPE NETWORK NEURO REHAB</t>
  </si>
  <si>
    <t>3321 S. SLOCUM ROAD</t>
  </si>
  <si>
    <t>00063</t>
  </si>
  <si>
    <t>49330</t>
  </si>
  <si>
    <t>KENT CITY</t>
  </si>
  <si>
    <t>245 W MUSKEGON</t>
  </si>
  <si>
    <t>GALAXY PIZZA KENT CITY</t>
  </si>
  <si>
    <t>49316</t>
  </si>
  <si>
    <t>CALEDONIA</t>
  </si>
  <si>
    <t>1738 SUNNY GLEN DR SE</t>
  </si>
  <si>
    <t>KRYSTAL KLEAR</t>
  </si>
  <si>
    <t>4842 S. MAPLE ISLAND</t>
  </si>
  <si>
    <t>COUNTRYVIEW FURNITURE</t>
  </si>
  <si>
    <t>3701 W. 72ND ST.</t>
  </si>
  <si>
    <t>BROOKSIDE DISCOUNT GROCERY</t>
  </si>
  <si>
    <t>1013 W. MAIN</t>
  </si>
  <si>
    <t>CHARLIE'S</t>
  </si>
  <si>
    <t>49341</t>
  </si>
  <si>
    <t>ROCKFORD</t>
  </si>
  <si>
    <t>8451 BELDING</t>
  </si>
  <si>
    <t>AUNT BELLES KITCHEN</t>
  </si>
  <si>
    <t>1246 PLAINFIELD AVE</t>
  </si>
  <si>
    <t>MUFFLER MAN-PLAINFIELD AVE</t>
  </si>
  <si>
    <t>49421</t>
  </si>
  <si>
    <t>HESPERIA</t>
  </si>
  <si>
    <t>P.O. BOX 386</t>
  </si>
  <si>
    <t>196 S. DIVISION ST.</t>
  </si>
  <si>
    <t>00033</t>
  </si>
  <si>
    <t>806 S. STEWART ST</t>
  </si>
  <si>
    <t>4878 S. MAPLE ISLAND RD</t>
  </si>
  <si>
    <t xml:space="preserve">434 S. STATE ST. </t>
  </si>
  <si>
    <t>P.O. BOX 225</t>
  </si>
  <si>
    <t>136 S. MAPLE ST.</t>
  </si>
  <si>
    <t>00047</t>
  </si>
  <si>
    <t>18005 HALL</t>
  </si>
  <si>
    <t>JOHN &amp; STACEY ALT FARMS</t>
  </si>
  <si>
    <t>921 WEST MAIN STREET</t>
  </si>
  <si>
    <t>SHOP N SAVE 1896 FIRST AID</t>
  </si>
  <si>
    <t>49303</t>
  </si>
  <si>
    <t>BAILEY</t>
  </si>
  <si>
    <t>1158 NEWAYGO</t>
  </si>
  <si>
    <t>D&amp;D FREELAND GREENTOP</t>
  </si>
  <si>
    <t>49315</t>
  </si>
  <si>
    <t>BYRON CENTER</t>
  </si>
  <si>
    <t>2285 84TH STREET</t>
  </si>
  <si>
    <t>F. FARE QUICK 836 FIRST AID</t>
  </si>
  <si>
    <t>00485</t>
  </si>
  <si>
    <t>7610 CLYDE PARK SW</t>
  </si>
  <si>
    <t>SPARTANNASH-GR EAST FIRST AID</t>
  </si>
  <si>
    <t>00481</t>
  </si>
  <si>
    <t>1144 73RD SW</t>
  </si>
  <si>
    <t>AIRPORT FREIGHT X-CHANGE</t>
  </si>
  <si>
    <t>1801 MONROE NW</t>
  </si>
  <si>
    <t>850 76TH STREET</t>
  </si>
  <si>
    <t>CB CAFE MANAGEMENT</t>
  </si>
  <si>
    <t xml:space="preserve">SPARTA </t>
  </si>
  <si>
    <t>600 STATE STREET</t>
  </si>
  <si>
    <t>00194</t>
  </si>
  <si>
    <t>565 S. STATE ST.</t>
  </si>
  <si>
    <t>00328</t>
  </si>
  <si>
    <t>49508</t>
  </si>
  <si>
    <t xml:space="preserve">850 76TH STREET S.W. </t>
  </si>
  <si>
    <t>SPARTAN WHSE SALVAGE FIRST AID</t>
  </si>
  <si>
    <t>00122</t>
  </si>
  <si>
    <t xml:space="preserve">537 76TH ST. </t>
  </si>
  <si>
    <t>SPARTAN STORES FIRST AID</t>
  </si>
  <si>
    <t>00131</t>
  </si>
  <si>
    <t xml:space="preserve">BYRON CENTER </t>
  </si>
  <si>
    <t>7599 CLYDE PARK SW</t>
  </si>
  <si>
    <t>00185</t>
  </si>
  <si>
    <t>850 76TH ST S.W.</t>
  </si>
  <si>
    <t>SPTNASH TRANSPORT FIRST AID</t>
  </si>
  <si>
    <t>00463</t>
  </si>
  <si>
    <t>5241 NORTHLAND DRIVE</t>
  </si>
  <si>
    <t>SPT. FAMILY FARE 636 FIRST AID</t>
  </si>
  <si>
    <t>00295</t>
  </si>
  <si>
    <t>2022 APPLE ORCHARD AVE.</t>
  </si>
  <si>
    <t>00071</t>
  </si>
  <si>
    <t>1604 DIAMOND SE</t>
  </si>
  <si>
    <t>WING KINGZ</t>
  </si>
  <si>
    <t>1 E. MAIN</t>
  </si>
  <si>
    <t>THE NEST UPSCALE RESALE</t>
  </si>
  <si>
    <t>4160 PLAINFIELD NE</t>
  </si>
  <si>
    <t>SALVATION ARMY-PLAINFIELD</t>
  </si>
  <si>
    <t>00003</t>
  </si>
  <si>
    <t>2209 PLAINFIELD AVE</t>
  </si>
  <si>
    <t>LMCU 93</t>
  </si>
  <si>
    <t>48525</t>
  </si>
  <si>
    <t>5453 NORTHLAND DR NE</t>
  </si>
  <si>
    <t>LMCU 96</t>
  </si>
  <si>
    <t>2024 CELEBRATION AVE</t>
  </si>
  <si>
    <t>LMCU 31</t>
  </si>
  <si>
    <t>904 84TH STREET</t>
  </si>
  <si>
    <t>LMCU 84</t>
  </si>
  <si>
    <t>12409 SAFFORD ST</t>
  </si>
  <si>
    <t>LMCU 73</t>
  </si>
  <si>
    <t>RAPIDS</t>
  </si>
  <si>
    <t xml:space="preserve">4005 PLAINFIELD </t>
  </si>
  <si>
    <t>5066 PLAINFIELD AVE NE</t>
  </si>
  <si>
    <t>ED &amp; DAVES</t>
  </si>
  <si>
    <t>3241 PLAINFIELD NE</t>
  </si>
  <si>
    <t>SPARKLING IMAGE</t>
  </si>
  <si>
    <t xml:space="preserve">1525 E BELTLINE AVE NE </t>
  </si>
  <si>
    <t>ADVANCED CARDIAC &amp; VASCULAR</t>
  </si>
  <si>
    <t>4550 W. 72ND ST M-82</t>
  </si>
  <si>
    <t>CONSUMERS CONCRETE-FREMONT</t>
  </si>
  <si>
    <t>8527 S. DIVISION</t>
  </si>
  <si>
    <t>CONSUMERS CONCRETE-BYRON CTR</t>
  </si>
  <si>
    <t xml:space="preserve">17 WESTWOOD </t>
  </si>
  <si>
    <t>VAN DYKE'S ENGINE REPAIR LLC</t>
  </si>
  <si>
    <t>4716 N. MAPLE ISLAND</t>
  </si>
  <si>
    <t>BFS PROBUILD</t>
  </si>
  <si>
    <t>3869 PLAINFIELD AVE NE</t>
  </si>
  <si>
    <t>LAKES 23</t>
  </si>
  <si>
    <t>5154 PEACH RIDGE AVE NW</t>
  </si>
  <si>
    <t>GREENRIDGE FRUIT, INC</t>
  </si>
  <si>
    <t>2000 EAST BELTLINE NE</t>
  </si>
  <si>
    <t>3915 PLAINFIELD AVE NE</t>
  </si>
  <si>
    <t>BIG APPLE BAGELS PLAINFIELD</t>
  </si>
  <si>
    <t>49548</t>
  </si>
  <si>
    <t>7800 S. DIVISION AVE.</t>
  </si>
  <si>
    <t>DIVISION METAL RECYCLERS LLC</t>
  </si>
  <si>
    <t>49306</t>
  </si>
  <si>
    <t>5695 W. RIVER DR. NE</t>
  </si>
  <si>
    <t>CANTEEN VENDING</t>
  </si>
  <si>
    <t>00139</t>
  </si>
  <si>
    <t>75 W. MICHIGAN AVE</t>
  </si>
  <si>
    <t>ED'S ORCHARD MARKET</t>
  </si>
  <si>
    <t>8480 HOLTON RD</t>
  </si>
  <si>
    <t>NORTHLAND COLLISION</t>
  </si>
  <si>
    <t>SPARTANNASH GARAGE</t>
  </si>
  <si>
    <t>00464</t>
  </si>
  <si>
    <t>SPARTANNASH TRANSPORTATION</t>
  </si>
  <si>
    <t>5200 NORTHLAND DRIVE NE</t>
  </si>
  <si>
    <t>140 AVERILL ST</t>
  </si>
  <si>
    <t>CONTINENTAL ID</t>
  </si>
  <si>
    <t xml:space="preserve">320 UNION </t>
  </si>
  <si>
    <t>GENERAL FORMULATIONS</t>
  </si>
  <si>
    <t>200 APPLEWOOD DRIVE</t>
  </si>
  <si>
    <t>SPARTAN GRAPHICS</t>
  </si>
  <si>
    <t>4200 E. BELTLINE</t>
  </si>
  <si>
    <t>INDEPENDENT BANK 514</t>
  </si>
  <si>
    <t>49035</t>
  </si>
  <si>
    <t>525 S. STATE ST</t>
  </si>
  <si>
    <t>INDEPENDENT BANK 508</t>
  </si>
  <si>
    <t>3090 PLAINFIELD NE</t>
  </si>
  <si>
    <t>INDEPENDENT BANK 513</t>
  </si>
  <si>
    <t>AIM STRAIGHT GOLF LLC</t>
  </si>
  <si>
    <t>5760 W. RIVER DRIVE N.E</t>
  </si>
  <si>
    <t>SHOTS ON THE RIVER</t>
  </si>
  <si>
    <t>12444 CROCKERY DR</t>
  </si>
  <si>
    <t>RAVENNA FOODS</t>
  </si>
  <si>
    <t>22 W MAIN ST</t>
  </si>
  <si>
    <t>THE DEPOT RESTAURANT</t>
  </si>
  <si>
    <t>SHOP N SAVE 1896</t>
  </si>
  <si>
    <t>105 N STONE ROAD</t>
  </si>
  <si>
    <t>ACE HARDWARE</t>
  </si>
  <si>
    <t>106 WESTWOOD ST</t>
  </si>
  <si>
    <t>THE PARTY STATION</t>
  </si>
  <si>
    <t>850 76TH STREET SW</t>
  </si>
  <si>
    <t>SPARTAN BAILER SALVAGE</t>
  </si>
  <si>
    <t>00141</t>
  </si>
  <si>
    <t>2468 PLAINFIELD NE</t>
  </si>
  <si>
    <t>SANITARY FISH &amp; MARKETPLACE</t>
  </si>
  <si>
    <t>1042 W MAIN</t>
  </si>
  <si>
    <t>SPANKY'S PIZZA</t>
  </si>
  <si>
    <t>14 W. MAIN STREET</t>
  </si>
  <si>
    <t>THE LUNCH PAIL</t>
  </si>
  <si>
    <t>49321</t>
  </si>
  <si>
    <t>COMSTOCK PARK</t>
  </si>
  <si>
    <t>4575 W RIVER DR</t>
  </si>
  <si>
    <t>JET'S PIZZA MI-123</t>
  </si>
  <si>
    <t>00038</t>
  </si>
  <si>
    <t>2869 KNAPP ST N.E.</t>
  </si>
  <si>
    <t>LICARI'S SICILLIAN PIZZA</t>
  </si>
  <si>
    <t>7599 CLYDE PARK</t>
  </si>
  <si>
    <t>TIRAMISU</t>
  </si>
  <si>
    <t>GENE'S MARKET 1337</t>
  </si>
  <si>
    <t>11 N DIVISION</t>
  </si>
  <si>
    <t>BLARNEY CASTLE 560</t>
  </si>
  <si>
    <t>1028 W. MAIN ST</t>
  </si>
  <si>
    <t>BLARNEY CASTLE 456</t>
  </si>
  <si>
    <t>4150 E. BELTLINE AVE., N.E.</t>
  </si>
  <si>
    <t>I-CHIRO</t>
  </si>
  <si>
    <t>5801 NORTHLAND DR</t>
  </si>
  <si>
    <t>BLYTHEFIELD CC-FRONT</t>
  </si>
  <si>
    <t>PO Box 177</t>
  </si>
  <si>
    <t>3156 SLOCUM RD</t>
  </si>
  <si>
    <t>SPENCER AUTO BODY</t>
  </si>
  <si>
    <t>850 76TH ST</t>
  </si>
  <si>
    <t>SPARTAN STORES PERISHABLES MAT</t>
  </si>
  <si>
    <t>00124</t>
  </si>
  <si>
    <t>SUITE K</t>
  </si>
  <si>
    <t xml:space="preserve">5150 NORTHLAND DR </t>
  </si>
  <si>
    <t xml:space="preserve">JET'S PIZZA MI-111   </t>
  </si>
  <si>
    <t>00037</t>
  </si>
  <si>
    <t xml:space="preserve">5181 NORTHLAND DR             </t>
  </si>
  <si>
    <t>1795 TYRONE AVE.</t>
  </si>
  <si>
    <t xml:space="preserve">BYMA FARMS LLC                </t>
  </si>
  <si>
    <t xml:space="preserve">RAVENNA             </t>
  </si>
  <si>
    <t xml:space="preserve">13545 APPLE AVE               </t>
  </si>
  <si>
    <t>MOSS RIDGE</t>
  </si>
  <si>
    <t xml:space="preserve">KENT CITY           </t>
  </si>
  <si>
    <t xml:space="preserve">850 76TH STREET               </t>
  </si>
  <si>
    <t xml:space="preserve">SPARTAN GM-CAFE               </t>
  </si>
  <si>
    <t>00140</t>
  </si>
  <si>
    <t xml:space="preserve">HESPERIA            </t>
  </si>
  <si>
    <t>161 N. DIVISION ST.</t>
  </si>
  <si>
    <t xml:space="preserve">ANGELO &amp; RICARDOS             </t>
  </si>
  <si>
    <t xml:space="preserve">28 BALL CREEK                 </t>
  </si>
  <si>
    <t xml:space="preserve">KENT CITY LOUNGE              </t>
  </si>
  <si>
    <t xml:space="preserve">850 76TH STREET SW            </t>
  </si>
  <si>
    <t xml:space="preserve">SPARTAN GM WHSE PORTERS       </t>
  </si>
  <si>
    <t>00137</t>
  </si>
  <si>
    <t xml:space="preserve">SPARTAN GROCERY PORTER        </t>
  </si>
  <si>
    <t>00136</t>
  </si>
  <si>
    <t xml:space="preserve">850 76TH ST S.W.              </t>
  </si>
  <si>
    <t>SPARTAN FRESH MAINTENANCE</t>
  </si>
  <si>
    <t>00135</t>
  </si>
  <si>
    <t xml:space="preserve">SPARTAN WAREHOUSE PRINT       </t>
  </si>
  <si>
    <t>00134</t>
  </si>
  <si>
    <t xml:space="preserve">SPARTAN GROCERY MAINTENANCE   </t>
  </si>
  <si>
    <t>00133</t>
  </si>
  <si>
    <t>SPT FAMILY FARE QUICK STOP 834</t>
  </si>
  <si>
    <t xml:space="preserve">537 76TH ST.                  </t>
  </si>
  <si>
    <t xml:space="preserve">SPARTAN STORES                </t>
  </si>
  <si>
    <t xml:space="preserve">12438 STAFFORD ST.            </t>
  </si>
  <si>
    <t xml:space="preserve">RAVENNA PUB                   </t>
  </si>
  <si>
    <t>2844 EAST BELTLINE</t>
  </si>
  <si>
    <t xml:space="preserve">BRANDYWINE RESTAURANT         </t>
  </si>
  <si>
    <t xml:space="preserve">850 76TH ST. S.W.             </t>
  </si>
  <si>
    <t xml:space="preserve">SPARTAN STORES GARAGE         </t>
  </si>
  <si>
    <t>00130</t>
  </si>
  <si>
    <t xml:space="preserve">850 76TH ST.                  </t>
  </si>
  <si>
    <t>SPARTAN WHSE COMPUTER AREA</t>
  </si>
  <si>
    <t>00129</t>
  </si>
  <si>
    <t xml:space="preserve">SPARTAN STORES TRANSPORTATION </t>
  </si>
  <si>
    <t>00128</t>
  </si>
  <si>
    <t xml:space="preserve">SPARTAN STORES OFFICE         </t>
  </si>
  <si>
    <t>00127</t>
  </si>
  <si>
    <t xml:space="preserve">SPARTAN STORES GROCERY        </t>
  </si>
  <si>
    <t>00126</t>
  </si>
  <si>
    <t>SPARTAN STORES SOUTH GUARD SHA</t>
  </si>
  <si>
    <t>00125</t>
  </si>
  <si>
    <t xml:space="preserve">3930 FULLER                   </t>
  </si>
  <si>
    <t>JACKIE BOUWHUIS</t>
  </si>
  <si>
    <t xml:space="preserve">BELMONT             </t>
  </si>
  <si>
    <t xml:space="preserve">5801 NORTHLAND                </t>
  </si>
  <si>
    <t xml:space="preserve">BLYTHEFIELD LOCKER ROOM       </t>
  </si>
  <si>
    <t xml:space="preserve">5801 NORTHLAND DR             </t>
  </si>
  <si>
    <t xml:space="preserve">BLYTHEFIELD CC PRO SHOP       </t>
  </si>
  <si>
    <t xml:space="preserve">BLYTHEFIELD MAINTENANCE       </t>
  </si>
  <si>
    <t xml:space="preserve">3198 ROGUE RIVER DR.          </t>
  </si>
  <si>
    <t xml:space="preserve">BLYTHEFIELD CC GROUNDS        </t>
  </si>
  <si>
    <t>BLYTHEFIELD CC KITCHEN</t>
  </si>
  <si>
    <t xml:space="preserve">707 E. BELTLINE NE            </t>
  </si>
  <si>
    <t xml:space="preserve">CALVARY CHURCH                </t>
  </si>
  <si>
    <t xml:space="preserve">4022 PLAINFIELD N.E.          </t>
  </si>
  <si>
    <t>RX OPTICAL</t>
  </si>
  <si>
    <t>00048</t>
  </si>
  <si>
    <t xml:space="preserve">5429 NORTHLAND NE       </t>
  </si>
  <si>
    <t>00046</t>
  </si>
  <si>
    <t xml:space="preserve">850 76TH STREET S.W.          </t>
  </si>
  <si>
    <t xml:space="preserve">SPARTAN WHSE PERISHA          </t>
  </si>
  <si>
    <t>00123</t>
  </si>
  <si>
    <t xml:space="preserve">SPARTAN WHSE SALVAGE          </t>
  </si>
  <si>
    <t xml:space="preserve">1526 PLAINFIELD  N.E          </t>
  </si>
  <si>
    <t xml:space="preserve">OPTICAL SUPPLY, INC.          </t>
  </si>
  <si>
    <t xml:space="preserve">3619 PLAINFIELD N.E.          </t>
  </si>
  <si>
    <t xml:space="preserve">FRED'S ITALIAN REST.         </t>
  </si>
  <si>
    <t xml:space="preserve">SPARTAN WHSE PACKING          </t>
  </si>
  <si>
    <t>00121</t>
  </si>
  <si>
    <t>ADA</t>
  </si>
  <si>
    <t>5766 FOREST GLEN DRIVE SE</t>
  </si>
  <si>
    <t>BIGFOOT BURGER</t>
  </si>
  <si>
    <t>49302</t>
  </si>
  <si>
    <t>ALTO</t>
  </si>
  <si>
    <t>6770 WHITNEYVILLE AVE SE</t>
  </si>
  <si>
    <t>RIGHT N TIGHT SERVICE INC</t>
  </si>
  <si>
    <t>GRAND RAPIIDS</t>
  </si>
  <si>
    <t>6630 A KALAMAZOO AVE  SE</t>
  </si>
  <si>
    <t>IRIE KITCHEN</t>
  </si>
  <si>
    <t>9548 CHERRY VALLEY DR</t>
  </si>
  <si>
    <t>AMERICAN LEGION-CALEDONIA</t>
  </si>
  <si>
    <t>DUTTON</t>
  </si>
  <si>
    <t>3595 68TH SE</t>
  </si>
  <si>
    <t>RAILTOWN BREWING</t>
  </si>
  <si>
    <t>48849</t>
  </si>
  <si>
    <t>ODESSA</t>
  </si>
  <si>
    <t>4905 W. TUPPER LAKE RD</t>
  </si>
  <si>
    <t>TLC BODY SHOP</t>
  </si>
  <si>
    <t>48845</t>
  </si>
  <si>
    <t>LAKE ODESSA</t>
  </si>
  <si>
    <t>1223 LAKEVIEW DR</t>
  </si>
  <si>
    <t>BUDDY'S ON THE BEACH</t>
  </si>
  <si>
    <t>49305</t>
  </si>
  <si>
    <t>FREEPORT</t>
  </si>
  <si>
    <t>219 OAK ST</t>
  </si>
  <si>
    <t>KETCHUM MACHINE CO.</t>
  </si>
  <si>
    <t>6869 WHITNEYVILLE RD</t>
  </si>
  <si>
    <t>HILLTOP REPAIR SERVICE, INC.</t>
  </si>
  <si>
    <t>107 E. MAIN ST.</t>
  </si>
  <si>
    <t>FRICANO'S OF CALEDONIA</t>
  </si>
  <si>
    <t>49512</t>
  </si>
  <si>
    <t>4490 60TH ST SE</t>
  </si>
  <si>
    <t>ALLIANCE BEVERAGE DISTRIBUTING</t>
  </si>
  <si>
    <t xml:space="preserve">CALEDONIA           </t>
  </si>
  <si>
    <t xml:space="preserve">9375 CHERRY VALLEY AVE SE     </t>
  </si>
  <si>
    <t>CALEDONIA VILLAGE RETAIL</t>
  </si>
  <si>
    <t xml:space="preserve">CALADONIA           </t>
  </si>
  <si>
    <t xml:space="preserve">8780 M-37 CALADONIA CROSSINGS </t>
  </si>
  <si>
    <t xml:space="preserve">BLUE DRAGON                   </t>
  </si>
  <si>
    <t xml:space="preserve">ALTO                </t>
  </si>
  <si>
    <t xml:space="preserve">7212 WHITNEYVILLE S.          </t>
  </si>
  <si>
    <t xml:space="preserve">NIGHTHAWK RESTAURANT          </t>
  </si>
  <si>
    <t>49333</t>
  </si>
  <si>
    <t>MIDDLEVILLE</t>
  </si>
  <si>
    <t>4650 M-37</t>
  </si>
  <si>
    <t>00069</t>
  </si>
  <si>
    <t>9375 CHERRY VALLEY AV SE</t>
  </si>
  <si>
    <t>D&amp;W 1577 FIRST AID</t>
  </si>
  <si>
    <t>9441 CHERRY VALLEY AVE.</t>
  </si>
  <si>
    <t>D&amp;W 856 QUICK STOP FIRST AID</t>
  </si>
  <si>
    <t>1203 JORDAN LAKE ST</t>
  </si>
  <si>
    <t>49073</t>
  </si>
  <si>
    <t>NASHVILLE</t>
  </si>
  <si>
    <t xml:space="preserve">133 S MAIN ST </t>
  </si>
  <si>
    <t>735 SHERMAN</t>
  </si>
  <si>
    <t>BURNIPS EQUIPMENT CO-NASHVILLE</t>
  </si>
  <si>
    <t>D&amp;W 1577 STARBUCKS</t>
  </si>
  <si>
    <t>00458</t>
  </si>
  <si>
    <t>D&amp;W 1577 PRODUCE</t>
  </si>
  <si>
    <t>00457</t>
  </si>
  <si>
    <t>D&amp;W 1577 DELI</t>
  </si>
  <si>
    <t>00456</t>
  </si>
  <si>
    <t>D&amp;W 1577 BAKERY</t>
  </si>
  <si>
    <t>00455</t>
  </si>
  <si>
    <t xml:space="preserve">D&amp;W 1577 FRONT </t>
  </si>
  <si>
    <t xml:space="preserve">D&amp;W 1577 MEAT </t>
  </si>
  <si>
    <t>49348</t>
  </si>
  <si>
    <t>WAYLAND</t>
  </si>
  <si>
    <t>1322 142ND AVE</t>
  </si>
  <si>
    <t>NEWHOUSE TRUCKING</t>
  </si>
  <si>
    <t>49058</t>
  </si>
  <si>
    <t>HASTINGS</t>
  </si>
  <si>
    <t>225 S M-37</t>
  </si>
  <si>
    <t>JP PLOWSHARES</t>
  </si>
  <si>
    <t>HASTINGS INTERNAL &amp; FAMILY MED</t>
  </si>
  <si>
    <t>ATTN: Richard Marquardt</t>
  </si>
  <si>
    <t>1326 142ND AVE</t>
  </si>
  <si>
    <t>ADLER TANK RENTAL</t>
  </si>
  <si>
    <t>49323</t>
  </si>
  <si>
    <t>DORR</t>
  </si>
  <si>
    <t>1730 142ND AVENUE</t>
  </si>
  <si>
    <t>RUSSO'S PIZZERIA</t>
  </si>
  <si>
    <t xml:space="preserve">HASTINGS </t>
  </si>
  <si>
    <t>404 E. WOODLAWN AVE</t>
  </si>
  <si>
    <t>HASTINGS MUTUAL INSURANCE</t>
  </si>
  <si>
    <t>146 W. STATE STREET</t>
  </si>
  <si>
    <t>RICHIE'S KOFFEE SHOP, INC</t>
  </si>
  <si>
    <t>307 S MICHIGAN AVE</t>
  </si>
  <si>
    <t>ENDOSCOPY REPAIR SPECIALIST</t>
  </si>
  <si>
    <t>1581 142ND AVE</t>
  </si>
  <si>
    <t>FIT 24</t>
  </si>
  <si>
    <t xml:space="preserve">WAYLAND             </t>
  </si>
  <si>
    <t xml:space="preserve">86 141ST ST                   </t>
  </si>
  <si>
    <t xml:space="preserve">CROSSROADS DAIRY LLC          </t>
  </si>
  <si>
    <t xml:space="preserve">2840 LAKE MICHIGAN DR N.W.    </t>
  </si>
  <si>
    <t xml:space="preserve">SICILIANOS MARKET             </t>
  </si>
  <si>
    <t xml:space="preserve">HASTINGS            </t>
  </si>
  <si>
    <t xml:space="preserve">575 TANNER LAKE RD            </t>
  </si>
  <si>
    <t xml:space="preserve">GRAND RENTAL                  </t>
  </si>
  <si>
    <t xml:space="preserve">DORR                </t>
  </si>
  <si>
    <t>4211 30TH STREET</t>
  </si>
  <si>
    <t>BURNIPS MARATHON</t>
  </si>
  <si>
    <t>49065</t>
  </si>
  <si>
    <t xml:space="preserve">4203 30TH ST.                 </t>
  </si>
  <si>
    <t xml:space="preserve">BUNKER HILL REST              </t>
  </si>
  <si>
    <t xml:space="preserve">1339 WALKER VILLAGE           </t>
  </si>
  <si>
    <t xml:space="preserve">POP'S RESTAURANT              </t>
  </si>
  <si>
    <t xml:space="preserve">328 SOUTH BROADWAY            </t>
  </si>
  <si>
    <t xml:space="preserve">GIRBACH FUNERAL HOME          </t>
  </si>
  <si>
    <t>803 W. STATE ST.</t>
  </si>
  <si>
    <t>1623 142ND AVE</t>
  </si>
  <si>
    <t>LEPPINK'S FOOD CENTERS 523 FA</t>
  </si>
  <si>
    <t>00035</t>
  </si>
  <si>
    <t>916 WEST STATE STREET</t>
  </si>
  <si>
    <t>SPT QUICK STOP HASTINGS 772 FA</t>
  </si>
  <si>
    <t>00195</t>
  </si>
  <si>
    <t>902 W. STATE STREET</t>
  </si>
  <si>
    <t>SPT FAMILY FARE 1990 FIRST AID</t>
  </si>
  <si>
    <t>00277</t>
  </si>
  <si>
    <t>135 E GREEN ST</t>
  </si>
  <si>
    <t>400 W MAIN STREET</t>
  </si>
  <si>
    <t>3073 142ND AVE</t>
  </si>
  <si>
    <t>LEPPINK'S FOOD CENTERS 523</t>
  </si>
  <si>
    <t>SPT FAMILY FARE 1990 STARBUCKS</t>
  </si>
  <si>
    <t>00472</t>
  </si>
  <si>
    <t>SPT QUICK STOP-HASTINGS 772</t>
  </si>
  <si>
    <t xml:space="preserve">SPT FAMILY FARE 1990 BAKERY </t>
  </si>
  <si>
    <t>00282</t>
  </si>
  <si>
    <t xml:space="preserve">SPT FAMILY FARE 1990 DELI </t>
  </si>
  <si>
    <t>00281</t>
  </si>
  <si>
    <t xml:space="preserve">SPT FAMILY FARE 1990 PRODUCE </t>
  </si>
  <si>
    <t>00280</t>
  </si>
  <si>
    <t xml:space="preserve">SPT FAMILY FARE 1990 MEAT </t>
  </si>
  <si>
    <t>00279</t>
  </si>
  <si>
    <t xml:space="preserve">SPT FAMILY FARE 1990 FRONT </t>
  </si>
  <si>
    <t>SUITE #480</t>
  </si>
  <si>
    <t xml:space="preserve">350 84TH STREET SW </t>
  </si>
  <si>
    <t>5 LAKES BREW PUB</t>
  </si>
  <si>
    <t>7250 DIVISION SE</t>
  </si>
  <si>
    <t>SUSPENSION PRO</t>
  </si>
  <si>
    <t>10704 WILSON AVE.</t>
  </si>
  <si>
    <t>COUNTRYSIDE INN</t>
  </si>
  <si>
    <t>SUITE 104</t>
  </si>
  <si>
    <t>5651 BYRON CENTER AVE</t>
  </si>
  <si>
    <t>LITTLE MEXICO TACOS</t>
  </si>
  <si>
    <t>49386</t>
  </si>
  <si>
    <t>1671 MARKETPLACE DR SE</t>
  </si>
  <si>
    <t>JAKU SUSHI, INC.</t>
  </si>
  <si>
    <t>2359 HEALTH DR SW STE 140</t>
  </si>
  <si>
    <t>LITTLE BANGKOK</t>
  </si>
  <si>
    <t>6690 CROSSINGS DRIVE SE</t>
  </si>
  <si>
    <t xml:space="preserve">5751 BYRON CENTER AVE         </t>
  </si>
  <si>
    <t xml:space="preserve">CHUBBYS GRILL                 </t>
  </si>
  <si>
    <t>2245 84TH ST. SW</t>
  </si>
  <si>
    <t>SPT FAM FARE 119 FIRST AID</t>
  </si>
  <si>
    <t>00192</t>
  </si>
  <si>
    <t xml:space="preserve">WYOMING, MI </t>
  </si>
  <si>
    <t>2260 GEZON PARKWAY</t>
  </si>
  <si>
    <t>00199</t>
  </si>
  <si>
    <t>2275 HEALTH DRIVE SW</t>
  </si>
  <si>
    <t>00356</t>
  </si>
  <si>
    <t>1550 GEZON PARKWAY</t>
  </si>
  <si>
    <t>SPARTAN NASH RX HUB FIRST AID</t>
  </si>
  <si>
    <t>00474</t>
  </si>
  <si>
    <t>1651 MARKETPLACE DR S.E.</t>
  </si>
  <si>
    <t>430 68TH STREET SW</t>
  </si>
  <si>
    <t>AUNT MILLIE'S GR OUTLET</t>
  </si>
  <si>
    <t>1625 MARKETPLACE DR SE</t>
  </si>
  <si>
    <t>00053</t>
  </si>
  <si>
    <t>675 68TH ST SW</t>
  </si>
  <si>
    <t>LMCU 68</t>
  </si>
  <si>
    <t>5986 METRO-WAY</t>
  </si>
  <si>
    <t>LMCU 82</t>
  </si>
  <si>
    <t>SUITE E-100</t>
  </si>
  <si>
    <t>SPARTANNASH RX-HUB</t>
  </si>
  <si>
    <t>00362</t>
  </si>
  <si>
    <t>00358</t>
  </si>
  <si>
    <t>00357</t>
  </si>
  <si>
    <t>00361</t>
  </si>
  <si>
    <t>00359</t>
  </si>
  <si>
    <t>00360</t>
  </si>
  <si>
    <t>SPT FAM FARE QUIK STOP 119</t>
  </si>
  <si>
    <t>00314</t>
  </si>
  <si>
    <t>00313</t>
  </si>
  <si>
    <t>00312</t>
  </si>
  <si>
    <t>00311</t>
  </si>
  <si>
    <t>343 100TH STREET SW</t>
  </si>
  <si>
    <t>CARLETON EQUIPMENT-G.R.</t>
  </si>
  <si>
    <t>6770 KALAMAZOO AVE SE</t>
  </si>
  <si>
    <t xml:space="preserve">BYRON CENTER        </t>
  </si>
  <si>
    <t>2185 84TH STREET SW STE B</t>
  </si>
  <si>
    <t xml:space="preserve">PEPPINOS PIZZA 4             </t>
  </si>
  <si>
    <t>49460</t>
  </si>
  <si>
    <t>WEST OLIVE</t>
  </si>
  <si>
    <t>8930 146TH AVENUE</t>
  </si>
  <si>
    <t>WEST OLIVE ESTATES YES COMM</t>
  </si>
  <si>
    <t>05362</t>
  </si>
  <si>
    <t>ALLENDALE</t>
  </si>
  <si>
    <t>5164 LAKE MICHIGAN DRIVE</t>
  </si>
  <si>
    <t xml:space="preserve">STANDALE            </t>
  </si>
  <si>
    <t xml:space="preserve">4735 LAKE MICHIGAN DRIVE      </t>
  </si>
  <si>
    <t xml:space="preserve">NEW BEGINNINGS RESTAURANT     </t>
  </si>
  <si>
    <t>356 WILSON AVE NORTHWEST</t>
  </si>
  <si>
    <t>CHICK-FIL-A</t>
  </si>
  <si>
    <t>3393 REMEMBERENCE ROAD</t>
  </si>
  <si>
    <t>LOST ART BREWHOUSE</t>
  </si>
  <si>
    <t>3020 WILSON DR. NW</t>
  </si>
  <si>
    <t>APOLLO TOOL &amp; ENGINEERING</t>
  </si>
  <si>
    <t>49464</t>
  </si>
  <si>
    <t>ZEELAND</t>
  </si>
  <si>
    <t>6210 96TH AVE</t>
  </si>
  <si>
    <t>STROMBOLIS</t>
  </si>
  <si>
    <t>3272 REMEMBRANCE RD NW</t>
  </si>
  <si>
    <t>WALKER ROADHOUSE</t>
  </si>
  <si>
    <t>11240 UNIVERSITY PKWY</t>
  </si>
  <si>
    <t>MAIN ST PUB-ALLENDALE</t>
  </si>
  <si>
    <t>GRAND RAPDIS</t>
  </si>
  <si>
    <t>4201 RICHMOND NE</t>
  </si>
  <si>
    <t>DAVE ZYLSTRA AGENCY</t>
  </si>
  <si>
    <t>411 WILSON NW</t>
  </si>
  <si>
    <t>TAQUERIA MANRIQUEZ-GR</t>
  </si>
  <si>
    <t>2058 LAKE MICHIGAN DR</t>
  </si>
  <si>
    <t>BIG APPLE BAGELS LAKE MI DR</t>
  </si>
  <si>
    <t>4072 LAKE MICHIGAN DRIVE</t>
  </si>
  <si>
    <t>LAKE MICHIGAN SPORTS BAR</t>
  </si>
  <si>
    <t>456 KINNEY AVE</t>
  </si>
  <si>
    <t>STANDALE VETERINARY HOSPITAL</t>
  </si>
  <si>
    <t>HUDSONVILLE</t>
  </si>
  <si>
    <t>7405 PORT SHELDON RD</t>
  </si>
  <si>
    <t>SHELDON MEATS</t>
  </si>
  <si>
    <t>6210 96TH STREET</t>
  </si>
  <si>
    <t>BORCULO EXPRESS</t>
  </si>
  <si>
    <t xml:space="preserve">WEST OLIVE          </t>
  </si>
  <si>
    <t xml:space="preserve">15791 LAKE MICHIGAN DR        </t>
  </si>
  <si>
    <t xml:space="preserve">45 BOTELLO'S PARTY STORE      </t>
  </si>
  <si>
    <t xml:space="preserve">12200 W. OLIVE RD             </t>
  </si>
  <si>
    <t xml:space="preserve">LAKE CYCLE SHOP               </t>
  </si>
  <si>
    <t xml:space="preserve">4482 LAKE MICHIGAN N          </t>
  </si>
  <si>
    <t xml:space="preserve">GRAND RAPIDS, MI </t>
  </si>
  <si>
    <t>suite 77</t>
  </si>
  <si>
    <t>2755 LAKE MICHIGAN DR</t>
  </si>
  <si>
    <t>00201</t>
  </si>
  <si>
    <t>2755 LAKE MI DR. NW</t>
  </si>
  <si>
    <t>SPT. FAMILY FARE 339 FIRST AID</t>
  </si>
  <si>
    <t>00334</t>
  </si>
  <si>
    <t>6380 LK MICHIGAN DR.</t>
  </si>
  <si>
    <t>00193</t>
  </si>
  <si>
    <t>6370 LAKE MI DR.</t>
  </si>
  <si>
    <t>00315</t>
  </si>
  <si>
    <t>177 WILSON NW</t>
  </si>
  <si>
    <t>AAC CU-STANDALE</t>
  </si>
  <si>
    <t>2720 LAKE MICHIGAN DR NW</t>
  </si>
  <si>
    <t>LMCU 70</t>
  </si>
  <si>
    <t>5023 LAKE MICHIGAN DRIVE</t>
  </si>
  <si>
    <t>LMCU 75</t>
  </si>
  <si>
    <t>SUITE 77</t>
  </si>
  <si>
    <t>SPT FAMILY FARE-QUICK STOP 771</t>
  </si>
  <si>
    <t xml:space="preserve">SPT. FAMILY FARE FRONT 339 </t>
  </si>
  <si>
    <t xml:space="preserve">2101 LAKE MICHIGAN DR         </t>
  </si>
  <si>
    <t>12956 68TH AVE.</t>
  </si>
  <si>
    <t>5135 LAKE MICHIGAN DRIVE</t>
  </si>
  <si>
    <t>JET'S PIZZA MI-156</t>
  </si>
  <si>
    <t xml:space="preserve">4482 LAKE MICHIGAN DR         </t>
  </si>
  <si>
    <t>JET'S PIZZA MI-141</t>
  </si>
  <si>
    <t>STANDALE</t>
  </si>
  <si>
    <t>4525 LAKE MICHIGAN DR</t>
  </si>
  <si>
    <t>INDEPENDENT BANK 525</t>
  </si>
  <si>
    <t>11240 W. OLIVE</t>
  </si>
  <si>
    <t>BLARNEY CASTLE 896</t>
  </si>
  <si>
    <t>4647 LAKE MICHIGAN DR</t>
  </si>
  <si>
    <t>PEPPINOS PIZZA EXPRESS</t>
  </si>
  <si>
    <t xml:space="preserve">ALLENDALE           </t>
  </si>
  <si>
    <t xml:space="preserve">5065 LAKE MICHIGAN DRIVE      </t>
  </si>
  <si>
    <t xml:space="preserve">PEPPINOS RESTORANTE           </t>
  </si>
  <si>
    <t xml:space="preserve">4170 LAKE MICHIGAN DRIVE      </t>
  </si>
  <si>
    <t xml:space="preserve">PEPPINOS PIZZA 1             </t>
  </si>
  <si>
    <t>925 E. PONTALUNA</t>
  </si>
  <si>
    <t>FOUNTAIN VIEW FAMILY DENTAL</t>
  </si>
  <si>
    <t>08021</t>
  </si>
  <si>
    <t>200 W SAVIDGE</t>
  </si>
  <si>
    <t>08020</t>
  </si>
  <si>
    <t>17687 174TH AVE.</t>
  </si>
  <si>
    <t>GOODWILL IND. DONATION CENTER</t>
  </si>
  <si>
    <t>06093</t>
  </si>
  <si>
    <t xml:space="preserve">SPRING LAKE </t>
  </si>
  <si>
    <t>601 W. SAVIDGE</t>
  </si>
  <si>
    <t>LAKESHORE FAMILY CARE</t>
  </si>
  <si>
    <t>06579</t>
  </si>
  <si>
    <t>WESTSHORE OMS, PLC</t>
  </si>
  <si>
    <t>17188 VAN WAGONER</t>
  </si>
  <si>
    <t xml:space="preserve">KIMBERLY TAYLOR ACCTING &amp; TAX </t>
  </si>
  <si>
    <t>1269 E MOUNT GARFIELD SUITE G</t>
  </si>
  <si>
    <t>LAKESHORE TECHNOLOGIES LLC</t>
  </si>
  <si>
    <t>701 E SAVAGE ST.</t>
  </si>
  <si>
    <t>SABO SKIN CARE &amp; MASSAGE</t>
  </si>
  <si>
    <t>7300 ENTERPRISE DR</t>
  </si>
  <si>
    <t>NOBLE COMPANY INC</t>
  </si>
  <si>
    <t>1700 TAFT ROAD</t>
  </si>
  <si>
    <t>PLIANT PLASTICS CORP</t>
  </si>
  <si>
    <t>14510 CLEVELAND (M104)</t>
  </si>
  <si>
    <t>FALCON CORPORATION</t>
  </si>
  <si>
    <t>49415-9600</t>
  </si>
  <si>
    <t>3113 E PONTALUNA ROAD</t>
  </si>
  <si>
    <t>FRUITPORT SCHOOLS</t>
  </si>
  <si>
    <t>9 N 8TH AVE</t>
  </si>
  <si>
    <t>FRUITPORT CONGREGATIONAL</t>
  </si>
  <si>
    <t>47 PARK ST</t>
  </si>
  <si>
    <t>FRUITPORT DISTRICT LIBRARY</t>
  </si>
  <si>
    <t>5865 AIRLINE RD</t>
  </si>
  <si>
    <t>FRUITPORT TOWNSHIP</t>
  </si>
  <si>
    <t>MWRF</t>
  </si>
  <si>
    <t>213 W SAVIDGE</t>
  </si>
  <si>
    <t>IDLE HOUR RESTAURANT</t>
  </si>
  <si>
    <t>49456-1608</t>
  </si>
  <si>
    <t>401 W SAVIDGE</t>
  </si>
  <si>
    <t>BILLS SPORT SHOP</t>
  </si>
  <si>
    <t>3427 FARR ROAD</t>
  </si>
  <si>
    <t>FRUITPORT CHIROPRACTIC</t>
  </si>
  <si>
    <t>3700 FARR RD</t>
  </si>
  <si>
    <t>SHORELINE SALES GARY'S AUTO BO</t>
  </si>
  <si>
    <t>235 2ND STREET</t>
  </si>
  <si>
    <t>BILZ PLUMBING</t>
  </si>
  <si>
    <t>420 N THIRD</t>
  </si>
  <si>
    <t>WILD MONKEY SMOKE SHOP</t>
  </si>
  <si>
    <t>340 N THIRD</t>
  </si>
  <si>
    <t>VILLAGE INN</t>
  </si>
  <si>
    <t>6435 SCHAMBER DR</t>
  </si>
  <si>
    <t>TITAN TOOL AND DIE</t>
  </si>
  <si>
    <t>6528 SCHAMBER DR</t>
  </si>
  <si>
    <t>TIMELESS WOOD CARE PRODUCTS</t>
  </si>
  <si>
    <t>19130 N FRUITPORT RD</t>
  </si>
  <si>
    <t>FUR CRAZY PET SALON</t>
  </si>
  <si>
    <t>19084 FRUITPORT RD</t>
  </si>
  <si>
    <t>THE GLEASON CENTER</t>
  </si>
  <si>
    <t>17026 LLOYDS BAYOU DRIVE</t>
  </si>
  <si>
    <t>ORCHARD MARKET - SPRING LAKE</t>
  </si>
  <si>
    <t>124 W SAVIDGE</t>
  </si>
  <si>
    <t>WELL ADJUSTED CHIROPRACTIC</t>
  </si>
  <si>
    <t>388 N THIRD</t>
  </si>
  <si>
    <t>MOREA CHIROPRACTIC</t>
  </si>
  <si>
    <t>6530 AIRLINE ROAD</t>
  </si>
  <si>
    <t>ORCHARD MARKET - FRUITPORT</t>
  </si>
  <si>
    <t>3692 PONTALUNA ROAD</t>
  </si>
  <si>
    <t>FRUITPORT ANIMAL HOSPITAL</t>
  </si>
  <si>
    <t>612 W SAVIDGE</t>
  </si>
  <si>
    <t>1450 E FARR RD</t>
  </si>
  <si>
    <t>FOOT AND ANKLE SPECIALISTS</t>
  </si>
  <si>
    <t>6502 SCHAMBER DRIVE</t>
  </si>
  <si>
    <t>PHYT PHYZIQUE</t>
  </si>
  <si>
    <t xml:space="preserve">109 N THIRD                   </t>
  </si>
  <si>
    <t>ALL STAR GROOMING</t>
  </si>
  <si>
    <t>6958F</t>
  </si>
  <si>
    <t>270 S ADAMS</t>
  </si>
  <si>
    <t>LITTLE CAESARS PIZZA - NEWAYGO</t>
  </si>
  <si>
    <t>30 STATE RD</t>
  </si>
  <si>
    <t>SPORTSMAN'S BAR</t>
  </si>
  <si>
    <t>28 N STATE</t>
  </si>
  <si>
    <t>CITY OF NEWAYGO</t>
  </si>
  <si>
    <t>49349</t>
  </si>
  <si>
    <t>WHITE CLOUD</t>
  </si>
  <si>
    <t>276 SOUTH CHARLES STREET</t>
  </si>
  <si>
    <t>CHARLIE'S FAMILY GRILL</t>
  </si>
  <si>
    <t>201 N. WEBSTER</t>
  </si>
  <si>
    <t>LUBECON USA LLC</t>
  </si>
  <si>
    <t>461 N. EVERGREEN</t>
  </si>
  <si>
    <t>WHITE CLOUD EAGLES</t>
  </si>
  <si>
    <t>837 EVERGREEN</t>
  </si>
  <si>
    <t>D&amp;B BRINE</t>
  </si>
  <si>
    <t>234 S. CHARLES ST</t>
  </si>
  <si>
    <t>ANIMAL WELLNESS CENTER</t>
  </si>
  <si>
    <t>4790 ALPINE AVE</t>
  </si>
  <si>
    <t>PINKY'S PLACE</t>
  </si>
  <si>
    <t>1550 10 MILE RD NW</t>
  </si>
  <si>
    <t>KENT EQUIPMENT</t>
  </si>
  <si>
    <t>4669 ALPINE AVE</t>
  </si>
  <si>
    <t>PALERMO PIZZA</t>
  </si>
  <si>
    <t>47 S. CHARLES</t>
  </si>
  <si>
    <t>HOUSEMAN'S FOOD WHITE CLOUD</t>
  </si>
  <si>
    <t>19 STATE ROAD</t>
  </si>
  <si>
    <t>NEWAYGO BREWING COMPANY</t>
  </si>
  <si>
    <t>8187 S. MASON AVE</t>
  </si>
  <si>
    <t>CITY LIMIT FAMILY RESTAURANT</t>
  </si>
  <si>
    <t>6812 S. CROTON-HARDY DRIVE</t>
  </si>
  <si>
    <t>AMERICAN LEGION 381</t>
  </si>
  <si>
    <t xml:space="preserve">NEWAYGO </t>
  </si>
  <si>
    <t>7221 SOUTH CROTON HANDY DR.</t>
  </si>
  <si>
    <t>RED ANCHOR INN</t>
  </si>
  <si>
    <t xml:space="preserve">COMSTOCK PARK       </t>
  </si>
  <si>
    <t xml:space="preserve">4255 ALPINE ROAD              </t>
  </si>
  <si>
    <t xml:space="preserve">EMPIRE CHINESE RESTARAUNT     </t>
  </si>
  <si>
    <t xml:space="preserve">NEWAYGO             </t>
  </si>
  <si>
    <t xml:space="preserve">70 STATE ROAD                 </t>
  </si>
  <si>
    <t xml:space="preserve">PARSLEY'S SPORT SHOP          </t>
  </si>
  <si>
    <t>7303 S CROTEN HARDY DR</t>
  </si>
  <si>
    <t>00104</t>
  </si>
  <si>
    <t>169 W RIVER VALLELY</t>
  </si>
  <si>
    <t>GALAXY PIZZA NEWAYGO</t>
  </si>
  <si>
    <t>3153 ALPINE AVE</t>
  </si>
  <si>
    <t>P.O. BOX 64</t>
  </si>
  <si>
    <t>304 CHARLES ST</t>
  </si>
  <si>
    <t>267 S. CHARLES ST.</t>
  </si>
  <si>
    <t>335 ADAMS</t>
  </si>
  <si>
    <t>00049</t>
  </si>
  <si>
    <t>GENE'S MARKET 1338</t>
  </si>
  <si>
    <t>1075 WILCOX AVE</t>
  </si>
  <si>
    <t>00008</t>
  </si>
  <si>
    <t>40 N STATE ST</t>
  </si>
  <si>
    <t>INDEPENDENT BANK 606</t>
  </si>
  <si>
    <t>7626 E. 36TH STREET</t>
  </si>
  <si>
    <t>BLARNEY HILLTOP GENERAL EZ MAR</t>
  </si>
  <si>
    <t>00159</t>
  </si>
  <si>
    <t>6353 EAST 88TH STREET</t>
  </si>
  <si>
    <t>BLARNEY CASTLE HILLTOP 569</t>
  </si>
  <si>
    <t>00158</t>
  </si>
  <si>
    <t>6398 EAST 36TH STREET</t>
  </si>
  <si>
    <t>BLARNEY CASTLE EZ MART 570</t>
  </si>
  <si>
    <t>00156</t>
  </si>
  <si>
    <t>68 NORTH STATE RD</t>
  </si>
  <si>
    <t>BLARNEY CASTLE 696</t>
  </si>
  <si>
    <t>7333 CROTON HARDY DR</t>
  </si>
  <si>
    <t>BLARNEY CASTLE 376</t>
  </si>
  <si>
    <t>1225 SPAULDING AVE SE</t>
  </si>
  <si>
    <t>CASCADE TRAILS SENIOR LIVING</t>
  </si>
  <si>
    <t>49331</t>
  </si>
  <si>
    <t>LOWELL</t>
  </si>
  <si>
    <t>123 W. MAIN ST.</t>
  </si>
  <si>
    <t>RIPPLE</t>
  </si>
  <si>
    <t>#120</t>
  </si>
  <si>
    <t>7471 RIVER ST. SE</t>
  </si>
  <si>
    <t>LUNA OF ADA</t>
  </si>
  <si>
    <t>721 KENMOOR</t>
  </si>
  <si>
    <t>WESTERN MICHIGAN PEDIATRICS</t>
  </si>
  <si>
    <t>48875</t>
  </si>
  <si>
    <t>PORTLAND</t>
  </si>
  <si>
    <t>1700 EAST GRAND RIVER</t>
  </si>
  <si>
    <t>48846</t>
  </si>
  <si>
    <t>IONIA</t>
  </si>
  <si>
    <t>1129 N STATE ROAD</t>
  </si>
  <si>
    <t>WILSON HEAT, COOL &amp; PLUMB</t>
  </si>
  <si>
    <t>SUITE C - PCC #772700</t>
  </si>
  <si>
    <t>5005 CASCADE RD. SE</t>
  </si>
  <si>
    <t>HANGER PROSTHETICS &amp; ORTHOTICS</t>
  </si>
  <si>
    <t>1153 E. GRAND RIVER AVE</t>
  </si>
  <si>
    <t>BILL'S PARTY STORE</t>
  </si>
  <si>
    <t xml:space="preserve">4021 CASCADE RD               </t>
  </si>
  <si>
    <t xml:space="preserve">KEYSTONE PHARMACY             </t>
  </si>
  <si>
    <t>46301</t>
  </si>
  <si>
    <t xml:space="preserve">6990 E FULTON ST              </t>
  </si>
  <si>
    <t xml:space="preserve">7330 THORNAPPLE RIVER DR      </t>
  </si>
  <si>
    <t xml:space="preserve">ADA TOWNSHIP HALL             </t>
  </si>
  <si>
    <t xml:space="preserve">IONIA               </t>
  </si>
  <si>
    <t xml:space="preserve">3125 S. STATE ST.             </t>
  </si>
  <si>
    <t>444 ADA DRIVE SE</t>
  </si>
  <si>
    <t>SPT ADA MARKET FIRST AID 1401</t>
  </si>
  <si>
    <t>00482</t>
  </si>
  <si>
    <t>4608 CASCADE RD SE</t>
  </si>
  <si>
    <t>00200</t>
  </si>
  <si>
    <t>4668 CASCADE ROAD</t>
  </si>
  <si>
    <t>00348</t>
  </si>
  <si>
    <t>1501 GRAND RIVER</t>
  </si>
  <si>
    <t>342 DEXTER ST</t>
  </si>
  <si>
    <t>4033 CASCADE ROAD</t>
  </si>
  <si>
    <t>4027 LAKE DR SE</t>
  </si>
  <si>
    <t>LMCU 6000</t>
  </si>
  <si>
    <t>2384 W. MAIN STREET</t>
  </si>
  <si>
    <t>LMCU 38</t>
  </si>
  <si>
    <t>4050 LAKE DR SE</t>
  </si>
  <si>
    <t>LMCU 25</t>
  </si>
  <si>
    <t>5550 CASCADE SE</t>
  </si>
  <si>
    <t>LMCU 135</t>
  </si>
  <si>
    <t>1210 SPAULDING AVE SE</t>
  </si>
  <si>
    <t>LMCU 30</t>
  </si>
  <si>
    <t>275 W. DAVID HIGHWAY</t>
  </si>
  <si>
    <t>CONSUMERS CONCRETE-IONIA</t>
  </si>
  <si>
    <t xml:space="preserve">PORTLAND </t>
  </si>
  <si>
    <t>1462 E GRAND RIVER</t>
  </si>
  <si>
    <t>TOM'S FOOD/LITTE CEASAR 96</t>
  </si>
  <si>
    <t>TOM'S FOOD CENTER/DELI ONLY 96</t>
  </si>
  <si>
    <t>TOM'S FOOD CENTER/BIGBY 96</t>
  </si>
  <si>
    <t xml:space="preserve">PORTLAND            </t>
  </si>
  <si>
    <t xml:space="preserve">1462 E. GRAND RIVER           </t>
  </si>
  <si>
    <t>TOM'S FOOD CENTER BAKERY 96</t>
  </si>
  <si>
    <t>TOM'S FOOD CENTER MEAT 96</t>
  </si>
  <si>
    <t>TOM'S FOOD CENTER PRODUCE 96</t>
  </si>
  <si>
    <t>SPT FRESH MARKET MEAT 1401</t>
  </si>
  <si>
    <t>SPT FRESH MARKET STARBUCK 1401</t>
  </si>
  <si>
    <t>SPT FRESH MARKET PRODUCE 1401</t>
  </si>
  <si>
    <t>00483</t>
  </si>
  <si>
    <t>SPT FRESH MARKET DELI 1401</t>
  </si>
  <si>
    <t>SPT FRESH MARKET FRONT 1401</t>
  </si>
  <si>
    <t>00475</t>
  </si>
  <si>
    <t>00454</t>
  </si>
  <si>
    <t>00355</t>
  </si>
  <si>
    <t>00354</t>
  </si>
  <si>
    <t>00353</t>
  </si>
  <si>
    <t>00352</t>
  </si>
  <si>
    <t>00351</t>
  </si>
  <si>
    <t>00350</t>
  </si>
  <si>
    <t>00349</t>
  </si>
  <si>
    <t>Suite 400</t>
  </si>
  <si>
    <t xml:space="preserve">11635 FULTON </t>
  </si>
  <si>
    <t>JETS PIZZA</t>
  </si>
  <si>
    <t>227 MAIN ST</t>
  </si>
  <si>
    <t>INDEPENDENT BANK 8040</t>
  </si>
  <si>
    <t>00084</t>
  </si>
  <si>
    <t>49881</t>
  </si>
  <si>
    <t>SARANAC</t>
  </si>
  <si>
    <t>29 CHURCH ST</t>
  </si>
  <si>
    <t>INDEPENDENT BANK 633</t>
  </si>
  <si>
    <t>450 S. DEXTER</t>
  </si>
  <si>
    <t>INDEPENDENT BANK 630</t>
  </si>
  <si>
    <t>49875</t>
  </si>
  <si>
    <t>1601 E. GRAND RIVER AVE</t>
  </si>
  <si>
    <t>INDEPENDENT BANK 621</t>
  </si>
  <si>
    <t>7575 FULTON AVE</t>
  </si>
  <si>
    <t>EUREST-ALTICOR CORP. UNIT 2215</t>
  </si>
  <si>
    <t>00191</t>
  </si>
  <si>
    <t xml:space="preserve">ATN AMY LARSON </t>
  </si>
  <si>
    <t>160 ALTA DALE DR</t>
  </si>
  <si>
    <t xml:space="preserve">FOREST HILLS PUBLIC SCHOOLS   </t>
  </si>
  <si>
    <t>49343</t>
  </si>
  <si>
    <t>SAND LAKE</t>
  </si>
  <si>
    <t>11 W. LAKE ST</t>
  </si>
  <si>
    <t>BEISINGER VETERINARY SERVICES</t>
  </si>
  <si>
    <t>15034 NORTHLAND DR.</t>
  </si>
  <si>
    <t>POUR MICHIGAN LLC</t>
  </si>
  <si>
    <t>49329</t>
  </si>
  <si>
    <t>HOWARD CITY</t>
  </si>
  <si>
    <t>HOWARD CITY QUICK LUBE</t>
  </si>
  <si>
    <t>104 W. BEECH NE</t>
  </si>
  <si>
    <t>WEFA</t>
  </si>
  <si>
    <t>15030 STOUT</t>
  </si>
  <si>
    <t>MICHIGAN PROTEIN</t>
  </si>
  <si>
    <t xml:space="preserve">521 E. DIVISION </t>
  </si>
  <si>
    <t>LIFE BEYOND BARRIERS-ROCKFORD</t>
  </si>
  <si>
    <t>49339</t>
  </si>
  <si>
    <t>PIERSON</t>
  </si>
  <si>
    <t>10 S. 4TH ST</t>
  </si>
  <si>
    <t>PIERSON VILLAGE INN</t>
  </si>
  <si>
    <t xml:space="preserve">10399 NORTHLAND </t>
  </si>
  <si>
    <t>NORTHLAND TOOL &amp; DIE, INC.</t>
  </si>
  <si>
    <t>138 S. 4TH STREET</t>
  </si>
  <si>
    <t>PIERSON TRADING POST, INC</t>
  </si>
  <si>
    <t>1325 S. ENSLEY</t>
  </si>
  <si>
    <t>HAWK'S PETROLEUM, INC</t>
  </si>
  <si>
    <t>10243 NORTHLAND DRIVE NE</t>
  </si>
  <si>
    <t>ROCKFORD COLLISION LLC</t>
  </si>
  <si>
    <t>4324 14 MILE ROAD NE</t>
  </si>
  <si>
    <t>MOMMA'S BOY</t>
  </si>
  <si>
    <t>335-ANORTHLAND DR STE A</t>
  </si>
  <si>
    <t>BYRNE CHIROPRACTIC</t>
  </si>
  <si>
    <t>4595 14 MILE RD NE</t>
  </si>
  <si>
    <t>WEST MICHIGAN COLLISION</t>
  </si>
  <si>
    <t xml:space="preserve">ROCKFORD            </t>
  </si>
  <si>
    <t xml:space="preserve">10950 NORTHLAND DRIVE         </t>
  </si>
  <si>
    <t xml:space="preserve">HOLIDAY PET RESORT &amp; SALON    </t>
  </si>
  <si>
    <t xml:space="preserve">507 EAST DIVISION             </t>
  </si>
  <si>
    <t xml:space="preserve">3576 ALPINE NW                </t>
  </si>
  <si>
    <t>8 S. SQUIRES</t>
  </si>
  <si>
    <t>PEPPERMILL GRILL</t>
  </si>
  <si>
    <t>49351</t>
  </si>
  <si>
    <t>9341 COURTLAND DRIVE</t>
  </si>
  <si>
    <t>CREATIVE DINING-WOLVERINE WW</t>
  </si>
  <si>
    <t>424 EMORY STREET</t>
  </si>
  <si>
    <t>DEAN TRANSPORTATION-HOWARD CTY</t>
  </si>
  <si>
    <t>204 E. MUSKEGON STREET</t>
  </si>
  <si>
    <t>201 MARCELL DR NE</t>
  </si>
  <si>
    <t>3850 ALPINE AVE</t>
  </si>
  <si>
    <t>FIREHOUSE SUBS-ALPINE</t>
  </si>
  <si>
    <t>81 N. THIRD ST.</t>
  </si>
  <si>
    <t>211 N. MAIN ST.</t>
  </si>
  <si>
    <t>3900 ALPINE NW</t>
  </si>
  <si>
    <t>SALVATION ARMY-ALPINE</t>
  </si>
  <si>
    <t>4560 ALPINE AVE NW</t>
  </si>
  <si>
    <t>LMCU 97</t>
  </si>
  <si>
    <t>10601 NORTHLAND DRIVE</t>
  </si>
  <si>
    <t>CONSUMERS CONCRETE-ROCKFORD</t>
  </si>
  <si>
    <t>201 MARCELL DR. NE</t>
  </si>
  <si>
    <t>00480</t>
  </si>
  <si>
    <t>00462</t>
  </si>
  <si>
    <t>SPT FAMILY FARE 1572 FRONT</t>
  </si>
  <si>
    <t>SPT FAMILY FARE 1572 MEAT</t>
  </si>
  <si>
    <t>SPT FAMILY FARE 1572 BAKERY</t>
  </si>
  <si>
    <t>SPT FAMILY FARE 1572 DELI</t>
  </si>
  <si>
    <t>SPT FAMILY FARE 1572 PRODUCE</t>
  </si>
  <si>
    <t>14111 WHITE CREEK</t>
  </si>
  <si>
    <t>JET'S PIZZA MI-155</t>
  </si>
  <si>
    <t>4064 ALPINE AVE NW STE D</t>
  </si>
  <si>
    <t>OLGA'S KITCHEN-COMSTOCK PARK</t>
  </si>
  <si>
    <t>5 THIRD ST SE</t>
  </si>
  <si>
    <t>INDEPENDENT BANK 602</t>
  </si>
  <si>
    <t xml:space="preserve">720 W. SHAW </t>
  </si>
  <si>
    <t>INDEPENDENT BANK 601</t>
  </si>
  <si>
    <t>00072</t>
  </si>
  <si>
    <t>4115 17 MILE RD</t>
  </si>
  <si>
    <t>INDEPENDENT BANK 504</t>
  </si>
  <si>
    <t>48341</t>
  </si>
  <si>
    <t>78 S. MAIN STREET</t>
  </si>
  <si>
    <t>INDEPENDENT BANK 507</t>
  </si>
  <si>
    <t>251 W. CHERRY</t>
  </si>
  <si>
    <t>CS TOOL ENGINEERING</t>
  </si>
  <si>
    <t>48856</t>
  </si>
  <si>
    <t>MIDDLETON</t>
  </si>
  <si>
    <t>125 N. NEWTON ST.</t>
  </si>
  <si>
    <t>MIDDLETON DINER</t>
  </si>
  <si>
    <t>48838</t>
  </si>
  <si>
    <t>GREENVILLE</t>
  </si>
  <si>
    <t>11466 W CARSON CITY RD</t>
  </si>
  <si>
    <t>FRUGTHAVEN FARM</t>
  </si>
  <si>
    <t>6983 Bluewater Hwy</t>
  </si>
  <si>
    <t>ICAT MOTORS</t>
  </si>
  <si>
    <t>48809</t>
  </si>
  <si>
    <t>BELDING</t>
  </si>
  <si>
    <t>8634 STOREY</t>
  </si>
  <si>
    <t>WIESEN POWDERCOATING</t>
  </si>
  <si>
    <t>48885</t>
  </si>
  <si>
    <t>SIDNEY</t>
  </si>
  <si>
    <t>3045 S DERBY</t>
  </si>
  <si>
    <t>SIDNEY TAVERN</t>
  </si>
  <si>
    <t>300 W GREENVILLE</t>
  </si>
  <si>
    <t>FLAT RIVER BREWING</t>
  </si>
  <si>
    <t>200 N. GOODING</t>
  </si>
  <si>
    <t>BELDING TANK TECHNOLOGIES</t>
  </si>
  <si>
    <t>6800 SAGE DRIVE</t>
  </si>
  <si>
    <t>SAGES MEAT PROCESSING/CATERING</t>
  </si>
  <si>
    <t>48818</t>
  </si>
  <si>
    <t>CRYSTAL</t>
  </si>
  <si>
    <t xml:space="preserve">101 S. MAIN </t>
  </si>
  <si>
    <t>UPTOWN BAR</t>
  </si>
  <si>
    <t>SUITE 1E</t>
  </si>
  <si>
    <t>301 S. MAPLEWOOD</t>
  </si>
  <si>
    <t>EL RANCHO</t>
  </si>
  <si>
    <t>216 LAKE ST</t>
  </si>
  <si>
    <t>DAVE &amp; KIM'S CRYSTAL LAKE CAFE</t>
  </si>
  <si>
    <t>903 S. MAIN ST</t>
  </si>
  <si>
    <t>BLANCHARD'S THRIFTWAY, INC.</t>
  </si>
  <si>
    <t>48811</t>
  </si>
  <si>
    <t>CARSON CITY</t>
  </si>
  <si>
    <t>10002 E. CARSON CITY RD</t>
  </si>
  <si>
    <t>THE RUSTY NAIL</t>
  </si>
  <si>
    <t>48884</t>
  </si>
  <si>
    <t>SHERIDAN</t>
  </si>
  <si>
    <t>102 E CONDENSERY RD</t>
  </si>
  <si>
    <t>SHERIDAN TIRE &amp; AUTO LLC</t>
  </si>
  <si>
    <t>402 W. MAIN STREET</t>
  </si>
  <si>
    <t>THE HORSES MOUTH, INC.</t>
  </si>
  <si>
    <t>48865</t>
  </si>
  <si>
    <t>ORLEANS</t>
  </si>
  <si>
    <t>6006 N. STATE</t>
  </si>
  <si>
    <t>ORLEANS PETROLEUM LLC</t>
  </si>
  <si>
    <t xml:space="preserve">GREENVILLE          </t>
  </si>
  <si>
    <t xml:space="preserve">2625 W. Washington St      </t>
  </si>
  <si>
    <t>GREENVILLE ANIMAL HOSPITAL</t>
  </si>
  <si>
    <t>1003 NORTH LAFAYETTE</t>
  </si>
  <si>
    <t xml:space="preserve">MONTCALM AREA HEALTH CENTER   </t>
  </si>
  <si>
    <t xml:space="preserve">SHERIDAN            </t>
  </si>
  <si>
    <t>617 S. MAIN ST.</t>
  </si>
  <si>
    <t xml:space="preserve">SHERIDAN VILLAGE MKT          </t>
  </si>
  <si>
    <t>need</t>
  </si>
  <si>
    <t>210 LAKE ST</t>
  </si>
  <si>
    <t>OLIVER'S PIZZA PLANET</t>
  </si>
  <si>
    <t>9015 STANTON RD</t>
  </si>
  <si>
    <t>WILSONS PARTY STORE BY MJ</t>
  </si>
  <si>
    <t>214 LAKE ST</t>
  </si>
  <si>
    <t>LAKE ST STATION BY MJ</t>
  </si>
  <si>
    <t>915 S. CLAY ST.</t>
  </si>
  <si>
    <t>STURGEON COLLISION-GREENVILLE</t>
  </si>
  <si>
    <t>105 W STATE ST</t>
  </si>
  <si>
    <t>128 W. WASHINGTON ST.</t>
  </si>
  <si>
    <t>511 W MAIN ST</t>
  </si>
  <si>
    <t>1202 BENTON ST.</t>
  </si>
  <si>
    <t>49811</t>
  </si>
  <si>
    <t>323 W. MAIN ST</t>
  </si>
  <si>
    <t>INDEPENDENT BANK 635</t>
  </si>
  <si>
    <t>00079</t>
  </si>
  <si>
    <t>49809</t>
  </si>
  <si>
    <t>130 S. BRIDGE ST</t>
  </si>
  <si>
    <t>INDEPENDENT BANK 632</t>
  </si>
  <si>
    <t>48856-5138</t>
  </si>
  <si>
    <t>5300 W. CLEVELAND RD</t>
  </si>
  <si>
    <t>BLARNEY CASTLE EZ MART 678</t>
  </si>
  <si>
    <t>105 E. MAIN ST</t>
  </si>
  <si>
    <t>BLARNEY CASTLE EZ MART 306</t>
  </si>
  <si>
    <t>130 S. MAIN STREET</t>
  </si>
  <si>
    <t>BLARNEY CASTLE EZ MART 836</t>
  </si>
  <si>
    <t>00119</t>
  </si>
  <si>
    <t>115 E WASHINGTON ST</t>
  </si>
  <si>
    <t>BLARNEY CASTLE 520</t>
  </si>
  <si>
    <t>5030 CASCADE RD SE</t>
  </si>
  <si>
    <t>RETINA SPECIALISTS OF MICHIGAN</t>
  </si>
  <si>
    <t>49336</t>
  </si>
  <si>
    <t>MORLEY</t>
  </si>
  <si>
    <t>4700 NORTHLAND</t>
  </si>
  <si>
    <t>MORLEY STANWOOD SCHOOLS</t>
  </si>
  <si>
    <t>49332</t>
  </si>
  <si>
    <t>MECOSTA</t>
  </si>
  <si>
    <t xml:space="preserve">198 E MAIN </t>
  </si>
  <si>
    <t>FATES MINI MARKET-MECOSTA</t>
  </si>
  <si>
    <t>49340</t>
  </si>
  <si>
    <t>REMUS</t>
  </si>
  <si>
    <t>100 E WHEATLAND</t>
  </si>
  <si>
    <t>FATES MINI MARKET-REMUS</t>
  </si>
  <si>
    <t>48829</t>
  </si>
  <si>
    <t>EDMORE</t>
  </si>
  <si>
    <t>111 QUICKSILVER ST</t>
  </si>
  <si>
    <t>RYAN'S EQUIPMENT, INC</t>
  </si>
  <si>
    <t>249 CASS ST</t>
  </si>
  <si>
    <t>MOE-Z-INN</t>
  </si>
  <si>
    <t>48812</t>
  </si>
  <si>
    <t>CEDAR LAKE</t>
  </si>
  <si>
    <t>5333 QUARTER RD</t>
  </si>
  <si>
    <t>HERITAGE HEALTH FOOD, INC</t>
  </si>
  <si>
    <t>280 S. CASS ST</t>
  </si>
  <si>
    <t>MORLEY DEPOT</t>
  </si>
  <si>
    <t xml:space="preserve">301 S. CASS </t>
  </si>
  <si>
    <t>GILL PETROLEUM, INC</t>
  </si>
  <si>
    <t>1040 4 MILE RD</t>
  </si>
  <si>
    <t>FAMILY FITNESS CENTER</t>
  </si>
  <si>
    <t>7058 N. WYMAN RD</t>
  </si>
  <si>
    <t>SPUD-PAK OF MICHIGAN, INC</t>
  </si>
  <si>
    <t>3135 HOWARD CITY-EDMORE RD</t>
  </si>
  <si>
    <t>LACLEAR'S RESTAURANT</t>
  </si>
  <si>
    <t>8221 GRAPHIC DR NE</t>
  </si>
  <si>
    <t>WYNALDA PACKAGING</t>
  </si>
  <si>
    <t>469 W WHEATLAND</t>
  </si>
  <si>
    <t>JANOWICZ FAMILY FUNERAL HOME</t>
  </si>
  <si>
    <t>48850</t>
  </si>
  <si>
    <t>LAKEVIEW</t>
  </si>
  <si>
    <t>514 E. SHERMAN AVE</t>
  </si>
  <si>
    <t>DEAN TRANSPORTATION-LAKEVIEW</t>
  </si>
  <si>
    <t xml:space="preserve">9292 HOWARD CITY-EDMORE RD </t>
  </si>
  <si>
    <t>STURGEON COLLISION-LAKEVIEW</t>
  </si>
  <si>
    <t>2566 9 MILE RD</t>
  </si>
  <si>
    <t>FATES MARKET FIRST AID</t>
  </si>
  <si>
    <t>9045 HOWARD CITY-EDMORE ROAD</t>
  </si>
  <si>
    <t>1102 E MAIN ST</t>
  </si>
  <si>
    <t>496 W MAIN ST</t>
  </si>
  <si>
    <t>LAKEVEIW</t>
  </si>
  <si>
    <t>158 LINCOLN ST</t>
  </si>
  <si>
    <t>49346</t>
  </si>
  <si>
    <t>STANWOOD</t>
  </si>
  <si>
    <t>9900 ST IVES DR</t>
  </si>
  <si>
    <t>ST IVES</t>
  </si>
  <si>
    <t>11969 TULLYMORE DR</t>
  </si>
  <si>
    <t>TULLYMORE GOLF</t>
  </si>
  <si>
    <t>2335 10 MILE RD NE</t>
  </si>
  <si>
    <t>LMCU 94</t>
  </si>
  <si>
    <t xml:space="preserve">2566 9 MILE </t>
  </si>
  <si>
    <t>FATES MARKET 286</t>
  </si>
  <si>
    <t xml:space="preserve">4750 ALPINE AVE NW            </t>
  </si>
  <si>
    <t>3559 WHEATLAND AVE</t>
  </si>
  <si>
    <t>BLARNEY CASTLE E-Z MART 796</t>
  </si>
  <si>
    <t>3623 ALPINE AVE.</t>
  </si>
  <si>
    <t>BLARNEY CASTLE 232</t>
  </si>
  <si>
    <t xml:space="preserve">CASCADE             </t>
  </si>
  <si>
    <t xml:space="preserve">6209 28TH ST. S.E.            </t>
  </si>
  <si>
    <t>6958W</t>
  </si>
  <si>
    <t>2845 THORNHILLS AVE SE</t>
  </si>
  <si>
    <t>IMPACT FITNESS WELLNESS</t>
  </si>
  <si>
    <t>5633 52ND ST. SE</t>
  </si>
  <si>
    <t>DELTA DISTRIBUTION</t>
  </si>
  <si>
    <t>4782 44TH ST SE</t>
  </si>
  <si>
    <t>PTS SOLUTIONS</t>
  </si>
  <si>
    <t>6080 28 STREET  SE</t>
  </si>
  <si>
    <t>EURO BISTRO</t>
  </si>
  <si>
    <t>5088 28TH ST SE</t>
  </si>
  <si>
    <t>TROPICAL SMOOTHIE CAFE</t>
  </si>
  <si>
    <t>SUITE 8</t>
  </si>
  <si>
    <t xml:space="preserve">4740 TALON CT </t>
  </si>
  <si>
    <t xml:space="preserve">INTEGRITY BUSINESS SOLUTIONS  </t>
  </si>
  <si>
    <t>6958M</t>
  </si>
  <si>
    <t xml:space="preserve">KENTWOOD            </t>
  </si>
  <si>
    <t xml:space="preserve">5160 FALCON VIEW              </t>
  </si>
  <si>
    <t xml:space="preserve">DK SECURITY                   </t>
  </si>
  <si>
    <t xml:space="preserve">SUITE A </t>
  </si>
  <si>
    <t xml:space="preserve">6749 CASCADE RD. </t>
  </si>
  <si>
    <t>6425 28TH ST SE</t>
  </si>
  <si>
    <t>D&amp;W 1573  FIRST AID</t>
  </si>
  <si>
    <t>CASCADE</t>
  </si>
  <si>
    <t>6799 CASCADE ROAD</t>
  </si>
  <si>
    <t>00196</t>
  </si>
  <si>
    <t>KENTWOOD</t>
  </si>
  <si>
    <t>4281 28TH SE</t>
  </si>
  <si>
    <t>SALVATION ARMY-KENTWOOD</t>
  </si>
  <si>
    <t>5540 GLENWOOD HILLS PKWY SE</t>
  </si>
  <si>
    <t>LMCU 999</t>
  </si>
  <si>
    <t>5537 GLENWOOD HILLS PKWY SE</t>
  </si>
  <si>
    <t>LMCU 6003</t>
  </si>
  <si>
    <t>5519 GLENWOOD HILLS PKWY SE</t>
  </si>
  <si>
    <t>LMCU 998</t>
  </si>
  <si>
    <t>5701 28TH SE</t>
  </si>
  <si>
    <t>LMCU 78</t>
  </si>
  <si>
    <t xml:space="preserve">D&amp;W 1573 FRONT </t>
  </si>
  <si>
    <t xml:space="preserve">D&amp;W 1573 MEAT </t>
  </si>
  <si>
    <t>48512</t>
  </si>
  <si>
    <t>5575 28th ST SE</t>
  </si>
  <si>
    <t>6750 CASCADE RD SE</t>
  </si>
  <si>
    <t>INDEPENDENT BANK 518</t>
  </si>
  <si>
    <t>5300 PATTERSON</t>
  </si>
  <si>
    <t>EUREST-FRANKLIN PARTNERS</t>
  </si>
  <si>
    <t>00214</t>
  </si>
  <si>
    <t>3290 PATTERSON AVE SE</t>
  </si>
  <si>
    <t>EUREST GE AVIATION 22139</t>
  </si>
  <si>
    <t>00186</t>
  </si>
  <si>
    <t>1280 28TH STREET SE</t>
  </si>
  <si>
    <t>GRAND INDIAN CUISINE</t>
  </si>
  <si>
    <t>3375 S. DIVISION AVE</t>
  </si>
  <si>
    <t>LE CREACIONES</t>
  </si>
  <si>
    <t>735 36TH STREET</t>
  </si>
  <si>
    <t>PALERMO'S PIZZA</t>
  </si>
  <si>
    <t>401 28TH SE</t>
  </si>
  <si>
    <t>SAMURAI JAPANESE EXPRESS</t>
  </si>
  <si>
    <t>6827W</t>
  </si>
  <si>
    <t>2747 CLYDE PARK  SW</t>
  </si>
  <si>
    <t>PUPUSERIA LAS COMADRES</t>
  </si>
  <si>
    <t>2850 S DIVISION</t>
  </si>
  <si>
    <t>PLAZA DE KAZA</t>
  </si>
  <si>
    <t>244 28TH STREET SW</t>
  </si>
  <si>
    <t>LA CASA DEL POLLO LOCO</t>
  </si>
  <si>
    <t xml:space="preserve">609 29TH STREET SW </t>
  </si>
  <si>
    <t>MEINEKE CAR CARE</t>
  </si>
  <si>
    <t>2907 DIVISION AVE SW</t>
  </si>
  <si>
    <t>LOS COMALES LLC</t>
  </si>
  <si>
    <t>2053 DIVISION AVE SW</t>
  </si>
  <si>
    <t>AGAVE SPORTS BAR</t>
  </si>
  <si>
    <t>3375 DIVISION AVE SW</t>
  </si>
  <si>
    <t>GARIBALDI RESTAURANT</t>
  </si>
  <si>
    <t>2850 DIVISION AVE</t>
  </si>
  <si>
    <t>RODAS CELLULAR LLC</t>
  </si>
  <si>
    <t>131 28TH ST SW</t>
  </si>
  <si>
    <t>MUFFLER MAN WYOMING</t>
  </si>
  <si>
    <t>2500 S DIVISION</t>
  </si>
  <si>
    <t>SALVATION ARMY-KROC CENTER</t>
  </si>
  <si>
    <t xml:space="preserve">3710 ROGER B CHAFFEE          </t>
  </si>
  <si>
    <t xml:space="preserve">UBCR-GR                       </t>
  </si>
  <si>
    <t xml:space="preserve">2671 DIVISION AVE             </t>
  </si>
  <si>
    <t xml:space="preserve">H.A. CAMPBELL SUPPLY CO       </t>
  </si>
  <si>
    <t>2929 ROGERS LANE SW</t>
  </si>
  <si>
    <t>ROGERS LANE HEAD START</t>
  </si>
  <si>
    <t xml:space="preserve">SCHUPAN RECYCLING             </t>
  </si>
  <si>
    <t xml:space="preserve">1420 28TH ST SW               </t>
  </si>
  <si>
    <t xml:space="preserve">FRANKIE V'S RESTAURANT        </t>
  </si>
  <si>
    <t>2900 BURLINGAME AVE SW</t>
  </si>
  <si>
    <t>FAMILY FARE 1580 FIRST AID</t>
  </si>
  <si>
    <t>1148 28TH ST. SW</t>
  </si>
  <si>
    <t>00339</t>
  </si>
  <si>
    <t>3741 ROGER B CHAFFEE</t>
  </si>
  <si>
    <t>HOEKSTRA TRANSPORTATION</t>
  </si>
  <si>
    <t>260 36TH STREET</t>
  </si>
  <si>
    <t>HOEKSTRA TRUCK EQUIPMENT</t>
  </si>
  <si>
    <t>3870 SOUTH DIVISION AVE</t>
  </si>
  <si>
    <t>LMCU 35</t>
  </si>
  <si>
    <t xml:space="preserve">FAMILY FARE 1580 MEAT </t>
  </si>
  <si>
    <t xml:space="preserve">FAMILY FARE 1580 BAKERY </t>
  </si>
  <si>
    <t xml:space="preserve">FAMILY FARE 1580 DELI </t>
  </si>
  <si>
    <t xml:space="preserve">FAMILY FARE 1580 PRODUCE </t>
  </si>
  <si>
    <t>161 34TH STREET SW</t>
  </si>
  <si>
    <t>NORTH GODWIN ELEMENTARY</t>
  </si>
  <si>
    <t>00211</t>
  </si>
  <si>
    <t xml:space="preserve">1311 33RD STREET              </t>
  </si>
  <si>
    <t xml:space="preserve">WYOMING INTERMEDIATE       </t>
  </si>
  <si>
    <t xml:space="preserve">1350 PRAIRIE PARKWAY          </t>
  </si>
  <si>
    <t>WYOMING HIGH SCHOOL</t>
  </si>
  <si>
    <t xml:space="preserve">4415 BROADMOOR                </t>
  </si>
  <si>
    <t xml:space="preserve">NEW BEGINNINGS                </t>
  </si>
  <si>
    <t>3838 BROADMOOR AVE  SE</t>
  </si>
  <si>
    <t xml:space="preserve">KAWASAKI PRECISION MACHINERY </t>
  </si>
  <si>
    <t>2499 FOREST HILL AVE SE</t>
  </si>
  <si>
    <t>CLARK RETIREMENT-WINDSOR</t>
  </si>
  <si>
    <t>CLARK RETIREMENT-OXFORD</t>
  </si>
  <si>
    <t>2885 LAKE EASTBROOK BLVD</t>
  </si>
  <si>
    <t>BROAD LEAF LOCAL BEER</t>
  </si>
  <si>
    <t>6827M</t>
  </si>
  <si>
    <t>2120 44th Street SE STE 103</t>
  </si>
  <si>
    <t>SHANIS SALON</t>
  </si>
  <si>
    <t>4309 KALAMAZOO AVE  SE</t>
  </si>
  <si>
    <t>MITHU INDIAN CUISINE</t>
  </si>
  <si>
    <t>UNIT 2</t>
  </si>
  <si>
    <t xml:space="preserve">5035 W GREENBROOK DR SE </t>
  </si>
  <si>
    <t>PROSPECTORS COLD BREW COFFEE</t>
  </si>
  <si>
    <t>2222 44TH ST SE</t>
  </si>
  <si>
    <t>CURRY LEAF INDIAN CUISINE</t>
  </si>
  <si>
    <t>4515 AIRWEST DR SE</t>
  </si>
  <si>
    <t>TABS WALL SYSTEMS</t>
  </si>
  <si>
    <t>2021 44TH ST SE</t>
  </si>
  <si>
    <t>BRANDS LLC</t>
  </si>
  <si>
    <t>2930 SCHAFFER</t>
  </si>
  <si>
    <t>AL-BOS EURO CAFE &amp; BAKERY</t>
  </si>
  <si>
    <t xml:space="preserve">4201 DANVERS CT               </t>
  </si>
  <si>
    <t xml:space="preserve">TABLETTING INC                </t>
  </si>
  <si>
    <t xml:space="preserve">4585 AIRWEST SE               </t>
  </si>
  <si>
    <t xml:space="preserve">DOOGE VENEERS                 </t>
  </si>
  <si>
    <t xml:space="preserve">4261 KALAMAZOO AVE. S.E.      </t>
  </si>
  <si>
    <t>FLORENTINE'S PIZZERIA &amp; RESTOR</t>
  </si>
  <si>
    <t xml:space="preserve">7333 KNAPP NE                 </t>
  </si>
  <si>
    <t xml:space="preserve">EGYPT VALLEY MAINTENANCE BLDG </t>
  </si>
  <si>
    <t>6827F</t>
  </si>
  <si>
    <t xml:space="preserve">EGYPT VALLEY GROUNDS          </t>
  </si>
  <si>
    <t xml:space="preserve">3480 BROADMOOR S.E.           </t>
  </si>
  <si>
    <t>4445 D BRETON RD SE</t>
  </si>
  <si>
    <t>DESI SPICE</t>
  </si>
  <si>
    <t>3631 44TH STREET SE</t>
  </si>
  <si>
    <t>KABAFUSION MI, LLC</t>
  </si>
  <si>
    <t>4495 AIRWEST DRIVE SE</t>
  </si>
  <si>
    <t>REPUBLIC NATIONAL DISTRIBUTING</t>
  </si>
  <si>
    <t xml:space="preserve">2350 44TH ST. S.E.            </t>
  </si>
  <si>
    <t xml:space="preserve">RX OPTICAL- KW290             </t>
  </si>
  <si>
    <t xml:space="preserve">3083 28TH STREET SOUTH EAST   </t>
  </si>
  <si>
    <t>3960 28TH STREET SE</t>
  </si>
  <si>
    <t xml:space="preserve">3870 52ND ST SE </t>
  </si>
  <si>
    <t>2600 BELTLINE SE</t>
  </si>
  <si>
    <t>3810 SPARKS DR SE</t>
  </si>
  <si>
    <t>LMCU 40</t>
  </si>
  <si>
    <t xml:space="preserve">3195 28TH ST SE               </t>
  </si>
  <si>
    <t xml:space="preserve">1750 44TH STREET              </t>
  </si>
  <si>
    <t>2499 FOREST HILL SE</t>
  </si>
  <si>
    <t>CLARK RETIREMENT-KELLER LAKE</t>
  </si>
  <si>
    <t>00228</t>
  </si>
  <si>
    <t>3501 DIVISION AVE. S</t>
  </si>
  <si>
    <t>TACON MADRE</t>
  </si>
  <si>
    <t>49021</t>
  </si>
  <si>
    <t>2269 44TH STREET SE</t>
  </si>
  <si>
    <t>TASTY GYRO &amp; CONEY ISLAND</t>
  </si>
  <si>
    <t>900 28TH ST. S.E.</t>
  </si>
  <si>
    <t>ATLANTIC FISH MARKET, INC.</t>
  </si>
  <si>
    <t>935 52ND ST. SE</t>
  </si>
  <si>
    <t>WILCOX FAMILY CHIROPRACTIC</t>
  </si>
  <si>
    <t xml:space="preserve">2901 BRETON RD SE             </t>
  </si>
  <si>
    <t xml:space="preserve">SUSHI KUNI                    </t>
  </si>
  <si>
    <t>2000 BURTON STREET SE</t>
  </si>
  <si>
    <t xml:space="preserve">SHURLOW PROPERTY MANAGEMENT   </t>
  </si>
  <si>
    <t>1630 GRIGGS SE</t>
  </si>
  <si>
    <t>SYLVAN HEAD START</t>
  </si>
  <si>
    <t xml:space="preserve">2345 BURTON S.E.              </t>
  </si>
  <si>
    <t xml:space="preserve">1695 BLOOMFIELD DR. SE        </t>
  </si>
  <si>
    <t xml:space="preserve">BLOOMFIELD, LLC               </t>
  </si>
  <si>
    <t>1858 BRETON RD SE</t>
  </si>
  <si>
    <t xml:space="preserve">6143 KALAMAZOO AVE            </t>
  </si>
  <si>
    <t>4155 TRADE DRIVE</t>
  </si>
  <si>
    <t>1810 BRETON ROAD</t>
  </si>
  <si>
    <t>6127 KALAMAZOO SE</t>
  </si>
  <si>
    <t>00309</t>
  </si>
  <si>
    <t>1814 BRETON RD SE</t>
  </si>
  <si>
    <t>D&amp;W 1571 PRODUCE FIRST AID</t>
  </si>
  <si>
    <t xml:space="preserve">WYOMIING </t>
  </si>
  <si>
    <t xml:space="preserve">4537 ROGER B CHAFFEE MEMORIAL </t>
  </si>
  <si>
    <t>FREIGHTLINER BODY SHOP</t>
  </si>
  <si>
    <t>2363 28TH ST SE</t>
  </si>
  <si>
    <t>1562 KALAMAZOO AVE</t>
  </si>
  <si>
    <t>6206 KALAMAZOO AVE SE</t>
  </si>
  <si>
    <t>LMCU 90</t>
  </si>
  <si>
    <t>D&amp;W QUICK STOP 857</t>
  </si>
  <si>
    <t xml:space="preserve">D&amp;W 1571-STARBUCKS </t>
  </si>
  <si>
    <t xml:space="preserve">D&amp;W 1571 FRONT </t>
  </si>
  <si>
    <t xml:space="preserve">D&amp;W 1571 MEAT </t>
  </si>
  <si>
    <t xml:space="preserve">D&amp;W 1571 BAKERY </t>
  </si>
  <si>
    <t xml:space="preserve">D&amp;W 1571 DELI </t>
  </si>
  <si>
    <t xml:space="preserve">D&amp;W 1571 PRODUCE </t>
  </si>
  <si>
    <t>1835 BRETON ROAD SE</t>
  </si>
  <si>
    <t>601 44TH ST SE</t>
  </si>
  <si>
    <t>EUREST-STEELCASE LEARN 22108</t>
  </si>
  <si>
    <t>901 44TH ST SE</t>
  </si>
  <si>
    <t>EUREST-STEELCASE BUS CTR 22108</t>
  </si>
  <si>
    <t>00184</t>
  </si>
  <si>
    <t>50 35TH ST. SW.</t>
  </si>
  <si>
    <t>GODWIN HEIGHTS HIGH SCHOOL</t>
  </si>
  <si>
    <t>111 36TH ST. SE.</t>
  </si>
  <si>
    <t>GODWIN HEIGHTS MIDDLE</t>
  </si>
  <si>
    <t>1515 EASTPORT</t>
  </si>
  <si>
    <t>PEPPINO'S PIZZERIA &amp; SPORTS GR</t>
  </si>
  <si>
    <t xml:space="preserve">5400 S. DIVISION              </t>
  </si>
  <si>
    <t xml:space="preserve">217 S. 28TH ST                </t>
  </si>
  <si>
    <t>SUITE F</t>
  </si>
  <si>
    <t>6030 CLYDE PARK AVE SW</t>
  </si>
  <si>
    <t>PAUL DAVIS RESTORATION</t>
  </si>
  <si>
    <t>5524 S DIVISION AVE</t>
  </si>
  <si>
    <t>JO JO'S PIZZA</t>
  </si>
  <si>
    <t>6045 S. DIVISION AVE</t>
  </si>
  <si>
    <t>DENTURES IN A DAY</t>
  </si>
  <si>
    <t>5380 DIVISION AVE SW</t>
  </si>
  <si>
    <t>GRECO'S PIZZA LLC</t>
  </si>
  <si>
    <t>4161 S. DIVISION</t>
  </si>
  <si>
    <t>FAT MAN'S FISH FRY</t>
  </si>
  <si>
    <t>4208 S. DIVISION</t>
  </si>
  <si>
    <t>EL GANADERO MEXICAN GRILLE</t>
  </si>
  <si>
    <t>5075 CLAY AVE SW</t>
  </si>
  <si>
    <t>RELIABLE SERVICE CONTRACTORS</t>
  </si>
  <si>
    <t xml:space="preserve">5125 CLAY AVE                 </t>
  </si>
  <si>
    <t xml:space="preserve">ARISTA TRUCK SYSTEMS INC      </t>
  </si>
  <si>
    <t xml:space="preserve">3625 CLYDE PARK               </t>
  </si>
  <si>
    <t xml:space="preserve">DRUG SCREEN PLUS              </t>
  </si>
  <si>
    <t>28 BELLEVUE SW</t>
  </si>
  <si>
    <t>SOUTH GODWIN HEAD START</t>
  </si>
  <si>
    <t xml:space="preserve">1180 58TH ST. S.W.            </t>
  </si>
  <si>
    <t xml:space="preserve">THE H.T.HACKNEY CO.           </t>
  </si>
  <si>
    <t xml:space="preserve">3312 LOUSMA DR.               </t>
  </si>
  <si>
    <t xml:space="preserve">JOHNSON CONTROLS              </t>
  </si>
  <si>
    <t xml:space="preserve">133 28TH S.E.                 </t>
  </si>
  <si>
    <t xml:space="preserve">ANIMAL CLINIC                 </t>
  </si>
  <si>
    <t>49584</t>
  </si>
  <si>
    <t xml:space="preserve">550 32ND STREET SE            </t>
  </si>
  <si>
    <t xml:space="preserve">GRAND RAPIDS CONSTRUCTION     </t>
  </si>
  <si>
    <t>6209 DIVISION AVE SOUTH</t>
  </si>
  <si>
    <t>BREEJOS PIZZA AND PUB</t>
  </si>
  <si>
    <t>4253 DIVISION AVE</t>
  </si>
  <si>
    <t>THE STRAY</t>
  </si>
  <si>
    <t>5285 CLAY SW</t>
  </si>
  <si>
    <t xml:space="preserve">FREIGHTLINER OF GR            </t>
  </si>
  <si>
    <t>5285 CLAY</t>
  </si>
  <si>
    <t xml:space="preserve">FREIGHTLINER PREP SHOP        </t>
  </si>
  <si>
    <t xml:space="preserve">5285 CLAY                     </t>
  </si>
  <si>
    <t xml:space="preserve">FREIGHTLINER OF GRAN          </t>
  </si>
  <si>
    <t>808 44TH ST SW</t>
  </si>
  <si>
    <t>5381 S DIVISION AVE</t>
  </si>
  <si>
    <t xml:space="preserve">950 44TH STREET               </t>
  </si>
  <si>
    <t>3546 CLYDE PARK SW</t>
  </si>
  <si>
    <t>GODWIN WEST ELEMENTARY</t>
  </si>
  <si>
    <t>00245</t>
  </si>
  <si>
    <t>49424</t>
  </si>
  <si>
    <t>393 E.LAKEWOOD BLVD.</t>
  </si>
  <si>
    <t>06081</t>
  </si>
  <si>
    <t>3333 W. SHORE DRIVE</t>
  </si>
  <si>
    <t>EL PATRON</t>
  </si>
  <si>
    <t>102 W EIGHT STREET</t>
  </si>
  <si>
    <t>SPERRY MOVIEHOUSE-HOLLAND</t>
  </si>
  <si>
    <t>SUITE 50</t>
  </si>
  <si>
    <t>11539 E LAKEWOOD BLVD</t>
  </si>
  <si>
    <t>SALT &amp; PEPPER</t>
  </si>
  <si>
    <t>SUITE 10</t>
  </si>
  <si>
    <t>12719 RILEY ST</t>
  </si>
  <si>
    <t>225 COLLEGE AVE</t>
  </si>
  <si>
    <t>65 DOUGLAS AVE</t>
  </si>
  <si>
    <t xml:space="preserve">20 W 8TH </t>
  </si>
  <si>
    <t>WAVERLY STONE PUB</t>
  </si>
  <si>
    <t>3155 W SHORE DRIVE</t>
  </si>
  <si>
    <t>TROPICAL SMOOTHIE-HOLLAND</t>
  </si>
  <si>
    <t>HOLLDAN</t>
  </si>
  <si>
    <t>361 E. LAKEWOOD</t>
  </si>
  <si>
    <t>RAMIREZ BAKERY</t>
  </si>
  <si>
    <t xml:space="preserve">HOLLAND             </t>
  </si>
  <si>
    <t xml:space="preserve">12659 RILEY ST.               </t>
  </si>
  <si>
    <t xml:space="preserve">HOLLAND </t>
  </si>
  <si>
    <t>1149 S. Washington</t>
  </si>
  <si>
    <t>00187</t>
  </si>
  <si>
    <t>50 DOUGLAS AVE.</t>
  </si>
  <si>
    <t>D&amp;W 1574  FIRST AID</t>
  </si>
  <si>
    <t>3299 W SHORE DR</t>
  </si>
  <si>
    <t>14 W. LAKEWOOD</t>
  </si>
  <si>
    <t>12390 RILEY</t>
  </si>
  <si>
    <t>AAC CU-HOLLAND NORTH</t>
  </si>
  <si>
    <t>12579 FELCH</t>
  </si>
  <si>
    <t>SALVATION ARMY-HOLLAND</t>
  </si>
  <si>
    <t>3493 WEST SHORE DRIVE</t>
  </si>
  <si>
    <t>LMCU 388</t>
  </si>
  <si>
    <t xml:space="preserve">3379 WEST SHORE DRIVE         </t>
  </si>
  <si>
    <t>D&amp;W 1574 FRONT</t>
  </si>
  <si>
    <t>00080</t>
  </si>
  <si>
    <t>D&amp;W 1574 DELI</t>
  </si>
  <si>
    <t xml:space="preserve">D&amp;W 1574 MEAT </t>
  </si>
  <si>
    <t xml:space="preserve">D&amp;W 1574 BAKERY </t>
  </si>
  <si>
    <t xml:space="preserve">D&amp;W 1574 PRODUCE </t>
  </si>
  <si>
    <t>12705 RILEY ST</t>
  </si>
  <si>
    <t>12481 JAMES ST.</t>
  </si>
  <si>
    <t>BLARNEY CASTLE 576</t>
  </si>
  <si>
    <t>1180 S. WASHINGTON AVE.</t>
  </si>
  <si>
    <t>06088</t>
  </si>
  <si>
    <t>660 CHICAGO DRIVE</t>
  </si>
  <si>
    <t>CUISINE ARTS HOLLAND STORE</t>
  </si>
  <si>
    <t>02690</t>
  </si>
  <si>
    <t>573 E. 32ND ST</t>
  </si>
  <si>
    <t>OVERISEL LUMBER</t>
  </si>
  <si>
    <t>1000 WASHINGTON AVE</t>
  </si>
  <si>
    <t>660 CHICAGO DR</t>
  </si>
  <si>
    <t>13 WEST 7TH ST</t>
  </si>
  <si>
    <t>BIG LAKE BREWING</t>
  </si>
  <si>
    <t>98 DOUGLAS</t>
  </si>
  <si>
    <t xml:space="preserve">TAQUERIA ARANDAS </t>
  </si>
  <si>
    <t>1642 S. SHORE DR</t>
  </si>
  <si>
    <t>THE PAISLEY PIG</t>
  </si>
  <si>
    <t>10323R</t>
  </si>
  <si>
    <t>184 120TH AVE</t>
  </si>
  <si>
    <t>COPPERCRAFT DISTILLERY</t>
  </si>
  <si>
    <t>683 CHICAGO DRIVE</t>
  </si>
  <si>
    <t>ELECTRIC HERO-HOLLAND</t>
  </si>
  <si>
    <t>305 N RIVER AVE</t>
  </si>
  <si>
    <t>SUPERMERCADO LE EXCELENCIA</t>
  </si>
  <si>
    <t>408 COLUMBIA AVE</t>
  </si>
  <si>
    <t>MI FAVORITA GROCERY</t>
  </si>
  <si>
    <t>11972 LAKEWOOD BLVD.</t>
  </si>
  <si>
    <t>TACO FIESTA</t>
  </si>
  <si>
    <t>676 MICHIGAN AVE.</t>
  </si>
  <si>
    <t>LA Reina</t>
  </si>
  <si>
    <t>DONUTVILLE</t>
  </si>
  <si>
    <t>326 RIVER AVE.</t>
  </si>
  <si>
    <t xml:space="preserve">VELO-CITY                     </t>
  </si>
  <si>
    <t>49068</t>
  </si>
  <si>
    <t xml:space="preserve">192 W. 35TH ST.               </t>
  </si>
  <si>
    <t xml:space="preserve">SOUTHSIDE INN                 </t>
  </si>
  <si>
    <t>SUITE #20</t>
  </si>
  <si>
    <t xml:space="preserve">590 E. 16TH STREET </t>
  </si>
  <si>
    <t xml:space="preserve">1148 SOUTH WASHINGTO          </t>
  </si>
  <si>
    <t>1185 S. WASHINGTON</t>
  </si>
  <si>
    <t>00304</t>
  </si>
  <si>
    <t>1 W 8TH</t>
  </si>
  <si>
    <t>FIRST NATIONAL BANK-HOLLAND</t>
  </si>
  <si>
    <t>3290 N. WELLNESS DRIVE</t>
  </si>
  <si>
    <t>OB/GYN ASSOCIATES OF HOLLAND</t>
  </si>
  <si>
    <t>664 MICHIGAN</t>
  </si>
  <si>
    <t>532 16TH STREET</t>
  </si>
  <si>
    <t>532@SOUTH SHORE MACATAWA</t>
  </si>
  <si>
    <t>215 E 25TH</t>
  </si>
  <si>
    <t>AAC CU-SOUTH HOLLAND</t>
  </si>
  <si>
    <t>4100 32ND AVE</t>
  </si>
  <si>
    <t>LMCU 85</t>
  </si>
  <si>
    <t>1149 S. WASHINGTON</t>
  </si>
  <si>
    <t>SPT FAM FARE GAS STAT 835</t>
  </si>
  <si>
    <t>00308</t>
  </si>
  <si>
    <t>00307</t>
  </si>
  <si>
    <t>00306</t>
  </si>
  <si>
    <t>00305</t>
  </si>
  <si>
    <t xml:space="preserve">1013 S WASHINGTON             </t>
  </si>
  <si>
    <t>JET'S PIZZA MI-134</t>
  </si>
  <si>
    <t xml:space="preserve">1037 S WASHINGTON AVE         </t>
  </si>
  <si>
    <t xml:space="preserve">CONSUMERS CREDIT UNION        </t>
  </si>
  <si>
    <t>49543</t>
  </si>
  <si>
    <t>SAUGATUCK</t>
  </si>
  <si>
    <t>129 GRIFFITH STREET</t>
  </si>
  <si>
    <t>TAVERNA ROSSA</t>
  </si>
  <si>
    <t>49453</t>
  </si>
  <si>
    <t>6069 BLUE STAR HWY</t>
  </si>
  <si>
    <t>THIRD COAST COMMUNITY CHURCH</t>
  </si>
  <si>
    <t>201 CULVER</t>
  </si>
  <si>
    <t>TREE OF LIFE JUICES</t>
  </si>
  <si>
    <t>DOUGLAS</t>
  </si>
  <si>
    <t>2035 BLUE STAR</t>
  </si>
  <si>
    <t>CHRISTOS ROADHOUSE</t>
  </si>
  <si>
    <t>49408</t>
  </si>
  <si>
    <t>FENNVILLE</t>
  </si>
  <si>
    <t>106 W. MAIN STREET</t>
  </si>
  <si>
    <t>EL JARIPEO</t>
  </si>
  <si>
    <t>49419</t>
  </si>
  <si>
    <t>HAMILTON</t>
  </si>
  <si>
    <t>3440 M-40</t>
  </si>
  <si>
    <t>HAMILTON FIRE DEPARTMENT</t>
  </si>
  <si>
    <t>48453</t>
  </si>
  <si>
    <t>302 CULVER ST</t>
  </si>
  <si>
    <t>GROW</t>
  </si>
  <si>
    <t>2948 BLUE STAR HIGHWAY</t>
  </si>
  <si>
    <t>SAUGATUCK ANTIQUE PAVILION</t>
  </si>
  <si>
    <t>880 HOLLAND ST</t>
  </si>
  <si>
    <t>THE SOUTHERNER</t>
  </si>
  <si>
    <t>204 E. MAIN ST.</t>
  </si>
  <si>
    <t>LAS BRAZAS LLC</t>
  </si>
  <si>
    <t>340 WATER STREET</t>
  </si>
  <si>
    <t>COPPERCRAFT TASTING ROOM</t>
  </si>
  <si>
    <t>909 LINCOLN AVE</t>
  </si>
  <si>
    <t>MARLENA'S BISTRO &amp; PIZZERIA</t>
  </si>
  <si>
    <t>10 1/2 BLUE STARR HIGHWAY</t>
  </si>
  <si>
    <t>PIZZA MAMBO</t>
  </si>
  <si>
    <t>100 BLUE STAR HIGHWAY</t>
  </si>
  <si>
    <t>THE FARMHOUSE DELI</t>
  </si>
  <si>
    <t>441 US HIGHWAY 31</t>
  </si>
  <si>
    <t>THE WOODEN SHOE</t>
  </si>
  <si>
    <t>110 BLUE STAR HIGHWAY</t>
  </si>
  <si>
    <t>VICKI'S FAMILY DINER</t>
  </si>
  <si>
    <t xml:space="preserve">719 96TH ST                   </t>
  </si>
  <si>
    <t xml:space="preserve">STAR TRUCK HOLLAND            </t>
  </si>
  <si>
    <t xml:space="preserve">DOUGLAS             </t>
  </si>
  <si>
    <t xml:space="preserve">2948 BLUESTAR HIGHWAY         </t>
  </si>
  <si>
    <t xml:space="preserve">SAUGATUCK BREWERY             </t>
  </si>
  <si>
    <t>141 BLUE STAR HIGHWAY</t>
  </si>
  <si>
    <t>BLUE STAR CAFE</t>
  </si>
  <si>
    <t xml:space="preserve">FENNVILLE           </t>
  </si>
  <si>
    <t xml:space="preserve">6130 122ND  AVE.              </t>
  </si>
  <si>
    <t xml:space="preserve">FENN VALLEY VINEYARD          </t>
  </si>
  <si>
    <t>3606 LINCOLN RD</t>
  </si>
  <si>
    <t>JOEZANO'S PIZZA</t>
  </si>
  <si>
    <t xml:space="preserve">22 MAIN ST.                   </t>
  </si>
  <si>
    <t xml:space="preserve">BACK ALLEY PIZZA JOINT        </t>
  </si>
  <si>
    <t>201 CULVER STREET</t>
  </si>
  <si>
    <t>NEW HOLLAND TASTING-SAUGATUCK</t>
  </si>
  <si>
    <t xml:space="preserve">SAUGATUCK           </t>
  </si>
  <si>
    <t xml:space="preserve">3656 63RD ST                  </t>
  </si>
  <si>
    <t xml:space="preserve">BELVEDERE INN                 </t>
  </si>
  <si>
    <t xml:space="preserve">1 HAWORTH CENTER        </t>
  </si>
  <si>
    <t xml:space="preserve">HAWORTH                       </t>
  </si>
  <si>
    <t xml:space="preserve">HAMILTON            </t>
  </si>
  <si>
    <t xml:space="preserve">3366 M-40                     </t>
  </si>
  <si>
    <t xml:space="preserve">TRESTLE STOP                  </t>
  </si>
  <si>
    <t xml:space="preserve">155 BLUE STAR HIGHWAY  </t>
  </si>
  <si>
    <t xml:space="preserve">LAKESHORE CONVENIENC          </t>
  </si>
  <si>
    <t xml:space="preserve">210 E. MAIN                   </t>
  </si>
  <si>
    <t xml:space="preserve">BLUE GOOSE CAFE               </t>
  </si>
  <si>
    <t>3393 LINCOLN ROAD</t>
  </si>
  <si>
    <t>ADVANCED ARCHITECTURAL PRODUCT</t>
  </si>
  <si>
    <t>432 W. MAIN ST</t>
  </si>
  <si>
    <t>ALLEGAN CREDIT UNION</t>
  </si>
  <si>
    <t>4312 M-40</t>
  </si>
  <si>
    <t>CONSUMERS CONCRETE-HOLLAND</t>
  </si>
  <si>
    <t>1 HAWORTH CENTER DR</t>
  </si>
  <si>
    <t>EUREST-HAWORTH 22148</t>
  </si>
  <si>
    <t>00198</t>
  </si>
  <si>
    <t xml:space="preserve">2722 PORT SHELDON             </t>
  </si>
  <si>
    <t>14 S. ELM STREET</t>
  </si>
  <si>
    <t>STREATS TACO KITCHEN</t>
  </si>
  <si>
    <t>501 W. MAIN</t>
  </si>
  <si>
    <t>59 W. WASHINGTON</t>
  </si>
  <si>
    <t>VITALES  ZEELAND</t>
  </si>
  <si>
    <t>7628 GEORGETOWN CENTER DR</t>
  </si>
  <si>
    <t>THE WIN</t>
  </si>
  <si>
    <t>1814 BALWIN STREET</t>
  </si>
  <si>
    <t>LOS RANCHOS</t>
  </si>
  <si>
    <t>1865 GEORGETOWN CENTER</t>
  </si>
  <si>
    <t>3114 CHICAGO DRIVE</t>
  </si>
  <si>
    <t>SARA'S PIZZA LLC</t>
  </si>
  <si>
    <t>6837 11TH AVE</t>
  </si>
  <si>
    <t>DOGGONE SPOILED</t>
  </si>
  <si>
    <t>3723 BALDWIN</t>
  </si>
  <si>
    <t>INTERCARE WIC</t>
  </si>
  <si>
    <t>430 W WASHINGTON AVE</t>
  </si>
  <si>
    <t>THE FARMHOUSE</t>
  </si>
  <si>
    <t>2286 PORT SHELDON COURT</t>
  </si>
  <si>
    <t>GREAT LAKES SYSTEMS</t>
  </si>
  <si>
    <t>3627 BALDWIN STREET</t>
  </si>
  <si>
    <t>LICARI'S SICILIAN KITCHEN-WEST</t>
  </si>
  <si>
    <t>2656 PORT SHELDON ST.</t>
  </si>
  <si>
    <t>OIL PRO</t>
  </si>
  <si>
    <t xml:space="preserve">ZEELAND             </t>
  </si>
  <si>
    <t xml:space="preserve">9479 RILEY ST                 </t>
  </si>
  <si>
    <t xml:space="preserve">CHINATOWN                     </t>
  </si>
  <si>
    <t xml:space="preserve">HUDSONVILLE         </t>
  </si>
  <si>
    <t xml:space="preserve">6450 28TH AVE                 </t>
  </si>
  <si>
    <t xml:space="preserve">GREAT LAKES CHINESE REST      </t>
  </si>
  <si>
    <t xml:space="preserve">2635 BAUER ROAD               </t>
  </si>
  <si>
    <t xml:space="preserve">HAGER PARK CHURCH             </t>
  </si>
  <si>
    <t xml:space="preserve">134 E MAIN AVE                </t>
  </si>
  <si>
    <t xml:space="preserve">FRANKS RESTAURANT             </t>
  </si>
  <si>
    <t>Kentwood</t>
  </si>
  <si>
    <t>405 52nd Street SE</t>
  </si>
  <si>
    <t xml:space="preserve">CATER TO YOU                  </t>
  </si>
  <si>
    <t xml:space="preserve">145 E MAIN ST                 </t>
  </si>
  <si>
    <t xml:space="preserve">ZEELAND PRINT SHOP            </t>
  </si>
  <si>
    <t xml:space="preserve">2887 PORT SHELDON RD.         </t>
  </si>
  <si>
    <t xml:space="preserve">GEORGETOWN ANIMAL CLINIC      </t>
  </si>
  <si>
    <t>3260 96TH AVENUE</t>
  </si>
  <si>
    <t>2760 PORT SHELDON</t>
  </si>
  <si>
    <t>6480 28TH AVE.</t>
  </si>
  <si>
    <t>00322</t>
  </si>
  <si>
    <t xml:space="preserve">9479 RILEY ST. </t>
  </si>
  <si>
    <t>00335</t>
  </si>
  <si>
    <t>1965 BALDWIN ST.</t>
  </si>
  <si>
    <t>7661 36TH AVENUE</t>
  </si>
  <si>
    <t>612 E. MAIN</t>
  </si>
  <si>
    <t>AAC CU-ZEELAND</t>
  </si>
  <si>
    <t>8630 BYRON ROAD</t>
  </si>
  <si>
    <t>LMCU 369</t>
  </si>
  <si>
    <t xml:space="preserve">FAMILY FARE 1589 CUSTOMER SVC </t>
  </si>
  <si>
    <t>SPT. FAMILY FARE GAS STAT 832</t>
  </si>
  <si>
    <t>00338</t>
  </si>
  <si>
    <t>00337</t>
  </si>
  <si>
    <t>00336</t>
  </si>
  <si>
    <t>00326</t>
  </si>
  <si>
    <t>00325</t>
  </si>
  <si>
    <t>00324</t>
  </si>
  <si>
    <t>00323</t>
  </si>
  <si>
    <t xml:space="preserve">5835 BALSAM DR                </t>
  </si>
  <si>
    <t xml:space="preserve">11190 CHICAGO DR              </t>
  </si>
  <si>
    <t>JET'S PIZZA MI-147</t>
  </si>
  <si>
    <t xml:space="preserve">3735 BALDWIN STREET           </t>
  </si>
  <si>
    <t>JET'S PIZZA MI-140</t>
  </si>
  <si>
    <t xml:space="preserve">275 E 8TH </t>
  </si>
  <si>
    <t>TAQUERIA VALLARTA</t>
  </si>
  <si>
    <t>977 BUTTERNUT</t>
  </si>
  <si>
    <t>LEMON GRASS</t>
  </si>
  <si>
    <t>10323M</t>
  </si>
  <si>
    <t xml:space="preserve">148 S RIVER </t>
  </si>
  <si>
    <t>SCRAP YARD LOFTS</t>
  </si>
  <si>
    <t>76 E 8TH STREET</t>
  </si>
  <si>
    <t>OUR BREWING COMPANY</t>
  </si>
  <si>
    <t>3227 3 MILE RD</t>
  </si>
  <si>
    <t>KAATS WATER CONDITIONING</t>
  </si>
  <si>
    <t xml:space="preserve">2944 WALKENT DR NW            </t>
  </si>
  <si>
    <t>LINDENMEYR MUNROE</t>
  </si>
  <si>
    <t xml:space="preserve">2345 WALKER AVE               </t>
  </si>
  <si>
    <t xml:space="preserve">BISSELL                       </t>
  </si>
  <si>
    <t xml:space="preserve">3128 THREE MILE RD NW         </t>
  </si>
  <si>
    <t xml:space="preserve">ERICKSONS INCORPORATED        </t>
  </si>
  <si>
    <t xml:space="preserve">28 W. 8TH STREET              </t>
  </si>
  <si>
    <t xml:space="preserve">WINDMILL RESTAURANT           </t>
  </si>
  <si>
    <t xml:space="preserve">66 E. 8TH                     </t>
  </si>
  <si>
    <t>NEW HOLLAND BREW SIDE CAR</t>
  </si>
  <si>
    <t xml:space="preserve">NEW HOLLAND BREWING CO.       </t>
  </si>
  <si>
    <t xml:space="preserve">569 E 24TH ST                 </t>
  </si>
  <si>
    <t>49424-9602</t>
  </si>
  <si>
    <t xml:space="preserve">383 GARDEN AVE                </t>
  </si>
  <si>
    <t xml:space="preserve">MED-1                         </t>
  </si>
  <si>
    <t xml:space="preserve">285 JAMES ST                  </t>
  </si>
  <si>
    <t xml:space="preserve">INTERCARE COMM DENTAL         </t>
  </si>
  <si>
    <t xml:space="preserve">255 JAMES                     </t>
  </si>
  <si>
    <t xml:space="preserve">JAMES ST INN                  </t>
  </si>
  <si>
    <t>49842</t>
  </si>
  <si>
    <t xml:space="preserve">154 E. 8TH ST.                </t>
  </si>
  <si>
    <t xml:space="preserve">SKILES TAVERN                 </t>
  </si>
  <si>
    <t>1790 BRISTOL RIDGE DR. NW</t>
  </si>
  <si>
    <t xml:space="preserve">DIETRICH MACH REP, I          </t>
  </si>
  <si>
    <t xml:space="preserve">2503 WALDORF CT.              </t>
  </si>
  <si>
    <t xml:space="preserve">ALLIED ELECTRIC, INC          </t>
  </si>
  <si>
    <t>993 BUTTERNUT DR</t>
  </si>
  <si>
    <t>SPT F. FARE 122 FIRST AID</t>
  </si>
  <si>
    <t>00298</t>
  </si>
  <si>
    <t>997 BUTTERNUT DR</t>
  </si>
  <si>
    <t>F. FARE QUICK 837 FIRST AID</t>
  </si>
  <si>
    <t>00486</t>
  </si>
  <si>
    <t>993 BUTTERNUT DR.</t>
  </si>
  <si>
    <t>677 E. 8TH ST SW</t>
  </si>
  <si>
    <t>LMCU 86</t>
  </si>
  <si>
    <t>2689 WALKENT DRIVE NW</t>
  </si>
  <si>
    <t>DTE ENERGY-WALKER</t>
  </si>
  <si>
    <t>SPT FAMILY FARE GAS STAT 122</t>
  </si>
  <si>
    <t>00297</t>
  </si>
  <si>
    <t>110 JAMES ST.</t>
  </si>
  <si>
    <t>945 BUTTERNUT DR.</t>
  </si>
  <si>
    <t>BLARNEY CASTLE 752</t>
  </si>
  <si>
    <t xml:space="preserve">977 BUTTERNUT DRIVE           </t>
  </si>
  <si>
    <t xml:space="preserve">PEPPINOS PIZZA 6             </t>
  </si>
  <si>
    <t>Column1</t>
  </si>
  <si>
    <t>RSP StopTime override</t>
  </si>
  <si>
    <t>Average Stop Time (In Minutes)</t>
  </si>
  <si>
    <t>Avg stop time helper</t>
  </si>
  <si>
    <t>If Customer has a Key or code pease write the code in or the word Key</t>
  </si>
  <si>
    <t>Note</t>
  </si>
  <si>
    <t>Available Delivery Days</t>
  </si>
  <si>
    <t>Latest Time - Window 2</t>
  </si>
  <si>
    <t>Earliest Time - Window 2</t>
  </si>
  <si>
    <t>Latest Time - Window 1</t>
  </si>
  <si>
    <t>Earliest Time - Window 1</t>
  </si>
  <si>
    <t>Q4 Revenue per Delivery</t>
  </si>
  <si>
    <t>Q3 Revenue per Delivery</t>
  </si>
  <si>
    <t>Q2 Revenue per Delivery</t>
  </si>
  <si>
    <t>Q1 Revenue per Delivery</t>
  </si>
  <si>
    <t>Q4 High Revenue Deviation</t>
  </si>
  <si>
    <t>Q4 Low Revenue Deviation</t>
  </si>
  <si>
    <t>Q3 High Revenue Deviation</t>
  </si>
  <si>
    <t>Q3 Low Revenue Deviation</t>
  </si>
  <si>
    <t>Q2 High Revenue Deviation</t>
  </si>
  <si>
    <t>Q2 Low Revenue Deviation</t>
  </si>
  <si>
    <t>Q1 High Revenue Deviation</t>
  </si>
  <si>
    <t>Q1 Low Revenue Deviation</t>
  </si>
  <si>
    <t># of Assigned Garments</t>
  </si>
  <si>
    <t># of Wearers</t>
  </si>
  <si>
    <t>% Garment Underwash</t>
  </si>
  <si>
    <t>Avg Garment Scans per Delivery</t>
  </si>
  <si>
    <t>Garment Inventory</t>
  </si>
  <si>
    <t># of Invoices</t>
  </si>
  <si>
    <t>Fri Stop Seq</t>
  </si>
  <si>
    <t>Thu Stop Seq</t>
  </si>
  <si>
    <t>Wed Stop Seq</t>
  </si>
  <si>
    <t>Tue Stop Seq</t>
  </si>
  <si>
    <t>Mon Stop Seq</t>
  </si>
  <si>
    <t>Stop #</t>
  </si>
  <si>
    <t>Call in Customer?</t>
  </si>
  <si>
    <t>StreetSync Frequency</t>
  </si>
  <si>
    <t>Frequency</t>
  </si>
  <si>
    <t>Zip</t>
  </si>
  <si>
    <t>State</t>
  </si>
  <si>
    <t>City</t>
  </si>
  <si>
    <t>Street Address 2</t>
  </si>
  <si>
    <t>Street Address 1</t>
  </si>
  <si>
    <t>Cust Name</t>
  </si>
  <si>
    <t>Cust #</t>
  </si>
  <si>
    <t>Acct #</t>
  </si>
  <si>
    <t>Current Delivery Day</t>
  </si>
  <si>
    <t>Current Rt #</t>
  </si>
  <si>
    <t>cu_id</t>
  </si>
  <si>
    <t>INDEPENDENT BANK 521</t>
  </si>
  <si>
    <t>INDEPENDENT BANK 605</t>
  </si>
  <si>
    <t xml:space="preserve">SPT. F. FARE 122 MEAT </t>
  </si>
  <si>
    <t xml:space="preserve">SPT F. FARE 122 DELI </t>
  </si>
  <si>
    <t xml:space="preserve">HOLLAND ELKS LODGE 1315      </t>
  </si>
  <si>
    <t xml:space="preserve">MR BURGER 6                  </t>
  </si>
  <si>
    <t xml:space="preserve">SPT F. FARE 239 FRONT </t>
  </si>
  <si>
    <t xml:space="preserve">SPT F. FARE 239 MEAT </t>
  </si>
  <si>
    <t xml:space="preserve">SPT F. FARE 239 BAKERY </t>
  </si>
  <si>
    <t xml:space="preserve">SPT F. FARE 239 DELI </t>
  </si>
  <si>
    <t xml:space="preserve">SPT F. FARE 239 PRODUCE </t>
  </si>
  <si>
    <t xml:space="preserve">SPT. FF 108 MEAT </t>
  </si>
  <si>
    <t xml:space="preserve">SPT FF 108 BAKERY </t>
  </si>
  <si>
    <t xml:space="preserve">SPT. FF 108 PRODUCE </t>
  </si>
  <si>
    <t xml:space="preserve">SPT. FF 108 DELI </t>
  </si>
  <si>
    <t xml:space="preserve">FAMILY FARE 1589 MEAT </t>
  </si>
  <si>
    <t>SPT F. FARE QUICK STOP 854</t>
  </si>
  <si>
    <t>WESCO 66</t>
  </si>
  <si>
    <t>FAM FARE 1589 MEAT FIRST AID</t>
  </si>
  <si>
    <t>SPT. FF 108 FIRST AID</t>
  </si>
  <si>
    <t>SPT FFARE 239 FIRST AID</t>
  </si>
  <si>
    <t>SPT FFARE 854 FIRST AID</t>
  </si>
  <si>
    <t>BIGGBY 470</t>
  </si>
  <si>
    <t xml:space="preserve">SPT F. FARE 123 FRONT </t>
  </si>
  <si>
    <t xml:space="preserve">SPT F. FARE 123 PRODUCE </t>
  </si>
  <si>
    <t xml:space="preserve">SPT F. FARE 123 MEAT </t>
  </si>
  <si>
    <t xml:space="preserve">SPT F. FARE 123 BAKERY </t>
  </si>
  <si>
    <t xml:space="preserve">SPT F. FARE 123 DELI </t>
  </si>
  <si>
    <t>SPT F. FARE 123  FIRST AID</t>
  </si>
  <si>
    <t>BIGGBY 335</t>
  </si>
  <si>
    <t>BIGGBY 409</t>
  </si>
  <si>
    <t>GOODWILL HOLLAND 238</t>
  </si>
  <si>
    <t xml:space="preserve">RED ROBIN 496                </t>
  </si>
  <si>
    <t>WESCO 4</t>
  </si>
  <si>
    <t>BIGGBY 340</t>
  </si>
  <si>
    <t>BIGGBY 830</t>
  </si>
  <si>
    <t>GOODWILL HOLLAND 231</t>
  </si>
  <si>
    <t xml:space="preserve">MR BURGER 2                  </t>
  </si>
  <si>
    <t>JOHNNY'S MARKET 4200</t>
  </si>
  <si>
    <t>JOHNNY'S MARKET 4250</t>
  </si>
  <si>
    <t xml:space="preserve">SPT F. FARE 265 FRONT </t>
  </si>
  <si>
    <t>JOHNNY'S MARKET 4055</t>
  </si>
  <si>
    <t>JOHNNY'S MARKET 4830</t>
  </si>
  <si>
    <t>SPT FFARE 265  FIRST AID</t>
  </si>
  <si>
    <t xml:space="preserve">PANOPOULOS EAST 22001  </t>
  </si>
  <si>
    <t xml:space="preserve">MR BURGER 3                  </t>
  </si>
  <si>
    <t xml:space="preserve">RED ROBIN 495             </t>
  </si>
  <si>
    <t>JOHNNY'S MARKET 4045</t>
  </si>
  <si>
    <t>JOHNNY'S MARKET 4100</t>
  </si>
  <si>
    <t>JOHNNY'S MARKET 4860</t>
  </si>
  <si>
    <t xml:space="preserve">DAL-TILE CORP.247            </t>
  </si>
  <si>
    <t xml:space="preserve">FAMILY FARE 1580 FRONT </t>
  </si>
  <si>
    <t>SPARTAN QUICK STOP 760</t>
  </si>
  <si>
    <t>FAMILY FARE-D&amp;W QUICK STOP 71</t>
  </si>
  <si>
    <t>FAMILY FARE-D&amp;W 713 FIRST AID</t>
  </si>
  <si>
    <t>D&amp;W 766 FIRST AID</t>
  </si>
  <si>
    <t>D&amp;W 857 FIRST AID</t>
  </si>
  <si>
    <t>MR BURGER 7</t>
  </si>
  <si>
    <t>NEXT DOOR STR 5023</t>
  </si>
  <si>
    <t>VILLAGE PANTRY 5030</t>
  </si>
  <si>
    <t>ADMIRAL  5870</t>
  </si>
  <si>
    <t>WESCO 47</t>
  </si>
  <si>
    <t>NEXT DOOR STR 5037</t>
  </si>
  <si>
    <t>WESCO 45</t>
  </si>
  <si>
    <t>WESCO 39</t>
  </si>
  <si>
    <t>SPT FAMILY FARE 1572 STARBUCK</t>
  </si>
  <si>
    <t>SPT FAMILY FARE 1572 PHARMACY</t>
  </si>
  <si>
    <t>WESCO 41</t>
  </si>
  <si>
    <t>WESCO 52</t>
  </si>
  <si>
    <t>SPT FFARE 1572 FIRST AID</t>
  </si>
  <si>
    <t>SPT FOREST HILLS-CAFE 1400</t>
  </si>
  <si>
    <t>SPT FOREST HILLS-GROCERY 1400</t>
  </si>
  <si>
    <t>SPT FOREST HILLS-SEAFOOD 1400</t>
  </si>
  <si>
    <t>SPT FOREST HILLS-PHARM 1400</t>
  </si>
  <si>
    <t>SPT FOREST HILLS-PRODUCE 1400</t>
  </si>
  <si>
    <t>SPT FOREST HILLS-FUEL 863</t>
  </si>
  <si>
    <t>SPT FOREST HILLS-DELI 1400</t>
  </si>
  <si>
    <t>SPT FOREST HILLS-MEAT 1400</t>
  </si>
  <si>
    <t>SPT FOREST HILLS-BAKERY 1400</t>
  </si>
  <si>
    <t>SPT FOREST HILLS-STARBUCKS 14</t>
  </si>
  <si>
    <t>SPT FOREST HILLS-SMOKEHOUSE 1</t>
  </si>
  <si>
    <t>JOHNNY'S MARKET 4075</t>
  </si>
  <si>
    <t>JOHNNY'S MARKET 4380</t>
  </si>
  <si>
    <t>JOHNNY'S MARKET 1755</t>
  </si>
  <si>
    <t>SPT FOREST HILLS 1400 FI</t>
  </si>
  <si>
    <t>SPT FOREST HILLS 863 FIRSTAID</t>
  </si>
  <si>
    <t xml:space="preserve">ADA TOWNSHIP FIRE DEPT 1     </t>
  </si>
  <si>
    <t>TOM'S FUEL AND WASH  92</t>
  </si>
  <si>
    <t>WESCO 40</t>
  </si>
  <si>
    <t>SUBWAY 156</t>
  </si>
  <si>
    <t>WESCO 22</t>
  </si>
  <si>
    <t xml:space="preserve">MR BURGER 1                  </t>
  </si>
  <si>
    <t xml:space="preserve">SPT F. FARE 137 FRONT </t>
  </si>
  <si>
    <t>SPT FAM FARE GAS STATION 852</t>
  </si>
  <si>
    <t>SPT F. FARE 137 FIRST AID</t>
  </si>
  <si>
    <t>SPT FAM FARE  852 FIRST AID</t>
  </si>
  <si>
    <t>SPT FAMILY FARE 771 FIRST AID</t>
  </si>
  <si>
    <t>DOMINOES 1043</t>
  </si>
  <si>
    <t xml:space="preserve">SPT F. FARE 119 FRONT </t>
  </si>
  <si>
    <t xml:space="preserve">SPT. F. FARE 119 PRODUCE </t>
  </si>
  <si>
    <t xml:space="preserve">SPT F. FARE 119 MEAT </t>
  </si>
  <si>
    <t xml:space="preserve">SPT F. FARE 119 DELI </t>
  </si>
  <si>
    <t xml:space="preserve">SPT F. FARE 119 BAKERY </t>
  </si>
  <si>
    <t>SPT QUICK STOP 718</t>
  </si>
  <si>
    <t>SPT FAMILY FARE FRONT 115</t>
  </si>
  <si>
    <t>SPT FAMILY FARE 115</t>
  </si>
  <si>
    <t>SPT FAMILY FARE DELI 115</t>
  </si>
  <si>
    <t>SPT FAMILY FARE PRODUCE 115</t>
  </si>
  <si>
    <t>SPT FAMILY FARE SEAFOOD 115</t>
  </si>
  <si>
    <t>SPT FAMILY FARE MEAT 115</t>
  </si>
  <si>
    <t>SPT F FARE BAKERY 115</t>
  </si>
  <si>
    <t>JOHNNY'S MARKET 4530</t>
  </si>
  <si>
    <t>SPT FAM FARE  115 FIRST AID</t>
  </si>
  <si>
    <t>SPT Quick Stop 718 FIRST AID</t>
  </si>
  <si>
    <t xml:space="preserve">D&amp;W QUICK STOP 856 </t>
  </si>
  <si>
    <t>HARDINGS MIDDLEVILLE 455</t>
  </si>
  <si>
    <t>HARDINGS MIDDLEVILLE 455 F.A.</t>
  </si>
  <si>
    <t>JOHNNY'S MARKET 4320</t>
  </si>
  <si>
    <t>JOHNNY'S MARKET 4450</t>
  </si>
  <si>
    <t>JOHNNY'S MARKET 4580</t>
  </si>
  <si>
    <t>JOHNNY'S MARKET 4700</t>
  </si>
  <si>
    <t xml:space="preserve">RX OPTICAL PN300             </t>
  </si>
  <si>
    <t xml:space="preserve">SPT. FAMILY FARE 636 </t>
  </si>
  <si>
    <t xml:space="preserve">SPT. FAMILY FARE 408 </t>
  </si>
  <si>
    <t>SPARTAN QUICK STOP 764</t>
  </si>
  <si>
    <t xml:space="preserve">SPT. D&amp;W FRONT 1591 </t>
  </si>
  <si>
    <t xml:space="preserve">SPT D&amp;W 1591 SEAFOOD </t>
  </si>
  <si>
    <t xml:space="preserve">SPT D&amp;W 1591 DELI </t>
  </si>
  <si>
    <t xml:space="preserve">SPT D&amp;W 1591 STARBUCKS </t>
  </si>
  <si>
    <t xml:space="preserve">SPT D&amp;W 1591 PRODUCE </t>
  </si>
  <si>
    <t xml:space="preserve">SPT D&amp;W 1591 BAKERY </t>
  </si>
  <si>
    <t xml:space="preserve">SPT D&amp;W 1591 MEAT DEPT </t>
  </si>
  <si>
    <t xml:space="preserve">MR BURGER 4                  </t>
  </si>
  <si>
    <t>LOCO TACO 1</t>
  </si>
  <si>
    <t>SPT. D&amp;W FRONT 1591 FIRST AID</t>
  </si>
  <si>
    <t>SPT FAMILY FARE 834 FIRST AID</t>
  </si>
  <si>
    <t>SPT. FAMILY FARE 408 FIRST AI</t>
  </si>
  <si>
    <t>SPARTAN 764 FIRST AID</t>
  </si>
  <si>
    <t>JOHNNY'S MARKET 4620</t>
  </si>
  <si>
    <t>WESCO 44</t>
  </si>
  <si>
    <t>WESCO 54</t>
  </si>
  <si>
    <t>WESCO 14</t>
  </si>
  <si>
    <t>WESCO 43</t>
  </si>
  <si>
    <t>WESCO 46</t>
  </si>
  <si>
    <t>SUBWAY 146</t>
  </si>
  <si>
    <t>WESCO 8</t>
  </si>
  <si>
    <t>HARDINGS 165 N. MUSKEGON F.A.</t>
  </si>
  <si>
    <t>SPT. FAMILY FARE PRODUCE 1587</t>
  </si>
  <si>
    <t>SPT. FAMILY FARE DELI 1587</t>
  </si>
  <si>
    <t>SPT. FAMILY FAIR MEAT 1587</t>
  </si>
  <si>
    <t>SPT. FAMILY FARE FRONT 1587</t>
  </si>
  <si>
    <t>JOHNNY'S MARKET 4570</t>
  </si>
  <si>
    <t>NATIONAL SUPERMARKET 2</t>
  </si>
  <si>
    <t>CATALYST DEVELOPMENT CO. 11</t>
  </si>
  <si>
    <t>JOHNNY'S MARKET 4850</t>
  </si>
  <si>
    <t xml:space="preserve">MR BURGER 5                  </t>
  </si>
  <si>
    <t xml:space="preserve">RED ROBIN 492               </t>
  </si>
  <si>
    <t xml:space="preserve">SPARTAN  760 FIRST </t>
  </si>
  <si>
    <t xml:space="preserve">SPT F. FARE 254-FRONT </t>
  </si>
  <si>
    <t xml:space="preserve">SPT. F. FARE 254 MEAT </t>
  </si>
  <si>
    <t xml:space="preserve">SPT F. FARE 254-PRODUCE </t>
  </si>
  <si>
    <t xml:space="preserve">SPT F. FARE 254-BAKERY </t>
  </si>
  <si>
    <t xml:space="preserve">SPT F. FARE 254-DELI </t>
  </si>
  <si>
    <t xml:space="preserve">SPT QUICK STOP855 </t>
  </si>
  <si>
    <t>SPT QUICK STOP855 FIRST AID</t>
  </si>
  <si>
    <t>WESCO 13</t>
  </si>
  <si>
    <t>WESCO 3</t>
  </si>
  <si>
    <t>WESCO 31</t>
  </si>
  <si>
    <t>WESCO 26</t>
  </si>
  <si>
    <t>WESCO 37</t>
  </si>
  <si>
    <t>WESCO 30</t>
  </si>
  <si>
    <t>WESCO 49</t>
  </si>
  <si>
    <t xml:space="preserve">SUNNY MART 4                 </t>
  </si>
  <si>
    <t>GOODWILL GRAND HAVEN 232</t>
  </si>
  <si>
    <t>HARDINGS 165-NORTH MUSKEGON</t>
  </si>
  <si>
    <t>HARDINGS 165-BAKERY</t>
  </si>
  <si>
    <t>HARDINGS 165-PRODUCE</t>
  </si>
  <si>
    <t>HARDINGS 165-DELI</t>
  </si>
  <si>
    <t>HARDINGS 165-MEAT</t>
  </si>
  <si>
    <t>WESCO 17</t>
  </si>
  <si>
    <t>WESCO 51</t>
  </si>
  <si>
    <t>WESCO 53</t>
  </si>
  <si>
    <t>WESCO 2</t>
  </si>
  <si>
    <t>WESCO 48</t>
  </si>
  <si>
    <t>WESCO 18</t>
  </si>
  <si>
    <t>WESCO 15</t>
  </si>
  <si>
    <t>WESCO 57</t>
  </si>
  <si>
    <t>WESCO 19</t>
  </si>
  <si>
    <t>SPT F. FARE GAS 22 FIRST AID</t>
  </si>
  <si>
    <t xml:space="preserve">FAMILY FARE 635 </t>
  </si>
  <si>
    <t>RED ROBIN 497</t>
  </si>
  <si>
    <t>WESCO 5</t>
  </si>
  <si>
    <t>WESCO 21</t>
  </si>
  <si>
    <t>WESCO 68</t>
  </si>
  <si>
    <t>FAMILY FARE 635 FIRST AID</t>
  </si>
  <si>
    <t>GOODWILL COOPERSVILLE 245</t>
  </si>
  <si>
    <t>SPT D&amp;W QUICK STOP 1570</t>
  </si>
  <si>
    <t>WESCO 7</t>
  </si>
  <si>
    <t>WESCO 16</t>
  </si>
  <si>
    <t>SPT FAM FARE  835 FIRST AID</t>
  </si>
  <si>
    <t>GOODWILL ROOSEVELT PARK 242</t>
  </si>
  <si>
    <t>MR SCRIB'S 2</t>
  </si>
  <si>
    <t>GOODWILL NORTON SHORES 236</t>
  </si>
  <si>
    <t>GOODWILL WHITEHALL 235</t>
  </si>
  <si>
    <t>SUBWAY 164</t>
  </si>
  <si>
    <t>GOODWILL NORTH MUSK 241</t>
  </si>
  <si>
    <t>MR SCRIBS PIZZA 3</t>
  </si>
  <si>
    <t>GOODWILL SHERMAN 237</t>
  </si>
  <si>
    <t>SPT FAMILY FARE 107 FIRST AID</t>
  </si>
  <si>
    <t>SPT FFARE 832 FIRST AID</t>
  </si>
  <si>
    <t>12820</t>
  </si>
  <si>
    <t>LMCU 45</t>
  </si>
  <si>
    <t>7175 BROADMOOR AVE SE</t>
  </si>
  <si>
    <t>12565</t>
  </si>
  <si>
    <t>COOPERSVILLE SPORTSMAN CLUB</t>
  </si>
  <si>
    <t>P.O. BOX 71</t>
  </si>
  <si>
    <t>16154</t>
  </si>
  <si>
    <t>SABOR MEXICANO</t>
  </si>
  <si>
    <t>109 RIVERSIDE</t>
  </si>
  <si>
    <t>16158</t>
  </si>
  <si>
    <t>SECURALARM, LLC</t>
  </si>
  <si>
    <t>921 47TH ST.  SW</t>
  </si>
  <si>
    <t>16182</t>
  </si>
  <si>
    <t>REVOLUTION CAR AUDIO</t>
  </si>
  <si>
    <t>2575 28TH ST SW</t>
  </si>
  <si>
    <t>16183</t>
  </si>
  <si>
    <t>EASTOWN EATS</t>
  </si>
  <si>
    <t>1499 WEALTHY ST SE</t>
  </si>
  <si>
    <t>16186</t>
  </si>
  <si>
    <t>CESAR'S PUB</t>
  </si>
  <si>
    <t>Old Rt #</t>
  </si>
  <si>
    <t>Old Delivery Day</t>
  </si>
  <si>
    <t>Old Stop</t>
  </si>
  <si>
    <t>Current.cu_id</t>
  </si>
  <si>
    <t>Current.Old Rt #</t>
  </si>
  <si>
    <t>Current.Old Delivery Day</t>
  </si>
  <si>
    <t>Current.Cust Name</t>
  </si>
  <si>
    <t>Current.Street Address 1</t>
  </si>
  <si>
    <t>Current.Frequency</t>
  </si>
  <si>
    <t>Freq Changes</t>
  </si>
  <si>
    <t>Addr Changes</t>
  </si>
  <si>
    <t>Name Changes</t>
  </si>
  <si>
    <t>Route Changes</t>
  </si>
  <si>
    <t>Day Changes</t>
  </si>
  <si>
    <t>6781</t>
  </si>
  <si>
    <t>6</t>
  </si>
  <si>
    <t>7</t>
  </si>
  <si>
    <t xml:space="preserve">SPT. F. FARE #122 MEAT </t>
  </si>
  <si>
    <t>6782</t>
  </si>
  <si>
    <t xml:space="preserve">SPT F. FARE #122 DELI </t>
  </si>
  <si>
    <t>12440</t>
  </si>
  <si>
    <t>50</t>
  </si>
  <si>
    <t>8</t>
  </si>
  <si>
    <t>MR</t>
  </si>
  <si>
    <t>10323</t>
  </si>
  <si>
    <t>6809</t>
  </si>
  <si>
    <t xml:space="preserve">SPT F. FARE #239 FRONT </t>
  </si>
  <si>
    <t>6810</t>
  </si>
  <si>
    <t xml:space="preserve">SPT F. FARE #239 MEAT </t>
  </si>
  <si>
    <t>6811</t>
  </si>
  <si>
    <t xml:space="preserve">SPT F. FARE #239 BAKERY </t>
  </si>
  <si>
    <t>14249</t>
  </si>
  <si>
    <t>56</t>
  </si>
  <si>
    <t>5</t>
  </si>
  <si>
    <t>3113 E PONTALUNA</t>
  </si>
  <si>
    <t>6812</t>
  </si>
  <si>
    <t xml:space="preserve">SPT F. FARE #239 DELI </t>
  </si>
  <si>
    <t>6813</t>
  </si>
  <si>
    <t xml:space="preserve">SPT F. FARE #239 PRODUCE </t>
  </si>
  <si>
    <t>16048</t>
  </si>
  <si>
    <t>52</t>
  </si>
  <si>
    <t>50 COTTAGE GROVE ST SW</t>
  </si>
  <si>
    <t>6896</t>
  </si>
  <si>
    <t xml:space="preserve">SPT. FF #108 MEAT </t>
  </si>
  <si>
    <t>6897</t>
  </si>
  <si>
    <t xml:space="preserve">SPT FF #108 BAKERY </t>
  </si>
  <si>
    <t>6898</t>
  </si>
  <si>
    <t xml:space="preserve">SPT. FF #108 PRODUCE </t>
  </si>
  <si>
    <t>15556</t>
  </si>
  <si>
    <t>8040</t>
  </si>
  <si>
    <t>1826 HOYT</t>
  </si>
  <si>
    <t>CHARTWELLS-MOON ELEMENTARY</t>
  </si>
  <si>
    <t>6899</t>
  </si>
  <si>
    <t xml:space="preserve">SPT. FF #108 DELI </t>
  </si>
  <si>
    <t>15553</t>
  </si>
  <si>
    <t>480 BENNET ST.</t>
  </si>
  <si>
    <t>CHARTWELLS-MARQUETTE ELEMENTAR</t>
  </si>
  <si>
    <t>7089</t>
  </si>
  <si>
    <t xml:space="preserve">FAMILY FARE #1589 MEAT </t>
  </si>
  <si>
    <t>8871</t>
  </si>
  <si>
    <t>SPT F. FARE QUICK STOP #854</t>
  </si>
  <si>
    <t>13118</t>
  </si>
  <si>
    <t>FAM FARE #1589 MEAT FIRST AID</t>
  </si>
  <si>
    <t>13120</t>
  </si>
  <si>
    <t>SPT. FF #108 FIRST AID</t>
  </si>
  <si>
    <t>13124</t>
  </si>
  <si>
    <t>SPT FFARE #239 FIRST AID</t>
  </si>
  <si>
    <t>13135</t>
  </si>
  <si>
    <t>SPT FFARE #854 FIRST AID</t>
  </si>
  <si>
    <t>7114</t>
  </si>
  <si>
    <t>12</t>
  </si>
  <si>
    <t>0</t>
  </si>
  <si>
    <t>405 52ND STREET  SE</t>
  </si>
  <si>
    <t>7088</t>
  </si>
  <si>
    <t xml:space="preserve">FAMILY FARE #1580 FRONT </t>
  </si>
  <si>
    <t>7101</t>
  </si>
  <si>
    <t>SPT. FAMILY FARE PRODUCE #1587</t>
  </si>
  <si>
    <t>7102</t>
  </si>
  <si>
    <t>SPT. FAMILY FARE DELI #1587</t>
  </si>
  <si>
    <t>7103</t>
  </si>
  <si>
    <t>SPT. FAMILY FAIR MEAT #1587</t>
  </si>
  <si>
    <t>6788</t>
  </si>
  <si>
    <t xml:space="preserve">SPT F. FARE #123 FRONT </t>
  </si>
  <si>
    <t>7104</t>
  </si>
  <si>
    <t>SPT. FAMILY FARE FRONT #1587</t>
  </si>
  <si>
    <t>6789</t>
  </si>
  <si>
    <t xml:space="preserve">SPT F. FARE #123 PRODUCE </t>
  </si>
  <si>
    <t>7355</t>
  </si>
  <si>
    <t>51</t>
  </si>
  <si>
    <t xml:space="preserve">SPT. D&amp;W FRONT #1591 </t>
  </si>
  <si>
    <t>6790</t>
  </si>
  <si>
    <t xml:space="preserve">SPT F. FARE #123 MEAT </t>
  </si>
  <si>
    <t>7359</t>
  </si>
  <si>
    <t xml:space="preserve">SPT D&amp;W #1591 SEAFOOD </t>
  </si>
  <si>
    <t>7360</t>
  </si>
  <si>
    <t xml:space="preserve">SPT D&amp;W #1591 DELI </t>
  </si>
  <si>
    <t>6791</t>
  </si>
  <si>
    <t xml:space="preserve">SPT F. FARE #123 BAKERY </t>
  </si>
  <si>
    <t>7361</t>
  </si>
  <si>
    <t xml:space="preserve">SPT D&amp;W #1591 STARBUCKS </t>
  </si>
  <si>
    <t>6792</t>
  </si>
  <si>
    <t xml:space="preserve">SPT F. FARE #123 DELI </t>
  </si>
  <si>
    <t>7362</t>
  </si>
  <si>
    <t xml:space="preserve">SPT D&amp;W #1591 PRODUCE </t>
  </si>
  <si>
    <t>7363</t>
  </si>
  <si>
    <t xml:space="preserve">SPT D&amp;W #1591 BAKERY </t>
  </si>
  <si>
    <t>7364</t>
  </si>
  <si>
    <t xml:space="preserve">SPT D&amp;W #1591 MEAT DEPT </t>
  </si>
  <si>
    <t>13065</t>
  </si>
  <si>
    <t>SPT F. FARE #123  FIRST AID</t>
  </si>
  <si>
    <t>8402</t>
  </si>
  <si>
    <t>4</t>
  </si>
  <si>
    <t>LA REINA</t>
  </si>
  <si>
    <t>7123</t>
  </si>
  <si>
    <t xml:space="preserve">SPT QUICK STOP#855 </t>
  </si>
  <si>
    <t>7139</t>
  </si>
  <si>
    <t xml:space="preserve">D&amp;W QUICK STOP #856 </t>
  </si>
  <si>
    <t>7168</t>
  </si>
  <si>
    <t>SPT FAM FARE GAS STATION #852</t>
  </si>
  <si>
    <t>7202</t>
  </si>
  <si>
    <t>SPARTAN QUICK STOP #764</t>
  </si>
  <si>
    <t>7293</t>
  </si>
  <si>
    <t>FAMILY FARE-D&amp;W QUICK STOP #71</t>
  </si>
  <si>
    <t>7312</t>
  </si>
  <si>
    <t>SPARTAN QUICK STOP #760</t>
  </si>
  <si>
    <t>8982</t>
  </si>
  <si>
    <t>SPT QUICK STOP #718</t>
  </si>
  <si>
    <t>9143</t>
  </si>
  <si>
    <t>47</t>
  </si>
  <si>
    <t>SPT FOREST HILLS-FUEL #863</t>
  </si>
  <si>
    <t>6730</t>
  </si>
  <si>
    <t xml:space="preserve">SPT. FAMILY FARE #636 </t>
  </si>
  <si>
    <t>6778</t>
  </si>
  <si>
    <t xml:space="preserve">FAMILY FARE #635 </t>
  </si>
  <si>
    <t>6783</t>
  </si>
  <si>
    <t xml:space="preserve">SPT F. FARE #254-FRONT </t>
  </si>
  <si>
    <t>6784</t>
  </si>
  <si>
    <t xml:space="preserve">SPT. F. FARE #254 MEAT </t>
  </si>
  <si>
    <t>6785</t>
  </si>
  <si>
    <t xml:space="preserve">SPT F. FARE #254-PRODUCE </t>
  </si>
  <si>
    <t>6786</t>
  </si>
  <si>
    <t xml:space="preserve">SPT F. FARE #254-BAKERY </t>
  </si>
  <si>
    <t>6787</t>
  </si>
  <si>
    <t xml:space="preserve">SPT F. FARE #254-DELI </t>
  </si>
  <si>
    <t>6795</t>
  </si>
  <si>
    <t xml:space="preserve">SPT F. FARE #265 FRONT </t>
  </si>
  <si>
    <t>6796</t>
  </si>
  <si>
    <t xml:space="preserve">SPT F. FARE #119 FRONT </t>
  </si>
  <si>
    <t>6797</t>
  </si>
  <si>
    <t xml:space="preserve">SPT. F. FARE #119 PRODUCE </t>
  </si>
  <si>
    <t>6798</t>
  </si>
  <si>
    <t xml:space="preserve">SPT F. FARE #119 MEAT </t>
  </si>
  <si>
    <t>6799</t>
  </si>
  <si>
    <t xml:space="preserve">SPT F. FARE #119 DELI </t>
  </si>
  <si>
    <t>6800</t>
  </si>
  <si>
    <t xml:space="preserve">SPT F. FARE #119 BAKERY </t>
  </si>
  <si>
    <t>6801</t>
  </si>
  <si>
    <t xml:space="preserve">SPT F. FARE #137 FRONT </t>
  </si>
  <si>
    <t>14938</t>
  </si>
  <si>
    <t>BIGGBY-COLLEGE AVE</t>
  </si>
  <si>
    <t>6816</t>
  </si>
  <si>
    <t xml:space="preserve">SPT. FAMILY FARE #408 </t>
  </si>
  <si>
    <t>9138</t>
  </si>
  <si>
    <t>SPT FOREST HILLS-CAFE #1400</t>
  </si>
  <si>
    <t>9139</t>
  </si>
  <si>
    <t>SPT FOREST HILLS-GROCERY #1400</t>
  </si>
  <si>
    <t>9140</t>
  </si>
  <si>
    <t>SPT FOREST HILLS-SEAFOOD #1400</t>
  </si>
  <si>
    <t>9141</t>
  </si>
  <si>
    <t>SPT FOREST HILLS-PHARM #1400</t>
  </si>
  <si>
    <t>9142</t>
  </si>
  <si>
    <t>SPT FOREST HILLS-PRODUCE #1400</t>
  </si>
  <si>
    <t>9144</t>
  </si>
  <si>
    <t>SPT FOREST HILLS-DELI #1400</t>
  </si>
  <si>
    <t>9145</t>
  </si>
  <si>
    <t>SPT FOREST HILLS-MEAT #1400</t>
  </si>
  <si>
    <t>9149</t>
  </si>
  <si>
    <t>SPT FOREST HILLS-BAKERY #1400</t>
  </si>
  <si>
    <t>9246</t>
  </si>
  <si>
    <t>SPT FAMILY FARE FRONT #115</t>
  </si>
  <si>
    <t>9274</t>
  </si>
  <si>
    <t>SPT FAMILY FARE SEAFOOD #115</t>
  </si>
  <si>
    <t>9275</t>
  </si>
  <si>
    <t>SPT FAMILY FARE MEAT #115</t>
  </si>
  <si>
    <t>9272</t>
  </si>
  <si>
    <t>SPT FAMILY FARE DELI #115</t>
  </si>
  <si>
    <t>9271</t>
  </si>
  <si>
    <t>SPT FAMILY FARE #115</t>
  </si>
  <si>
    <t>9273</t>
  </si>
  <si>
    <t>SPT FAMILY FARE PRODUCE #115</t>
  </si>
  <si>
    <t>9729</t>
  </si>
  <si>
    <t>SPT F FARE BAKERY #115</t>
  </si>
  <si>
    <t>10842</t>
  </si>
  <si>
    <t>SPT FOREST HILLS-STARBUCKS #14</t>
  </si>
  <si>
    <t>11162</t>
  </si>
  <si>
    <t>SPT FAMILY FARE #1572 STARBUCK</t>
  </si>
  <si>
    <t>12222</t>
  </si>
  <si>
    <t>SPT D&amp;W QUICK STOP #1570</t>
  </si>
  <si>
    <t>12298</t>
  </si>
  <si>
    <t>SPT FOREST HILLS-SMOKEHOUSE #1</t>
  </si>
  <si>
    <t>12992</t>
  </si>
  <si>
    <t>SPT FAMILY FARE #1572 PHARMACY</t>
  </si>
  <si>
    <t>14422</t>
  </si>
  <si>
    <t>HARDINGS MIDDLEVILLE #455</t>
  </si>
  <si>
    <t>14624</t>
  </si>
  <si>
    <t>HARDINGS #165-NORTH MUSKEGON</t>
  </si>
  <si>
    <t>14643</t>
  </si>
  <si>
    <t>HARDINGS #165-BAKERY</t>
  </si>
  <si>
    <t>14657</t>
  </si>
  <si>
    <t>HARDINGS #165-PRODUCE</t>
  </si>
  <si>
    <t>14658</t>
  </si>
  <si>
    <t>HARDINGS #165-DELI</t>
  </si>
  <si>
    <t>14659</t>
  </si>
  <si>
    <t>HARDINGS #165-MEAT</t>
  </si>
  <si>
    <t>13126</t>
  </si>
  <si>
    <t>SPT FFARE #265  FIRST AID</t>
  </si>
  <si>
    <t>15948</t>
  </si>
  <si>
    <t>DEAN TRANSPORT-GR 44TH</t>
  </si>
  <si>
    <t>6827</t>
  </si>
  <si>
    <t>MWF</t>
  </si>
  <si>
    <t>6955</t>
  </si>
  <si>
    <t>2</t>
  </si>
  <si>
    <t xml:space="preserve">DAL-TILE CORP. 247            </t>
  </si>
  <si>
    <t>13041</t>
  </si>
  <si>
    <t>FAMILY FARE-D&amp;W #713 FIRST AID</t>
  </si>
  <si>
    <t>13495</t>
  </si>
  <si>
    <t>D&amp;W #766 FIRST AID</t>
  </si>
  <si>
    <t>13144</t>
  </si>
  <si>
    <t>D&amp;W #857 FIRST AID</t>
  </si>
  <si>
    <t>13113</t>
  </si>
  <si>
    <t>SPT FFARE #1572 FIRST AID</t>
  </si>
  <si>
    <t>14423</t>
  </si>
  <si>
    <t>HARDINGS MIDDLEVILLE #455 F.A.</t>
  </si>
  <si>
    <t>13002</t>
  </si>
  <si>
    <t>SPT. D&amp;W FRONT #1591 FIRST AID</t>
  </si>
  <si>
    <t>14625</t>
  </si>
  <si>
    <t>HARDINGS #165 N. MUSKEGON F.A.</t>
  </si>
  <si>
    <t>13137</t>
  </si>
  <si>
    <t>SPT FFARE #832 FIRST AID</t>
  </si>
  <si>
    <t>13044</t>
  </si>
  <si>
    <t>SPT FAMILY FARE #834 FIRST AID</t>
  </si>
  <si>
    <t>13014</t>
  </si>
  <si>
    <t>SPT F. FARE GAS #22 FIRST AID</t>
  </si>
  <si>
    <t>13119</t>
  </si>
  <si>
    <t>SPT FAM FARE  #835 FIRST AID</t>
  </si>
  <si>
    <t>13043</t>
  </si>
  <si>
    <t>SPT QUICK STOP#855 FIRST AID</t>
  </si>
  <si>
    <t>13072</t>
  </si>
  <si>
    <t>SPT FAM FARE  #852 FIRST AID</t>
  </si>
  <si>
    <t>13136</t>
  </si>
  <si>
    <t>SPARTAN #764 FIRST AID</t>
  </si>
  <si>
    <t>7266</t>
  </si>
  <si>
    <t>2625 W. WASHINGTON ST.</t>
  </si>
  <si>
    <t>13102</t>
  </si>
  <si>
    <t xml:space="preserve">SPARTAN  #760 FIRST </t>
  </si>
  <si>
    <t>13040</t>
  </si>
  <si>
    <t>SPT QUICK STOP #718 FIRST AID</t>
  </si>
  <si>
    <t>13134</t>
  </si>
  <si>
    <t>SPT FOREST HILLS #863 FIRSTAID</t>
  </si>
  <si>
    <t>13101</t>
  </si>
  <si>
    <t>SPT FAMILY FARE #771 FIRST AID</t>
  </si>
  <si>
    <t>13033</t>
  </si>
  <si>
    <t>FAMILY FARE #635 FIRST AID</t>
  </si>
  <si>
    <t>13064</t>
  </si>
  <si>
    <t>SPT F. FARE #137 FIRST AID</t>
  </si>
  <si>
    <t>13121</t>
  </si>
  <si>
    <t>SPT. FAMILY FARE #408 FIRST AI</t>
  </si>
  <si>
    <t>13063</t>
  </si>
  <si>
    <t>SPT FAMILY FARE #107 FIRST AID</t>
  </si>
  <si>
    <t>13117</t>
  </si>
  <si>
    <t>SPT FOREST HILLS #1400 FI</t>
  </si>
  <si>
    <t>13031</t>
  </si>
  <si>
    <t>SPT FAM FARE  #115 FIRST AID</t>
  </si>
  <si>
    <t>13030</t>
  </si>
  <si>
    <t>SPTNASH OFFICE FIRST AID</t>
  </si>
  <si>
    <t>14345</t>
  </si>
  <si>
    <t>6983 BLUEWATER HWY</t>
  </si>
  <si>
    <t>15946</t>
  </si>
  <si>
    <t>DEAN TRANSPORT-GR UNION</t>
  </si>
  <si>
    <t>15949</t>
  </si>
  <si>
    <t>DEAN TRANSPORT-CEDAR SPRINGS</t>
  </si>
  <si>
    <t>6707</t>
  </si>
  <si>
    <t xml:space="preserve">RX OPTICAL PN 300             </t>
  </si>
  <si>
    <t>308 WEST SHAW STREET</t>
  </si>
  <si>
    <t>14950</t>
  </si>
  <si>
    <t>276 S CHARLES STREET</t>
  </si>
  <si>
    <t>6958</t>
  </si>
  <si>
    <t>9865</t>
  </si>
  <si>
    <t>THE PARTY STATION 1896</t>
  </si>
  <si>
    <t>15291</t>
  </si>
  <si>
    <t>8060</t>
  </si>
  <si>
    <t>3465 MAPLE ISLAND RD</t>
  </si>
  <si>
    <t>14656</t>
  </si>
  <si>
    <t>2320 CHICAGO DRIVE</t>
  </si>
  <si>
    <t>15551</t>
  </si>
  <si>
    <t>1675 LEAHEY</t>
  </si>
  <si>
    <t>15232</t>
  </si>
  <si>
    <t>GOODWILL COOPERSVILLE #245</t>
  </si>
  <si>
    <t>15317</t>
  </si>
  <si>
    <t>FANCY YANCEY'S SALON LLC</t>
  </si>
  <si>
    <t>15108</t>
  </si>
  <si>
    <t>8010</t>
  </si>
  <si>
    <t>THE BROKEN EGG</t>
  </si>
  <si>
    <t>Average Weekly Garment Soil Scans</t>
  </si>
  <si>
    <t>Earliest Time Window 1</t>
  </si>
  <si>
    <t>Latest Time Window 1</t>
  </si>
  <si>
    <t>Earliest Time Window 2</t>
  </si>
  <si>
    <t>Latest Time Window 2</t>
  </si>
  <si>
    <t>Outside Hours Access (key/code stops)</t>
  </si>
  <si>
    <t>16189</t>
  </si>
  <si>
    <t>SALTY PECKER BREWING COMPANY</t>
  </si>
  <si>
    <t>255 SEMINOLE RD</t>
  </si>
  <si>
    <t>16192</t>
  </si>
  <si>
    <t>EL CENTENARIO</t>
  </si>
  <si>
    <t>5039 28TH ST SE</t>
  </si>
  <si>
    <t>16196</t>
  </si>
  <si>
    <t xml:space="preserve">COMMONWEALTH SENIOR LIVING </t>
  </si>
  <si>
    <t>3956 WHISPERING WAY DR SE</t>
  </si>
  <si>
    <t>16197</t>
  </si>
  <si>
    <t>COMMONWEALTH SENIOR LIVING</t>
  </si>
  <si>
    <t>1175 68TH ST SE</t>
  </si>
  <si>
    <t>15571</t>
  </si>
  <si>
    <t>Stop</t>
  </si>
  <si>
    <t>Q1 Revenue Low</t>
  </si>
  <si>
    <t>Q1 Revenue High</t>
  </si>
  <si>
    <t>Q2 Revenue Low</t>
  </si>
  <si>
    <t>Q2 Revenue High</t>
  </si>
  <si>
    <t>Q3 Revenue Low</t>
  </si>
  <si>
    <t>Q3 Revenue High</t>
  </si>
  <si>
    <t>Q4 Revenue Low</t>
  </si>
  <si>
    <t>Q4 Revenue high</t>
  </si>
  <si>
    <t>Notes</t>
  </si>
  <si>
    <t>16211</t>
  </si>
  <si>
    <t>LMCU-PRAIRIE CREEK</t>
  </si>
  <si>
    <t>5664 PRAIRIE CREEK DRIVE</t>
  </si>
  <si>
    <t>15463</t>
  </si>
  <si>
    <t>BRENDA BOUWMAN STATE FARM</t>
  </si>
  <si>
    <t>704 E. APPLE AVE.</t>
  </si>
  <si>
    <t>16217</t>
  </si>
  <si>
    <t>DR ROLF'S-GRAND HAVEN</t>
  </si>
  <si>
    <t>17 SOUTH 2ND ST</t>
  </si>
  <si>
    <t>16205</t>
  </si>
  <si>
    <t>2071 E. APPLE AVE</t>
  </si>
  <si>
    <t>15430</t>
  </si>
  <si>
    <t>MUSKEGON FLORAL</t>
  </si>
  <si>
    <t>1459 PINE ST</t>
  </si>
  <si>
    <t>15980</t>
  </si>
  <si>
    <t>15193</t>
  </si>
  <si>
    <t>WAYNE'S FOOD MART INC</t>
  </si>
  <si>
    <t>15432</t>
  </si>
  <si>
    <t>3</t>
  </si>
  <si>
    <t>15040</t>
  </si>
  <si>
    <t>A &amp; A MINI MART</t>
  </si>
  <si>
    <t>2065 E MT GARFIELD</t>
  </si>
  <si>
    <t>101 n QUARTERLINE RD.</t>
  </si>
  <si>
    <t>1254</t>
  </si>
  <si>
    <t>8508</t>
  </si>
  <si>
    <t>8923</t>
  </si>
  <si>
    <t>7033</t>
  </si>
  <si>
    <t>14335</t>
  </si>
  <si>
    <t>12846</t>
  </si>
  <si>
    <t>14101</t>
  </si>
  <si>
    <t>6677</t>
  </si>
  <si>
    <t>6696</t>
  </si>
  <si>
    <t>6732</t>
  </si>
  <si>
    <t>6736</t>
  </si>
  <si>
    <t>6833</t>
  </si>
  <si>
    <t>6848</t>
  </si>
  <si>
    <t>6864</t>
  </si>
  <si>
    <t>6895</t>
  </si>
  <si>
    <t>10625</t>
  </si>
  <si>
    <t>6925</t>
  </si>
  <si>
    <t>6926</t>
  </si>
  <si>
    <t>6939</t>
  </si>
  <si>
    <t>7238</t>
  </si>
  <si>
    <t>7325</t>
  </si>
  <si>
    <t>8845</t>
  </si>
  <si>
    <t>9464</t>
  </si>
  <si>
    <t>9467</t>
  </si>
  <si>
    <t>12595</t>
  </si>
  <si>
    <t>12617</t>
  </si>
  <si>
    <t>7233</t>
  </si>
  <si>
    <t>7381</t>
  </si>
  <si>
    <t>7277</t>
  </si>
  <si>
    <t>6996</t>
  </si>
  <si>
    <t>7090</t>
  </si>
  <si>
    <t>14753</t>
  </si>
  <si>
    <t>13470</t>
  </si>
  <si>
    <t>15685</t>
  </si>
  <si>
    <t>6647</t>
  </si>
  <si>
    <t>6856</t>
  </si>
  <si>
    <t>7225</t>
  </si>
  <si>
    <t>7245</t>
  </si>
  <si>
    <t>7270</t>
  </si>
  <si>
    <t>7317</t>
  </si>
  <si>
    <t>8460</t>
  </si>
  <si>
    <t>12608</t>
  </si>
  <si>
    <t>9546</t>
  </si>
  <si>
    <t>9758</t>
  </si>
  <si>
    <t>10482</t>
  </si>
  <si>
    <t>10707</t>
  </si>
  <si>
    <t>11818</t>
  </si>
  <si>
    <t>11825</t>
  </si>
  <si>
    <t>12205</t>
  </si>
  <si>
    <t>12741</t>
  </si>
  <si>
    <t>14124</t>
  </si>
  <si>
    <t>14405</t>
  </si>
  <si>
    <t>15206</t>
  </si>
  <si>
    <t>7404</t>
  </si>
  <si>
    <t>12048</t>
  </si>
  <si>
    <t>12158</t>
  </si>
  <si>
    <t>12889</t>
  </si>
  <si>
    <t>10667</t>
  </si>
  <si>
    <t>6680</t>
  </si>
  <si>
    <t>6684</t>
  </si>
  <si>
    <t>6733</t>
  </si>
  <si>
    <t>6832</t>
  </si>
  <si>
    <t>6875</t>
  </si>
  <si>
    <t>15568</t>
  </si>
  <si>
    <t>6921</t>
  </si>
  <si>
    <t>15695</t>
  </si>
  <si>
    <t>6965</t>
  </si>
  <si>
    <t>7219</t>
  </si>
  <si>
    <t>7318</t>
  </si>
  <si>
    <t>7377</t>
  </si>
  <si>
    <t>9244</t>
  </si>
  <si>
    <t>9292</t>
  </si>
  <si>
    <t>9374</t>
  </si>
  <si>
    <t>9444</t>
  </si>
  <si>
    <t>10101</t>
  </si>
  <si>
    <t>12701</t>
  </si>
  <si>
    <t>10507</t>
  </si>
  <si>
    <t>10991</t>
  </si>
  <si>
    <t>11028</t>
  </si>
  <si>
    <t>11453</t>
  </si>
  <si>
    <t>12074</t>
  </si>
  <si>
    <t>14685</t>
  </si>
  <si>
    <t>12643</t>
  </si>
  <si>
    <t>12735</t>
  </si>
  <si>
    <t>14741</t>
  </si>
  <si>
    <t>14853</t>
  </si>
  <si>
    <t>7268</t>
  </si>
  <si>
    <t>7310</t>
  </si>
  <si>
    <t>7034</t>
  </si>
  <si>
    <t>12834</t>
  </si>
  <si>
    <t>13474</t>
  </si>
  <si>
    <t>14278</t>
  </si>
  <si>
    <t>8008</t>
  </si>
  <si>
    <t>14650</t>
  </si>
  <si>
    <t>14651</t>
  </si>
  <si>
    <t>12474</t>
  </si>
  <si>
    <t>6562</t>
  </si>
  <si>
    <t>12746</t>
  </si>
  <si>
    <t>6734</t>
  </si>
  <si>
    <t>6992</t>
  </si>
  <si>
    <t>8357</t>
  </si>
  <si>
    <t>8686</t>
  </si>
  <si>
    <t>9334</t>
  </si>
  <si>
    <t>9639</t>
  </si>
  <si>
    <t>11777</t>
  </si>
  <si>
    <t>10235</t>
  </si>
  <si>
    <t>10969</t>
  </si>
  <si>
    <t>12796</t>
  </si>
  <si>
    <t>12303</t>
  </si>
  <si>
    <t>14407</t>
  </si>
  <si>
    <t>14408</t>
  </si>
  <si>
    <t>14935</t>
  </si>
  <si>
    <t>15279</t>
  </si>
  <si>
    <t>15231</t>
  </si>
  <si>
    <t>8507</t>
  </si>
  <si>
    <t>9069</t>
  </si>
  <si>
    <t>10109</t>
  </si>
  <si>
    <t>7060</t>
  </si>
  <si>
    <t>7061</t>
  </si>
  <si>
    <t>7062</t>
  </si>
  <si>
    <t>9478</t>
  </si>
  <si>
    <t>9479</t>
  </si>
  <si>
    <t>7124</t>
  </si>
  <si>
    <t>12833</t>
  </si>
  <si>
    <t>12923</t>
  </si>
  <si>
    <t>13475</t>
  </si>
  <si>
    <t>14226</t>
  </si>
  <si>
    <t>14525</t>
  </si>
  <si>
    <t>13059</t>
  </si>
  <si>
    <t>6646</t>
  </si>
  <si>
    <t>11213</t>
  </si>
  <si>
    <t>12737</t>
  </si>
  <si>
    <t>13178</t>
  </si>
  <si>
    <t>14401</t>
  </si>
  <si>
    <t>15883</t>
  </si>
  <si>
    <t>14339</t>
  </si>
  <si>
    <t>13762</t>
  </si>
  <si>
    <t>16021</t>
  </si>
  <si>
    <t>15229</t>
  </si>
  <si>
    <t>14090</t>
  </si>
  <si>
    <t>7275</t>
  </si>
  <si>
    <t>13224</t>
  </si>
  <si>
    <t>13226</t>
  </si>
  <si>
    <t>6630</t>
  </si>
  <si>
    <t>6753</t>
  </si>
  <si>
    <t>6880</t>
  </si>
  <si>
    <t>15616</t>
  </si>
  <si>
    <t>6627</t>
  </si>
  <si>
    <t>6641</t>
  </si>
  <si>
    <t>6651</t>
  </si>
  <si>
    <t>6763</t>
  </si>
  <si>
    <t>6777</t>
  </si>
  <si>
    <t>11077</t>
  </si>
  <si>
    <t>7166</t>
  </si>
  <si>
    <t>7299</t>
  </si>
  <si>
    <t>9651</t>
  </si>
  <si>
    <t>10429</t>
  </si>
  <si>
    <t>11270</t>
  </si>
  <si>
    <t>11571</t>
  </si>
  <si>
    <t>14505</t>
  </si>
  <si>
    <t>14958</t>
  </si>
  <si>
    <t>16012</t>
  </si>
  <si>
    <t>7403</t>
  </si>
  <si>
    <t>7408</t>
  </si>
  <si>
    <t>8157</t>
  </si>
  <si>
    <t>10459</t>
  </si>
  <si>
    <t>10460</t>
  </si>
  <si>
    <t>11998</t>
  </si>
  <si>
    <t>11999</t>
  </si>
  <si>
    <t>12915</t>
  </si>
  <si>
    <t>7070</t>
  </si>
  <si>
    <t>7071</t>
  </si>
  <si>
    <t>7072</t>
  </si>
  <si>
    <t>7073</t>
  </si>
  <si>
    <t>7074</t>
  </si>
  <si>
    <t>7106</t>
  </si>
  <si>
    <t>7148</t>
  </si>
  <si>
    <t>12854</t>
  </si>
  <si>
    <t>13200</t>
  </si>
  <si>
    <t>13212</t>
  </si>
  <si>
    <t>13341</t>
  </si>
  <si>
    <t>13076</t>
  </si>
  <si>
    <t>7220</t>
  </si>
  <si>
    <t>10256</t>
  </si>
  <si>
    <t>6772</t>
  </si>
  <si>
    <t>6972</t>
  </si>
  <si>
    <t>11078</t>
  </si>
  <si>
    <t>12426</t>
  </si>
  <si>
    <t>7367</t>
  </si>
  <si>
    <t>8384</t>
  </si>
  <si>
    <t>10509</t>
  </si>
  <si>
    <t>12084</t>
  </si>
  <si>
    <t>16015</t>
  </si>
  <si>
    <t>12897</t>
  </si>
  <si>
    <t>7276</t>
  </si>
  <si>
    <t>7112</t>
  </si>
  <si>
    <t>12868</t>
  </si>
  <si>
    <t>13198</t>
  </si>
  <si>
    <t>13204</t>
  </si>
  <si>
    <t>13210</t>
  </si>
  <si>
    <t>6564</t>
  </si>
  <si>
    <t>6571</t>
  </si>
  <si>
    <t>3186</t>
  </si>
  <si>
    <t>6865</t>
  </si>
  <si>
    <t>12882</t>
  </si>
  <si>
    <t>6956</t>
  </si>
  <si>
    <t>6957</t>
  </si>
  <si>
    <t>6959</t>
  </si>
  <si>
    <t>6991</t>
  </si>
  <si>
    <t>7336</t>
  </si>
  <si>
    <t>7352</t>
  </si>
  <si>
    <t>9304</t>
  </si>
  <si>
    <t>9468</t>
  </si>
  <si>
    <t>9562</t>
  </si>
  <si>
    <t>11442</t>
  </si>
  <si>
    <t>11724</t>
  </si>
  <si>
    <t>14156</t>
  </si>
  <si>
    <t>14256</t>
  </si>
  <si>
    <t>14869</t>
  </si>
  <si>
    <t>14956</t>
  </si>
  <si>
    <t>14957</t>
  </si>
  <si>
    <t>16064</t>
  </si>
  <si>
    <t>7409</t>
  </si>
  <si>
    <t>7183</t>
  </si>
  <si>
    <t>7184</t>
  </si>
  <si>
    <t>12414</t>
  </si>
  <si>
    <t>7084</t>
  </si>
  <si>
    <t>7085</t>
  </si>
  <si>
    <t>7086</t>
  </si>
  <si>
    <t>7087</t>
  </si>
  <si>
    <t>12823</t>
  </si>
  <si>
    <t>14711</t>
  </si>
  <si>
    <t>14713</t>
  </si>
  <si>
    <t>13086</t>
  </si>
  <si>
    <t>6990</t>
  </si>
  <si>
    <t>7052</t>
  </si>
  <si>
    <t>11076</t>
  </si>
  <si>
    <t>7216</t>
  </si>
  <si>
    <t>7247</t>
  </si>
  <si>
    <t>8007</t>
  </si>
  <si>
    <t>11019</t>
  </si>
  <si>
    <t>11149</t>
  </si>
  <si>
    <t>11159</t>
  </si>
  <si>
    <t>11469</t>
  </si>
  <si>
    <t>11512</t>
  </si>
  <si>
    <t>12022</t>
  </si>
  <si>
    <t>12354</t>
  </si>
  <si>
    <t>12513</t>
  </si>
  <si>
    <t>14272</t>
  </si>
  <si>
    <t>14742</t>
  </si>
  <si>
    <t>14767</t>
  </si>
  <si>
    <t>14894</t>
  </si>
  <si>
    <t>15561</t>
  </si>
  <si>
    <t>12000</t>
  </si>
  <si>
    <t>12620</t>
  </si>
  <si>
    <t>14380</t>
  </si>
  <si>
    <t>11782</t>
  </si>
  <si>
    <t>7063</t>
  </si>
  <si>
    <t>7064</t>
  </si>
  <si>
    <t>12828</t>
  </si>
  <si>
    <t>12839</t>
  </si>
  <si>
    <t>12840</t>
  </si>
  <si>
    <t>12841</t>
  </si>
  <si>
    <t>12922</t>
  </si>
  <si>
    <t>13058</t>
  </si>
  <si>
    <t>6712</t>
  </si>
  <si>
    <t>6908</t>
  </si>
  <si>
    <t>7284</t>
  </si>
  <si>
    <t>9454</t>
  </si>
  <si>
    <t>9816</t>
  </si>
  <si>
    <t>11975</t>
  </si>
  <si>
    <t>12011</t>
  </si>
  <si>
    <t>14123</t>
  </si>
  <si>
    <t>7410</t>
  </si>
  <si>
    <t>8524</t>
  </si>
  <si>
    <t>9737</t>
  </si>
  <si>
    <t>7389</t>
  </si>
  <si>
    <t>13882</t>
  </si>
  <si>
    <t>12867</t>
  </si>
  <si>
    <t>13585</t>
  </si>
  <si>
    <t>13586</t>
  </si>
  <si>
    <t>13610</t>
  </si>
  <si>
    <t>13611</t>
  </si>
  <si>
    <t>13624</t>
  </si>
  <si>
    <t>14163</t>
  </si>
  <si>
    <t>13087</t>
  </si>
  <si>
    <t>15854</t>
  </si>
  <si>
    <t>15987</t>
  </si>
  <si>
    <t>12931</t>
  </si>
  <si>
    <t>9285</t>
  </si>
  <si>
    <t>10813</t>
  </si>
  <si>
    <t>10948</t>
  </si>
  <si>
    <t>11196</t>
  </si>
  <si>
    <t>11294</t>
  </si>
  <si>
    <t>11443</t>
  </si>
  <si>
    <t>11671</t>
  </si>
  <si>
    <t>11760</t>
  </si>
  <si>
    <t>11941</t>
  </si>
  <si>
    <t>13891</t>
  </si>
  <si>
    <t>13892</t>
  </si>
  <si>
    <t>14045</t>
  </si>
  <si>
    <t>14821</t>
  </si>
  <si>
    <t>8496</t>
  </si>
  <si>
    <t>10776</t>
  </si>
  <si>
    <t>10943</t>
  </si>
  <si>
    <t>10978</t>
  </si>
  <si>
    <t>9496</t>
  </si>
  <si>
    <t>10811</t>
  </si>
  <si>
    <t>8924</t>
  </si>
  <si>
    <t>13612</t>
  </si>
  <si>
    <t>14158</t>
  </si>
  <si>
    <t>14174</t>
  </si>
  <si>
    <t>15855</t>
  </si>
  <si>
    <t>11300</t>
  </si>
  <si>
    <t>14763</t>
  </si>
  <si>
    <t>6725</t>
  </si>
  <si>
    <t>7169</t>
  </si>
  <si>
    <t>10668</t>
  </si>
  <si>
    <t>10752</t>
  </si>
  <si>
    <t>10814</t>
  </si>
  <si>
    <t>11042</t>
  </si>
  <si>
    <t>11120</t>
  </si>
  <si>
    <t>11301</t>
  </si>
  <si>
    <t>11914</t>
  </si>
  <si>
    <t>11921</t>
  </si>
  <si>
    <t>12204</t>
  </si>
  <si>
    <t>13954</t>
  </si>
  <si>
    <t>13978</t>
  </si>
  <si>
    <t>14028</t>
  </si>
  <si>
    <t>14191</t>
  </si>
  <si>
    <t>14814</t>
  </si>
  <si>
    <t>15996</t>
  </si>
  <si>
    <t>14562</t>
  </si>
  <si>
    <t>10820</t>
  </si>
  <si>
    <t>10791</t>
  </si>
  <si>
    <t>10797</t>
  </si>
  <si>
    <t>10792</t>
  </si>
  <si>
    <t>14922</t>
  </si>
  <si>
    <t>8877</t>
  </si>
  <si>
    <t>7065</t>
  </si>
  <si>
    <t>7066</t>
  </si>
  <si>
    <t>7067</t>
  </si>
  <si>
    <t>7068</t>
  </si>
  <si>
    <t>7069</t>
  </si>
  <si>
    <t>12173</t>
  </si>
  <si>
    <t>12861</t>
  </si>
  <si>
    <t>12920</t>
  </si>
  <si>
    <t>14194</t>
  </si>
  <si>
    <t>14197</t>
  </si>
  <si>
    <t>14546</t>
  </si>
  <si>
    <t>15993</t>
  </si>
  <si>
    <t>11648</t>
  </si>
  <si>
    <t>14573</t>
  </si>
  <si>
    <t>6561</t>
  </si>
  <si>
    <t>6569</t>
  </si>
  <si>
    <t>7171</t>
  </si>
  <si>
    <t>9579</t>
  </si>
  <si>
    <t>9978</t>
  </si>
  <si>
    <t>10671</t>
  </si>
  <si>
    <t>10762</t>
  </si>
  <si>
    <t>11295</t>
  </si>
  <si>
    <t>11316</t>
  </si>
  <si>
    <t>11358</t>
  </si>
  <si>
    <t>11792</t>
  </si>
  <si>
    <t>11793</t>
  </si>
  <si>
    <t>14773</t>
  </si>
  <si>
    <t>14783</t>
  </si>
  <si>
    <t>15690</t>
  </si>
  <si>
    <t>15927</t>
  </si>
  <si>
    <t>16062</t>
  </si>
  <si>
    <t>7182</t>
  </si>
  <si>
    <t>12033</t>
  </si>
  <si>
    <t>10812</t>
  </si>
  <si>
    <t>10804</t>
  </si>
  <si>
    <t>10822</t>
  </si>
  <si>
    <t>10823</t>
  </si>
  <si>
    <t>11269</t>
  </si>
  <si>
    <t>13404</t>
  </si>
  <si>
    <t>13405</t>
  </si>
  <si>
    <t>13406</t>
  </si>
  <si>
    <t>13407</t>
  </si>
  <si>
    <t>13408</t>
  </si>
  <si>
    <t>6834</t>
  </si>
  <si>
    <t>6835</t>
  </si>
  <si>
    <t>6836</t>
  </si>
  <si>
    <t>9740</t>
  </si>
  <si>
    <t>9741</t>
  </si>
  <si>
    <t>9742</t>
  </si>
  <si>
    <t>12161</t>
  </si>
  <si>
    <t>12830</t>
  </si>
  <si>
    <t>12838</t>
  </si>
  <si>
    <t>12852</t>
  </si>
  <si>
    <t>12855</t>
  </si>
  <si>
    <t>12856</t>
  </si>
  <si>
    <t>13201</t>
  </si>
  <si>
    <t>13231</t>
  </si>
  <si>
    <t>13257</t>
  </si>
  <si>
    <t>13409</t>
  </si>
  <si>
    <t>6570</t>
  </si>
  <si>
    <t>6870</t>
  </si>
  <si>
    <t>6873</t>
  </si>
  <si>
    <t>6882</t>
  </si>
  <si>
    <t>10561</t>
  </si>
  <si>
    <t>10702</t>
  </si>
  <si>
    <t>11186</t>
  </si>
  <si>
    <t>8370</t>
  </si>
  <si>
    <t>11824</t>
  </si>
  <si>
    <t>15715</t>
  </si>
  <si>
    <t>15862</t>
  </si>
  <si>
    <t>16005</t>
  </si>
  <si>
    <t>8494</t>
  </si>
  <si>
    <t>8498</t>
  </si>
  <si>
    <t>14104</t>
  </si>
  <si>
    <t>14135</t>
  </si>
  <si>
    <t>14159</t>
  </si>
  <si>
    <t>10824</t>
  </si>
  <si>
    <t>9493</t>
  </si>
  <si>
    <t>9785</t>
  </si>
  <si>
    <t>14181</t>
  </si>
  <si>
    <t>14214</t>
  </si>
  <si>
    <t>14215</t>
  </si>
  <si>
    <t>14526</t>
  </si>
  <si>
    <t>14591</t>
  </si>
  <si>
    <t>14722</t>
  </si>
  <si>
    <t>6643</t>
  </si>
  <si>
    <t>6844</t>
  </si>
  <si>
    <t>8734</t>
  </si>
  <si>
    <t>10603</t>
  </si>
  <si>
    <t>10643</t>
  </si>
  <si>
    <t>10758</t>
  </si>
  <si>
    <t>11063</t>
  </si>
  <si>
    <t>11606</t>
  </si>
  <si>
    <t>12088</t>
  </si>
  <si>
    <t>12466</t>
  </si>
  <si>
    <t>12477</t>
  </si>
  <si>
    <t>12611</t>
  </si>
  <si>
    <t>14243</t>
  </si>
  <si>
    <t>14382</t>
  </si>
  <si>
    <t>15964</t>
  </si>
  <si>
    <t>15166</t>
  </si>
  <si>
    <t>7369</t>
  </si>
  <si>
    <t>14997</t>
  </si>
  <si>
    <t>15390</t>
  </si>
  <si>
    <t>15373</t>
  </si>
  <si>
    <t>15068</t>
  </si>
  <si>
    <t>15069</t>
  </si>
  <si>
    <t>15091</t>
  </si>
  <si>
    <t>15379</t>
  </si>
  <si>
    <t>15333</t>
  </si>
  <si>
    <t>15070</t>
  </si>
  <si>
    <t>15071</t>
  </si>
  <si>
    <t>15399</t>
  </si>
  <si>
    <t>15536</t>
  </si>
  <si>
    <t>15074</t>
  </si>
  <si>
    <t>15024</t>
  </si>
  <si>
    <t>15366</t>
  </si>
  <si>
    <t>15076</t>
  </si>
  <si>
    <t>15087</t>
  </si>
  <si>
    <t>15367</t>
  </si>
  <si>
    <t>15368</t>
  </si>
  <si>
    <t>15093</t>
  </si>
  <si>
    <t>15102</t>
  </si>
  <si>
    <t>15085</t>
  </si>
  <si>
    <t>15348</t>
  </si>
  <si>
    <t>15419</t>
  </si>
  <si>
    <t>15444</t>
  </si>
  <si>
    <t>15353</t>
  </si>
  <si>
    <t>15446</t>
  </si>
  <si>
    <t>15384</t>
  </si>
  <si>
    <t>15457</t>
  </si>
  <si>
    <t>15554</t>
  </si>
  <si>
    <t>15351</t>
  </si>
  <si>
    <t>15377</t>
  </si>
  <si>
    <t>15306</t>
  </si>
  <si>
    <t>1256</t>
  </si>
  <si>
    <t>1257</t>
  </si>
  <si>
    <t>9685</t>
  </si>
  <si>
    <t>8529</t>
  </si>
  <si>
    <t>10825</t>
  </si>
  <si>
    <t>7306</t>
  </si>
  <si>
    <t>9036</t>
  </si>
  <si>
    <t>8921</t>
  </si>
  <si>
    <t>7357</t>
  </si>
  <si>
    <t>6822</t>
  </si>
  <si>
    <t>9358</t>
  </si>
  <si>
    <t>12819</t>
  </si>
  <si>
    <t>12821</t>
  </si>
  <si>
    <t>13472</t>
  </si>
  <si>
    <t>13095</t>
  </si>
  <si>
    <t>6567</t>
  </si>
  <si>
    <t>6667</t>
  </si>
  <si>
    <t>6671</t>
  </si>
  <si>
    <t>8194</t>
  </si>
  <si>
    <t>8268</t>
  </si>
  <si>
    <t>9836</t>
  </si>
  <si>
    <t>10850</t>
  </si>
  <si>
    <t>11590</t>
  </si>
  <si>
    <t>12358</t>
  </si>
  <si>
    <t>12744</t>
  </si>
  <si>
    <t>13272</t>
  </si>
  <si>
    <t>13608</t>
  </si>
  <si>
    <t>13968</t>
  </si>
  <si>
    <t>14396</t>
  </si>
  <si>
    <t>14577</t>
  </si>
  <si>
    <t>15706</t>
  </si>
  <si>
    <t>7151</t>
  </si>
  <si>
    <t>15653</t>
  </si>
  <si>
    <t>15363</t>
  </si>
  <si>
    <t>1258</t>
  </si>
  <si>
    <t>10650</t>
  </si>
  <si>
    <t>10093</t>
  </si>
  <si>
    <t>7160</t>
  </si>
  <si>
    <t>12256</t>
  </si>
  <si>
    <t>12836</t>
  </si>
  <si>
    <t>12844</t>
  </si>
  <si>
    <t>13219</t>
  </si>
  <si>
    <t>13717</t>
  </si>
  <si>
    <t>14527</t>
  </si>
  <si>
    <t>13042</t>
  </si>
  <si>
    <t>7228</t>
  </si>
  <si>
    <t>8275</t>
  </si>
  <si>
    <t>10300</t>
  </si>
  <si>
    <t>10514</t>
  </si>
  <si>
    <t>12468</t>
  </si>
  <si>
    <t>14409</t>
  </si>
  <si>
    <t>15671</t>
  </si>
  <si>
    <t>15734</t>
  </si>
  <si>
    <t>12645</t>
  </si>
  <si>
    <t>7330</t>
  </si>
  <si>
    <t>13949</t>
  </si>
  <si>
    <t>15932</t>
  </si>
  <si>
    <t>6756</t>
  </si>
  <si>
    <t>11603</t>
  </si>
  <si>
    <t>6747</t>
  </si>
  <si>
    <t>11863</t>
  </si>
  <si>
    <t>14482</t>
  </si>
  <si>
    <t>14689</t>
  </si>
  <si>
    <t>7234</t>
  </si>
  <si>
    <t>7178</t>
  </si>
  <si>
    <t>7345</t>
  </si>
  <si>
    <t>10970</t>
  </si>
  <si>
    <t>10971</t>
  </si>
  <si>
    <t>13496</t>
  </si>
  <si>
    <t>7076</t>
  </si>
  <si>
    <t>7075</t>
  </si>
  <si>
    <t>10972</t>
  </si>
  <si>
    <t>10973</t>
  </si>
  <si>
    <t>13073</t>
  </si>
  <si>
    <t>9543</t>
  </si>
  <si>
    <t>9073</t>
  </si>
  <si>
    <t>10209</t>
  </si>
  <si>
    <t>6652</t>
  </si>
  <si>
    <t>6847</t>
  </si>
  <si>
    <t>12906</t>
  </si>
  <si>
    <t>10656</t>
  </si>
  <si>
    <t>11054</t>
  </si>
  <si>
    <t>14237</t>
  </si>
  <si>
    <t>13229</t>
  </si>
  <si>
    <t>13221</t>
  </si>
  <si>
    <t>13216</t>
  </si>
  <si>
    <t>13214</t>
  </si>
  <si>
    <t>12911</t>
  </si>
  <si>
    <t>11132</t>
  </si>
  <si>
    <t>11525</t>
  </si>
  <si>
    <t>13497</t>
  </si>
  <si>
    <t>13893</t>
  </si>
  <si>
    <t>14027</t>
  </si>
  <si>
    <t>6625</t>
  </si>
  <si>
    <t>6704</t>
  </si>
  <si>
    <t>12618</t>
  </si>
  <si>
    <t>10620</t>
  </si>
  <si>
    <t>15621</t>
  </si>
  <si>
    <t>11165</t>
  </si>
  <si>
    <t>6566</t>
  </si>
  <si>
    <t>6869</t>
  </si>
  <si>
    <t>7158</t>
  </si>
  <si>
    <t>7157</t>
  </si>
  <si>
    <t>13066</t>
  </si>
  <si>
    <t>7152</t>
  </si>
  <si>
    <t>7155</t>
  </si>
  <si>
    <t>7156</t>
  </si>
  <si>
    <t>12091</t>
  </si>
  <si>
    <t>13071</t>
  </si>
  <si>
    <t>7254</t>
  </si>
  <si>
    <t>12462</t>
  </si>
  <si>
    <t>6620</t>
  </si>
  <si>
    <t>6626</t>
  </si>
  <si>
    <t>6638</t>
  </si>
  <si>
    <t>6648</t>
  </si>
  <si>
    <t>6649</t>
  </si>
  <si>
    <t>6723</t>
  </si>
  <si>
    <t>6739</t>
  </si>
  <si>
    <t>6758</t>
  </si>
  <si>
    <t>6759</t>
  </si>
  <si>
    <t>6761</t>
  </si>
  <si>
    <t>6764</t>
  </si>
  <si>
    <t>6766</t>
  </si>
  <si>
    <t>6769</t>
  </si>
  <si>
    <t>6773</t>
  </si>
  <si>
    <t>6774</t>
  </si>
  <si>
    <t>6775</t>
  </si>
  <si>
    <t>6776</t>
  </si>
  <si>
    <t>6779</t>
  </si>
  <si>
    <t>6793</t>
  </si>
  <si>
    <t>6842</t>
  </si>
  <si>
    <t>6909</t>
  </si>
  <si>
    <t>6919</t>
  </si>
  <si>
    <t>6999</t>
  </si>
  <si>
    <t>7013</t>
  </si>
  <si>
    <t>7014</t>
  </si>
  <si>
    <t>7015</t>
  </si>
  <si>
    <t>7019</t>
  </si>
  <si>
    <t>7020</t>
  </si>
  <si>
    <t>7149</t>
  </si>
  <si>
    <t>7188</t>
  </si>
  <si>
    <t>7239</t>
  </si>
  <si>
    <t>7294</t>
  </si>
  <si>
    <t>7324</t>
  </si>
  <si>
    <t>7379</t>
  </si>
  <si>
    <t>7386</t>
  </si>
  <si>
    <t>8115</t>
  </si>
  <si>
    <t>8313</t>
  </si>
  <si>
    <t>8326</t>
  </si>
  <si>
    <t>8426</t>
  </si>
  <si>
    <t>8495</t>
  </si>
  <si>
    <t>8497</t>
  </si>
  <si>
    <t>8690</t>
  </si>
  <si>
    <t>9116</t>
  </si>
  <si>
    <t>9245</t>
  </si>
  <si>
    <t>9332</t>
  </si>
  <si>
    <t>9380</t>
  </si>
  <si>
    <t>9394</t>
  </si>
  <si>
    <t>9533</t>
  </si>
  <si>
    <t>9551</t>
  </si>
  <si>
    <t>9866</t>
  </si>
  <si>
    <t>9867</t>
  </si>
  <si>
    <t>10120</t>
  </si>
  <si>
    <t>10476</t>
  </si>
  <si>
    <t>10551</t>
  </si>
  <si>
    <t>10655</t>
  </si>
  <si>
    <t>10826</t>
  </si>
  <si>
    <t>10828</t>
  </si>
  <si>
    <t>10829</t>
  </si>
  <si>
    <t>10855</t>
  </si>
  <si>
    <t>10856</t>
  </si>
  <si>
    <t>10857</t>
  </si>
  <si>
    <t>11000</t>
  </si>
  <si>
    <t>11178</t>
  </si>
  <si>
    <t>11197</t>
  </si>
  <si>
    <t>11338</t>
  </si>
  <si>
    <t>11347</t>
  </si>
  <si>
    <t>11470</t>
  </si>
  <si>
    <t>11584</t>
  </si>
  <si>
    <t>11589</t>
  </si>
  <si>
    <t>11664</t>
  </si>
  <si>
    <t>11673</t>
  </si>
  <si>
    <t>11733</t>
  </si>
  <si>
    <t>11775</t>
  </si>
  <si>
    <t>12005</t>
  </si>
  <si>
    <t>12030</t>
  </si>
  <si>
    <t>12150</t>
  </si>
  <si>
    <t>12162</t>
  </si>
  <si>
    <t>12475</t>
  </si>
  <si>
    <t>12484</t>
  </si>
  <si>
    <t>12494</t>
  </si>
  <si>
    <t>12653</t>
  </si>
  <si>
    <t>12822</t>
  </si>
  <si>
    <t>12829</t>
  </si>
  <si>
    <t>12847</t>
  </si>
  <si>
    <t>12864</t>
  </si>
  <si>
    <t>12866</t>
  </si>
  <si>
    <t>12919</t>
  </si>
  <si>
    <t>12933</t>
  </si>
  <si>
    <t>12985</t>
  </si>
  <si>
    <t>13016</t>
  </si>
  <si>
    <t>13048</t>
  </si>
  <si>
    <t>13051</t>
  </si>
  <si>
    <t>13185</t>
  </si>
  <si>
    <t>13215</t>
  </si>
  <si>
    <t>13274</t>
  </si>
  <si>
    <t>11175</t>
  </si>
  <si>
    <t>13850</t>
  </si>
  <si>
    <t>14038</t>
  </si>
  <si>
    <t>14061</t>
  </si>
  <si>
    <t>14178</t>
  </si>
  <si>
    <t>14186</t>
  </si>
  <si>
    <t>14206</t>
  </si>
  <si>
    <t>14207</t>
  </si>
  <si>
    <t>14210</t>
  </si>
  <si>
    <t>14211</t>
  </si>
  <si>
    <t>14255</t>
  </si>
  <si>
    <t>14362</t>
  </si>
  <si>
    <t>14377</t>
  </si>
  <si>
    <t>14403</t>
  </si>
  <si>
    <t>14406</t>
  </si>
  <si>
    <t>14574</t>
  </si>
  <si>
    <t>14590</t>
  </si>
  <si>
    <t>14644</t>
  </si>
  <si>
    <t>14720</t>
  </si>
  <si>
    <t>14723</t>
  </si>
  <si>
    <t>14762</t>
  </si>
  <si>
    <t>14837</t>
  </si>
  <si>
    <t>15112</t>
  </si>
  <si>
    <t>15114</t>
  </si>
  <si>
    <t>15116</t>
  </si>
  <si>
    <t>15122</t>
  </si>
  <si>
    <t>15125</t>
  </si>
  <si>
    <t>15126</t>
  </si>
  <si>
    <t>15127</t>
  </si>
  <si>
    <t>15129</t>
  </si>
  <si>
    <t>15134</t>
  </si>
  <si>
    <t>15135</t>
  </si>
  <si>
    <t>15136</t>
  </si>
  <si>
    <t>15167</t>
  </si>
  <si>
    <t>15243</t>
  </si>
  <si>
    <t>15477</t>
  </si>
  <si>
    <t>15589</t>
  </si>
  <si>
    <t>15672</t>
  </si>
  <si>
    <t>15716</t>
  </si>
  <si>
    <t>15756</t>
  </si>
  <si>
    <t>15919</t>
  </si>
  <si>
    <t>15951</t>
  </si>
  <si>
    <t>16014</t>
  </si>
  <si>
    <t>16018</t>
  </si>
  <si>
    <t>14629</t>
  </si>
  <si>
    <t>10830</t>
  </si>
  <si>
    <t>7307</t>
  </si>
  <si>
    <t>7077</t>
  </si>
  <si>
    <t>7078</t>
  </si>
  <si>
    <t>7079</t>
  </si>
  <si>
    <t>7080</t>
  </si>
  <si>
    <t>7081</t>
  </si>
  <si>
    <t>14627</t>
  </si>
  <si>
    <t>6940</t>
  </si>
  <si>
    <t>12848</t>
  </si>
  <si>
    <t>12916</t>
  </si>
  <si>
    <t>13217</t>
  </si>
  <si>
    <t>13469</t>
  </si>
  <si>
    <t>13000</t>
  </si>
  <si>
    <t>13001</t>
  </si>
  <si>
    <t>6642</t>
  </si>
  <si>
    <t>6894</t>
  </si>
  <si>
    <t>14784</t>
  </si>
  <si>
    <t>7117</t>
  </si>
  <si>
    <t>7147</t>
  </si>
  <si>
    <t>7159</t>
  </si>
  <si>
    <t>7211</t>
  </si>
  <si>
    <t>7256</t>
  </si>
  <si>
    <t>9417</t>
  </si>
  <si>
    <t>9832</t>
  </si>
  <si>
    <t>9927</t>
  </si>
  <si>
    <t>11138</t>
  </si>
  <si>
    <t>9928</t>
  </si>
  <si>
    <t>10675</t>
  </si>
  <si>
    <t>13491</t>
  </si>
  <si>
    <t>11738</t>
  </si>
  <si>
    <t>12394</t>
  </si>
  <si>
    <t>14318</t>
  </si>
  <si>
    <t>12740</t>
  </si>
  <si>
    <t>13339</t>
  </si>
  <si>
    <t>14138</t>
  </si>
  <si>
    <t>14363</t>
  </si>
  <si>
    <t>14528</t>
  </si>
  <si>
    <t>14816</t>
  </si>
  <si>
    <t>15840</t>
  </si>
  <si>
    <t>7402</t>
  </si>
  <si>
    <t>7406</t>
  </si>
  <si>
    <t>7314</t>
  </si>
  <si>
    <t>12028</t>
  </si>
  <si>
    <t>12144</t>
  </si>
  <si>
    <t>9548</t>
  </si>
  <si>
    <t>6742</t>
  </si>
  <si>
    <t>12884</t>
  </si>
  <si>
    <t>11134</t>
  </si>
  <si>
    <t>9547</t>
  </si>
  <si>
    <t>14558</t>
  </si>
  <si>
    <t>9577</t>
  </si>
  <si>
    <t>9719</t>
  </si>
  <si>
    <t>9881</t>
  </si>
  <si>
    <t>9906</t>
  </si>
  <si>
    <t>9974</t>
  </si>
  <si>
    <t>10038</t>
  </si>
  <si>
    <t>11025</t>
  </si>
  <si>
    <t>11313</t>
  </si>
  <si>
    <t>11428</t>
  </si>
  <si>
    <t>11483</t>
  </si>
  <si>
    <t>11966</t>
  </si>
  <si>
    <t>14091</t>
  </si>
  <si>
    <t>14845</t>
  </si>
  <si>
    <t>15769</t>
  </si>
  <si>
    <t>15912</t>
  </si>
  <si>
    <t>1259</t>
  </si>
  <si>
    <t>7185</t>
  </si>
  <si>
    <t>10435</t>
  </si>
  <si>
    <t>12149</t>
  </si>
  <si>
    <t>12853</t>
  </si>
  <si>
    <t>13211</t>
  </si>
  <si>
    <t>6563</t>
  </si>
  <si>
    <t>6572</t>
  </si>
  <si>
    <t>7201</t>
  </si>
  <si>
    <t>6771</t>
  </si>
  <si>
    <t>7136</t>
  </si>
  <si>
    <t>7137</t>
  </si>
  <si>
    <t>12299</t>
  </si>
  <si>
    <t>7288</t>
  </si>
  <si>
    <t>7346</t>
  </si>
  <si>
    <t>9106</t>
  </si>
  <si>
    <t>11968</t>
  </si>
  <si>
    <t>9971</t>
  </si>
  <si>
    <t>10257</t>
  </si>
  <si>
    <t>11244</t>
  </si>
  <si>
    <t>11362</t>
  </si>
  <si>
    <t>11511</t>
  </si>
  <si>
    <t>16127</t>
  </si>
  <si>
    <t>12114</t>
  </si>
  <si>
    <t>12295</t>
  </si>
  <si>
    <t>13721</t>
  </si>
  <si>
    <t>14062</t>
  </si>
  <si>
    <t>14653</t>
  </si>
  <si>
    <t>15819</t>
  </si>
  <si>
    <t>16033</t>
  </si>
  <si>
    <t>7405</t>
  </si>
  <si>
    <t>7407</t>
  </si>
  <si>
    <t>7186</t>
  </si>
  <si>
    <t>11770</t>
  </si>
  <si>
    <t>7048</t>
  </si>
  <si>
    <t>7279</t>
  </si>
  <si>
    <t>7091</t>
  </si>
  <si>
    <t>7092</t>
  </si>
  <si>
    <t>7093</t>
  </si>
  <si>
    <t>7094</t>
  </si>
  <si>
    <t>7095</t>
  </si>
  <si>
    <t>7025</t>
  </si>
  <si>
    <t>12824</t>
  </si>
  <si>
    <t>14522</t>
  </si>
  <si>
    <t>13085</t>
  </si>
  <si>
    <t>11665</t>
  </si>
  <si>
    <t>8885</t>
  </si>
  <si>
    <t>10090</t>
  </si>
  <si>
    <t>10332</t>
  </si>
  <si>
    <t>12455</t>
  </si>
  <si>
    <t>15649</t>
  </si>
  <si>
    <t>16056</t>
  </si>
  <si>
    <t>12896</t>
  </si>
  <si>
    <t>12835</t>
  </si>
  <si>
    <t>12837</t>
  </si>
  <si>
    <t>13032</t>
  </si>
  <si>
    <t>6743</t>
  </si>
  <si>
    <t>6929</t>
  </si>
  <si>
    <t>6930</t>
  </si>
  <si>
    <t>6934</t>
  </si>
  <si>
    <t>14785</t>
  </si>
  <si>
    <t>7024</t>
  </si>
  <si>
    <t>7032</t>
  </si>
  <si>
    <t>7190</t>
  </si>
  <si>
    <t>7328</t>
  </si>
  <si>
    <t>9117</t>
  </si>
  <si>
    <t>14945</t>
  </si>
  <si>
    <t>10693</t>
  </si>
  <si>
    <t>12411</t>
  </si>
  <si>
    <t>11455</t>
  </si>
  <si>
    <t>12909</t>
  </si>
  <si>
    <t>14608</t>
  </si>
  <si>
    <t>15708</t>
  </si>
  <si>
    <t>8500</t>
  </si>
  <si>
    <t>8503</t>
  </si>
  <si>
    <t>10835</t>
  </si>
  <si>
    <t>7253</t>
  </si>
  <si>
    <t>7195</t>
  </si>
  <si>
    <t>12160</t>
  </si>
  <si>
    <t>12936</t>
  </si>
  <si>
    <t>13718</t>
  </si>
  <si>
    <t>13767</t>
  </si>
  <si>
    <t>14166</t>
  </si>
  <si>
    <t>14167</t>
  </si>
  <si>
    <t>14168</t>
  </si>
  <si>
    <t>14169</t>
  </si>
  <si>
    <t>14170</t>
  </si>
  <si>
    <t>14171</t>
  </si>
  <si>
    <t>14234</t>
  </si>
  <si>
    <t>14545</t>
  </si>
  <si>
    <t>6573</t>
  </si>
  <si>
    <t>12391</t>
  </si>
  <si>
    <t>6624</t>
  </si>
  <si>
    <t>6727</t>
  </si>
  <si>
    <t>6768</t>
  </si>
  <si>
    <t>7109</t>
  </si>
  <si>
    <t>7278</t>
  </si>
  <si>
    <t>7376</t>
  </si>
  <si>
    <t>8720</t>
  </si>
  <si>
    <t>9032</t>
  </si>
  <si>
    <t>11122</t>
  </si>
  <si>
    <t>6729</t>
  </si>
  <si>
    <t>12724</t>
  </si>
  <si>
    <t>11935</t>
  </si>
  <si>
    <t>14675</t>
  </si>
  <si>
    <t>15473</t>
  </si>
  <si>
    <t>15237</t>
  </si>
  <si>
    <t>15391</t>
  </si>
  <si>
    <t>15246</t>
  </si>
  <si>
    <t>15256</t>
  </si>
  <si>
    <t>8525</t>
  </si>
  <si>
    <t>15664</t>
  </si>
  <si>
    <t>8925</t>
  </si>
  <si>
    <t>13701</t>
  </si>
  <si>
    <t>15837</t>
  </si>
  <si>
    <t>13471</t>
  </si>
  <si>
    <t>14099</t>
  </si>
  <si>
    <t>14100</t>
  </si>
  <si>
    <t>16036</t>
  </si>
  <si>
    <t>16037</t>
  </si>
  <si>
    <t>6659</t>
  </si>
  <si>
    <t>6662</t>
  </si>
  <si>
    <t>6663</t>
  </si>
  <si>
    <t>6674</t>
  </si>
  <si>
    <t>6741</t>
  </si>
  <si>
    <t>6862</t>
  </si>
  <si>
    <t>6886</t>
  </si>
  <si>
    <t>8182</t>
  </si>
  <si>
    <t>8184</t>
  </si>
  <si>
    <t>8943</t>
  </si>
  <si>
    <t>9128</t>
  </si>
  <si>
    <t>9261</t>
  </si>
  <si>
    <t>9986</t>
  </si>
  <si>
    <t>12904</t>
  </si>
  <si>
    <t>11429</t>
  </si>
  <si>
    <t>12529</t>
  </si>
  <si>
    <t>14110</t>
  </si>
  <si>
    <t>13023</t>
  </si>
  <si>
    <t>14080</t>
  </si>
  <si>
    <t>14328</t>
  </si>
  <si>
    <t>14936</t>
  </si>
  <si>
    <t>15341</t>
  </si>
  <si>
    <t>15342</t>
  </si>
  <si>
    <t>15409</t>
  </si>
  <si>
    <t>15434</t>
  </si>
  <si>
    <t>15407</t>
  </si>
  <si>
    <t>15345</t>
  </si>
  <si>
    <t>15370</t>
  </si>
  <si>
    <t>15450</t>
  </si>
  <si>
    <t>15528</t>
  </si>
  <si>
    <t>15503</t>
  </si>
  <si>
    <t>15277</t>
  </si>
  <si>
    <t>15230</t>
  </si>
  <si>
    <t>15505</t>
  </si>
  <si>
    <t>15508</t>
  </si>
  <si>
    <t>15509</t>
  </si>
  <si>
    <t>8499</t>
  </si>
  <si>
    <t>8502</t>
  </si>
  <si>
    <t>11307</t>
  </si>
  <si>
    <t>14195</t>
  </si>
  <si>
    <t>14196</t>
  </si>
  <si>
    <t>14198</t>
  </si>
  <si>
    <t>14200</t>
  </si>
  <si>
    <t>14201</t>
  </si>
  <si>
    <t>14203</t>
  </si>
  <si>
    <t>14205</t>
  </si>
  <si>
    <t>14216</t>
  </si>
  <si>
    <t>14217</t>
  </si>
  <si>
    <t>14218</t>
  </si>
  <si>
    <t>16057</t>
  </si>
  <si>
    <t>13279</t>
  </si>
  <si>
    <t>15908</t>
  </si>
  <si>
    <t>6621</t>
  </si>
  <si>
    <t>6760</t>
  </si>
  <si>
    <t>6837</t>
  </si>
  <si>
    <t>7009</t>
  </si>
  <si>
    <t>10709</t>
  </si>
  <si>
    <t>11278</t>
  </si>
  <si>
    <t>15852</t>
  </si>
  <si>
    <t>7398</t>
  </si>
  <si>
    <t>15165</t>
  </si>
  <si>
    <t>15175</t>
  </si>
  <si>
    <t>15204</t>
  </si>
  <si>
    <t>15194</t>
  </si>
  <si>
    <t>15121</t>
  </si>
  <si>
    <t>15180</t>
  </si>
  <si>
    <t>15186</t>
  </si>
  <si>
    <t>15200</t>
  </si>
  <si>
    <t>15189</t>
  </si>
  <si>
    <t>15646</t>
  </si>
  <si>
    <t>15647</t>
  </si>
  <si>
    <t>7165</t>
  </si>
  <si>
    <t>11864</t>
  </si>
  <si>
    <t>12865</t>
  </si>
  <si>
    <t>14141</t>
  </si>
  <si>
    <t>14142</t>
  </si>
  <si>
    <t>14208</t>
  </si>
  <si>
    <t>14209</t>
  </si>
  <si>
    <t>14213</t>
  </si>
  <si>
    <t>6672</t>
  </si>
  <si>
    <t>6690</t>
  </si>
  <si>
    <t>6794</t>
  </si>
  <si>
    <t>6853</t>
  </si>
  <si>
    <t>6878</t>
  </si>
  <si>
    <t>6985</t>
  </si>
  <si>
    <t>8153</t>
  </si>
  <si>
    <t>8904</t>
  </si>
  <si>
    <t>9475</t>
  </si>
  <si>
    <t>11169</t>
  </si>
  <si>
    <t>11496</t>
  </si>
  <si>
    <t>11537</t>
  </si>
  <si>
    <t>11540</t>
  </si>
  <si>
    <t>12079</t>
  </si>
  <si>
    <t>11700</t>
  </si>
  <si>
    <t>11847</t>
  </si>
  <si>
    <t>14426</t>
  </si>
  <si>
    <t>15931</t>
  </si>
  <si>
    <t>7173</t>
  </si>
  <si>
    <t>15535</t>
  </si>
  <si>
    <t>15007</t>
  </si>
  <si>
    <t>15018</t>
  </si>
  <si>
    <t>15019</t>
  </si>
  <si>
    <t>15441</t>
  </si>
  <si>
    <t>8527</t>
  </si>
  <si>
    <t>8528</t>
  </si>
  <si>
    <t>7054</t>
  </si>
  <si>
    <t>7055</t>
  </si>
  <si>
    <t>7056</t>
  </si>
  <si>
    <t>7057</t>
  </si>
  <si>
    <t>7058</t>
  </si>
  <si>
    <t>7059</t>
  </si>
  <si>
    <t>12832</t>
  </si>
  <si>
    <t>14225</t>
  </si>
  <si>
    <t>14229</t>
  </si>
  <si>
    <t>13060</t>
  </si>
  <si>
    <t>6568</t>
  </si>
  <si>
    <t>6679</t>
  </si>
  <si>
    <t>6765</t>
  </si>
  <si>
    <t>6828</t>
  </si>
  <si>
    <t>15832</t>
  </si>
  <si>
    <t>6889</t>
  </si>
  <si>
    <t>7119</t>
  </si>
  <si>
    <t>7193</t>
  </si>
  <si>
    <t>7231</t>
  </si>
  <si>
    <t>7371</t>
  </si>
  <si>
    <t>7375</t>
  </si>
  <si>
    <t>10605</t>
  </si>
  <si>
    <t>14284</t>
  </si>
  <si>
    <t>14761</t>
  </si>
  <si>
    <t>15910</t>
  </si>
  <si>
    <t>15343</t>
  </si>
  <si>
    <t>15344</t>
  </si>
  <si>
    <t>15346</t>
  </si>
  <si>
    <t>15669</t>
  </si>
  <si>
    <t>15374</t>
  </si>
  <si>
    <t>15371</t>
  </si>
  <si>
    <t>15372</t>
  </si>
  <si>
    <t>15357</t>
  </si>
  <si>
    <t>15380</t>
  </si>
  <si>
    <t>15378</t>
  </si>
  <si>
    <t>15362</t>
  </si>
  <si>
    <t>15376</t>
  </si>
  <si>
    <t>15364</t>
  </si>
  <si>
    <t>15349</t>
  </si>
  <si>
    <t>15152</t>
  </si>
  <si>
    <t>15000</t>
  </si>
  <si>
    <t>15001</t>
  </si>
  <si>
    <t>15153</t>
  </si>
  <si>
    <t>14996</t>
  </si>
  <si>
    <t>15097</t>
  </si>
  <si>
    <t>15149</t>
  </si>
  <si>
    <t>15092</t>
  </si>
  <si>
    <t>15154</t>
  </si>
  <si>
    <t>15079</t>
  </si>
  <si>
    <t>15078</t>
  </si>
  <si>
    <t>15159</t>
  </si>
  <si>
    <t>15095</t>
  </si>
  <si>
    <t>15005</t>
  </si>
  <si>
    <t>15010</t>
  </si>
  <si>
    <t>15066</t>
  </si>
  <si>
    <t>15063</t>
  </si>
  <si>
    <t>15046</t>
  </si>
  <si>
    <t>15043</t>
  </si>
  <si>
    <t>15158</t>
  </si>
  <si>
    <t>15150</t>
  </si>
  <si>
    <t>15140</t>
  </si>
  <si>
    <t>15026</t>
  </si>
  <si>
    <t>14986</t>
  </si>
  <si>
    <t>15011</t>
  </si>
  <si>
    <t>15141</t>
  </si>
  <si>
    <t>15012</t>
  </si>
  <si>
    <t>15027</t>
  </si>
  <si>
    <t>14988</t>
  </si>
  <si>
    <t>15006</t>
  </si>
  <si>
    <t>15144</t>
  </si>
  <si>
    <t>15013</t>
  </si>
  <si>
    <t>15014</t>
  </si>
  <si>
    <t>15515</t>
  </si>
  <si>
    <t>15015</t>
  </si>
  <si>
    <t>15151</t>
  </si>
  <si>
    <t>15146</t>
  </si>
  <si>
    <t>15156</t>
  </si>
  <si>
    <t>15030</t>
  </si>
  <si>
    <t>15501</t>
  </si>
  <si>
    <t>15029</t>
  </si>
  <si>
    <t>15017</t>
  </si>
  <si>
    <t>15148</t>
  </si>
  <si>
    <t>15090</t>
  </si>
  <si>
    <t>15427</t>
  </si>
  <si>
    <t>15493</t>
  </si>
  <si>
    <t>15336</t>
  </si>
  <si>
    <t>15241</t>
  </si>
  <si>
    <t>15145</t>
  </si>
  <si>
    <t>15494</t>
  </si>
  <si>
    <t>15147</t>
  </si>
  <si>
    <t>15502</t>
  </si>
  <si>
    <t>15922</t>
  </si>
  <si>
    <t>15418</t>
  </si>
  <si>
    <t>15008</t>
  </si>
  <si>
    <t>15089</t>
  </si>
  <si>
    <t>15002</t>
  </si>
  <si>
    <t>15660</t>
  </si>
  <si>
    <t>15075</t>
  </si>
  <si>
    <t>15055</t>
  </si>
  <si>
    <t>15086</t>
  </si>
  <si>
    <t>15004</t>
  </si>
  <si>
    <t>15659</t>
  </si>
  <si>
    <t>14998</t>
  </si>
  <si>
    <t>15670</t>
  </si>
  <si>
    <t>15142</t>
  </si>
  <si>
    <t>15020</t>
  </si>
  <si>
    <t>14992</t>
  </si>
  <si>
    <t>15064</t>
  </si>
  <si>
    <t>15028</t>
  </si>
  <si>
    <t>15101</t>
  </si>
  <si>
    <t>15105</t>
  </si>
  <si>
    <t>15094</t>
  </si>
  <si>
    <t>15088</t>
  </si>
  <si>
    <t>15096</t>
  </si>
  <si>
    <t>14985</t>
  </si>
  <si>
    <t>15233</t>
  </si>
  <si>
    <t>15468</t>
  </si>
  <si>
    <t>15009</t>
  </si>
  <si>
    <t>15325</t>
  </si>
  <si>
    <t>15025</t>
  </si>
  <si>
    <t>15507</t>
  </si>
  <si>
    <t>15280</t>
  </si>
  <si>
    <t>15352</t>
  </si>
  <si>
    <t>15472</t>
  </si>
  <si>
    <t>15332</t>
  </si>
  <si>
    <t>15613</t>
  </si>
  <si>
    <t>15311</t>
  </si>
  <si>
    <t>15513</t>
  </si>
  <si>
    <t>15876</t>
  </si>
  <si>
    <t>16016</t>
  </si>
  <si>
    <t>15199</t>
  </si>
  <si>
    <t>15162</t>
  </si>
  <si>
    <t>15192</t>
  </si>
  <si>
    <t>15032</t>
  </si>
  <si>
    <t>15045</t>
  </si>
  <si>
    <t>15163</t>
  </si>
  <si>
    <t>15164</t>
  </si>
  <si>
    <t>15203</t>
  </si>
  <si>
    <t>15168</t>
  </si>
  <si>
    <t>15169</t>
  </si>
  <si>
    <t>15170</t>
  </si>
  <si>
    <t>15171</t>
  </si>
  <si>
    <t>15197</t>
  </si>
  <si>
    <t>15173</t>
  </si>
  <si>
    <t>15174</t>
  </si>
  <si>
    <t>15177</t>
  </si>
  <si>
    <t>15208</t>
  </si>
  <si>
    <t>15178</t>
  </si>
  <si>
    <t>15179</t>
  </si>
  <si>
    <t>15201</t>
  </si>
  <si>
    <t>15195</t>
  </si>
  <si>
    <t>15202</t>
  </si>
  <si>
    <t>15182</t>
  </si>
  <si>
    <t>15183</t>
  </si>
  <si>
    <t>15184</t>
  </si>
  <si>
    <t>15185</t>
  </si>
  <si>
    <t>15187</t>
  </si>
  <si>
    <t>15196</t>
  </si>
  <si>
    <t>15188</t>
  </si>
  <si>
    <t>15661</t>
  </si>
  <si>
    <t>15191</t>
  </si>
  <si>
    <t>15198</t>
  </si>
  <si>
    <t>15207</t>
  </si>
  <si>
    <t>15479</t>
  </si>
  <si>
    <t>15337</t>
  </si>
  <si>
    <t>14204</t>
  </si>
  <si>
    <t>15985</t>
  </si>
  <si>
    <t>15132</t>
  </si>
  <si>
    <t>15058</t>
  </si>
  <si>
    <t>15033</t>
  </si>
  <si>
    <t>15050</t>
  </si>
  <si>
    <t>15034</t>
  </si>
  <si>
    <t>15059</t>
  </si>
  <si>
    <t>15131</t>
  </si>
  <si>
    <t>15118</t>
  </si>
  <si>
    <t>15106</t>
  </si>
  <si>
    <t>15036</t>
  </si>
  <si>
    <t>15611</t>
  </si>
  <si>
    <t>15044</t>
  </si>
  <si>
    <t>15057</t>
  </si>
  <si>
    <t>15037</t>
  </si>
  <si>
    <t>15038</t>
  </si>
  <si>
    <t>15133</t>
  </si>
  <si>
    <t>15460</t>
  </si>
  <si>
    <t>15062</t>
  </si>
  <si>
    <t>15612</t>
  </si>
  <si>
    <t>15137</t>
  </si>
  <si>
    <t>15047</t>
  </si>
  <si>
    <t>15061</t>
  </si>
  <si>
    <t>15111</t>
  </si>
  <si>
    <t>15115</t>
  </si>
  <si>
    <t>15117</t>
  </si>
  <si>
    <t>15138</t>
  </si>
  <si>
    <t>15123</t>
  </si>
  <si>
    <t>15124</t>
  </si>
  <si>
    <t>15052</t>
  </si>
  <si>
    <t>15042</t>
  </si>
  <si>
    <t>15128</t>
  </si>
  <si>
    <t>15053</t>
  </si>
  <si>
    <t>15190</t>
  </si>
  <si>
    <t>15054</t>
  </si>
  <si>
    <t>15031</t>
  </si>
  <si>
    <t>15486</t>
  </si>
  <si>
    <t>15417</t>
  </si>
  <si>
    <t>15490</t>
  </si>
  <si>
    <t>15334</t>
  </si>
  <si>
    <t>15480</t>
  </si>
  <si>
    <t>15482</t>
  </si>
  <si>
    <t>15113</t>
  </si>
  <si>
    <t>15393</t>
  </si>
  <si>
    <t>15402</t>
  </si>
  <si>
    <t>15060</t>
  </si>
  <si>
    <t>15405</t>
  </si>
  <si>
    <t>15410</t>
  </si>
  <si>
    <t>15412</t>
  </si>
  <si>
    <t>15848</t>
  </si>
  <si>
    <t>15849</t>
  </si>
  <si>
    <t>15986</t>
  </si>
  <si>
    <t>7115</t>
  </si>
  <si>
    <t>15268</t>
  </si>
  <si>
    <t>15211</t>
  </si>
  <si>
    <t>15212</t>
  </si>
  <si>
    <t>15234</t>
  </si>
  <si>
    <t>15228</t>
  </si>
  <si>
    <t>15213</t>
  </si>
  <si>
    <t>15214</t>
  </si>
  <si>
    <t>15215</t>
  </si>
  <si>
    <t>15240</t>
  </si>
  <si>
    <t>15238</t>
  </si>
  <si>
    <t>15239</t>
  </si>
  <si>
    <t>15235</t>
  </si>
  <si>
    <t>15209</t>
  </si>
  <si>
    <t>15217</t>
  </si>
  <si>
    <t>15218</t>
  </si>
  <si>
    <t>15224</t>
  </si>
  <si>
    <t>15072</t>
  </si>
  <si>
    <t>15219</t>
  </si>
  <si>
    <t>15220</t>
  </si>
  <si>
    <t>15222</t>
  </si>
  <si>
    <t>15223</t>
  </si>
  <si>
    <t>15083</t>
  </si>
  <si>
    <t>15221</t>
  </si>
  <si>
    <t>15084</t>
  </si>
  <si>
    <t>15107</t>
  </si>
  <si>
    <t>15251</t>
  </si>
  <si>
    <t>15340</t>
  </si>
  <si>
    <t>15524</t>
  </si>
  <si>
    <t>15527</t>
  </si>
  <si>
    <t>15303</t>
  </si>
  <si>
    <t>15521</t>
  </si>
  <si>
    <t>15584</t>
  </si>
  <si>
    <t>15552</t>
  </si>
  <si>
    <t>15294</t>
  </si>
  <si>
    <t>15321</t>
  </si>
  <si>
    <t>15471</t>
  </si>
  <si>
    <t>15431</t>
  </si>
  <si>
    <t>15439</t>
  </si>
  <si>
    <t>15286</t>
  </si>
  <si>
    <t>15574</t>
  </si>
  <si>
    <t>15704</t>
  </si>
  <si>
    <t>15295</t>
  </si>
  <si>
    <t>15308</t>
  </si>
  <si>
    <t>14993</t>
  </si>
  <si>
    <t>15404</t>
  </si>
  <si>
    <t>15534</t>
  </si>
  <si>
    <t>15517</t>
  </si>
  <si>
    <t>15520</t>
  </si>
  <si>
    <t>15451</t>
  </si>
  <si>
    <t>15522</t>
  </si>
  <si>
    <t>15525</t>
  </si>
  <si>
    <t>15453</t>
  </si>
  <si>
    <t>15396</t>
  </si>
  <si>
    <t>15403</t>
  </si>
  <si>
    <t>15442</t>
  </si>
  <si>
    <t>15533</t>
  </si>
  <si>
    <t>15555</t>
  </si>
  <si>
    <t>15305</t>
  </si>
  <si>
    <t>15518</t>
  </si>
  <si>
    <t>15323</t>
  </si>
  <si>
    <t>15557</t>
  </si>
  <si>
    <t>15307</t>
  </si>
  <si>
    <t>15395</t>
  </si>
  <si>
    <t>15543</t>
  </si>
  <si>
    <t>15274</t>
  </si>
  <si>
    <t>15429</t>
  </si>
  <si>
    <t>15440</t>
  </si>
  <si>
    <t>15253</t>
  </si>
  <si>
    <t>15316</t>
  </si>
  <si>
    <t>15519</t>
  </si>
  <si>
    <t>15539</t>
  </si>
  <si>
    <t>15570</t>
  </si>
  <si>
    <t>15258</t>
  </si>
  <si>
    <t>15545</t>
  </si>
  <si>
    <t>15428</t>
  </si>
  <si>
    <t>15302</t>
  </si>
  <si>
    <t>15544</t>
  </si>
  <si>
    <t>15497</t>
  </si>
  <si>
    <t>15255</t>
  </si>
  <si>
    <t>15489</t>
  </si>
  <si>
    <t>15421</t>
  </si>
  <si>
    <t>15541</t>
  </si>
  <si>
    <t>15355</t>
  </si>
  <si>
    <t>15495</t>
  </si>
  <si>
    <t>15449</t>
  </si>
  <si>
    <t>14990</t>
  </si>
  <si>
    <t>15269</t>
  </si>
  <si>
    <t>15532</t>
  </si>
  <si>
    <t>15262</t>
  </si>
  <si>
    <t>15512</t>
  </si>
  <si>
    <t>15275</t>
  </si>
  <si>
    <t>15383</t>
  </si>
  <si>
    <t>15456</t>
  </si>
  <si>
    <t>15289</t>
  </si>
  <si>
    <t>15259</t>
  </si>
  <si>
    <t>15261</t>
  </si>
  <si>
    <t>15263</t>
  </si>
  <si>
    <t>15550</t>
  </si>
  <si>
    <t>15464</t>
  </si>
  <si>
    <t>15392</t>
  </si>
  <si>
    <t>15297</t>
  </si>
  <si>
    <t>15563</t>
  </si>
  <si>
    <t>15267</t>
  </si>
  <si>
    <t>15388</t>
  </si>
  <si>
    <t>15411</t>
  </si>
  <si>
    <t>15271</t>
  </si>
  <si>
    <t>15408</t>
  </si>
  <si>
    <t>15358</t>
  </si>
  <si>
    <t>15313</t>
  </si>
  <si>
    <t>15474</t>
  </si>
  <si>
    <t>15264</t>
  </si>
  <si>
    <t>15299</t>
  </si>
  <si>
    <t>15266</t>
  </si>
  <si>
    <t>14994</t>
  </si>
  <si>
    <t>15484</t>
  </si>
  <si>
    <t>15276</t>
  </si>
  <si>
    <t>15389</t>
  </si>
  <si>
    <t>15272</t>
  </si>
  <si>
    <t>15465</t>
  </si>
  <si>
    <t>15458</t>
  </si>
  <si>
    <t>15618</t>
  </si>
  <si>
    <t>15283</t>
  </si>
  <si>
    <t>15359</t>
  </si>
  <si>
    <t>15455</t>
  </si>
  <si>
    <t>15437</t>
  </si>
  <si>
    <t>15447</t>
  </si>
  <si>
    <t>15499</t>
  </si>
  <si>
    <t>15385</t>
  </si>
  <si>
    <t>15448</t>
  </si>
  <si>
    <t>15436</t>
  </si>
  <si>
    <t>15254</t>
  </si>
  <si>
    <t>15310</t>
  </si>
  <si>
    <t>15354</t>
  </si>
  <si>
    <t>15400</t>
  </si>
  <si>
    <t>15475</t>
  </si>
  <si>
    <t>15356</t>
  </si>
  <si>
    <t>15469</t>
  </si>
  <si>
    <t>15481</t>
  </si>
  <si>
    <t>15504</t>
  </si>
  <si>
    <t>15526</t>
  </si>
  <si>
    <t>15483</t>
  </si>
  <si>
    <t>15282</t>
  </si>
  <si>
    <t>15278</t>
  </si>
  <si>
    <t>15445</t>
  </si>
  <si>
    <t>15285</t>
  </si>
  <si>
    <t>15318</t>
  </si>
  <si>
    <t>15558</t>
  </si>
  <si>
    <t>15549</t>
  </si>
  <si>
    <t>15260</t>
  </si>
  <si>
    <t>15416</t>
  </si>
  <si>
    <t>15476</t>
  </si>
  <si>
    <t>15583</t>
  </si>
  <si>
    <t>15423</t>
  </si>
  <si>
    <t>15424</t>
  </si>
  <si>
    <t>15454</t>
  </si>
  <si>
    <t>15265</t>
  </si>
  <si>
    <t>15324</t>
  </si>
  <si>
    <t>15415</t>
  </si>
  <si>
    <t>15443</t>
  </si>
  <si>
    <t>15537</t>
  </si>
  <si>
    <t>15491</t>
  </si>
  <si>
    <t>15500</t>
  </si>
  <si>
    <t>15248</t>
  </si>
  <si>
    <t>15293</t>
  </si>
  <si>
    <t>15420</t>
  </si>
  <si>
    <t>15250</t>
  </si>
  <si>
    <t>15320</t>
  </si>
  <si>
    <t>15298</t>
  </si>
  <si>
    <t>15452</t>
  </si>
  <si>
    <t>15406</t>
  </si>
  <si>
    <t>15288</t>
  </si>
  <si>
    <t>15425</t>
  </si>
  <si>
    <t>15257</t>
  </si>
  <si>
    <t>15319</t>
  </si>
  <si>
    <t>15466</t>
  </si>
  <si>
    <t>15422</t>
  </si>
  <si>
    <t>15488</t>
  </si>
  <si>
    <t>15322</t>
  </si>
  <si>
    <t>15312</t>
  </si>
  <si>
    <t>14989</t>
  </si>
  <si>
    <t>15309</t>
  </si>
  <si>
    <t>15301</t>
  </si>
  <si>
    <t>14991</t>
  </si>
  <si>
    <t>15023</t>
  </si>
  <si>
    <t>15397</t>
  </si>
  <si>
    <t>15398</t>
  </si>
  <si>
    <t>15386</t>
  </si>
  <si>
    <t>15339</t>
  </si>
  <si>
    <t>15573</t>
  </si>
  <si>
    <t>15414</t>
  </si>
  <si>
    <t>15098</t>
  </si>
  <si>
    <t>15467</t>
  </si>
  <si>
    <t>15252</t>
  </si>
  <si>
    <t>14987</t>
  </si>
  <si>
    <t>15329</t>
  </si>
  <si>
    <t>15506</t>
  </si>
  <si>
    <t>15065</t>
  </si>
  <si>
    <t>15067</t>
  </si>
  <si>
    <t>15516</t>
  </si>
  <si>
    <t>15157</t>
  </si>
  <si>
    <t>15296</t>
  </si>
  <si>
    <t>15485</t>
  </si>
  <si>
    <t>15021</t>
  </si>
  <si>
    <t>15487</t>
  </si>
  <si>
    <t>15413</t>
  </si>
  <si>
    <t>14999</t>
  </si>
  <si>
    <t>15459</t>
  </si>
  <si>
    <t>15492</t>
  </si>
  <si>
    <t>15514</t>
  </si>
  <si>
    <t>15511</t>
  </si>
  <si>
    <t>15081</t>
  </si>
  <si>
    <t>15082</t>
  </si>
  <si>
    <t>15326</t>
  </si>
  <si>
    <t>15510</t>
  </si>
  <si>
    <t>15496</t>
  </si>
  <si>
    <t>15438</t>
  </si>
  <si>
    <t>15022</t>
  </si>
  <si>
    <t>15433</t>
  </si>
  <si>
    <t>15381</t>
  </si>
  <si>
    <t>15978</t>
  </si>
  <si>
    <t>15249</t>
  </si>
  <si>
    <t>15225</t>
  </si>
  <si>
    <t>15245</t>
  </si>
  <si>
    <t>15226</t>
  </si>
  <si>
    <t>15394</t>
  </si>
  <si>
    <t>15270</t>
  </si>
  <si>
    <t>15569</t>
  </si>
  <si>
    <t>15048</t>
  </si>
  <si>
    <t>15273</t>
  </si>
  <si>
    <t>15327</t>
  </si>
  <si>
    <t>15328</t>
  </si>
  <si>
    <t>15330</t>
  </si>
  <si>
    <t>15331</t>
  </si>
  <si>
    <t>15281</t>
  </si>
  <si>
    <t>15242</t>
  </si>
  <si>
    <t>15247</t>
  </si>
  <si>
    <t>15546</t>
  </si>
  <si>
    <t>15547</t>
  </si>
  <si>
    <t>15548</t>
  </si>
  <si>
    <t>16124</t>
  </si>
  <si>
    <t>16126</t>
  </si>
  <si>
    <t>16137</t>
  </si>
  <si>
    <t>15498</t>
  </si>
  <si>
    <t>16226</t>
  </si>
  <si>
    <t>RAD BAGELS</t>
  </si>
  <si>
    <t>16219</t>
  </si>
  <si>
    <t>LAST MILE CAFE</t>
  </si>
  <si>
    <t>1006 HALL ST SE</t>
  </si>
  <si>
    <t>1</t>
  </si>
  <si>
    <t>8253 S DIVISION</t>
  </si>
  <si>
    <t>1099 S. BEACON BLVD.</t>
  </si>
  <si>
    <t>2065 E. GARFIELD</t>
  </si>
  <si>
    <t>101 N. QUARTERLINE RD.</t>
  </si>
  <si>
    <t>874 E. GILES ROAD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</si>
</sst>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F400]h:mm:ss\ AM/PM"/>
    <numFmt numFmtId="165" formatCode="&quot;$&quot;#,##0.00"/>
    <numFmt numFmtId="166" formatCode="[$-409]h:mm\ AM/PM;@"/>
    <numFmt numFmtId="167" formatCode="h:mm:ss;@"/>
  </numFmts>
  <fonts count="9" x14ac:knownFonts="1">
    <font>
      <sz val="10"/>
      <color theme="1"/>
      <name val="Calibri"/>
      <family val="2"/>
      <scheme val="minor"/>
    </font>
    <font>
      <sz val="10"/>
      <color theme="1"/>
      <name val="Calibri"/>
      <family val="2"/>
      <scheme val="minor"/>
    </font>
    <font>
      <sz val="10"/>
      <color theme="0" tint="-0.249977111117893"/>
      <name val="Calibri"/>
      <family val="2"/>
      <scheme val="minor"/>
    </font>
    <font>
      <sz val="8"/>
      <color rgb="FF000000"/>
      <name val="Arial"/>
      <family val="2"/>
    </font>
    <font>
      <sz val="8"/>
      <color rgb="FF000000"/>
      <name val="Arial"/>
      <family val="2"/>
    </font>
    <font>
      <sz val="8"/>
      <name val="Arial"/>
      <family val="2"/>
    </font>
    <font>
      <b/>
      <sz val="8"/>
      <color rgb="FF000000"/>
      <name val="Arial"/>
      <family val="2"/>
    </font>
    <font>
      <sz val="8"/>
      <color rgb="FF000000"/>
      <name val="Arial"/>
      <family val="2"/>
    </font>
    <font>
      <sz val="8"/>
      <name val="Calibri"/>
      <family val="2"/>
      <scheme val="minor"/>
    </font>
  </fonts>
  <fills count="8">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rgb="FFC00000"/>
        <bgColor indexed="64"/>
      </patternFill>
    </fill>
    <fill>
      <patternFill patternType="solid">
        <fgColor theme="4" tint="0.39997558519241921"/>
        <bgColor indexed="64"/>
      </patternFill>
    </fill>
    <fill>
      <patternFill patternType="solid">
        <fgColor theme="9"/>
        <bgColor theme="9"/>
      </patternFill>
    </fill>
    <fill>
      <patternFill patternType="solid">
        <fgColor theme="9" tint="0.79998168889431442"/>
        <bgColor theme="9" tint="0.79998168889431442"/>
      </patternFill>
    </fill>
  </fills>
  <borders count="11">
    <border>
      <left/>
      <right/>
      <top/>
      <bottom/>
      <diagonal/>
    </border>
    <border>
      <left style="thin">
        <color indexed="64"/>
      </left>
      <right/>
      <top style="thin">
        <color indexed="64"/>
      </top>
      <bottom style="thin">
        <color indexed="64"/>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159">
    <xf numFmtId="0" fontId="0" fillId="0" borderId="0" xfId="0"/>
    <xf numFmtId="0" fontId="0" fillId="0" borderId="0" xfId="0" applyAlignment="1">
      <alignment horizontal="center" vertical="center"/>
    </xf>
    <xf numFmtId="164" fontId="0" fillId="0" borderId="0" xfId="1" applyNumberFormat="1" applyFont="1" applyAlignment="1">
      <alignment horizontal="center" vertical="center"/>
    </xf>
    <xf numFmtId="164" fontId="0" fillId="0" borderId="0" xfId="2" applyNumberFormat="1" applyFont="1" applyAlignment="1">
      <alignment horizontal="center" vertical="center"/>
    </xf>
    <xf numFmtId="165" fontId="0" fillId="0" borderId="0" xfId="1" applyNumberFormat="1" applyFont="1" applyAlignment="1">
      <alignment horizontal="center" vertical="center"/>
    </xf>
    <xf numFmtId="1" fontId="0" fillId="0" borderId="0" xfId="1" applyNumberFormat="1" applyFont="1" applyAlignment="1">
      <alignment horizontal="center" vertical="center"/>
    </xf>
    <xf numFmtId="9" fontId="0" fillId="0" borderId="0" xfId="2" applyFont="1" applyAlignment="1">
      <alignment horizontal="center" vertical="center"/>
    </xf>
    <xf numFmtId="0" fontId="0" fillId="0" borderId="0" xfId="0" applyAlignment="1">
      <alignment horizontal="center"/>
    </xf>
    <xf numFmtId="0" fontId="0" fillId="0" borderId="0" xfId="0" applyAlignment="1">
      <alignment horizontal="left"/>
    </xf>
    <xf numFmtId="0" fontId="2" fillId="0" borderId="0" xfId="0" applyFont="1" applyAlignment="1">
      <alignment horizontal="center" vertical="center"/>
    </xf>
    <xf numFmtId="0" fontId="0" fillId="2" borderId="0" xfId="0" applyFill="1"/>
    <xf numFmtId="2" fontId="0" fillId="2" borderId="0" xfId="0" applyNumberFormat="1" applyFill="1" applyAlignment="1">
      <alignment horizontal="center"/>
    </xf>
    <xf numFmtId="2" fontId="0" fillId="2" borderId="1" xfId="0" applyNumberFormat="1" applyFill="1" applyBorder="1" applyAlignment="1">
      <alignment horizontal="center"/>
    </xf>
    <xf numFmtId="4" fontId="0" fillId="2" borderId="2" xfId="0" applyNumberFormat="1" applyFill="1" applyBorder="1"/>
    <xf numFmtId="165" fontId="3" fillId="2" borderId="2" xfId="1" applyNumberFormat="1" applyFont="1" applyFill="1" applyBorder="1" applyAlignment="1">
      <alignment horizontal="center" vertical="center"/>
    </xf>
    <xf numFmtId="164" fontId="3" fillId="2" borderId="2" xfId="1" applyNumberFormat="1" applyFont="1" applyFill="1" applyBorder="1" applyAlignment="1">
      <alignment horizontal="center" vertical="center"/>
    </xf>
    <xf numFmtId="1" fontId="3" fillId="2" borderId="2" xfId="1" applyNumberFormat="1" applyFont="1" applyFill="1" applyBorder="1" applyAlignment="1">
      <alignment horizontal="center" vertical="center"/>
    </xf>
    <xf numFmtId="0" fontId="3" fillId="2" borderId="2" xfId="0" applyFont="1" applyFill="1" applyBorder="1" applyAlignment="1">
      <alignment horizontal="center" vertical="center"/>
    </xf>
    <xf numFmtId="0" fontId="3" fillId="2" borderId="2" xfId="0" applyFont="1" applyFill="1" applyBorder="1" applyAlignment="1">
      <alignment horizontal="center" vertical="top"/>
    </xf>
    <xf numFmtId="0" fontId="3" fillId="2" borderId="2" xfId="0" applyFont="1" applyFill="1" applyBorder="1" applyAlignment="1">
      <alignment horizontal="left" vertical="top"/>
    </xf>
    <xf numFmtId="2" fontId="0" fillId="0" borderId="0" xfId="0" applyNumberFormat="1" applyAlignment="1">
      <alignment horizontal="center"/>
    </xf>
    <xf numFmtId="2" fontId="0" fillId="0" borderId="1" xfId="0" applyNumberFormat="1" applyBorder="1" applyAlignment="1">
      <alignment horizontal="center"/>
    </xf>
    <xf numFmtId="4" fontId="0" fillId="0" borderId="4" xfId="0" applyNumberFormat="1" applyBorder="1"/>
    <xf numFmtId="166" fontId="4" fillId="0" borderId="4" xfId="0" applyNumberFormat="1" applyFont="1" applyBorder="1" applyAlignment="1">
      <alignment horizontal="center" vertical="center"/>
    </xf>
    <xf numFmtId="164" fontId="4" fillId="0" borderId="4" xfId="1" applyNumberFormat="1" applyFont="1" applyBorder="1" applyAlignment="1">
      <alignment horizontal="center" vertical="center"/>
    </xf>
    <xf numFmtId="164" fontId="4" fillId="0" borderId="4" xfId="2" applyNumberFormat="1" applyFont="1" applyBorder="1" applyAlignment="1">
      <alignment horizontal="center" vertical="center"/>
    </xf>
    <xf numFmtId="165" fontId="4" fillId="0" borderId="4" xfId="1" applyNumberFormat="1" applyFont="1" applyBorder="1" applyAlignment="1">
      <alignment horizontal="center" vertical="center"/>
    </xf>
    <xf numFmtId="1" fontId="4" fillId="0" borderId="4" xfId="1" applyNumberFormat="1" applyFont="1" applyBorder="1" applyAlignment="1">
      <alignment horizontal="center" vertical="center"/>
    </xf>
    <xf numFmtId="9" fontId="4" fillId="0" borderId="4" xfId="2" applyFont="1" applyBorder="1" applyAlignment="1">
      <alignment horizontal="center" vertical="center"/>
    </xf>
    <xf numFmtId="0" fontId="4" fillId="0" borderId="4" xfId="0" applyFont="1" applyBorder="1" applyAlignment="1">
      <alignment horizontal="center" vertical="center"/>
    </xf>
    <xf numFmtId="0" fontId="4" fillId="0" borderId="4" xfId="0" applyFont="1" applyBorder="1" applyAlignment="1">
      <alignment horizontal="center" vertical="top"/>
    </xf>
    <xf numFmtId="0" fontId="4" fillId="0" borderId="4" xfId="0" applyFont="1" applyBorder="1" applyAlignment="1">
      <alignment horizontal="left" vertical="top"/>
    </xf>
    <xf numFmtId="166" fontId="3" fillId="0" borderId="4" xfId="0" applyNumberFormat="1" applyFont="1" applyBorder="1" applyAlignment="1">
      <alignment horizontal="center" vertical="center"/>
    </xf>
    <xf numFmtId="164" fontId="3" fillId="0" borderId="4" xfId="1" applyNumberFormat="1" applyFont="1" applyBorder="1" applyAlignment="1">
      <alignment horizontal="center" vertical="center"/>
    </xf>
    <xf numFmtId="164" fontId="3" fillId="0" borderId="4" xfId="2" applyNumberFormat="1" applyFont="1" applyBorder="1" applyAlignment="1">
      <alignment horizontal="center" vertical="center"/>
    </xf>
    <xf numFmtId="165" fontId="3" fillId="0" borderId="4" xfId="1" applyNumberFormat="1" applyFont="1" applyBorder="1" applyAlignment="1">
      <alignment horizontal="center" vertical="center"/>
    </xf>
    <xf numFmtId="1" fontId="3" fillId="0" borderId="4" xfId="1" applyNumberFormat="1" applyFont="1" applyBorder="1" applyAlignment="1">
      <alignment horizontal="center" vertical="center"/>
    </xf>
    <xf numFmtId="0" fontId="3" fillId="0" borderId="4" xfId="0" applyFont="1" applyBorder="1" applyAlignment="1">
      <alignment horizontal="center" vertical="center"/>
    </xf>
    <xf numFmtId="0" fontId="3" fillId="0" borderId="4" xfId="0" applyFont="1" applyBorder="1" applyAlignment="1">
      <alignment horizontal="center" vertical="top"/>
    </xf>
    <xf numFmtId="0" fontId="3" fillId="0" borderId="4" xfId="0" applyFont="1" applyBorder="1" applyAlignment="1">
      <alignment horizontal="left" vertical="top"/>
    </xf>
    <xf numFmtId="4" fontId="0" fillId="0" borderId="0" xfId="0" applyNumberFormat="1"/>
    <xf numFmtId="0" fontId="4" fillId="0" borderId="0" xfId="0" applyFont="1" applyAlignment="1">
      <alignment horizontal="center" vertical="center"/>
    </xf>
    <xf numFmtId="164" fontId="4" fillId="0" borderId="0" xfId="1" applyNumberFormat="1" applyFont="1" applyBorder="1" applyAlignment="1">
      <alignment horizontal="center" vertical="center"/>
    </xf>
    <xf numFmtId="164" fontId="4" fillId="0" borderId="0" xfId="2" applyNumberFormat="1" applyFont="1" applyBorder="1" applyAlignment="1">
      <alignment horizontal="center" vertical="center"/>
    </xf>
    <xf numFmtId="165" fontId="4" fillId="0" borderId="0" xfId="1" applyNumberFormat="1" applyFont="1" applyBorder="1" applyAlignment="1">
      <alignment horizontal="center" vertical="center"/>
    </xf>
    <xf numFmtId="1" fontId="4" fillId="0" borderId="0" xfId="1" applyNumberFormat="1" applyFont="1" applyBorder="1" applyAlignment="1">
      <alignment horizontal="center" vertical="center"/>
    </xf>
    <xf numFmtId="9" fontId="4" fillId="0" borderId="0" xfId="2" applyFont="1" applyBorder="1" applyAlignment="1">
      <alignment horizontal="center" vertical="center"/>
    </xf>
    <xf numFmtId="0" fontId="4" fillId="0" borderId="0" xfId="0" applyFont="1" applyAlignment="1">
      <alignment horizontal="center" vertical="top"/>
    </xf>
    <xf numFmtId="0" fontId="4" fillId="0" borderId="0" xfId="0" applyFont="1" applyAlignment="1">
      <alignment horizontal="left" vertical="top"/>
    </xf>
    <xf numFmtId="49" fontId="4" fillId="0" borderId="0" xfId="0" applyNumberFormat="1" applyFont="1" applyAlignment="1">
      <alignment horizontal="center" vertical="center"/>
    </xf>
    <xf numFmtId="0" fontId="0" fillId="4" borderId="0" xfId="0" applyFill="1"/>
    <xf numFmtId="2" fontId="0" fillId="4" borderId="0" xfId="0" applyNumberFormat="1" applyFill="1" applyAlignment="1">
      <alignment horizontal="center"/>
    </xf>
    <xf numFmtId="4" fontId="0" fillId="0" borderId="2" xfId="0" applyNumberFormat="1" applyBorder="1"/>
    <xf numFmtId="165" fontId="4" fillId="0" borderId="2" xfId="1" applyNumberFormat="1" applyFont="1" applyBorder="1" applyAlignment="1">
      <alignment horizontal="center" vertical="center"/>
    </xf>
    <xf numFmtId="2" fontId="0" fillId="0" borderId="6" xfId="0" applyNumberFormat="1" applyBorder="1" applyAlignment="1">
      <alignment horizontal="center"/>
    </xf>
    <xf numFmtId="164" fontId="4" fillId="0" borderId="0" xfId="0" applyNumberFormat="1" applyFont="1" applyAlignment="1">
      <alignment horizontal="center" vertical="top"/>
    </xf>
    <xf numFmtId="9" fontId="4" fillId="0" borderId="0" xfId="2" applyFont="1" applyBorder="1" applyAlignment="1">
      <alignment horizontal="left" vertical="top"/>
    </xf>
    <xf numFmtId="49" fontId="4" fillId="0" borderId="0" xfId="0" applyNumberFormat="1" applyFont="1" applyAlignment="1">
      <alignment horizontal="left" vertical="top"/>
    </xf>
    <xf numFmtId="0" fontId="4" fillId="0" borderId="2" xfId="0" applyFont="1" applyBorder="1" applyAlignment="1">
      <alignment horizontal="center" vertical="center"/>
    </xf>
    <xf numFmtId="49" fontId="4" fillId="0" borderId="5" xfId="0" applyNumberFormat="1" applyFont="1" applyBorder="1" applyAlignment="1">
      <alignment horizontal="center" vertical="center"/>
    </xf>
    <xf numFmtId="164" fontId="4" fillId="0" borderId="2" xfId="1" applyNumberFormat="1" applyFont="1" applyBorder="1" applyAlignment="1">
      <alignment horizontal="center" vertical="center"/>
    </xf>
    <xf numFmtId="164" fontId="4" fillId="0" borderId="2" xfId="2" applyNumberFormat="1" applyFont="1" applyBorder="1" applyAlignment="1">
      <alignment horizontal="center" vertical="center"/>
    </xf>
    <xf numFmtId="1" fontId="4" fillId="0" borderId="2" xfId="1" applyNumberFormat="1" applyFont="1" applyBorder="1" applyAlignment="1">
      <alignment horizontal="center" vertical="center"/>
    </xf>
    <xf numFmtId="9" fontId="4" fillId="0" borderId="2" xfId="2" applyFont="1" applyBorder="1" applyAlignment="1">
      <alignment horizontal="center" vertical="center"/>
    </xf>
    <xf numFmtId="0" fontId="4" fillId="0" borderId="2" xfId="0" applyFont="1" applyBorder="1" applyAlignment="1">
      <alignment horizontal="center" vertical="top"/>
    </xf>
    <xf numFmtId="0" fontId="4" fillId="0" borderId="2" xfId="0" applyFont="1" applyBorder="1" applyAlignment="1">
      <alignment horizontal="left" vertical="top"/>
    </xf>
    <xf numFmtId="49" fontId="4" fillId="0" borderId="3" xfId="0" applyNumberFormat="1" applyFont="1" applyBorder="1" applyAlignment="1">
      <alignment horizontal="center" vertical="center"/>
    </xf>
    <xf numFmtId="0" fontId="4" fillId="4" borderId="2" xfId="0" applyFont="1" applyFill="1" applyBorder="1" applyAlignment="1">
      <alignment horizontal="center" vertical="center"/>
    </xf>
    <xf numFmtId="164" fontId="4" fillId="4" borderId="2" xfId="1" applyNumberFormat="1" applyFont="1" applyFill="1" applyBorder="1" applyAlignment="1">
      <alignment horizontal="center" vertical="center"/>
    </xf>
    <xf numFmtId="164" fontId="4" fillId="4" borderId="2" xfId="2" applyNumberFormat="1" applyFont="1" applyFill="1" applyBorder="1" applyAlignment="1">
      <alignment horizontal="center" vertical="center"/>
    </xf>
    <xf numFmtId="0" fontId="4" fillId="4" borderId="2" xfId="0" applyFont="1" applyFill="1" applyBorder="1" applyAlignment="1">
      <alignment horizontal="left" vertical="top"/>
    </xf>
    <xf numFmtId="164" fontId="4" fillId="0" borderId="2" xfId="0" applyNumberFormat="1" applyFont="1" applyBorder="1" applyAlignment="1">
      <alignment horizontal="center" vertical="top"/>
    </xf>
    <xf numFmtId="9" fontId="4" fillId="0" borderId="2" xfId="2" applyFont="1" applyBorder="1" applyAlignment="1">
      <alignment horizontal="left" vertical="top"/>
    </xf>
    <xf numFmtId="49" fontId="4" fillId="0" borderId="3" xfId="0" applyNumberFormat="1" applyFont="1" applyBorder="1" applyAlignment="1">
      <alignment horizontal="left" vertical="top"/>
    </xf>
    <xf numFmtId="49" fontId="4" fillId="4" borderId="3" xfId="0" applyNumberFormat="1" applyFont="1" applyFill="1" applyBorder="1" applyAlignment="1">
      <alignment horizontal="center" vertical="center"/>
    </xf>
    <xf numFmtId="0" fontId="0" fillId="0" borderId="1" xfId="0" applyBorder="1"/>
    <xf numFmtId="0" fontId="0" fillId="0" borderId="2" xfId="0" applyBorder="1"/>
    <xf numFmtId="0" fontId="0" fillId="0" borderId="2" xfId="0" applyBorder="1" applyAlignment="1">
      <alignment horizontal="center"/>
    </xf>
    <xf numFmtId="165" fontId="0" fillId="0" borderId="2" xfId="1" applyNumberFormat="1" applyFont="1" applyBorder="1" applyAlignment="1">
      <alignment horizontal="center" vertical="center"/>
    </xf>
    <xf numFmtId="0" fontId="0" fillId="0" borderId="2" xfId="0" applyBorder="1" applyAlignment="1">
      <alignment horizontal="center" vertical="center"/>
    </xf>
    <xf numFmtId="0" fontId="0" fillId="0" borderId="2" xfId="0" applyBorder="1" applyAlignment="1">
      <alignment horizontal="left" vertical="center"/>
    </xf>
    <xf numFmtId="49" fontId="0" fillId="0" borderId="3" xfId="0" applyNumberFormat="1" applyBorder="1" applyAlignment="1">
      <alignment horizontal="center" vertical="center"/>
    </xf>
    <xf numFmtId="164" fontId="4" fillId="0" borderId="2" xfId="1" applyNumberFormat="1" applyFont="1" applyFill="1" applyBorder="1" applyAlignment="1">
      <alignment horizontal="center" vertical="center"/>
    </xf>
    <xf numFmtId="164" fontId="4" fillId="0" borderId="2" xfId="2" applyNumberFormat="1" applyFont="1" applyFill="1" applyBorder="1" applyAlignment="1">
      <alignment horizontal="center" vertical="center"/>
    </xf>
    <xf numFmtId="0" fontId="5" fillId="0" borderId="2" xfId="0" applyFont="1" applyBorder="1" applyAlignment="1">
      <alignment horizontal="left" vertical="top"/>
    </xf>
    <xf numFmtId="0" fontId="5" fillId="0" borderId="2" xfId="0" applyFont="1" applyBorder="1" applyAlignment="1">
      <alignment horizontal="center" vertical="center"/>
    </xf>
    <xf numFmtId="49" fontId="5" fillId="0" borderId="3" xfId="0" applyNumberFormat="1" applyFont="1" applyBorder="1" applyAlignment="1">
      <alignment horizontal="center" vertical="center"/>
    </xf>
    <xf numFmtId="164" fontId="0" fillId="3" borderId="7" xfId="0" applyNumberFormat="1" applyFill="1" applyBorder="1" applyAlignment="1">
      <alignment horizontal="center" vertical="center" wrapText="1"/>
    </xf>
    <xf numFmtId="164" fontId="0" fillId="3" borderId="8" xfId="0" applyNumberFormat="1" applyFill="1" applyBorder="1" applyAlignment="1">
      <alignment horizontal="center" vertical="center" wrapText="1"/>
    </xf>
    <xf numFmtId="167" fontId="0" fillId="0" borderId="7" xfId="0" applyNumberFormat="1" applyBorder="1" applyAlignment="1">
      <alignment horizontal="center" vertical="center" wrapText="1"/>
    </xf>
    <xf numFmtId="0" fontId="6" fillId="0" borderId="7" xfId="0" applyFont="1" applyBorder="1" applyAlignment="1">
      <alignment horizontal="center" vertical="center" wrapText="1"/>
    </xf>
    <xf numFmtId="164" fontId="6" fillId="0" borderId="7" xfId="0" applyNumberFormat="1" applyFont="1" applyBorder="1" applyAlignment="1">
      <alignment horizontal="center" vertical="center" wrapText="1"/>
    </xf>
    <xf numFmtId="165" fontId="6" fillId="0" borderId="7" xfId="1" applyNumberFormat="1" applyFont="1" applyBorder="1" applyAlignment="1">
      <alignment horizontal="center" vertical="center" wrapText="1"/>
    </xf>
    <xf numFmtId="1" fontId="6" fillId="0" borderId="7" xfId="0" applyNumberFormat="1" applyFont="1" applyBorder="1" applyAlignment="1">
      <alignment horizontal="center" vertical="center" wrapText="1"/>
    </xf>
    <xf numFmtId="9" fontId="6" fillId="0" borderId="7" xfId="2" applyFont="1" applyBorder="1" applyAlignment="1">
      <alignment horizontal="center" vertical="center" wrapText="1"/>
    </xf>
    <xf numFmtId="49" fontId="4" fillId="3" borderId="3" xfId="0" applyNumberFormat="1" applyFont="1" applyFill="1" applyBorder="1" applyAlignment="1">
      <alignment horizontal="center" vertical="center"/>
    </xf>
    <xf numFmtId="0" fontId="4" fillId="3" borderId="2" xfId="0" applyFont="1" applyFill="1" applyBorder="1" applyAlignment="1">
      <alignment horizontal="center" vertical="center"/>
    </xf>
    <xf numFmtId="0" fontId="4" fillId="3" borderId="2" xfId="0" applyFont="1" applyFill="1" applyBorder="1" applyAlignment="1">
      <alignment horizontal="left" vertical="top"/>
    </xf>
    <xf numFmtId="0" fontId="4" fillId="2" borderId="2" xfId="2" applyNumberFormat="1" applyFont="1" applyFill="1" applyBorder="1" applyAlignment="1">
      <alignment horizontal="center" vertical="center"/>
    </xf>
    <xf numFmtId="166" fontId="4" fillId="0" borderId="2" xfId="0" applyNumberFormat="1" applyFont="1" applyBorder="1" applyAlignment="1">
      <alignment horizontal="center" vertical="center"/>
    </xf>
    <xf numFmtId="2" fontId="0" fillId="0" borderId="2" xfId="0" applyNumberFormat="1" applyBorder="1" applyAlignment="1">
      <alignment horizontal="center"/>
    </xf>
    <xf numFmtId="4" fontId="0" fillId="0" borderId="1" xfId="0" applyNumberFormat="1" applyBorder="1"/>
    <xf numFmtId="49" fontId="3" fillId="0" borderId="3" xfId="0" applyNumberFormat="1" applyFont="1" applyBorder="1" applyAlignment="1">
      <alignment horizontal="center" vertical="center"/>
    </xf>
    <xf numFmtId="0" fontId="3" fillId="0" borderId="2" xfId="0" applyFont="1" applyBorder="1" applyAlignment="1">
      <alignment horizontal="left" vertical="top"/>
    </xf>
    <xf numFmtId="0" fontId="3" fillId="3" borderId="2" xfId="0" applyFont="1" applyFill="1" applyBorder="1" applyAlignment="1">
      <alignment horizontal="center" vertical="center"/>
    </xf>
    <xf numFmtId="0" fontId="3" fillId="0" borderId="2" xfId="0" applyFont="1" applyBorder="1" applyAlignment="1">
      <alignment horizontal="center" vertical="center"/>
    </xf>
    <xf numFmtId="0" fontId="7" fillId="0" borderId="2" xfId="0" applyFont="1" applyBorder="1" applyAlignment="1">
      <alignment horizontal="center" vertical="center"/>
    </xf>
    <xf numFmtId="0" fontId="7" fillId="0" borderId="2" xfId="0" applyFont="1" applyBorder="1" applyAlignment="1">
      <alignment horizontal="left" vertical="top"/>
    </xf>
    <xf numFmtId="0" fontId="7" fillId="0" borderId="2" xfId="0" applyFont="1" applyBorder="1" applyAlignment="1">
      <alignment horizontal="center" vertical="top"/>
    </xf>
    <xf numFmtId="1" fontId="7" fillId="0" borderId="2" xfId="1" applyNumberFormat="1" applyFont="1" applyBorder="1" applyAlignment="1">
      <alignment horizontal="center" vertical="center"/>
    </xf>
    <xf numFmtId="9" fontId="3" fillId="0" borderId="0" xfId="2" applyFont="1" applyAlignment="1">
      <alignment horizontal="center" vertical="center"/>
    </xf>
    <xf numFmtId="165" fontId="7" fillId="0" borderId="2" xfId="1" applyNumberFormat="1" applyFont="1" applyBorder="1" applyAlignment="1">
      <alignment horizontal="center" vertical="center"/>
    </xf>
    <xf numFmtId="164" fontId="7" fillId="0" borderId="2" xfId="2" applyNumberFormat="1" applyFont="1" applyBorder="1" applyAlignment="1">
      <alignment horizontal="center" vertical="center"/>
    </xf>
    <xf numFmtId="164" fontId="7" fillId="0" borderId="2" xfId="1" applyNumberFormat="1" applyFont="1" applyBorder="1" applyAlignment="1">
      <alignment horizontal="center" vertical="center"/>
    </xf>
    <xf numFmtId="0" fontId="7" fillId="0" borderId="4" xfId="0" applyFont="1" applyBorder="1" applyAlignment="1">
      <alignment horizontal="center" vertical="center"/>
    </xf>
    <xf numFmtId="1" fontId="7" fillId="0" borderId="4" xfId="1" applyNumberFormat="1" applyFont="1" applyBorder="1" applyAlignment="1">
      <alignment horizontal="center" vertical="center"/>
    </xf>
    <xf numFmtId="9" fontId="3" fillId="0" borderId="0" xfId="2" applyFont="1" applyBorder="1" applyAlignment="1">
      <alignment horizontal="center" vertical="center"/>
    </xf>
    <xf numFmtId="165" fontId="7" fillId="0" borderId="4" xfId="1" applyNumberFormat="1" applyFont="1" applyBorder="1" applyAlignment="1">
      <alignment horizontal="center" vertical="center"/>
    </xf>
    <xf numFmtId="164" fontId="7" fillId="0" borderId="4" xfId="2" applyNumberFormat="1" applyFont="1" applyBorder="1" applyAlignment="1">
      <alignment horizontal="center" vertical="center"/>
    </xf>
    <xf numFmtId="164" fontId="7" fillId="0" borderId="4" xfId="1" applyNumberFormat="1" applyFont="1" applyBorder="1" applyAlignment="1">
      <alignment horizontal="center" vertical="center"/>
    </xf>
    <xf numFmtId="9" fontId="3" fillId="0" borderId="2" xfId="2" applyFont="1" applyBorder="1" applyAlignment="1">
      <alignment horizontal="center" vertical="center"/>
    </xf>
    <xf numFmtId="9" fontId="3" fillId="0" borderId="4" xfId="2" applyFont="1" applyBorder="1" applyAlignment="1">
      <alignment horizontal="center" vertical="center"/>
    </xf>
    <xf numFmtId="0" fontId="3" fillId="0" borderId="2" xfId="0" applyFont="1" applyBorder="1" applyAlignment="1">
      <alignment horizontal="center" vertical="top"/>
    </xf>
    <xf numFmtId="1" fontId="3" fillId="0" borderId="2" xfId="1" applyNumberFormat="1" applyFont="1" applyFill="1" applyBorder="1" applyAlignment="1">
      <alignment horizontal="center" vertical="center"/>
    </xf>
    <xf numFmtId="0" fontId="4" fillId="0" borderId="0" xfId="2" applyNumberFormat="1" applyFont="1" applyFill="1" applyAlignment="1">
      <alignment horizontal="center" vertical="center"/>
    </xf>
    <xf numFmtId="165" fontId="3" fillId="0" borderId="2" xfId="1" applyNumberFormat="1" applyFont="1" applyFill="1" applyBorder="1" applyAlignment="1">
      <alignment horizontal="center" vertical="center"/>
    </xf>
    <xf numFmtId="164" fontId="3" fillId="0" borderId="2" xfId="1" applyNumberFormat="1" applyFont="1" applyFill="1" applyBorder="1" applyAlignment="1">
      <alignment horizontal="center" vertical="center"/>
    </xf>
    <xf numFmtId="1" fontId="4" fillId="0" borderId="2" xfId="1" applyNumberFormat="1" applyFont="1" applyFill="1" applyBorder="1" applyAlignment="1">
      <alignment horizontal="center" vertical="center"/>
    </xf>
    <xf numFmtId="9" fontId="4" fillId="0" borderId="2" xfId="2" applyFont="1" applyFill="1" applyBorder="1" applyAlignment="1">
      <alignment horizontal="center" vertical="center"/>
    </xf>
    <xf numFmtId="1" fontId="4" fillId="0" borderId="0" xfId="1" applyNumberFormat="1" applyFont="1" applyFill="1" applyBorder="1" applyAlignment="1">
      <alignment horizontal="center" vertical="center"/>
    </xf>
    <xf numFmtId="165" fontId="4" fillId="0" borderId="2" xfId="1" applyNumberFormat="1" applyFont="1" applyFill="1" applyBorder="1" applyAlignment="1">
      <alignment horizontal="center" vertical="center"/>
    </xf>
    <xf numFmtId="49" fontId="3" fillId="0" borderId="5" xfId="0" applyNumberFormat="1" applyFont="1" applyBorder="1" applyAlignment="1">
      <alignment horizontal="center" vertical="center"/>
    </xf>
    <xf numFmtId="165" fontId="7" fillId="0" borderId="2" xfId="1" applyNumberFormat="1" applyFont="1" applyFill="1" applyBorder="1" applyAlignment="1">
      <alignment horizontal="center" vertical="center"/>
    </xf>
    <xf numFmtId="165" fontId="7" fillId="0" borderId="4" xfId="1" applyNumberFormat="1" applyFont="1" applyFill="1" applyBorder="1" applyAlignment="1">
      <alignment horizontal="center" vertical="center"/>
    </xf>
    <xf numFmtId="0" fontId="7" fillId="5" borderId="2" xfId="0" applyFont="1" applyFill="1" applyBorder="1" applyAlignment="1">
      <alignment horizontal="center" vertical="center"/>
    </xf>
    <xf numFmtId="0" fontId="7" fillId="5" borderId="2" xfId="0" applyFont="1" applyFill="1" applyBorder="1" applyAlignment="1">
      <alignment horizontal="left" vertical="top"/>
    </xf>
    <xf numFmtId="0" fontId="7" fillId="5" borderId="2" xfId="0" applyFont="1" applyFill="1" applyBorder="1" applyAlignment="1">
      <alignment horizontal="center" vertical="top"/>
    </xf>
    <xf numFmtId="0" fontId="7" fillId="5" borderId="4" xfId="0" applyFont="1" applyFill="1" applyBorder="1" applyAlignment="1">
      <alignment horizontal="center" vertical="center"/>
    </xf>
    <xf numFmtId="0" fontId="7" fillId="5" borderId="4" xfId="0" applyFont="1" applyFill="1" applyBorder="1" applyAlignment="1">
      <alignment horizontal="left" vertical="top"/>
    </xf>
    <xf numFmtId="0" fontId="7" fillId="5" borderId="4" xfId="0" applyFont="1" applyFill="1" applyBorder="1" applyAlignment="1">
      <alignment horizontal="center" vertical="top"/>
    </xf>
    <xf numFmtId="9" fontId="6" fillId="6" borderId="2" xfId="2" applyFont="1" applyFill="1" applyBorder="1" applyAlignment="1">
      <alignment horizontal="center" vertical="center" wrapText="1"/>
    </xf>
    <xf numFmtId="9" fontId="3" fillId="7" borderId="2" xfId="2" applyFont="1" applyFill="1" applyBorder="1" applyAlignment="1">
      <alignment horizontal="center" vertical="center"/>
    </xf>
    <xf numFmtId="166" fontId="7" fillId="0" borderId="2" xfId="0" applyNumberFormat="1" applyFont="1" applyBorder="1" applyAlignment="1">
      <alignment horizontal="center" vertical="center"/>
    </xf>
    <xf numFmtId="165" fontId="7" fillId="2" borderId="2" xfId="1" applyNumberFormat="1" applyFont="1" applyFill="1" applyBorder="1" applyAlignment="1">
      <alignment horizontal="center" vertical="center"/>
    </xf>
    <xf numFmtId="9" fontId="3" fillId="7" borderId="7" xfId="2" applyFont="1" applyFill="1" applyBorder="1" applyAlignment="1">
      <alignment horizontal="center" vertical="center"/>
    </xf>
    <xf numFmtId="0" fontId="7" fillId="0" borderId="4" xfId="0" applyFont="1" applyBorder="1" applyAlignment="1">
      <alignment horizontal="left" vertical="top"/>
    </xf>
    <xf numFmtId="0" fontId="7" fillId="0" borderId="4" xfId="0" applyFont="1" applyBorder="1" applyAlignment="1">
      <alignment horizontal="center" vertical="top"/>
    </xf>
    <xf numFmtId="9" fontId="3" fillId="7" borderId="4" xfId="2" applyFont="1" applyFill="1" applyBorder="1" applyAlignment="1">
      <alignment horizontal="center" vertical="center"/>
    </xf>
    <xf numFmtId="166" fontId="7" fillId="0" borderId="4" xfId="0" applyNumberFormat="1" applyFont="1" applyBorder="1" applyAlignment="1">
      <alignment horizontal="center" vertical="center"/>
    </xf>
    <xf numFmtId="165" fontId="7" fillId="2" borderId="4" xfId="1" applyNumberFormat="1" applyFont="1" applyFill="1" applyBorder="1" applyAlignment="1">
      <alignment horizontal="center" vertical="center"/>
    </xf>
    <xf numFmtId="0" fontId="3" fillId="0" borderId="0" xfId="0" applyFont="1" applyAlignment="1">
      <alignment horizontal="left" vertical="top"/>
    </xf>
    <xf numFmtId="49" fontId="6" fillId="0" borderId="9" xfId="0" applyNumberFormat="1" applyFont="1" applyBorder="1" applyAlignment="1">
      <alignment horizontal="center" vertical="center" wrapText="1"/>
    </xf>
    <xf numFmtId="49" fontId="3" fillId="2" borderId="3" xfId="0" applyNumberFormat="1" applyFont="1" applyFill="1" applyBorder="1" applyAlignment="1">
      <alignment horizontal="center" vertical="center"/>
    </xf>
    <xf numFmtId="49" fontId="7" fillId="0" borderId="3" xfId="0" applyNumberFormat="1" applyFont="1" applyBorder="1" applyAlignment="1">
      <alignment horizontal="center" vertical="center"/>
    </xf>
    <xf numFmtId="49" fontId="7" fillId="5" borderId="3" xfId="0" applyNumberFormat="1" applyFont="1" applyFill="1" applyBorder="1" applyAlignment="1">
      <alignment horizontal="center" vertical="center"/>
    </xf>
    <xf numFmtId="49" fontId="7" fillId="5" borderId="5" xfId="0" applyNumberFormat="1" applyFont="1" applyFill="1" applyBorder="1" applyAlignment="1">
      <alignment horizontal="center" vertical="center"/>
    </xf>
    <xf numFmtId="49" fontId="7" fillId="0" borderId="5" xfId="0" applyNumberFormat="1" applyFont="1" applyBorder="1" applyAlignment="1">
      <alignment horizontal="center" vertical="center"/>
    </xf>
    <xf numFmtId="9" fontId="3" fillId="7" borderId="10" xfId="2" applyFont="1" applyFill="1" applyBorder="1" applyAlignment="1">
      <alignment horizontal="center" vertical="center"/>
    </xf>
    <xf numFmtId="0" fontId="0" fillId="0" borderId="0" xfId="0" applyNumberFormat="1"/>
  </cellXfs>
  <cellStyles count="3">
    <cellStyle name="Currency" xfId="1" builtinId="4"/>
    <cellStyle name="Normal" xfId="0" builtinId="0"/>
    <cellStyle name="Percent" xfId="2" builtinId="5"/>
  </cellStyles>
  <dxfs count="62">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0000"/>
        </patternFill>
      </fill>
    </dxf>
    <dxf>
      <font>
        <b val="0"/>
        <i val="0"/>
        <strike val="0"/>
        <condense val="0"/>
        <extend val="0"/>
        <outline val="0"/>
        <shadow val="0"/>
        <u val="none"/>
        <vertAlign val="baseline"/>
        <sz val="8"/>
        <color rgb="FF000000"/>
        <name val="Arial"/>
        <family val="2"/>
        <scheme val="none"/>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numFmt numFmtId="4" formatCode="#,##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4" formatCode="#,##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Arial"/>
        <scheme val="none"/>
      </font>
      <numFmt numFmtId="165" formatCode="&quot;$&quot;#,##0.00"/>
      <fill>
        <patternFill patternType="solid">
          <fgColor indexed="64"/>
          <bgColor rgb="FFFFFF00"/>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rgb="FF000000"/>
        <name val="Arial"/>
        <scheme val="none"/>
      </font>
      <numFmt numFmtId="165" formatCode="&quot;$&quot;#,##0.00"/>
      <fill>
        <patternFill patternType="solid">
          <fgColor indexed="64"/>
          <bgColor rgb="FFFFFF00"/>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z val="8"/>
        <color rgb="FF000000"/>
        <name val="Arial"/>
        <scheme val="none"/>
      </font>
      <numFmt numFmtId="166" formatCode="[$-409]h:mm\ AM/PM;@"/>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rgb="FF000000"/>
        <name val="Arial"/>
        <scheme val="none"/>
      </font>
      <numFmt numFmtId="164" formatCode="[$-F400]h:mm:ss\ AM/PM"/>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rgb="FF000000"/>
        <name val="Arial"/>
        <scheme val="none"/>
      </font>
      <numFmt numFmtId="164" formatCode="[$-F400]h:mm:ss\ AM/PM"/>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rgb="FF000000"/>
        <name val="Arial"/>
        <scheme val="none"/>
      </font>
      <numFmt numFmtId="164" formatCode="[$-F400]h:mm:ss\ AM/PM"/>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rgb="FF000000"/>
        <name val="Arial"/>
        <scheme val="none"/>
      </font>
      <numFmt numFmtId="164" formatCode="[$-F400]h:mm:ss\ AM/PM"/>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z val="8"/>
        <color rgb="FF000000"/>
        <name val="Arial"/>
        <scheme val="none"/>
      </font>
      <numFmt numFmtId="165"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Arial"/>
        <scheme val="none"/>
      </font>
      <numFmt numFmtId="165"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Arial"/>
        <scheme val="none"/>
      </font>
      <numFmt numFmtId="165"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Arial"/>
        <scheme val="none"/>
      </font>
      <numFmt numFmtId="165"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Arial"/>
        <scheme val="none"/>
      </font>
      <numFmt numFmtId="165" formatCode="&quot;$&quot;#,##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rgb="FF000000"/>
        <name val="Arial"/>
        <scheme val="none"/>
      </font>
      <numFmt numFmtId="165" formatCode="&quot;$&quot;#,##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rgb="FF000000"/>
        <name val="Arial"/>
        <scheme val="none"/>
      </font>
      <numFmt numFmtId="165" formatCode="&quot;$&quot;#,##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rgb="FF000000"/>
        <name val="Arial"/>
        <scheme val="none"/>
      </font>
      <numFmt numFmtId="165" formatCode="&quot;$&quot;#,##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rgb="FF000000"/>
        <name val="Arial"/>
        <scheme val="none"/>
      </font>
      <numFmt numFmtId="165" formatCode="&quot;$&quot;#,##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rgb="FF000000"/>
        <name val="Arial"/>
        <scheme val="none"/>
      </font>
      <numFmt numFmtId="165" formatCode="&quot;$&quot;#,##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rgb="FF000000"/>
        <name val="Arial"/>
        <scheme val="none"/>
      </font>
      <numFmt numFmtId="165" formatCode="&quot;$&quot;#,##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border>
    </dxf>
    <dxf>
      <font>
        <b val="0"/>
        <i val="0"/>
        <strike val="0"/>
        <condense val="0"/>
        <extend val="0"/>
        <outline val="0"/>
        <shadow val="0"/>
        <u val="none"/>
        <vertAlign val="baseline"/>
        <sz val="8"/>
        <color rgb="FF000000"/>
        <name val="Arial"/>
        <scheme val="none"/>
      </font>
      <numFmt numFmtId="165" formatCode="&quot;$&quot;#,##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border>
    </dxf>
    <dxf>
      <font>
        <b val="0"/>
        <i val="0"/>
        <strike val="0"/>
        <condense val="0"/>
        <extend val="0"/>
        <outline val="0"/>
        <shadow val="0"/>
        <u val="none"/>
        <vertAlign val="baseline"/>
        <sz val="8"/>
        <color rgb="FF000000"/>
        <name val="Arial"/>
        <scheme val="none"/>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rgb="FF000000"/>
        <name val="Arial"/>
        <scheme val="none"/>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rgb="FF000000"/>
        <name val="Arial"/>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8"/>
        <color rgb="FF000000"/>
        <name val="Arial"/>
        <scheme val="none"/>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rgb="FF000000"/>
        <name val="Arial"/>
        <scheme val="none"/>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z val="8"/>
        <color rgb="FF000000"/>
        <name val="Arial"/>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Arial"/>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Arial"/>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Arial"/>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Arial"/>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Arial"/>
        <scheme val="none"/>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Arial"/>
        <scheme val="none"/>
      </font>
      <numFmt numFmtId="0" formatCode="Genera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z val="8"/>
        <color rgb="FF000000"/>
        <name val="Arial"/>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Arial"/>
        <scheme val="none"/>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Arial"/>
        <scheme val="none"/>
      </font>
      <numFmt numFmtId="0" formatCode="Genera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z val="8"/>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Arial"/>
        <scheme val="none"/>
      </font>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z val="8"/>
        <color rgb="FF000000"/>
        <name val="Arial"/>
        <scheme val="none"/>
      </font>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z val="8"/>
        <color rgb="FF00000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z val="8"/>
        <color rgb="FF00000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rgb="FF000000"/>
        <name val="Arial"/>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thin">
          <color indexed="64"/>
        </bottom>
      </border>
    </dxf>
    <dxf>
      <numFmt numFmtId="164" formatCode="[$-F400]h:mm:ss\ AM/PM"/>
      <fill>
        <patternFill patternType="solid">
          <fgColor indexed="64"/>
          <bgColor rgb="FFFFC000"/>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externalLink" Target="externalLinks/externalLink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drawings/drawing1.xml><?xml version="1.0" encoding="utf-8"?>
<xdr:wsDr xmlns:xdr="http://schemas.openxmlformats.org/drawingml/2006/spreadsheetDrawing" xmlns:a="http://schemas.openxmlformats.org/drawingml/2006/main">
  <xdr:absoluteAnchor>
    <xdr:pos x="44782209" y="550398"/>
    <xdr:ext cx="1836786" cy="2368502"/>
    <mc:AlternateContent xmlns:mc="http://schemas.openxmlformats.org/markup-compatibility/2006" xmlns:sle15="http://schemas.microsoft.com/office/drawing/2012/slicer">
      <mc:Choice Requires="sle15">
        <xdr:graphicFrame macro="">
          <xdr:nvGraphicFramePr>
            <xdr:cNvPr id="2" name="Current Rt #">
              <a:extLst>
                <a:ext uri="{FF2B5EF4-FFF2-40B4-BE49-F238E27FC236}">
                  <a16:creationId xmlns:a16="http://schemas.microsoft.com/office/drawing/2014/main" id="{409CB5C5-B8A6-4B5B-9AAD-F3B44256B7C5}"/>
                </a:ext>
              </a:extLst>
            </xdr:cNvPr>
            <xdr:cNvGraphicFramePr/>
          </xdr:nvGraphicFramePr>
          <xdr:xfrm>
            <a:off x="0" y="0"/>
            <a:ext cx="0" cy="0"/>
          </xdr:xfrm>
          <a:graphic>
            <a:graphicData uri="http://schemas.microsoft.com/office/drawing/2010/slicer">
              <sle:slicer xmlns:sle="http://schemas.microsoft.com/office/drawing/2010/slicer" name="Current Rt #"/>
            </a:graphicData>
          </a:graphic>
        </xdr:graphicFrame>
      </mc:Choice>
      <mc:Fallback xmlns="">
        <xdr:sp macro="" textlink="">
          <xdr:nvSpPr>
            <xdr:cNvPr id="0" name=""/>
            <xdr:cNvSpPr>
              <a:spLocks noTextEdit="1"/>
            </xdr:cNvSpPr>
          </xdr:nvSpPr>
          <xdr:spPr>
            <a:xfrm>
              <a:off x="44782209" y="550398"/>
              <a:ext cx="1836786" cy="236850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absoluteAnchor>
    <xdr:pos x="42627452" y="499110"/>
    <xdr:ext cx="1824078" cy="2366010"/>
    <mc:AlternateContent xmlns:mc="http://schemas.openxmlformats.org/markup-compatibility/2006" xmlns:sle15="http://schemas.microsoft.com/office/drawing/2012/slicer">
      <mc:Choice Requires="sle15">
        <xdr:graphicFrame macro="">
          <xdr:nvGraphicFramePr>
            <xdr:cNvPr id="3" name="Current Delivery Day">
              <a:extLst>
                <a:ext uri="{FF2B5EF4-FFF2-40B4-BE49-F238E27FC236}">
                  <a16:creationId xmlns:a16="http://schemas.microsoft.com/office/drawing/2014/main" id="{1E7F414A-7F71-46E1-93FB-7A0C43D591F2}"/>
                </a:ext>
              </a:extLst>
            </xdr:cNvPr>
            <xdr:cNvGraphicFramePr/>
          </xdr:nvGraphicFramePr>
          <xdr:xfrm>
            <a:off x="0" y="0"/>
            <a:ext cx="0" cy="0"/>
          </xdr:xfrm>
          <a:graphic>
            <a:graphicData uri="http://schemas.microsoft.com/office/drawing/2010/slicer">
              <sle:slicer xmlns:sle="http://schemas.microsoft.com/office/drawing/2010/slicer" name="Current Delivery Day"/>
            </a:graphicData>
          </a:graphic>
        </xdr:graphicFrame>
      </mc:Choice>
      <mc:Fallback xmlns="">
        <xdr:sp macro="" textlink="">
          <xdr:nvSpPr>
            <xdr:cNvPr id="0" name=""/>
            <xdr:cNvSpPr>
              <a:spLocks noTextEdit="1"/>
            </xdr:cNvSpPr>
          </xdr:nvSpPr>
          <xdr:spPr>
            <a:xfrm>
              <a:off x="42627452" y="499110"/>
              <a:ext cx="1824078" cy="236601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ustomer%20Revenu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stomer Revenue"/>
      <sheetName val="Sheet1"/>
    </sheetNames>
    <sheetDataSet>
      <sheetData sheetId="0">
        <row r="1">
          <cell r="I1" t="str">
            <v>Q3 Mean</v>
          </cell>
          <cell r="K1" t="str">
            <v>Q3 Min</v>
          </cell>
          <cell r="L1" t="str">
            <v>Q3 Max</v>
          </cell>
          <cell r="Q1" t="str">
            <v>cuid</v>
          </cell>
        </row>
        <row r="2">
          <cell r="I2">
            <v>50.456538461538464</v>
          </cell>
          <cell r="K2">
            <v>48.20621301775148</v>
          </cell>
          <cell r="L2">
            <v>52.706863905325449</v>
          </cell>
          <cell r="Q2">
            <v>1254</v>
          </cell>
        </row>
        <row r="3">
          <cell r="I3">
            <v>78.594999999999999</v>
          </cell>
          <cell r="K3">
            <v>60.836153846153849</v>
          </cell>
          <cell r="L3">
            <v>96.353846153846149</v>
          </cell>
          <cell r="Q3">
            <v>1256</v>
          </cell>
        </row>
        <row r="4">
          <cell r="I4">
            <v>279.08275862068967</v>
          </cell>
          <cell r="K4">
            <v>165.99519619500597</v>
          </cell>
          <cell r="L4">
            <v>392.17032104637337</v>
          </cell>
          <cell r="Q4">
            <v>1257</v>
          </cell>
        </row>
        <row r="5">
          <cell r="I5">
            <v>67.632307692307734</v>
          </cell>
          <cell r="K5">
            <v>47.488994082840236</v>
          </cell>
          <cell r="L5">
            <v>87.775621301775232</v>
          </cell>
          <cell r="Q5">
            <v>1258</v>
          </cell>
        </row>
        <row r="6">
          <cell r="I6">
            <v>222.44407407407411</v>
          </cell>
          <cell r="K6">
            <v>160.87746227709192</v>
          </cell>
          <cell r="L6">
            <v>284.0106858710563</v>
          </cell>
          <cell r="Q6">
            <v>1259</v>
          </cell>
        </row>
        <row r="7">
          <cell r="I7">
            <v>125.23142857142857</v>
          </cell>
          <cell r="K7">
            <v>118.04367346938776</v>
          </cell>
          <cell r="L7">
            <v>132.41918367346938</v>
          </cell>
          <cell r="Q7">
            <v>3186</v>
          </cell>
        </row>
        <row r="8">
          <cell r="I8">
            <v>78.615714285714276</v>
          </cell>
          <cell r="K8">
            <v>32.577346938775513</v>
          </cell>
          <cell r="L8">
            <v>124.65408163265303</v>
          </cell>
          <cell r="Q8">
            <v>6561</v>
          </cell>
        </row>
        <row r="9">
          <cell r="I9">
            <v>53.426666666666669</v>
          </cell>
          <cell r="K9">
            <v>29.382222222222222</v>
          </cell>
          <cell r="L9">
            <v>77.471111111111114</v>
          </cell>
          <cell r="Q9">
            <v>6562</v>
          </cell>
        </row>
        <row r="10">
          <cell r="I10">
            <v>56.598333333333329</v>
          </cell>
          <cell r="K10">
            <v>24.083888888888886</v>
          </cell>
          <cell r="L10">
            <v>89.112777777777779</v>
          </cell>
          <cell r="Q10">
            <v>6563</v>
          </cell>
        </row>
        <row r="11">
          <cell r="I11">
            <v>46.07</v>
          </cell>
          <cell r="K11">
            <v>27.52</v>
          </cell>
          <cell r="L11">
            <v>64.62</v>
          </cell>
          <cell r="Q11">
            <v>6564</v>
          </cell>
        </row>
        <row r="12">
          <cell r="I12">
            <v>52.586666666666666</v>
          </cell>
          <cell r="K12">
            <v>37.944625850340138</v>
          </cell>
          <cell r="L12">
            <v>67.228707482993201</v>
          </cell>
          <cell r="Q12">
            <v>6566</v>
          </cell>
        </row>
        <row r="13">
          <cell r="I13">
            <v>93.005714285714276</v>
          </cell>
          <cell r="K13">
            <v>10.448979591836732</v>
          </cell>
          <cell r="L13">
            <v>175.56244897959181</v>
          </cell>
          <cell r="Q13">
            <v>6567</v>
          </cell>
        </row>
        <row r="14">
          <cell r="I14">
            <v>54.82</v>
          </cell>
          <cell r="K14">
            <v>15.511428571428567</v>
          </cell>
          <cell r="L14">
            <v>94.128571428571433</v>
          </cell>
          <cell r="Q14">
            <v>6568</v>
          </cell>
        </row>
        <row r="15">
          <cell r="I15">
            <v>45.428333333333335</v>
          </cell>
          <cell r="K15">
            <v>35.581111111111113</v>
          </cell>
          <cell r="L15">
            <v>55.275555555555556</v>
          </cell>
          <cell r="Q15">
            <v>6569</v>
          </cell>
        </row>
        <row r="16">
          <cell r="I16">
            <v>42.788333333333327</v>
          </cell>
          <cell r="K16">
            <v>31.774444444444441</v>
          </cell>
          <cell r="L16">
            <v>53.802222222222213</v>
          </cell>
          <cell r="Q16">
            <v>6570</v>
          </cell>
        </row>
        <row r="17">
          <cell r="I17">
            <v>40.24</v>
          </cell>
          <cell r="K17">
            <v>39.840000000000003</v>
          </cell>
          <cell r="L17">
            <v>40.64</v>
          </cell>
          <cell r="Q17">
            <v>6571</v>
          </cell>
        </row>
        <row r="18">
          <cell r="I18">
            <v>39.783333333333331</v>
          </cell>
          <cell r="K18">
            <v>28.947777777777773</v>
          </cell>
          <cell r="L18">
            <v>50.61888888888889</v>
          </cell>
          <cell r="Q18">
            <v>6572</v>
          </cell>
        </row>
        <row r="19">
          <cell r="I19">
            <v>49.587142857142858</v>
          </cell>
          <cell r="K19">
            <v>36.625510204081635</v>
          </cell>
          <cell r="L19">
            <v>62.548775510204081</v>
          </cell>
          <cell r="Q19">
            <v>6573</v>
          </cell>
        </row>
        <row r="20">
          <cell r="I20">
            <v>17.930000000000003</v>
          </cell>
          <cell r="K20">
            <v>17.93</v>
          </cell>
          <cell r="L20">
            <v>17.930000000000007</v>
          </cell>
          <cell r="Q20">
            <v>6620</v>
          </cell>
        </row>
        <row r="21">
          <cell r="I21">
            <v>91.732307692307685</v>
          </cell>
          <cell r="K21">
            <v>68.136627218934905</v>
          </cell>
          <cell r="L21">
            <v>115.32798816568047</v>
          </cell>
          <cell r="Q21">
            <v>6621</v>
          </cell>
        </row>
        <row r="22">
          <cell r="I22">
            <v>112.96769230769232</v>
          </cell>
          <cell r="K22">
            <v>111.2337278106509</v>
          </cell>
          <cell r="L22">
            <v>114.70165680473373</v>
          </cell>
          <cell r="Q22">
            <v>6624</v>
          </cell>
        </row>
        <row r="23">
          <cell r="I23">
            <v>52.355555555555554</v>
          </cell>
          <cell r="K23">
            <v>49.191687242798352</v>
          </cell>
          <cell r="L23">
            <v>55.519423868312757</v>
          </cell>
          <cell r="Q23">
            <v>6625</v>
          </cell>
        </row>
        <row r="24">
          <cell r="I24">
            <v>125.03153846153842</v>
          </cell>
          <cell r="K24">
            <v>115.29094674556211</v>
          </cell>
          <cell r="L24">
            <v>134.77213017751473</v>
          </cell>
          <cell r="Q24">
            <v>6626</v>
          </cell>
        </row>
        <row r="25">
          <cell r="I25">
            <v>159.87115384615387</v>
          </cell>
          <cell r="K25">
            <v>113.4476035502959</v>
          </cell>
          <cell r="L25">
            <v>206.29470414201185</v>
          </cell>
          <cell r="Q25">
            <v>6627</v>
          </cell>
        </row>
        <row r="26">
          <cell r="I26">
            <v>82.406666666666666</v>
          </cell>
          <cell r="K26">
            <v>42.851466666666667</v>
          </cell>
          <cell r="L26">
            <v>121.96186666666667</v>
          </cell>
          <cell r="Q26">
            <v>6629</v>
          </cell>
        </row>
        <row r="27">
          <cell r="I27">
            <v>324.67038461538465</v>
          </cell>
          <cell r="K27">
            <v>324.1578106508876</v>
          </cell>
          <cell r="L27">
            <v>325.1829585798817</v>
          </cell>
          <cell r="Q27">
            <v>6630</v>
          </cell>
        </row>
        <row r="28">
          <cell r="I28">
            <v>0</v>
          </cell>
          <cell r="K28">
            <v>0</v>
          </cell>
          <cell r="L28">
            <v>0</v>
          </cell>
          <cell r="Q28">
            <v>6631</v>
          </cell>
        </row>
        <row r="29">
          <cell r="I29">
            <v>0</v>
          </cell>
          <cell r="K29">
            <v>0</v>
          </cell>
          <cell r="L29">
            <v>0</v>
          </cell>
          <cell r="Q29">
            <v>6632</v>
          </cell>
        </row>
        <row r="30">
          <cell r="I30">
            <v>210.24869565217389</v>
          </cell>
          <cell r="K30">
            <v>200.60321361058598</v>
          </cell>
          <cell r="L30">
            <v>219.8941776937618</v>
          </cell>
          <cell r="Q30">
            <v>6638</v>
          </cell>
        </row>
        <row r="31">
          <cell r="I31">
            <v>64.645714285714277</v>
          </cell>
          <cell r="K31">
            <v>53.966530612244881</v>
          </cell>
          <cell r="L31">
            <v>75.324897959183673</v>
          </cell>
          <cell r="Q31">
            <v>6641</v>
          </cell>
        </row>
        <row r="32">
          <cell r="I32">
            <v>57.534400000000005</v>
          </cell>
          <cell r="K32">
            <v>42.285346745562123</v>
          </cell>
          <cell r="L32">
            <v>72.783453254437887</v>
          </cell>
          <cell r="Q32">
            <v>6642</v>
          </cell>
        </row>
        <row r="33">
          <cell r="I33">
            <v>44.62833333333333</v>
          </cell>
          <cell r="K33">
            <v>43.762777777777771</v>
          </cell>
          <cell r="L33">
            <v>45.49388888888889</v>
          </cell>
          <cell r="Q33">
            <v>6643</v>
          </cell>
        </row>
        <row r="34">
          <cell r="I34">
            <v>59.753749999999997</v>
          </cell>
          <cell r="K34">
            <v>39.575624999999995</v>
          </cell>
          <cell r="L34">
            <v>79.931874999999991</v>
          </cell>
          <cell r="Q34">
            <v>6646</v>
          </cell>
        </row>
        <row r="35">
          <cell r="I35">
            <v>49.978461538461531</v>
          </cell>
          <cell r="K35">
            <v>48.86491124260354</v>
          </cell>
          <cell r="L35">
            <v>51.092011834319521</v>
          </cell>
          <cell r="Q35">
            <v>6647</v>
          </cell>
        </row>
        <row r="36">
          <cell r="I36">
            <v>37.299999999999983</v>
          </cell>
          <cell r="K36">
            <v>37.299999999999969</v>
          </cell>
          <cell r="L36">
            <v>37.299999999999997</v>
          </cell>
          <cell r="Q36">
            <v>6648</v>
          </cell>
        </row>
        <row r="37">
          <cell r="I37">
            <v>85.589999999999989</v>
          </cell>
          <cell r="K37">
            <v>85.589999999999975</v>
          </cell>
          <cell r="L37">
            <v>85.59</v>
          </cell>
          <cell r="Q37">
            <v>6649</v>
          </cell>
        </row>
        <row r="38">
          <cell r="I38">
            <v>49.650769230769242</v>
          </cell>
          <cell r="K38">
            <v>48.233254437869839</v>
          </cell>
          <cell r="L38">
            <v>51.068284023668646</v>
          </cell>
          <cell r="Q38">
            <v>6651</v>
          </cell>
        </row>
        <row r="39">
          <cell r="I39">
            <v>109.91666666666667</v>
          </cell>
          <cell r="K39">
            <v>108.70555555555555</v>
          </cell>
          <cell r="L39">
            <v>111.12777777777779</v>
          </cell>
          <cell r="Q39">
            <v>6652</v>
          </cell>
        </row>
        <row r="40">
          <cell r="I40">
            <v>149.83080000000001</v>
          </cell>
          <cell r="K40">
            <v>138.74864023668638</v>
          </cell>
          <cell r="L40">
            <v>160.91295976331364</v>
          </cell>
          <cell r="Q40">
            <v>6659</v>
          </cell>
        </row>
        <row r="41">
          <cell r="I41">
            <v>137.66230769230768</v>
          </cell>
          <cell r="K41">
            <v>128.85047337278104</v>
          </cell>
          <cell r="L41">
            <v>146.47414201183432</v>
          </cell>
          <cell r="Q41">
            <v>6662</v>
          </cell>
        </row>
        <row r="42">
          <cell r="I42">
            <v>98.841818181818198</v>
          </cell>
          <cell r="K42">
            <v>93.710578512396722</v>
          </cell>
          <cell r="L42">
            <v>103.97305785123967</v>
          </cell>
          <cell r="Q42">
            <v>6663</v>
          </cell>
        </row>
        <row r="43">
          <cell r="I43">
            <v>37.58428571428572</v>
          </cell>
          <cell r="K43">
            <v>34.630816326530613</v>
          </cell>
          <cell r="L43">
            <v>40.537755102040826</v>
          </cell>
          <cell r="Q43">
            <v>6667</v>
          </cell>
        </row>
        <row r="44">
          <cell r="I44">
            <v>41.357692307692304</v>
          </cell>
          <cell r="K44">
            <v>40.528698224852064</v>
          </cell>
          <cell r="L44">
            <v>42.186686390532543</v>
          </cell>
          <cell r="Q44">
            <v>6671</v>
          </cell>
        </row>
        <row r="45">
          <cell r="I45">
            <v>131.94807692307691</v>
          </cell>
          <cell r="K45">
            <v>130.2877218934911</v>
          </cell>
          <cell r="L45">
            <v>133.60843195266273</v>
          </cell>
          <cell r="Q45">
            <v>6672</v>
          </cell>
        </row>
        <row r="46">
          <cell r="I46">
            <v>422.59884615384613</v>
          </cell>
          <cell r="K46">
            <v>288.80514792899407</v>
          </cell>
          <cell r="L46">
            <v>556.39254437869818</v>
          </cell>
          <cell r="Q46">
            <v>6674</v>
          </cell>
        </row>
        <row r="47">
          <cell r="I47">
            <v>122.13692307692307</v>
          </cell>
          <cell r="K47">
            <v>120.92390532544378</v>
          </cell>
          <cell r="L47">
            <v>123.34994082840235</v>
          </cell>
          <cell r="Q47">
            <v>6677</v>
          </cell>
        </row>
        <row r="48">
          <cell r="I48">
            <v>41.80833333333333</v>
          </cell>
          <cell r="K48">
            <v>40.029444444444437</v>
          </cell>
          <cell r="L48">
            <v>43.587222222222223</v>
          </cell>
          <cell r="Q48">
            <v>6679</v>
          </cell>
        </row>
        <row r="49">
          <cell r="I49">
            <v>109.95307692307698</v>
          </cell>
          <cell r="K49">
            <v>107.12041420118351</v>
          </cell>
          <cell r="L49">
            <v>112.78573964497045</v>
          </cell>
          <cell r="Q49">
            <v>6680</v>
          </cell>
        </row>
        <row r="50">
          <cell r="I50">
            <v>54.098181818181814</v>
          </cell>
          <cell r="K50">
            <v>40.013448090371156</v>
          </cell>
          <cell r="L50">
            <v>68.182915545992472</v>
          </cell>
          <cell r="Q50">
            <v>6684</v>
          </cell>
        </row>
        <row r="51">
          <cell r="I51">
            <v>58.043636363636352</v>
          </cell>
          <cell r="K51">
            <v>42.931683700914455</v>
          </cell>
          <cell r="L51">
            <v>73.155589026358243</v>
          </cell>
          <cell r="Q51">
            <v>6690</v>
          </cell>
        </row>
        <row r="52">
          <cell r="I52">
            <v>36.461153846153856</v>
          </cell>
          <cell r="K52">
            <v>35.449585798816578</v>
          </cell>
          <cell r="L52">
            <v>37.472721893491133</v>
          </cell>
          <cell r="Q52">
            <v>6696</v>
          </cell>
        </row>
        <row r="53">
          <cell r="I53">
            <v>139.10923076923075</v>
          </cell>
          <cell r="K53">
            <v>118.59727810650887</v>
          </cell>
          <cell r="L53">
            <v>159.62118343195263</v>
          </cell>
          <cell r="Q53">
            <v>6704</v>
          </cell>
        </row>
        <row r="54">
          <cell r="I54">
            <v>51.32833333333334</v>
          </cell>
          <cell r="K54">
            <v>40.544444444444444</v>
          </cell>
          <cell r="L54">
            <v>62.112222222222236</v>
          </cell>
          <cell r="Q54">
            <v>6707</v>
          </cell>
        </row>
        <row r="55">
          <cell r="I55">
            <v>38.15</v>
          </cell>
          <cell r="K55">
            <v>21.701428571428568</v>
          </cell>
          <cell r="L55">
            <v>54.598571428571432</v>
          </cell>
          <cell r="Q55">
            <v>6712</v>
          </cell>
        </row>
        <row r="56">
          <cell r="I56">
            <v>45.487142857142864</v>
          </cell>
          <cell r="K56">
            <v>36.874897959183677</v>
          </cell>
          <cell r="L56">
            <v>54.09938775510205</v>
          </cell>
          <cell r="Q56">
            <v>6723</v>
          </cell>
        </row>
        <row r="57">
          <cell r="I57">
            <v>73.113846153846154</v>
          </cell>
          <cell r="K57">
            <v>67.253017751479291</v>
          </cell>
          <cell r="L57">
            <v>78.974674556213017</v>
          </cell>
          <cell r="Q57">
            <v>6725</v>
          </cell>
        </row>
        <row r="58">
          <cell r="I58">
            <v>43.928333333333335</v>
          </cell>
          <cell r="K58">
            <v>42.169444444444451</v>
          </cell>
          <cell r="L58">
            <v>45.687222222222218</v>
          </cell>
          <cell r="Q58">
            <v>6727</v>
          </cell>
        </row>
        <row r="59">
          <cell r="I59">
            <v>57.47</v>
          </cell>
          <cell r="K59">
            <v>20.653209876543208</v>
          </cell>
          <cell r="L59">
            <v>94.286790123456797</v>
          </cell>
          <cell r="Q59">
            <v>6729</v>
          </cell>
        </row>
        <row r="60">
          <cell r="I60">
            <v>56.719230769230769</v>
          </cell>
          <cell r="K60">
            <v>43.729940828402363</v>
          </cell>
          <cell r="L60">
            <v>69.708520710059176</v>
          </cell>
          <cell r="Q60">
            <v>6730</v>
          </cell>
        </row>
        <row r="61">
          <cell r="I61">
            <v>141.31538461538463</v>
          </cell>
          <cell r="K61">
            <v>137.75704142011836</v>
          </cell>
          <cell r="L61">
            <v>144.87372781065091</v>
          </cell>
          <cell r="Q61">
            <v>6732</v>
          </cell>
        </row>
        <row r="62">
          <cell r="I62">
            <v>206.9892857142857</v>
          </cell>
          <cell r="K62">
            <v>136.74324528622387</v>
          </cell>
          <cell r="L62">
            <v>277.2353261423475</v>
          </cell>
          <cell r="Q62">
            <v>6733</v>
          </cell>
        </row>
        <row r="63">
          <cell r="I63">
            <v>104.59090909090909</v>
          </cell>
          <cell r="K63">
            <v>47.287847866419298</v>
          </cell>
          <cell r="L63">
            <v>161.89397031539889</v>
          </cell>
          <cell r="Q63">
            <v>6734</v>
          </cell>
        </row>
        <row r="64">
          <cell r="I64">
            <v>168.61269230769227</v>
          </cell>
          <cell r="K64">
            <v>146.12636094674551</v>
          </cell>
          <cell r="L64">
            <v>191.09902366863903</v>
          </cell>
          <cell r="Q64">
            <v>6736</v>
          </cell>
        </row>
        <row r="65">
          <cell r="I65">
            <v>114.08531249999999</v>
          </cell>
          <cell r="K65">
            <v>44.520800781249989</v>
          </cell>
          <cell r="L65">
            <v>183.64982421874998</v>
          </cell>
          <cell r="Q65">
            <v>6739</v>
          </cell>
        </row>
        <row r="66">
          <cell r="I66">
            <v>177.54499999999999</v>
          </cell>
          <cell r="K66">
            <v>134.06459183673468</v>
          </cell>
          <cell r="L66">
            <v>221.0254081632653</v>
          </cell>
          <cell r="Q66">
            <v>6741</v>
          </cell>
        </row>
        <row r="67">
          <cell r="I67">
            <v>239.99038461538458</v>
          </cell>
          <cell r="K67">
            <v>112.76449704142009</v>
          </cell>
          <cell r="L67">
            <v>367.21627218934907</v>
          </cell>
          <cell r="Q67">
            <v>6742</v>
          </cell>
        </row>
        <row r="68">
          <cell r="I68">
            <v>225.69666666666654</v>
          </cell>
          <cell r="K68">
            <v>208.7793707482991</v>
          </cell>
          <cell r="L68">
            <v>242.61396258503399</v>
          </cell>
          <cell r="Q68">
            <v>6743</v>
          </cell>
        </row>
        <row r="69">
          <cell r="I69">
            <v>199.80730769230775</v>
          </cell>
          <cell r="K69">
            <v>194.6124852071006</v>
          </cell>
          <cell r="L69">
            <v>205.00213017751489</v>
          </cell>
          <cell r="Q69">
            <v>6747</v>
          </cell>
        </row>
        <row r="70">
          <cell r="I70">
            <v>134.72730769230773</v>
          </cell>
          <cell r="K70">
            <v>134.22378698224858</v>
          </cell>
          <cell r="L70">
            <v>135.23082840236688</v>
          </cell>
          <cell r="Q70">
            <v>6753</v>
          </cell>
        </row>
        <row r="71">
          <cell r="I71">
            <v>55.55619047619048</v>
          </cell>
          <cell r="K71">
            <v>33.908869047619049</v>
          </cell>
          <cell r="L71">
            <v>77.203511904761911</v>
          </cell>
          <cell r="Q71">
            <v>6756</v>
          </cell>
        </row>
        <row r="72">
          <cell r="I72">
            <v>121.28346153846149</v>
          </cell>
          <cell r="K72">
            <v>99.08411242603546</v>
          </cell>
          <cell r="L72">
            <v>143.48281065088753</v>
          </cell>
          <cell r="Q72">
            <v>6758</v>
          </cell>
        </row>
        <row r="73">
          <cell r="I73">
            <v>60.985000000000014</v>
          </cell>
          <cell r="K73">
            <v>45.416022222222225</v>
          </cell>
          <cell r="L73">
            <v>76.553977777777803</v>
          </cell>
          <cell r="Q73">
            <v>6759</v>
          </cell>
        </row>
        <row r="74">
          <cell r="I74">
            <v>59.809230769230766</v>
          </cell>
          <cell r="K74">
            <v>48.330455259026678</v>
          </cell>
          <cell r="L74">
            <v>71.288006279434853</v>
          </cell>
          <cell r="Q74">
            <v>6760</v>
          </cell>
        </row>
        <row r="75">
          <cell r="I75">
            <v>22.877692307692307</v>
          </cell>
          <cell r="K75">
            <v>20.768579881656805</v>
          </cell>
          <cell r="L75">
            <v>24.986804733727809</v>
          </cell>
          <cell r="Q75">
            <v>6761</v>
          </cell>
        </row>
        <row r="76">
          <cell r="I76">
            <v>119.03384615384614</v>
          </cell>
          <cell r="K76">
            <v>110.36071005917158</v>
          </cell>
          <cell r="L76">
            <v>127.7069822485207</v>
          </cell>
          <cell r="Q76">
            <v>6763</v>
          </cell>
        </row>
        <row r="77">
          <cell r="I77">
            <v>12.740000000000004</v>
          </cell>
          <cell r="K77">
            <v>11.797692307692314</v>
          </cell>
          <cell r="L77">
            <v>13.682307692307694</v>
          </cell>
          <cell r="Q77">
            <v>6764</v>
          </cell>
        </row>
        <row r="78">
          <cell r="I78">
            <v>137.14925925925931</v>
          </cell>
          <cell r="K78">
            <v>132.9977091906722</v>
          </cell>
          <cell r="L78">
            <v>141.30080932784642</v>
          </cell>
          <cell r="Q78">
            <v>6765</v>
          </cell>
        </row>
        <row r="79">
          <cell r="I79">
            <v>35.58928571428573</v>
          </cell>
          <cell r="K79">
            <v>22.817442670290482</v>
          </cell>
          <cell r="L79">
            <v>48.361128758280977</v>
          </cell>
          <cell r="Q79">
            <v>6766</v>
          </cell>
        </row>
        <row r="80">
          <cell r="I80">
            <v>128.65307692307695</v>
          </cell>
          <cell r="K80">
            <v>125.50402366863909</v>
          </cell>
          <cell r="L80">
            <v>131.80213017751481</v>
          </cell>
          <cell r="Q80">
            <v>6768</v>
          </cell>
        </row>
        <row r="81">
          <cell r="I81">
            <v>65.122857142857143</v>
          </cell>
          <cell r="K81">
            <v>61.606938775510208</v>
          </cell>
          <cell r="L81">
            <v>68.638775510204084</v>
          </cell>
          <cell r="Q81">
            <v>6769</v>
          </cell>
        </row>
        <row r="82">
          <cell r="I82">
            <v>94.109230769230734</v>
          </cell>
          <cell r="K82">
            <v>92.257396449704089</v>
          </cell>
          <cell r="L82">
            <v>95.96106508875738</v>
          </cell>
          <cell r="Q82">
            <v>6771</v>
          </cell>
        </row>
        <row r="83">
          <cell r="I83">
            <v>138.33666666666667</v>
          </cell>
          <cell r="K83">
            <v>5.2685185185185333</v>
          </cell>
          <cell r="L83">
            <v>271.40481481481481</v>
          </cell>
          <cell r="Q83">
            <v>6772</v>
          </cell>
        </row>
        <row r="84">
          <cell r="I84">
            <v>15</v>
          </cell>
          <cell r="K84">
            <v>15</v>
          </cell>
          <cell r="L84">
            <v>15</v>
          </cell>
          <cell r="Q84">
            <v>6773</v>
          </cell>
        </row>
        <row r="85">
          <cell r="I85">
            <v>39.77999999999998</v>
          </cell>
          <cell r="K85">
            <v>39.779999999999959</v>
          </cell>
          <cell r="L85">
            <v>39.78</v>
          </cell>
          <cell r="Q85">
            <v>6774</v>
          </cell>
        </row>
        <row r="86">
          <cell r="I86">
            <v>193.00555555555559</v>
          </cell>
          <cell r="K86">
            <v>179.7118055555556</v>
          </cell>
          <cell r="L86">
            <v>206.29930555555558</v>
          </cell>
          <cell r="Q86">
            <v>6775</v>
          </cell>
        </row>
        <row r="87">
          <cell r="I87">
            <v>23.960000000000004</v>
          </cell>
          <cell r="K87">
            <v>23.96</v>
          </cell>
          <cell r="L87">
            <v>23.960000000000008</v>
          </cell>
          <cell r="Q87">
            <v>6776</v>
          </cell>
        </row>
        <row r="88">
          <cell r="I88">
            <v>146.12999999999994</v>
          </cell>
          <cell r="K88">
            <v>144.20384615384609</v>
          </cell>
          <cell r="L88">
            <v>148.05615384615379</v>
          </cell>
          <cell r="Q88">
            <v>6777</v>
          </cell>
        </row>
        <row r="89">
          <cell r="I89">
            <v>75.555769230769229</v>
          </cell>
          <cell r="K89">
            <v>50.919230769230765</v>
          </cell>
          <cell r="L89">
            <v>100.19230769230769</v>
          </cell>
          <cell r="Q89">
            <v>6778</v>
          </cell>
        </row>
        <row r="90">
          <cell r="I90">
            <v>12.600000000000001</v>
          </cell>
          <cell r="K90">
            <v>12.6</v>
          </cell>
          <cell r="L90">
            <v>12.600000000000003</v>
          </cell>
          <cell r="Q90">
            <v>6779</v>
          </cell>
        </row>
        <row r="91">
          <cell r="I91">
            <v>29.321923076923074</v>
          </cell>
          <cell r="K91">
            <v>21.892011834319522</v>
          </cell>
          <cell r="L91">
            <v>36.75183431952663</v>
          </cell>
          <cell r="Q91">
            <v>6781</v>
          </cell>
        </row>
        <row r="92">
          <cell r="I92">
            <v>250.1496153846154</v>
          </cell>
          <cell r="K92">
            <v>208.50153846153847</v>
          </cell>
          <cell r="L92">
            <v>291.79769230769233</v>
          </cell>
          <cell r="Q92">
            <v>6782</v>
          </cell>
        </row>
        <row r="93">
          <cell r="I93">
            <v>53.646296296296299</v>
          </cell>
          <cell r="K93">
            <v>40.768655692729773</v>
          </cell>
          <cell r="L93">
            <v>66.523936899862832</v>
          </cell>
          <cell r="Q93">
            <v>6783</v>
          </cell>
        </row>
        <row r="94">
          <cell r="I94">
            <v>42.527777777777771</v>
          </cell>
          <cell r="K94">
            <v>36.857818930041148</v>
          </cell>
          <cell r="L94">
            <v>48.197736625514395</v>
          </cell>
          <cell r="Q94">
            <v>6784</v>
          </cell>
        </row>
        <row r="95">
          <cell r="I95">
            <v>5.638148148148149</v>
          </cell>
          <cell r="K95">
            <v>3.6870644718792871</v>
          </cell>
          <cell r="L95">
            <v>7.5892318244170109</v>
          </cell>
          <cell r="Q95">
            <v>6785</v>
          </cell>
        </row>
        <row r="96">
          <cell r="I96">
            <v>30.471111111111121</v>
          </cell>
          <cell r="K96">
            <v>12.860164609053498</v>
          </cell>
          <cell r="L96">
            <v>48.082057613168743</v>
          </cell>
          <cell r="Q96">
            <v>6786</v>
          </cell>
        </row>
        <row r="97">
          <cell r="I97">
            <v>38.079999999999991</v>
          </cell>
          <cell r="K97">
            <v>32.917037037037034</v>
          </cell>
          <cell r="L97">
            <v>43.242962962962949</v>
          </cell>
          <cell r="Q97">
            <v>6787</v>
          </cell>
        </row>
        <row r="98">
          <cell r="I98">
            <v>79.504230769230773</v>
          </cell>
          <cell r="K98">
            <v>61.856923076923081</v>
          </cell>
          <cell r="L98">
            <v>97.151538461538465</v>
          </cell>
          <cell r="Q98">
            <v>6788</v>
          </cell>
        </row>
        <row r="99">
          <cell r="I99">
            <v>39.183846153846162</v>
          </cell>
          <cell r="K99">
            <v>35.94088757396451</v>
          </cell>
          <cell r="L99">
            <v>42.426804733727813</v>
          </cell>
          <cell r="Q99">
            <v>6789</v>
          </cell>
        </row>
        <row r="100">
          <cell r="I100">
            <v>54.22</v>
          </cell>
          <cell r="K100">
            <v>48.946923076923078</v>
          </cell>
          <cell r="L100">
            <v>59.49307692307692</v>
          </cell>
          <cell r="Q100">
            <v>6790</v>
          </cell>
        </row>
        <row r="101">
          <cell r="I101">
            <v>79.145384615384643</v>
          </cell>
          <cell r="K101">
            <v>72.887751479289975</v>
          </cell>
          <cell r="L101">
            <v>85.403017751479311</v>
          </cell>
          <cell r="Q101">
            <v>6791</v>
          </cell>
        </row>
        <row r="102">
          <cell r="I102">
            <v>128.77769230769235</v>
          </cell>
          <cell r="K102">
            <v>113.89100591715982</v>
          </cell>
          <cell r="L102">
            <v>143.66437869822488</v>
          </cell>
          <cell r="Q102">
            <v>6792</v>
          </cell>
        </row>
        <row r="103">
          <cell r="I103">
            <v>99.020370370370358</v>
          </cell>
          <cell r="K103">
            <v>97.289643347050742</v>
          </cell>
          <cell r="L103">
            <v>100.75109739368997</v>
          </cell>
          <cell r="Q103">
            <v>6793</v>
          </cell>
        </row>
        <row r="104">
          <cell r="I104">
            <v>40.698571428571427</v>
          </cell>
          <cell r="K104">
            <v>39.30265306122449</v>
          </cell>
          <cell r="L104">
            <v>42.094489795918363</v>
          </cell>
          <cell r="Q104">
            <v>6794</v>
          </cell>
        </row>
        <row r="105">
          <cell r="I105">
            <v>104.69961538461538</v>
          </cell>
          <cell r="K105">
            <v>85.903076923076924</v>
          </cell>
          <cell r="L105">
            <v>123.49615384615385</v>
          </cell>
          <cell r="Q105">
            <v>6795</v>
          </cell>
        </row>
        <row r="106">
          <cell r="I106">
            <v>19.828076923076921</v>
          </cell>
          <cell r="K106">
            <v>17.743964497041418</v>
          </cell>
          <cell r="L106">
            <v>21.912189349112424</v>
          </cell>
          <cell r="Q106">
            <v>6796</v>
          </cell>
        </row>
        <row r="107">
          <cell r="I107">
            <v>11.364230769230769</v>
          </cell>
          <cell r="K107">
            <v>3.7215384615384632</v>
          </cell>
          <cell r="L107">
            <v>19.006923076923073</v>
          </cell>
          <cell r="Q107">
            <v>6797</v>
          </cell>
        </row>
        <row r="108">
          <cell r="I108">
            <v>17.568846153846152</v>
          </cell>
          <cell r="K108">
            <v>13.85360946745562</v>
          </cell>
          <cell r="L108">
            <v>21.284082840236685</v>
          </cell>
          <cell r="Q108">
            <v>6798</v>
          </cell>
        </row>
        <row r="109">
          <cell r="I109">
            <v>16.096153846153847</v>
          </cell>
          <cell r="K109">
            <v>13.434852071005917</v>
          </cell>
          <cell r="L109">
            <v>18.757455621301776</v>
          </cell>
          <cell r="Q109">
            <v>6799</v>
          </cell>
        </row>
        <row r="110">
          <cell r="I110">
            <v>13.912692307692311</v>
          </cell>
          <cell r="K110">
            <v>11.837278106508878</v>
          </cell>
          <cell r="L110">
            <v>15.988106508875743</v>
          </cell>
          <cell r="Q110">
            <v>6800</v>
          </cell>
        </row>
        <row r="111">
          <cell r="I111">
            <v>118.86555555555555</v>
          </cell>
          <cell r="K111">
            <v>104.99164609053497</v>
          </cell>
          <cell r="L111">
            <v>132.73946502057612</v>
          </cell>
          <cell r="Q111">
            <v>6801</v>
          </cell>
        </row>
        <row r="112">
          <cell r="I112">
            <v>61.818461538461527</v>
          </cell>
          <cell r="K112">
            <v>42.791538461538451</v>
          </cell>
          <cell r="L112">
            <v>80.845384615384603</v>
          </cell>
          <cell r="Q112">
            <v>6809</v>
          </cell>
        </row>
        <row r="113">
          <cell r="I113">
            <v>29.184615384615384</v>
          </cell>
          <cell r="K113">
            <v>21.294142011834321</v>
          </cell>
          <cell r="L113">
            <v>37.07508875739645</v>
          </cell>
          <cell r="Q113">
            <v>6810</v>
          </cell>
        </row>
        <row r="114">
          <cell r="I114">
            <v>43.597307692307695</v>
          </cell>
          <cell r="K114">
            <v>40.639792899408285</v>
          </cell>
          <cell r="L114">
            <v>46.554822485207104</v>
          </cell>
          <cell r="Q114">
            <v>6811</v>
          </cell>
        </row>
        <row r="115">
          <cell r="I115">
            <v>41.615769230769224</v>
          </cell>
          <cell r="K115">
            <v>35.865266272189345</v>
          </cell>
          <cell r="L115">
            <v>47.366272189349104</v>
          </cell>
          <cell r="Q115">
            <v>6812</v>
          </cell>
        </row>
        <row r="116">
          <cell r="I116">
            <v>17.065000000000005</v>
          </cell>
          <cell r="K116">
            <v>15.158076923076928</v>
          </cell>
          <cell r="L116">
            <v>18.971923076923083</v>
          </cell>
          <cell r="Q116">
            <v>6813</v>
          </cell>
        </row>
        <row r="117">
          <cell r="I117">
            <v>135.97153846153844</v>
          </cell>
          <cell r="K117">
            <v>124.55437869822484</v>
          </cell>
          <cell r="L117">
            <v>147.38869822485205</v>
          </cell>
          <cell r="Q117">
            <v>6816</v>
          </cell>
        </row>
        <row r="118">
          <cell r="I118">
            <v>235.1019230769231</v>
          </cell>
          <cell r="K118">
            <v>200.81724852071008</v>
          </cell>
          <cell r="L118">
            <v>269.38659763313615</v>
          </cell>
          <cell r="Q118">
            <v>6822</v>
          </cell>
        </row>
        <row r="119">
          <cell r="I119">
            <v>368.05799999999988</v>
          </cell>
          <cell r="K119">
            <v>196.38896209912534</v>
          </cell>
          <cell r="L119">
            <v>539.72703790087439</v>
          </cell>
          <cell r="Q119">
            <v>6827</v>
          </cell>
        </row>
        <row r="120">
          <cell r="I120">
            <v>759.71689655172429</v>
          </cell>
          <cell r="K120">
            <v>393.61436321839091</v>
          </cell>
          <cell r="L120">
            <v>1125.8194298850576</v>
          </cell>
          <cell r="Q120">
            <v>6828</v>
          </cell>
        </row>
        <row r="121">
          <cell r="I121">
            <v>185.49222222222221</v>
          </cell>
          <cell r="K121">
            <v>130.17197530864198</v>
          </cell>
          <cell r="L121">
            <v>240.81246913580244</v>
          </cell>
          <cell r="Q121">
            <v>6832</v>
          </cell>
        </row>
        <row r="122">
          <cell r="I122">
            <v>146.22884615384618</v>
          </cell>
          <cell r="K122">
            <v>143.39615384615388</v>
          </cell>
          <cell r="L122">
            <v>149.06153846153848</v>
          </cell>
          <cell r="Q122">
            <v>6833</v>
          </cell>
        </row>
        <row r="123">
          <cell r="I123">
            <v>52.667692307692313</v>
          </cell>
          <cell r="K123">
            <v>52.139881656804739</v>
          </cell>
          <cell r="L123">
            <v>53.195502958579887</v>
          </cell>
          <cell r="Q123">
            <v>6834</v>
          </cell>
        </row>
        <row r="124">
          <cell r="I124">
            <v>58.300769230769255</v>
          </cell>
          <cell r="K124">
            <v>54.737988165680484</v>
          </cell>
          <cell r="L124">
            <v>61.863550295858026</v>
          </cell>
          <cell r="Q124">
            <v>6835</v>
          </cell>
        </row>
        <row r="125">
          <cell r="I125">
            <v>65.147692307692324</v>
          </cell>
          <cell r="K125">
            <v>64.61988165680475</v>
          </cell>
          <cell r="L125">
            <v>65.675502958579898</v>
          </cell>
          <cell r="Q125">
            <v>6836</v>
          </cell>
        </row>
        <row r="126">
          <cell r="I126">
            <v>38.852692307692287</v>
          </cell>
          <cell r="K126">
            <v>37.454112426035472</v>
          </cell>
          <cell r="L126">
            <v>40.251272189349102</v>
          </cell>
          <cell r="Q126">
            <v>6837</v>
          </cell>
        </row>
        <row r="127">
          <cell r="I127">
            <v>68.123076923076937</v>
          </cell>
          <cell r="K127">
            <v>50.75230769230771</v>
          </cell>
          <cell r="L127">
            <v>85.493846153846164</v>
          </cell>
          <cell r="Q127">
            <v>6842</v>
          </cell>
        </row>
        <row r="128">
          <cell r="I128">
            <v>91.701666666666668</v>
          </cell>
          <cell r="K128">
            <v>67.760555555555555</v>
          </cell>
          <cell r="L128">
            <v>115.64277777777778</v>
          </cell>
          <cell r="Q128">
            <v>6844</v>
          </cell>
        </row>
        <row r="129">
          <cell r="I129">
            <v>40.169999999999995</v>
          </cell>
          <cell r="K129">
            <v>36.209999999999994</v>
          </cell>
          <cell r="L129">
            <v>44.129999999999995</v>
          </cell>
          <cell r="Q129">
            <v>6847</v>
          </cell>
        </row>
        <row r="130">
          <cell r="I130">
            <v>133.76076923076923</v>
          </cell>
          <cell r="K130">
            <v>127.90248520710058</v>
          </cell>
          <cell r="L130">
            <v>139.61905325443786</v>
          </cell>
          <cell r="Q130">
            <v>6848</v>
          </cell>
        </row>
        <row r="131">
          <cell r="I131">
            <v>77.632307692307705</v>
          </cell>
          <cell r="K131">
            <v>74.65857988165682</v>
          </cell>
          <cell r="L131">
            <v>80.606035502958591</v>
          </cell>
          <cell r="Q131">
            <v>6853</v>
          </cell>
        </row>
        <row r="132">
          <cell r="I132">
            <v>42.043846153846147</v>
          </cell>
          <cell r="K132">
            <v>40.756272189349104</v>
          </cell>
          <cell r="L132">
            <v>43.331420118343189</v>
          </cell>
          <cell r="Q132">
            <v>6856</v>
          </cell>
        </row>
        <row r="133">
          <cell r="I133">
            <v>88.911666666666676</v>
          </cell>
          <cell r="K133">
            <v>86.39722222222224</v>
          </cell>
          <cell r="L133">
            <v>91.426111111111112</v>
          </cell>
          <cell r="Q133">
            <v>6862</v>
          </cell>
        </row>
        <row r="134">
          <cell r="I134">
            <v>88.092307692307685</v>
          </cell>
          <cell r="K134">
            <v>52.930177514792888</v>
          </cell>
          <cell r="L134">
            <v>123.25443786982248</v>
          </cell>
          <cell r="Q134">
            <v>6864</v>
          </cell>
        </row>
        <row r="135">
          <cell r="I135">
            <v>70.2</v>
          </cell>
          <cell r="K135">
            <v>68.994285714285724</v>
          </cell>
          <cell r="L135">
            <v>71.405714285714282</v>
          </cell>
          <cell r="Q135">
            <v>6865</v>
          </cell>
        </row>
        <row r="136">
          <cell r="I136">
            <v>65.848333333333329</v>
          </cell>
          <cell r="K136">
            <v>47.218537414965979</v>
          </cell>
          <cell r="L136">
            <v>84.478129251700679</v>
          </cell>
          <cell r="Q136">
            <v>6869</v>
          </cell>
        </row>
        <row r="137">
          <cell r="I137">
            <v>155.27500000000001</v>
          </cell>
          <cell r="K137">
            <v>147.05000000000001</v>
          </cell>
          <cell r="L137">
            <v>163.5</v>
          </cell>
          <cell r="Q137">
            <v>6870</v>
          </cell>
        </row>
        <row r="138">
          <cell r="I138">
            <v>115.88538461538461</v>
          </cell>
          <cell r="K138">
            <v>114.40514792899407</v>
          </cell>
          <cell r="L138">
            <v>117.36562130177515</v>
          </cell>
          <cell r="Q138">
            <v>6873</v>
          </cell>
        </row>
        <row r="139">
          <cell r="I139">
            <v>114.89058823529413</v>
          </cell>
          <cell r="K139">
            <v>54.892456747404864</v>
          </cell>
          <cell r="L139">
            <v>174.88871972318339</v>
          </cell>
          <cell r="Q139">
            <v>6875</v>
          </cell>
        </row>
        <row r="140">
          <cell r="I140">
            <v>193.285</v>
          </cell>
          <cell r="K140">
            <v>178.06</v>
          </cell>
          <cell r="L140">
            <v>208.51</v>
          </cell>
          <cell r="Q140">
            <v>6878</v>
          </cell>
        </row>
        <row r="141">
          <cell r="I141">
            <v>572.87192307692305</v>
          </cell>
          <cell r="K141">
            <v>526.31911242603553</v>
          </cell>
          <cell r="L141">
            <v>619.42473372781058</v>
          </cell>
          <cell r="Q141">
            <v>6880</v>
          </cell>
        </row>
        <row r="142">
          <cell r="I142">
            <v>429.84571428571422</v>
          </cell>
          <cell r="K142">
            <v>366.48387755102033</v>
          </cell>
          <cell r="L142">
            <v>493.20755102040812</v>
          </cell>
          <cell r="Q142">
            <v>6882</v>
          </cell>
        </row>
        <row r="143">
          <cell r="I143">
            <v>122.03615384615385</v>
          </cell>
          <cell r="K143">
            <v>121.28775147928995</v>
          </cell>
          <cell r="L143">
            <v>122.78455621301775</v>
          </cell>
          <cell r="Q143">
            <v>6886</v>
          </cell>
        </row>
        <row r="144">
          <cell r="I144">
            <v>161.36250000000001</v>
          </cell>
          <cell r="K144">
            <v>100.89000000000001</v>
          </cell>
          <cell r="L144">
            <v>221.83500000000001</v>
          </cell>
          <cell r="Q144">
            <v>6889</v>
          </cell>
        </row>
        <row r="145">
          <cell r="I145">
            <v>41.767500000000005</v>
          </cell>
          <cell r="K145">
            <v>38.91875000000001</v>
          </cell>
          <cell r="L145">
            <v>44.616250000000001</v>
          </cell>
          <cell r="Q145">
            <v>6894</v>
          </cell>
        </row>
        <row r="146">
          <cell r="I146">
            <v>717.99024390243915</v>
          </cell>
          <cell r="K146">
            <v>349.42030933967891</v>
          </cell>
          <cell r="L146">
            <v>1086.5601784651994</v>
          </cell>
          <cell r="Q146">
            <v>6895</v>
          </cell>
        </row>
        <row r="147">
          <cell r="I147">
            <v>57.890384615384612</v>
          </cell>
          <cell r="K147">
            <v>51.42763313609467</v>
          </cell>
          <cell r="L147">
            <v>64.353136094674554</v>
          </cell>
          <cell r="Q147">
            <v>6896</v>
          </cell>
        </row>
        <row r="148">
          <cell r="I148">
            <v>38.626538461538459</v>
          </cell>
          <cell r="K148">
            <v>33.764082840236682</v>
          </cell>
          <cell r="L148">
            <v>43.488994082840236</v>
          </cell>
          <cell r="Q148">
            <v>6897</v>
          </cell>
        </row>
        <row r="149">
          <cell r="I149">
            <v>97.160769230769219</v>
          </cell>
          <cell r="K149">
            <v>79.003076923076918</v>
          </cell>
          <cell r="L149">
            <v>115.31846153846152</v>
          </cell>
          <cell r="Q149">
            <v>6898</v>
          </cell>
        </row>
        <row r="150">
          <cell r="I150">
            <v>69.825769230769254</v>
          </cell>
          <cell r="K150">
            <v>63.002869822485238</v>
          </cell>
          <cell r="L150">
            <v>76.64866863905327</v>
          </cell>
          <cell r="Q150">
            <v>6899</v>
          </cell>
        </row>
        <row r="151">
          <cell r="I151">
            <v>180.73384615384614</v>
          </cell>
          <cell r="K151">
            <v>116.68134615384615</v>
          </cell>
          <cell r="L151">
            <v>244.78634615384613</v>
          </cell>
          <cell r="Q151">
            <v>6908</v>
          </cell>
        </row>
        <row r="152">
          <cell r="I152">
            <v>120.87846153846155</v>
          </cell>
          <cell r="K152">
            <v>119.79633136094677</v>
          </cell>
          <cell r="L152">
            <v>121.96059171597634</v>
          </cell>
          <cell r="Q152">
            <v>6909</v>
          </cell>
        </row>
        <row r="153">
          <cell r="I153">
            <v>15</v>
          </cell>
          <cell r="K153">
            <v>15</v>
          </cell>
          <cell r="L153">
            <v>15</v>
          </cell>
          <cell r="Q153">
            <v>6919</v>
          </cell>
        </row>
        <row r="154">
          <cell r="I154">
            <v>228.70846153846151</v>
          </cell>
          <cell r="K154">
            <v>116.83203296703296</v>
          </cell>
          <cell r="L154">
            <v>340.58489010989007</v>
          </cell>
          <cell r="Q154">
            <v>6921</v>
          </cell>
        </row>
        <row r="155">
          <cell r="I155">
            <v>34.269615384615399</v>
          </cell>
          <cell r="K155">
            <v>32.765325443786999</v>
          </cell>
          <cell r="L155">
            <v>35.773905325443799</v>
          </cell>
          <cell r="Q155">
            <v>6925</v>
          </cell>
        </row>
        <row r="156">
          <cell r="I156">
            <v>103.98923076923069</v>
          </cell>
          <cell r="K156">
            <v>101.11514792899398</v>
          </cell>
          <cell r="L156">
            <v>106.8633136094674</v>
          </cell>
          <cell r="Q156">
            <v>6926</v>
          </cell>
        </row>
        <row r="157">
          <cell r="I157">
            <v>112.51296296296293</v>
          </cell>
          <cell r="K157">
            <v>92.260629629629562</v>
          </cell>
          <cell r="L157">
            <v>132.7652962962963</v>
          </cell>
          <cell r="Q157">
            <v>6929</v>
          </cell>
        </row>
        <row r="158">
          <cell r="I158">
            <v>92.67</v>
          </cell>
          <cell r="K158">
            <v>75.989400000000018</v>
          </cell>
          <cell r="L158">
            <v>109.35059999999999</v>
          </cell>
          <cell r="Q158">
            <v>6930</v>
          </cell>
        </row>
        <row r="159">
          <cell r="I159">
            <v>100.18333333333332</v>
          </cell>
          <cell r="K159">
            <v>68.728999999999985</v>
          </cell>
          <cell r="L159">
            <v>131.63766666666666</v>
          </cell>
          <cell r="Q159">
            <v>6934</v>
          </cell>
        </row>
        <row r="160">
          <cell r="I160">
            <v>19.926153846153849</v>
          </cell>
          <cell r="K160">
            <v>19.45112426035503</v>
          </cell>
          <cell r="L160">
            <v>20.401183431952667</v>
          </cell>
          <cell r="Q160">
            <v>6939</v>
          </cell>
        </row>
        <row r="161">
          <cell r="I161">
            <v>305.24714285714288</v>
          </cell>
          <cell r="K161">
            <v>301.29938775510209</v>
          </cell>
          <cell r="L161">
            <v>309.19489795918366</v>
          </cell>
          <cell r="Q161">
            <v>6940</v>
          </cell>
        </row>
        <row r="162">
          <cell r="I162">
            <v>0</v>
          </cell>
          <cell r="K162">
            <v>0</v>
          </cell>
          <cell r="L162">
            <v>0</v>
          </cell>
          <cell r="Q162">
            <v>6954</v>
          </cell>
        </row>
        <row r="163">
          <cell r="I163">
            <v>143.15333333333334</v>
          </cell>
          <cell r="K163">
            <v>141.04444444444445</v>
          </cell>
          <cell r="L163">
            <v>145.26222222222222</v>
          </cell>
          <cell r="Q163">
            <v>6955</v>
          </cell>
        </row>
        <row r="164">
          <cell r="I164">
            <v>317.73192307692318</v>
          </cell>
          <cell r="K164">
            <v>307.29091715976341</v>
          </cell>
          <cell r="L164">
            <v>328.17292899408295</v>
          </cell>
          <cell r="Q164">
            <v>6956</v>
          </cell>
        </row>
        <row r="165">
          <cell r="I165">
            <v>21.522307692307685</v>
          </cell>
          <cell r="K165">
            <v>17.899999999999991</v>
          </cell>
          <cell r="L165">
            <v>25.144615384615378</v>
          </cell>
          <cell r="Q165">
            <v>6957</v>
          </cell>
        </row>
        <row r="166">
          <cell r="I166">
            <v>1126.8094936708856</v>
          </cell>
          <cell r="K166">
            <v>635.94248593739371</v>
          </cell>
          <cell r="L166">
            <v>1617.6765014043774</v>
          </cell>
          <cell r="Q166">
            <v>6958</v>
          </cell>
        </row>
        <row r="167">
          <cell r="I167">
            <v>86.613076923076946</v>
          </cell>
          <cell r="K167">
            <v>27.878934911242617</v>
          </cell>
          <cell r="L167">
            <v>145.34721893491127</v>
          </cell>
          <cell r="Q167">
            <v>6959</v>
          </cell>
        </row>
        <row r="168">
          <cell r="I168">
            <v>220.446</v>
          </cell>
          <cell r="K168">
            <v>73.565504132231382</v>
          </cell>
          <cell r="L168">
            <v>367.32649586776859</v>
          </cell>
          <cell r="Q168">
            <v>6965</v>
          </cell>
        </row>
        <row r="169">
          <cell r="I169">
            <v>107.66000000000001</v>
          </cell>
          <cell r="K169">
            <v>103.30538461538463</v>
          </cell>
          <cell r="L169">
            <v>112.0146153846154</v>
          </cell>
          <cell r="Q169">
            <v>6972</v>
          </cell>
        </row>
        <row r="170">
          <cell r="I170">
            <v>78.422500000000028</v>
          </cell>
          <cell r="K170">
            <v>46.522276000000019</v>
          </cell>
          <cell r="L170">
            <v>110.32272400000004</v>
          </cell>
          <cell r="Q170">
            <v>6985</v>
          </cell>
        </row>
        <row r="171">
          <cell r="I171">
            <v>186.05384615384614</v>
          </cell>
          <cell r="K171">
            <v>136.78633136094672</v>
          </cell>
          <cell r="L171">
            <v>235.32136094674556</v>
          </cell>
          <cell r="Q171">
            <v>6990</v>
          </cell>
        </row>
        <row r="172">
          <cell r="I172">
            <v>240.50590909090917</v>
          </cell>
          <cell r="K172">
            <v>177.88898601398608</v>
          </cell>
          <cell r="L172">
            <v>303.12283216783226</v>
          </cell>
          <cell r="Q172">
            <v>6991</v>
          </cell>
        </row>
        <row r="173">
          <cell r="I173">
            <v>174.09583333333333</v>
          </cell>
          <cell r="K173">
            <v>149.37216469428009</v>
          </cell>
          <cell r="L173">
            <v>198.81950197238658</v>
          </cell>
          <cell r="Q173">
            <v>6992</v>
          </cell>
        </row>
        <row r="174">
          <cell r="I174">
            <v>29.385769230769231</v>
          </cell>
          <cell r="K174">
            <v>27.207218934911243</v>
          </cell>
          <cell r="L174">
            <v>31.564319526627219</v>
          </cell>
          <cell r="Q174">
            <v>6996</v>
          </cell>
        </row>
        <row r="175">
          <cell r="I175">
            <v>55.328888888888883</v>
          </cell>
          <cell r="K175">
            <v>52.612263374485593</v>
          </cell>
          <cell r="L175">
            <v>58.045514403292174</v>
          </cell>
          <cell r="Q175">
            <v>6999</v>
          </cell>
        </row>
        <row r="176">
          <cell r="I176">
            <v>117.78846153846159</v>
          </cell>
          <cell r="K176">
            <v>91.858994082840297</v>
          </cell>
          <cell r="L176">
            <v>143.71792899408288</v>
          </cell>
          <cell r="Q176">
            <v>7009</v>
          </cell>
        </row>
        <row r="177">
          <cell r="I177">
            <v>359.67370370370372</v>
          </cell>
          <cell r="K177">
            <v>309.49192043895749</v>
          </cell>
          <cell r="L177">
            <v>409.85548696844995</v>
          </cell>
          <cell r="Q177">
            <v>7013</v>
          </cell>
        </row>
        <row r="178">
          <cell r="I178">
            <v>626.80666666666662</v>
          </cell>
          <cell r="K178">
            <v>577.27350340136047</v>
          </cell>
          <cell r="L178">
            <v>676.33982993197276</v>
          </cell>
          <cell r="Q178">
            <v>7014</v>
          </cell>
        </row>
        <row r="179">
          <cell r="I179">
            <v>240.35370370370367</v>
          </cell>
          <cell r="K179">
            <v>193.22997256515771</v>
          </cell>
          <cell r="L179">
            <v>287.47743484224964</v>
          </cell>
          <cell r="Q179">
            <v>7015</v>
          </cell>
        </row>
        <row r="180">
          <cell r="I180">
            <v>68.539999999999978</v>
          </cell>
          <cell r="K180">
            <v>68.539999999999949</v>
          </cell>
          <cell r="L180">
            <v>68.540000000000006</v>
          </cell>
          <cell r="Q180">
            <v>7019</v>
          </cell>
        </row>
        <row r="181">
          <cell r="I181">
            <v>15.905925925925928</v>
          </cell>
          <cell r="K181">
            <v>14.228285322359397</v>
          </cell>
          <cell r="L181">
            <v>17.583566529492458</v>
          </cell>
          <cell r="Q181">
            <v>7020</v>
          </cell>
        </row>
        <row r="182">
          <cell r="I182">
            <v>321.2310714285714</v>
          </cell>
          <cell r="K182">
            <v>232.44035342649022</v>
          </cell>
          <cell r="L182">
            <v>410.02178943065257</v>
          </cell>
          <cell r="Q182">
            <v>7024</v>
          </cell>
        </row>
        <row r="183">
          <cell r="I183">
            <v>107.39923076923075</v>
          </cell>
          <cell r="K183">
            <v>89.536982248520687</v>
          </cell>
          <cell r="L183">
            <v>125.26147928994082</v>
          </cell>
          <cell r="Q183">
            <v>7025</v>
          </cell>
        </row>
        <row r="184">
          <cell r="I184">
            <v>230.93703703703702</v>
          </cell>
          <cell r="K184">
            <v>153.23980795610424</v>
          </cell>
          <cell r="L184">
            <v>308.63426611796979</v>
          </cell>
          <cell r="Q184">
            <v>7032</v>
          </cell>
        </row>
        <row r="185">
          <cell r="I185">
            <v>30.068076923076923</v>
          </cell>
          <cell r="K185">
            <v>27.570443786982249</v>
          </cell>
          <cell r="L185">
            <v>32.5657100591716</v>
          </cell>
          <cell r="Q185">
            <v>7033</v>
          </cell>
        </row>
        <row r="186">
          <cell r="I186">
            <v>22.665000000000003</v>
          </cell>
          <cell r="K186">
            <v>20.809615384615388</v>
          </cell>
          <cell r="L186">
            <v>24.520384615384618</v>
          </cell>
          <cell r="Q186">
            <v>7034</v>
          </cell>
        </row>
        <row r="187">
          <cell r="I187">
            <v>138.23461538461544</v>
          </cell>
          <cell r="K187">
            <v>118.49763321726293</v>
          </cell>
          <cell r="L187">
            <v>157.97159755196793</v>
          </cell>
          <cell r="Q187">
            <v>7048</v>
          </cell>
        </row>
        <row r="188">
          <cell r="I188">
            <v>489.62384615384605</v>
          </cell>
          <cell r="K188">
            <v>434.13420118343186</v>
          </cell>
          <cell r="L188">
            <v>545.11349112426024</v>
          </cell>
          <cell r="Q188">
            <v>7052</v>
          </cell>
        </row>
        <row r="189">
          <cell r="I189">
            <v>66.173703703703708</v>
          </cell>
          <cell r="K189">
            <v>54.769807956104252</v>
          </cell>
          <cell r="L189">
            <v>77.577599451303172</v>
          </cell>
          <cell r="Q189">
            <v>7054</v>
          </cell>
        </row>
        <row r="190">
          <cell r="I190">
            <v>45.671851851851841</v>
          </cell>
          <cell r="K190">
            <v>39.43026063100136</v>
          </cell>
          <cell r="L190">
            <v>51.913443072702322</v>
          </cell>
          <cell r="Q190">
            <v>7055</v>
          </cell>
        </row>
        <row r="191">
          <cell r="I191">
            <v>47.047407407407412</v>
          </cell>
          <cell r="K191">
            <v>43.111989026063107</v>
          </cell>
          <cell r="L191">
            <v>50.982825788751718</v>
          </cell>
          <cell r="Q191">
            <v>7056</v>
          </cell>
        </row>
        <row r="192">
          <cell r="I192">
            <v>15.354444444444441</v>
          </cell>
          <cell r="K192">
            <v>13.641028806584359</v>
          </cell>
          <cell r="L192">
            <v>17.067860082304524</v>
          </cell>
          <cell r="Q192">
            <v>7057</v>
          </cell>
        </row>
        <row r="193">
          <cell r="I193">
            <v>16.57</v>
          </cell>
          <cell r="K193">
            <v>15.378888888888889</v>
          </cell>
          <cell r="L193">
            <v>17.761111111111113</v>
          </cell>
          <cell r="Q193">
            <v>7058</v>
          </cell>
        </row>
        <row r="194">
          <cell r="I194">
            <v>49.273703703703681</v>
          </cell>
          <cell r="K194">
            <v>34.156255144032897</v>
          </cell>
          <cell r="L194">
            <v>64.391152263374465</v>
          </cell>
          <cell r="Q194">
            <v>7059</v>
          </cell>
        </row>
        <row r="195">
          <cell r="I195">
            <v>65.541481481481483</v>
          </cell>
          <cell r="K195">
            <v>17.451056241426627</v>
          </cell>
          <cell r="L195">
            <v>113.63190672153634</v>
          </cell>
          <cell r="Q195">
            <v>7060</v>
          </cell>
        </row>
        <row r="196">
          <cell r="I196">
            <v>26.335925925925928</v>
          </cell>
          <cell r="K196">
            <v>24.253319615912211</v>
          </cell>
          <cell r="L196">
            <v>28.418532235939644</v>
          </cell>
          <cell r="Q196">
            <v>7061</v>
          </cell>
        </row>
        <row r="197">
          <cell r="I197">
            <v>43.120740740740743</v>
          </cell>
          <cell r="K197">
            <v>37.224471879286696</v>
          </cell>
          <cell r="L197">
            <v>49.01700960219479</v>
          </cell>
          <cell r="Q197">
            <v>7062</v>
          </cell>
        </row>
        <row r="198">
          <cell r="I198">
            <v>65.404814814814799</v>
          </cell>
          <cell r="K198">
            <v>61.390246913580242</v>
          </cell>
          <cell r="L198">
            <v>69.419382716049356</v>
          </cell>
          <cell r="Q198">
            <v>7063</v>
          </cell>
        </row>
        <row r="199">
          <cell r="I199">
            <v>146.98749999999998</v>
          </cell>
          <cell r="K199">
            <v>108.31002080856123</v>
          </cell>
          <cell r="L199">
            <v>185.66497919143873</v>
          </cell>
          <cell r="Q199">
            <v>7064</v>
          </cell>
        </row>
        <row r="200">
          <cell r="I200">
            <v>9.7707692307692255</v>
          </cell>
          <cell r="K200">
            <v>6.308816568047332</v>
          </cell>
          <cell r="L200">
            <v>13.232721893491119</v>
          </cell>
          <cell r="Q200">
            <v>7065</v>
          </cell>
        </row>
        <row r="201">
          <cell r="I201">
            <v>26.097692307692299</v>
          </cell>
          <cell r="K201">
            <v>20.107751479289934</v>
          </cell>
          <cell r="L201">
            <v>32.087633136094659</v>
          </cell>
          <cell r="Q201">
            <v>7066</v>
          </cell>
        </row>
        <row r="202">
          <cell r="I202">
            <v>35.801538461538478</v>
          </cell>
          <cell r="K202">
            <v>29.499053254437872</v>
          </cell>
          <cell r="L202">
            <v>42.104023668639087</v>
          </cell>
          <cell r="Q202">
            <v>7067</v>
          </cell>
        </row>
        <row r="203">
          <cell r="I203">
            <v>84.109615384615395</v>
          </cell>
          <cell r="K203">
            <v>64.503284023668641</v>
          </cell>
          <cell r="L203">
            <v>103.71594674556215</v>
          </cell>
          <cell r="Q203">
            <v>7068</v>
          </cell>
        </row>
        <row r="204">
          <cell r="I204">
            <v>88.667857142857116</v>
          </cell>
          <cell r="K204">
            <v>53.218265306122426</v>
          </cell>
          <cell r="L204">
            <v>124.11744897959181</v>
          </cell>
          <cell r="Q204">
            <v>7069</v>
          </cell>
        </row>
        <row r="205">
          <cell r="I205">
            <v>56.31192307692308</v>
          </cell>
          <cell r="K205">
            <v>51.883698224852075</v>
          </cell>
          <cell r="L205">
            <v>60.740147928994084</v>
          </cell>
          <cell r="Q205">
            <v>7070</v>
          </cell>
        </row>
        <row r="206">
          <cell r="I206">
            <v>67.834230769230786</v>
          </cell>
          <cell r="K206">
            <v>52.693431952662735</v>
          </cell>
          <cell r="L206">
            <v>82.975029585798836</v>
          </cell>
          <cell r="Q206">
            <v>7071</v>
          </cell>
        </row>
        <row r="207">
          <cell r="I207">
            <v>42.652692307692305</v>
          </cell>
          <cell r="K207">
            <v>35.784201183431954</v>
          </cell>
          <cell r="L207">
            <v>49.521183431952657</v>
          </cell>
          <cell r="Q207">
            <v>7072</v>
          </cell>
        </row>
        <row r="208">
          <cell r="I208">
            <v>68.016538461538474</v>
          </cell>
          <cell r="K208">
            <v>58.513106508875744</v>
          </cell>
          <cell r="L208">
            <v>77.519970414201197</v>
          </cell>
          <cell r="Q208">
            <v>7073</v>
          </cell>
        </row>
        <row r="209">
          <cell r="I209">
            <v>111.51481481481478</v>
          </cell>
          <cell r="K209">
            <v>65.668751714677626</v>
          </cell>
          <cell r="L209">
            <v>157.36087791495194</v>
          </cell>
          <cell r="Q209">
            <v>7074</v>
          </cell>
        </row>
        <row r="210">
          <cell r="I210">
            <v>66.028148148148148</v>
          </cell>
          <cell r="K210">
            <v>54.776268861454042</v>
          </cell>
          <cell r="L210">
            <v>77.280027434842253</v>
          </cell>
          <cell r="Q210">
            <v>7075</v>
          </cell>
        </row>
        <row r="211">
          <cell r="I211">
            <v>201.17888888888888</v>
          </cell>
          <cell r="K211">
            <v>108.88604938271604</v>
          </cell>
          <cell r="L211">
            <v>293.47172839506175</v>
          </cell>
          <cell r="Q211">
            <v>7076</v>
          </cell>
        </row>
        <row r="212">
          <cell r="I212">
            <v>27.798076923076913</v>
          </cell>
          <cell r="K212">
            <v>18.693076923076912</v>
          </cell>
          <cell r="L212">
            <v>36.90307692307691</v>
          </cell>
          <cell r="Q212">
            <v>7077</v>
          </cell>
        </row>
        <row r="213">
          <cell r="I213">
            <v>44.099999999999987</v>
          </cell>
          <cell r="K213">
            <v>40.706153846153839</v>
          </cell>
          <cell r="L213">
            <v>47.493846153846135</v>
          </cell>
          <cell r="Q213">
            <v>7078</v>
          </cell>
        </row>
        <row r="214">
          <cell r="I214">
            <v>40.814230769230775</v>
          </cell>
          <cell r="K214">
            <v>37.978136094674561</v>
          </cell>
          <cell r="L214">
            <v>43.65032544378699</v>
          </cell>
          <cell r="Q214">
            <v>7079</v>
          </cell>
        </row>
        <row r="215">
          <cell r="I215">
            <v>57.218076923076929</v>
          </cell>
          <cell r="K215">
            <v>53.15198224852071</v>
          </cell>
          <cell r="L215">
            <v>61.284171597633147</v>
          </cell>
          <cell r="Q215">
            <v>7080</v>
          </cell>
        </row>
        <row r="216">
          <cell r="I216">
            <v>49.43807692307692</v>
          </cell>
          <cell r="K216">
            <v>46.145384615384614</v>
          </cell>
          <cell r="L216">
            <v>52.730769230769226</v>
          </cell>
          <cell r="Q216">
            <v>7081</v>
          </cell>
        </row>
        <row r="217">
          <cell r="I217">
            <v>31.59</v>
          </cell>
          <cell r="K217">
            <v>15.794999999999996</v>
          </cell>
          <cell r="L217">
            <v>47.385000000000005</v>
          </cell>
          <cell r="Q217">
            <v>7084</v>
          </cell>
        </row>
        <row r="218">
          <cell r="I218">
            <v>34.50076923076923</v>
          </cell>
          <cell r="K218">
            <v>30.716982248520708</v>
          </cell>
          <cell r="L218">
            <v>38.284556213017751</v>
          </cell>
          <cell r="Q218">
            <v>7085</v>
          </cell>
        </row>
        <row r="219">
          <cell r="I219">
            <v>25.162692307692303</v>
          </cell>
          <cell r="K219">
            <v>21.374053254437868</v>
          </cell>
          <cell r="L219">
            <v>28.951331360946739</v>
          </cell>
          <cell r="Q219">
            <v>7086</v>
          </cell>
        </row>
        <row r="220">
          <cell r="I220">
            <v>55.705000000000005</v>
          </cell>
          <cell r="K220">
            <v>49.003461538461544</v>
          </cell>
          <cell r="L220">
            <v>62.406538461538467</v>
          </cell>
          <cell r="Q220">
            <v>7087</v>
          </cell>
        </row>
        <row r="221">
          <cell r="I221">
            <v>61.718846153846158</v>
          </cell>
          <cell r="K221">
            <v>44.822071005917167</v>
          </cell>
          <cell r="L221">
            <v>78.61562130177515</v>
          </cell>
          <cell r="Q221">
            <v>7088</v>
          </cell>
        </row>
        <row r="222">
          <cell r="I222">
            <v>50.782692307692315</v>
          </cell>
          <cell r="K222">
            <v>45.501390532544384</v>
          </cell>
          <cell r="L222">
            <v>56.063994082840246</v>
          </cell>
          <cell r="Q222">
            <v>7089</v>
          </cell>
        </row>
        <row r="223">
          <cell r="I223">
            <v>57.820769230769244</v>
          </cell>
          <cell r="K223">
            <v>22.115798816568059</v>
          </cell>
          <cell r="L223">
            <v>93.525739644970429</v>
          </cell>
          <cell r="Q223">
            <v>7090</v>
          </cell>
        </row>
        <row r="224">
          <cell r="I224">
            <v>12.787307692307689</v>
          </cell>
          <cell r="K224">
            <v>9.6569822485207073</v>
          </cell>
          <cell r="L224">
            <v>15.91763313609467</v>
          </cell>
          <cell r="Q224">
            <v>7091</v>
          </cell>
        </row>
        <row r="225">
          <cell r="I225">
            <v>23.812692307692298</v>
          </cell>
          <cell r="K225">
            <v>21.482514792899401</v>
          </cell>
          <cell r="L225">
            <v>26.142869822485196</v>
          </cell>
          <cell r="Q225">
            <v>7092</v>
          </cell>
        </row>
        <row r="226">
          <cell r="I226">
            <v>33.910384615384629</v>
          </cell>
          <cell r="K226">
            <v>27.385946745562137</v>
          </cell>
          <cell r="L226">
            <v>40.434822485207121</v>
          </cell>
          <cell r="Q226">
            <v>7093</v>
          </cell>
        </row>
        <row r="227">
          <cell r="I227">
            <v>11.350769230769229</v>
          </cell>
          <cell r="K227">
            <v>9.3318343195266245</v>
          </cell>
          <cell r="L227">
            <v>13.369704142011834</v>
          </cell>
          <cell r="Q227">
            <v>7094</v>
          </cell>
        </row>
        <row r="228">
          <cell r="I228">
            <v>122.71884615384614</v>
          </cell>
          <cell r="K228">
            <v>91.72393491124258</v>
          </cell>
          <cell r="L228">
            <v>153.71375739644969</v>
          </cell>
          <cell r="Q228">
            <v>7095</v>
          </cell>
        </row>
        <row r="229">
          <cell r="I229">
            <v>37.17307692307692</v>
          </cell>
          <cell r="K229">
            <v>18.58653846153846</v>
          </cell>
          <cell r="L229">
            <v>55.75961538461538</v>
          </cell>
          <cell r="Q229">
            <v>7101</v>
          </cell>
        </row>
        <row r="230">
          <cell r="I230">
            <v>26.797692307692309</v>
          </cell>
          <cell r="K230">
            <v>21.954556213017753</v>
          </cell>
          <cell r="L230">
            <v>31.640828402366864</v>
          </cell>
          <cell r="Q230">
            <v>7102</v>
          </cell>
        </row>
        <row r="231">
          <cell r="I231">
            <v>46.954999999999998</v>
          </cell>
          <cell r="K231">
            <v>7.9869230769230839</v>
          </cell>
          <cell r="L231">
            <v>85.923076923076906</v>
          </cell>
          <cell r="Q231">
            <v>7103</v>
          </cell>
        </row>
        <row r="232">
          <cell r="I232">
            <v>32.221153846153847</v>
          </cell>
          <cell r="K232">
            <v>25.420769230769231</v>
          </cell>
          <cell r="L232">
            <v>39.021538461538462</v>
          </cell>
          <cell r="Q232">
            <v>7104</v>
          </cell>
        </row>
        <row r="233">
          <cell r="I233">
            <v>14.980769230769228</v>
          </cell>
          <cell r="K233">
            <v>12.657100591715972</v>
          </cell>
          <cell r="L233">
            <v>17.304437869822486</v>
          </cell>
          <cell r="Q233">
            <v>7106</v>
          </cell>
        </row>
        <row r="234">
          <cell r="I234">
            <v>62.041538461538458</v>
          </cell>
          <cell r="K234">
            <v>52.597159763313613</v>
          </cell>
          <cell r="L234">
            <v>71.485917159763304</v>
          </cell>
          <cell r="Q234">
            <v>7109</v>
          </cell>
        </row>
        <row r="235">
          <cell r="I235">
            <v>89.751538461538445</v>
          </cell>
          <cell r="K235">
            <v>83.969999999999985</v>
          </cell>
          <cell r="L235">
            <v>95.533076923076905</v>
          </cell>
          <cell r="Q235">
            <v>7112</v>
          </cell>
        </row>
        <row r="236">
          <cell r="I236">
            <v>285.65500000000003</v>
          </cell>
          <cell r="K236">
            <v>144.09000000000003</v>
          </cell>
          <cell r="L236">
            <v>427.22</v>
          </cell>
          <cell r="Q236">
            <v>7114</v>
          </cell>
        </row>
        <row r="237">
          <cell r="I237">
            <v>77.493333333333311</v>
          </cell>
          <cell r="K237">
            <v>61.795308641975289</v>
          </cell>
          <cell r="L237">
            <v>93.19135802469134</v>
          </cell>
          <cell r="Q237">
            <v>7115</v>
          </cell>
        </row>
        <row r="238">
          <cell r="I238">
            <v>28.366666666666667</v>
          </cell>
          <cell r="K238">
            <v>19.926997245179066</v>
          </cell>
          <cell r="L238">
            <v>36.806336088154268</v>
          </cell>
          <cell r="Q238">
            <v>7117</v>
          </cell>
        </row>
        <row r="239">
          <cell r="I239">
            <v>296.83851851851841</v>
          </cell>
          <cell r="K239">
            <v>270.00065843621383</v>
          </cell>
          <cell r="L239">
            <v>323.676378600823</v>
          </cell>
          <cell r="Q239">
            <v>7119</v>
          </cell>
        </row>
        <row r="240">
          <cell r="I240">
            <v>30.06333333333334</v>
          </cell>
          <cell r="K240">
            <v>28.078148148148152</v>
          </cell>
          <cell r="L240">
            <v>32.048518518518527</v>
          </cell>
          <cell r="Q240">
            <v>7123</v>
          </cell>
        </row>
        <row r="241">
          <cell r="I241">
            <v>88.336296296296311</v>
          </cell>
          <cell r="K241">
            <v>82.859862825788767</v>
          </cell>
          <cell r="L241">
            <v>93.812729766803855</v>
          </cell>
          <cell r="Q241">
            <v>7124</v>
          </cell>
        </row>
        <row r="242">
          <cell r="I242">
            <v>50.98</v>
          </cell>
          <cell r="K242">
            <v>28.322222222222219</v>
          </cell>
          <cell r="L242">
            <v>73.637777777777771</v>
          </cell>
          <cell r="Q242">
            <v>7136</v>
          </cell>
        </row>
        <row r="243">
          <cell r="I243">
            <v>96.690416666666678</v>
          </cell>
          <cell r="K243">
            <v>77.59107510288068</v>
          </cell>
          <cell r="L243">
            <v>115.78975823045268</v>
          </cell>
          <cell r="Q243">
            <v>7137</v>
          </cell>
        </row>
        <row r="244">
          <cell r="I244">
            <v>21.732222222222216</v>
          </cell>
          <cell r="K244">
            <v>19.068765432098761</v>
          </cell>
          <cell r="L244">
            <v>24.395679012345671</v>
          </cell>
          <cell r="Q244">
            <v>7139</v>
          </cell>
        </row>
        <row r="245">
          <cell r="I245">
            <v>58.391538461538438</v>
          </cell>
          <cell r="K245">
            <v>57.574970414201154</v>
          </cell>
          <cell r="L245">
            <v>59.208106508875723</v>
          </cell>
          <cell r="Q245">
            <v>7147</v>
          </cell>
        </row>
        <row r="246">
          <cell r="I246">
            <v>31.002307692307689</v>
          </cell>
          <cell r="K246">
            <v>29.532366863905324</v>
          </cell>
          <cell r="L246">
            <v>32.472248520710053</v>
          </cell>
          <cell r="Q246">
            <v>7148</v>
          </cell>
        </row>
        <row r="247">
          <cell r="I247">
            <v>94.146666666666661</v>
          </cell>
          <cell r="K247">
            <v>85.783333333333331</v>
          </cell>
          <cell r="L247">
            <v>102.50999999999999</v>
          </cell>
          <cell r="Q247">
            <v>7149</v>
          </cell>
        </row>
        <row r="248">
          <cell r="I248">
            <v>51.24</v>
          </cell>
          <cell r="K248">
            <v>50.592307692307699</v>
          </cell>
          <cell r="L248">
            <v>51.887692307692305</v>
          </cell>
          <cell r="Q248">
            <v>7151</v>
          </cell>
        </row>
        <row r="249">
          <cell r="I249">
            <v>29.839230769230767</v>
          </cell>
          <cell r="K249">
            <v>22.372721893491125</v>
          </cell>
          <cell r="L249">
            <v>37.305739644970409</v>
          </cell>
          <cell r="Q249">
            <v>7152</v>
          </cell>
        </row>
        <row r="250">
          <cell r="I250">
            <v>58.080384615384624</v>
          </cell>
          <cell r="K250">
            <v>45.637810650887587</v>
          </cell>
          <cell r="L250">
            <v>70.52295857988166</v>
          </cell>
          <cell r="Q250">
            <v>7155</v>
          </cell>
        </row>
        <row r="251">
          <cell r="I251">
            <v>33.498076923076916</v>
          </cell>
          <cell r="K251">
            <v>13.655384615384609</v>
          </cell>
          <cell r="L251">
            <v>53.340769230769226</v>
          </cell>
          <cell r="Q251">
            <v>7156</v>
          </cell>
        </row>
        <row r="252">
          <cell r="I252">
            <v>47.139615384615382</v>
          </cell>
          <cell r="K252">
            <v>41.528609467455617</v>
          </cell>
          <cell r="L252">
            <v>52.750621301775148</v>
          </cell>
          <cell r="Q252">
            <v>7157</v>
          </cell>
        </row>
        <row r="253">
          <cell r="I253">
            <v>21.305384615384607</v>
          </cell>
          <cell r="K253">
            <v>16.497573964497036</v>
          </cell>
          <cell r="L253">
            <v>26.113195266272179</v>
          </cell>
          <cell r="Q253">
            <v>7158</v>
          </cell>
        </row>
        <row r="254">
          <cell r="I254">
            <v>66.179230769230799</v>
          </cell>
          <cell r="K254">
            <v>65.203609467455664</v>
          </cell>
          <cell r="L254">
            <v>67.154852071005934</v>
          </cell>
          <cell r="Q254">
            <v>7159</v>
          </cell>
        </row>
        <row r="255">
          <cell r="I255">
            <v>16.152307692307694</v>
          </cell>
          <cell r="K255">
            <v>15.454556213017753</v>
          </cell>
          <cell r="L255">
            <v>16.850059171597636</v>
          </cell>
          <cell r="Q255">
            <v>7160</v>
          </cell>
        </row>
        <row r="256">
          <cell r="I256">
            <v>41.472499999999997</v>
          </cell>
          <cell r="K256">
            <v>21.159438775510203</v>
          </cell>
          <cell r="L256">
            <v>61.78556122448979</v>
          </cell>
          <cell r="Q256">
            <v>7162</v>
          </cell>
        </row>
        <row r="257">
          <cell r="I257">
            <v>79.223846153846139</v>
          </cell>
          <cell r="K257">
            <v>70.445621301775134</v>
          </cell>
          <cell r="L257">
            <v>88.002071005917145</v>
          </cell>
          <cell r="Q257">
            <v>7165</v>
          </cell>
        </row>
        <row r="258">
          <cell r="I258">
            <v>96.185384615384606</v>
          </cell>
          <cell r="K258">
            <v>80.95248520710058</v>
          </cell>
          <cell r="L258">
            <v>111.41828402366863</v>
          </cell>
          <cell r="Q258">
            <v>7166</v>
          </cell>
        </row>
        <row r="259">
          <cell r="I259">
            <v>17.889230769230757</v>
          </cell>
          <cell r="K259">
            <v>17.294556213017749</v>
          </cell>
          <cell r="L259">
            <v>18.483905325443764</v>
          </cell>
          <cell r="Q259">
            <v>7168</v>
          </cell>
        </row>
        <row r="260">
          <cell r="I260">
            <v>89.040769230769229</v>
          </cell>
          <cell r="K260">
            <v>88.105621301775145</v>
          </cell>
          <cell r="L260">
            <v>89.975917159763313</v>
          </cell>
          <cell r="Q260">
            <v>7169</v>
          </cell>
        </row>
        <row r="261">
          <cell r="I261">
            <v>39.303333333333335</v>
          </cell>
          <cell r="K261">
            <v>38.101111111111109</v>
          </cell>
          <cell r="L261">
            <v>40.50555555555556</v>
          </cell>
          <cell r="Q261">
            <v>7171</v>
          </cell>
        </row>
        <row r="262">
          <cell r="I262">
            <v>37.322692307692314</v>
          </cell>
          <cell r="K262">
            <v>36.779497041420129</v>
          </cell>
          <cell r="L262">
            <v>37.8658875739645</v>
          </cell>
          <cell r="Q262">
            <v>7173</v>
          </cell>
        </row>
        <row r="263">
          <cell r="I263">
            <v>246.73884615384617</v>
          </cell>
          <cell r="K263">
            <v>228.79437869822488</v>
          </cell>
          <cell r="L263">
            <v>264.68331360946746</v>
          </cell>
          <cell r="Q263">
            <v>7178</v>
          </cell>
        </row>
        <row r="264">
          <cell r="I264">
            <v>153.97599999999997</v>
          </cell>
          <cell r="K264">
            <v>91.039673469387708</v>
          </cell>
          <cell r="L264">
            <v>216.91232653061223</v>
          </cell>
          <cell r="Q264">
            <v>7182</v>
          </cell>
        </row>
        <row r="265">
          <cell r="I265">
            <v>61.488</v>
          </cell>
          <cell r="K265">
            <v>27.818625000000004</v>
          </cell>
          <cell r="L265">
            <v>95.157375000000002</v>
          </cell>
          <cell r="Q265">
            <v>7183</v>
          </cell>
        </row>
        <row r="266">
          <cell r="I266">
            <v>36.018000000000001</v>
          </cell>
          <cell r="K266">
            <v>16.803761316872432</v>
          </cell>
          <cell r="L266">
            <v>55.232238683127569</v>
          </cell>
          <cell r="Q266">
            <v>7184</v>
          </cell>
        </row>
        <row r="267">
          <cell r="I267">
            <v>64.504666666666665</v>
          </cell>
          <cell r="K267">
            <v>40.145331486611269</v>
          </cell>
          <cell r="L267">
            <v>88.864001846722061</v>
          </cell>
          <cell r="Q267">
            <v>7185</v>
          </cell>
        </row>
        <row r="268">
          <cell r="I268">
            <v>60.631428571428572</v>
          </cell>
          <cell r="K268">
            <v>47.368303571428577</v>
          </cell>
          <cell r="L268">
            <v>73.89455357142856</v>
          </cell>
          <cell r="Q268">
            <v>7186</v>
          </cell>
        </row>
        <row r="269">
          <cell r="I269">
            <v>79.615769230769217</v>
          </cell>
          <cell r="K269">
            <v>54.414378698224844</v>
          </cell>
          <cell r="L269">
            <v>104.81715976331358</v>
          </cell>
          <cell r="Q269">
            <v>7188</v>
          </cell>
        </row>
        <row r="270">
          <cell r="I270">
            <v>60.82500000000001</v>
          </cell>
          <cell r="K270">
            <v>44.657561983471091</v>
          </cell>
          <cell r="L270">
            <v>76.992438016528922</v>
          </cell>
          <cell r="Q270">
            <v>7190</v>
          </cell>
        </row>
        <row r="271">
          <cell r="I271">
            <v>141.63285714285715</v>
          </cell>
          <cell r="K271">
            <v>90.471294642857146</v>
          </cell>
          <cell r="L271">
            <v>192.79441964285715</v>
          </cell>
          <cell r="Q271">
            <v>7193</v>
          </cell>
        </row>
        <row r="272">
          <cell r="I272">
            <v>206.29249999999999</v>
          </cell>
          <cell r="K272">
            <v>199.95999999999998</v>
          </cell>
          <cell r="L272">
            <v>212.625</v>
          </cell>
          <cell r="Q272">
            <v>7195</v>
          </cell>
        </row>
        <row r="273">
          <cell r="I273">
            <v>70.706666666666663</v>
          </cell>
          <cell r="K273">
            <v>31.865442176870744</v>
          </cell>
          <cell r="L273">
            <v>109.54789115646258</v>
          </cell>
          <cell r="Q273">
            <v>7201</v>
          </cell>
        </row>
        <row r="274">
          <cell r="I274">
            <v>24.452307692307691</v>
          </cell>
          <cell r="K274">
            <v>22.977514792899406</v>
          </cell>
          <cell r="L274">
            <v>25.927100591715977</v>
          </cell>
          <cell r="Q274">
            <v>7202</v>
          </cell>
        </row>
        <row r="275">
          <cell r="I275">
            <v>87.728461538461502</v>
          </cell>
          <cell r="K275">
            <v>79.394792899408273</v>
          </cell>
          <cell r="L275">
            <v>96.062130177514732</v>
          </cell>
          <cell r="Q275">
            <v>7206</v>
          </cell>
        </row>
        <row r="276">
          <cell r="I276">
            <v>76.134285714285724</v>
          </cell>
          <cell r="K276">
            <v>64.476938775510206</v>
          </cell>
          <cell r="L276">
            <v>87.791632653061242</v>
          </cell>
          <cell r="Q276">
            <v>7211</v>
          </cell>
        </row>
        <row r="277">
          <cell r="I277">
            <v>58.212307692307689</v>
          </cell>
          <cell r="K277">
            <v>54.023431952662719</v>
          </cell>
          <cell r="L277">
            <v>62.40118343195266</v>
          </cell>
          <cell r="Q277">
            <v>7216</v>
          </cell>
        </row>
        <row r="278">
          <cell r="I278">
            <v>57.85199999999999</v>
          </cell>
          <cell r="K278">
            <v>47.046674556213006</v>
          </cell>
          <cell r="L278">
            <v>68.657325443786974</v>
          </cell>
          <cell r="Q278">
            <v>7219</v>
          </cell>
        </row>
        <row r="279">
          <cell r="I279">
            <v>51.888333333333343</v>
          </cell>
          <cell r="K279">
            <v>40.801111111111112</v>
          </cell>
          <cell r="L279">
            <v>62.975555555555573</v>
          </cell>
          <cell r="Q279">
            <v>7220</v>
          </cell>
        </row>
        <row r="280">
          <cell r="I280">
            <v>48.589230769230767</v>
          </cell>
          <cell r="K280">
            <v>37.444023668639048</v>
          </cell>
          <cell r="L280">
            <v>59.734437869822486</v>
          </cell>
          <cell r="Q280">
            <v>7225</v>
          </cell>
        </row>
        <row r="281">
          <cell r="I281">
            <v>122.83115384615385</v>
          </cell>
          <cell r="K281">
            <v>121.05180473372782</v>
          </cell>
          <cell r="L281">
            <v>124.61050295857989</v>
          </cell>
          <cell r="Q281">
            <v>7228</v>
          </cell>
        </row>
        <row r="282">
          <cell r="I282">
            <v>227.47269230769237</v>
          </cell>
          <cell r="K282">
            <v>162.98029434850866</v>
          </cell>
          <cell r="L282">
            <v>291.96509026687608</v>
          </cell>
          <cell r="Q282">
            <v>7231</v>
          </cell>
        </row>
        <row r="283">
          <cell r="I283">
            <v>60.773076923076943</v>
          </cell>
          <cell r="K283">
            <v>41.090473372781091</v>
          </cell>
          <cell r="L283">
            <v>80.455680473372794</v>
          </cell>
          <cell r="Q283">
            <v>7233</v>
          </cell>
        </row>
        <row r="284">
          <cell r="I284">
            <v>45.201428571428565</v>
          </cell>
          <cell r="K284">
            <v>44.04306122448979</v>
          </cell>
          <cell r="L284">
            <v>46.35979591836734</v>
          </cell>
          <cell r="Q284">
            <v>7234</v>
          </cell>
        </row>
        <row r="285">
          <cell r="I285">
            <v>360.16499999999996</v>
          </cell>
          <cell r="K285">
            <v>257.81035714285713</v>
          </cell>
          <cell r="L285">
            <v>462.5196428571428</v>
          </cell>
          <cell r="Q285">
            <v>7238</v>
          </cell>
        </row>
        <row r="286">
          <cell r="I286">
            <v>97.64</v>
          </cell>
          <cell r="K286">
            <v>97.64</v>
          </cell>
          <cell r="L286">
            <v>97.64</v>
          </cell>
          <cell r="Q286">
            <v>7239</v>
          </cell>
        </row>
        <row r="287">
          <cell r="I287">
            <v>176.625</v>
          </cell>
          <cell r="K287">
            <v>175.255</v>
          </cell>
          <cell r="L287">
            <v>177.995</v>
          </cell>
          <cell r="Q287">
            <v>7245</v>
          </cell>
        </row>
        <row r="288">
          <cell r="I288">
            <v>118.47730769230772</v>
          </cell>
          <cell r="K288">
            <v>114.57896449704145</v>
          </cell>
          <cell r="L288">
            <v>122.37565088757398</v>
          </cell>
          <cell r="Q288">
            <v>7247</v>
          </cell>
        </row>
        <row r="289">
          <cell r="I289">
            <v>41.652692307692327</v>
          </cell>
          <cell r="K289">
            <v>41.463905325443811</v>
          </cell>
          <cell r="L289">
            <v>41.841479289940843</v>
          </cell>
          <cell r="Q289">
            <v>7253</v>
          </cell>
        </row>
        <row r="290">
          <cell r="I290">
            <v>27.398461538461554</v>
          </cell>
          <cell r="K290">
            <v>25.317100591715981</v>
          </cell>
          <cell r="L290">
            <v>29.479822485207126</v>
          </cell>
          <cell r="Q290">
            <v>7254</v>
          </cell>
        </row>
        <row r="291">
          <cell r="I291">
            <v>78.762692307692305</v>
          </cell>
          <cell r="K291">
            <v>78.573905325443789</v>
          </cell>
          <cell r="L291">
            <v>78.951479289940821</v>
          </cell>
          <cell r="Q291">
            <v>7256</v>
          </cell>
        </row>
        <row r="292">
          <cell r="I292">
            <v>46.504615384615377</v>
          </cell>
          <cell r="K292">
            <v>41.170414201183426</v>
          </cell>
          <cell r="L292">
            <v>51.838816568047328</v>
          </cell>
          <cell r="Q292">
            <v>7266</v>
          </cell>
        </row>
        <row r="293">
          <cell r="I293">
            <v>23.379999999999995</v>
          </cell>
          <cell r="K293">
            <v>12.379999999999997</v>
          </cell>
          <cell r="L293">
            <v>34.379999999999995</v>
          </cell>
          <cell r="Q293">
            <v>7268</v>
          </cell>
        </row>
        <row r="294">
          <cell r="I294">
            <v>82.614615384615362</v>
          </cell>
          <cell r="K294">
            <v>60.495798816568026</v>
          </cell>
          <cell r="L294">
            <v>104.7334319526627</v>
          </cell>
          <cell r="Q294">
            <v>7270</v>
          </cell>
        </row>
        <row r="295">
          <cell r="I295">
            <v>175.38500000000002</v>
          </cell>
          <cell r="K295">
            <v>147.93884615384616</v>
          </cell>
          <cell r="L295">
            <v>202.83115384615388</v>
          </cell>
          <cell r="Q295">
            <v>7275</v>
          </cell>
        </row>
        <row r="296">
          <cell r="I296">
            <v>171.42576923076925</v>
          </cell>
          <cell r="K296">
            <v>146.81065088757396</v>
          </cell>
          <cell r="L296">
            <v>196.04088757396454</v>
          </cell>
          <cell r="Q296">
            <v>7276</v>
          </cell>
        </row>
        <row r="297">
          <cell r="I297">
            <v>248.46192307692326</v>
          </cell>
          <cell r="K297">
            <v>236.91443786982273</v>
          </cell>
          <cell r="L297">
            <v>260.00940828402378</v>
          </cell>
          <cell r="Q297">
            <v>7277</v>
          </cell>
        </row>
        <row r="298">
          <cell r="I298">
            <v>61.253461538461551</v>
          </cell>
          <cell r="K298">
            <v>60.330295857988183</v>
          </cell>
          <cell r="L298">
            <v>62.176627218934918</v>
          </cell>
          <cell r="Q298">
            <v>7278</v>
          </cell>
        </row>
        <row r="299">
          <cell r="I299">
            <v>201.60615384615375</v>
          </cell>
          <cell r="K299">
            <v>190.5199408284023</v>
          </cell>
          <cell r="L299">
            <v>212.69236686390519</v>
          </cell>
          <cell r="Q299">
            <v>7279</v>
          </cell>
        </row>
        <row r="300">
          <cell r="I300">
            <v>60.440000000000005</v>
          </cell>
          <cell r="K300">
            <v>58.134285714285717</v>
          </cell>
          <cell r="L300">
            <v>62.745714285714293</v>
          </cell>
          <cell r="Q300">
            <v>7284</v>
          </cell>
        </row>
        <row r="301">
          <cell r="I301">
            <v>85.96</v>
          </cell>
          <cell r="K301">
            <v>83.953333333333333</v>
          </cell>
          <cell r="L301">
            <v>87.966666666666654</v>
          </cell>
          <cell r="Q301">
            <v>7288</v>
          </cell>
        </row>
        <row r="302">
          <cell r="I302">
            <v>36.277407407407395</v>
          </cell>
          <cell r="K302">
            <v>35.762729766803837</v>
          </cell>
          <cell r="L302">
            <v>36.792085048010954</v>
          </cell>
          <cell r="Q302">
            <v>7293</v>
          </cell>
        </row>
        <row r="303">
          <cell r="I303">
            <v>430.35071428571428</v>
          </cell>
          <cell r="K303">
            <v>307.15816326530614</v>
          </cell>
          <cell r="L303">
            <v>553.54326530612241</v>
          </cell>
          <cell r="Q303">
            <v>7294</v>
          </cell>
        </row>
        <row r="304">
          <cell r="I304">
            <v>364.49692307692305</v>
          </cell>
          <cell r="K304">
            <v>358.76686390532541</v>
          </cell>
          <cell r="L304">
            <v>370.2269822485207</v>
          </cell>
          <cell r="Q304">
            <v>7299</v>
          </cell>
        </row>
        <row r="305">
          <cell r="I305">
            <v>50.951538461538476</v>
          </cell>
          <cell r="K305">
            <v>26.879349112426056</v>
          </cell>
          <cell r="L305">
            <v>75.023727810650897</v>
          </cell>
          <cell r="Q305">
            <v>7306</v>
          </cell>
        </row>
        <row r="306">
          <cell r="I306">
            <v>84.142692307692315</v>
          </cell>
          <cell r="K306">
            <v>68.868343195266277</v>
          </cell>
          <cell r="L306">
            <v>99.417041420118352</v>
          </cell>
          <cell r="Q306">
            <v>7307</v>
          </cell>
        </row>
        <row r="307">
          <cell r="I307">
            <v>137.06384615384616</v>
          </cell>
          <cell r="K307">
            <v>109.54464176427139</v>
          </cell>
          <cell r="L307">
            <v>164.58305054342091</v>
          </cell>
          <cell r="Q307">
            <v>7310</v>
          </cell>
        </row>
        <row r="308">
          <cell r="I308">
            <v>33.305769230769222</v>
          </cell>
          <cell r="K308">
            <v>29.76041420118343</v>
          </cell>
          <cell r="L308">
            <v>36.851124260355014</v>
          </cell>
          <cell r="Q308">
            <v>7312</v>
          </cell>
        </row>
        <row r="309">
          <cell r="I309">
            <v>385.41925925925921</v>
          </cell>
          <cell r="K309">
            <v>282.21946334089182</v>
          </cell>
          <cell r="L309">
            <v>488.61905517762659</v>
          </cell>
          <cell r="Q309">
            <v>7314</v>
          </cell>
        </row>
        <row r="310">
          <cell r="I310">
            <v>44.504999999999995</v>
          </cell>
          <cell r="K310">
            <v>32.70663265306122</v>
          </cell>
          <cell r="L310">
            <v>56.303367346938771</v>
          </cell>
          <cell r="Q310">
            <v>7317</v>
          </cell>
        </row>
        <row r="311">
          <cell r="I311">
            <v>154.45592592592595</v>
          </cell>
          <cell r="K311">
            <v>128.57064531368107</v>
          </cell>
          <cell r="L311">
            <v>180.34120653817084</v>
          </cell>
          <cell r="Q311">
            <v>7318</v>
          </cell>
        </row>
        <row r="312">
          <cell r="I312">
            <v>128.84</v>
          </cell>
          <cell r="K312">
            <v>128.84</v>
          </cell>
          <cell r="L312">
            <v>128.84</v>
          </cell>
          <cell r="Q312">
            <v>7324</v>
          </cell>
        </row>
        <row r="313">
          <cell r="I313">
            <v>112.56666666666666</v>
          </cell>
          <cell r="K313">
            <v>70.354166666666657</v>
          </cell>
          <cell r="L313">
            <v>154.77916666666667</v>
          </cell>
          <cell r="Q313">
            <v>7325</v>
          </cell>
        </row>
        <row r="314">
          <cell r="I314">
            <v>38.260000000000005</v>
          </cell>
          <cell r="K314">
            <v>22.643673469387764</v>
          </cell>
          <cell r="L314">
            <v>53.876326530612246</v>
          </cell>
          <cell r="Q314">
            <v>7328</v>
          </cell>
        </row>
        <row r="315">
          <cell r="I315">
            <v>125.70925925925924</v>
          </cell>
          <cell r="K315">
            <v>56.657148148148138</v>
          </cell>
          <cell r="L315">
            <v>194.76137037037034</v>
          </cell>
          <cell r="Q315">
            <v>7330</v>
          </cell>
        </row>
        <row r="316">
          <cell r="I316">
            <v>373.72428571428566</v>
          </cell>
          <cell r="K316">
            <v>372.41897959183666</v>
          </cell>
          <cell r="L316">
            <v>375.02959183673465</v>
          </cell>
          <cell r="Q316">
            <v>7336</v>
          </cell>
        </row>
        <row r="317">
          <cell r="I317">
            <v>0</v>
          </cell>
          <cell r="K317">
            <v>0</v>
          </cell>
          <cell r="L317">
            <v>0</v>
          </cell>
          <cell r="Q317">
            <v>7345</v>
          </cell>
        </row>
        <row r="318">
          <cell r="I318">
            <v>492.77384615384602</v>
          </cell>
          <cell r="K318">
            <v>378.82786982248507</v>
          </cell>
          <cell r="L318">
            <v>606.71982248520703</v>
          </cell>
          <cell r="Q318">
            <v>7346</v>
          </cell>
        </row>
        <row r="319">
          <cell r="I319">
            <v>81.623599999999982</v>
          </cell>
          <cell r="K319">
            <v>75.061085207100561</v>
          </cell>
          <cell r="L319">
            <v>88.186114792899403</v>
          </cell>
          <cell r="Q319">
            <v>7352</v>
          </cell>
        </row>
        <row r="320">
          <cell r="I320">
            <v>43.404615384615383</v>
          </cell>
          <cell r="K320">
            <v>23.523076923076921</v>
          </cell>
          <cell r="L320">
            <v>63.286153846153844</v>
          </cell>
          <cell r="Q320">
            <v>7355</v>
          </cell>
        </row>
        <row r="321">
          <cell r="I321">
            <v>232.58346153846145</v>
          </cell>
          <cell r="K321">
            <v>217.65825443786969</v>
          </cell>
          <cell r="L321">
            <v>247.50866863905321</v>
          </cell>
          <cell r="Q321">
            <v>7357</v>
          </cell>
        </row>
        <row r="322">
          <cell r="I322">
            <v>11.014230769230769</v>
          </cell>
          <cell r="K322">
            <v>9.9517455621301778</v>
          </cell>
          <cell r="L322">
            <v>12.076715976331361</v>
          </cell>
          <cell r="Q322">
            <v>7359</v>
          </cell>
        </row>
        <row r="323">
          <cell r="I323">
            <v>58.998846153846166</v>
          </cell>
          <cell r="K323">
            <v>44.155502958579888</v>
          </cell>
          <cell r="L323">
            <v>73.842189349112445</v>
          </cell>
          <cell r="Q323">
            <v>7360</v>
          </cell>
        </row>
        <row r="324">
          <cell r="I324">
            <v>12.134615384615387</v>
          </cell>
          <cell r="K324">
            <v>10.513136094674559</v>
          </cell>
          <cell r="L324">
            <v>13.756094674556214</v>
          </cell>
          <cell r="Q324">
            <v>7361</v>
          </cell>
        </row>
        <row r="325">
          <cell r="I325">
            <v>26.62153846153846</v>
          </cell>
          <cell r="K325">
            <v>15.886153846153844</v>
          </cell>
          <cell r="L325">
            <v>37.356923076923074</v>
          </cell>
          <cell r="Q325">
            <v>7362</v>
          </cell>
        </row>
        <row r="326">
          <cell r="I326">
            <v>48.84961538461539</v>
          </cell>
          <cell r="K326">
            <v>46.710769230769237</v>
          </cell>
          <cell r="L326">
            <v>50.988461538461543</v>
          </cell>
          <cell r="Q326">
            <v>7363</v>
          </cell>
        </row>
        <row r="327">
          <cell r="I327">
            <v>58.427307692307707</v>
          </cell>
          <cell r="K327">
            <v>46.841183431952672</v>
          </cell>
          <cell r="L327">
            <v>70.013431952662742</v>
          </cell>
          <cell r="Q327">
            <v>7364</v>
          </cell>
        </row>
        <row r="328">
          <cell r="I328">
            <v>86.81538461538463</v>
          </cell>
          <cell r="K328">
            <v>63.803313609467466</v>
          </cell>
          <cell r="L328">
            <v>109.82745562130179</v>
          </cell>
          <cell r="Q328">
            <v>7367</v>
          </cell>
        </row>
        <row r="329">
          <cell r="I329">
            <v>129.53399999999996</v>
          </cell>
          <cell r="K329">
            <v>83.54559763313604</v>
          </cell>
          <cell r="L329">
            <v>175.5224023668639</v>
          </cell>
          <cell r="Q329">
            <v>7369</v>
          </cell>
        </row>
        <row r="330">
          <cell r="I330">
            <v>108.27642857142858</v>
          </cell>
          <cell r="K330">
            <v>61.57160862683024</v>
          </cell>
          <cell r="L330">
            <v>154.98124851602694</v>
          </cell>
          <cell r="Q330">
            <v>7371</v>
          </cell>
        </row>
        <row r="331">
          <cell r="I331">
            <v>45.547777777777775</v>
          </cell>
          <cell r="K331">
            <v>44.44925925925925</v>
          </cell>
          <cell r="L331">
            <v>46.646296296296299</v>
          </cell>
          <cell r="Q331">
            <v>7375</v>
          </cell>
        </row>
        <row r="332">
          <cell r="I332">
            <v>296.60888888888883</v>
          </cell>
          <cell r="K332">
            <v>237.47911481041083</v>
          </cell>
          <cell r="L332">
            <v>355.73866296736685</v>
          </cell>
          <cell r="Q332">
            <v>7376</v>
          </cell>
        </row>
        <row r="333">
          <cell r="I333">
            <v>269.48461538461527</v>
          </cell>
          <cell r="K333">
            <v>254.98171597633129</v>
          </cell>
          <cell r="L333">
            <v>283.98751479289922</v>
          </cell>
          <cell r="Q333">
            <v>7377</v>
          </cell>
        </row>
        <row r="334">
          <cell r="I334">
            <v>272.26807692307688</v>
          </cell>
          <cell r="K334">
            <v>256.46926035502952</v>
          </cell>
          <cell r="L334">
            <v>288.06689349112423</v>
          </cell>
          <cell r="Q334">
            <v>7379</v>
          </cell>
        </row>
        <row r="335">
          <cell r="I335">
            <v>110.73653846153849</v>
          </cell>
          <cell r="K335">
            <v>90.573372781065103</v>
          </cell>
          <cell r="L335">
            <v>130.89970414201187</v>
          </cell>
          <cell r="Q335">
            <v>7381</v>
          </cell>
        </row>
        <row r="336">
          <cell r="I336">
            <v>64.979615384615371</v>
          </cell>
          <cell r="K336">
            <v>64.709881656804711</v>
          </cell>
          <cell r="L336">
            <v>65.249349112426032</v>
          </cell>
          <cell r="Q336">
            <v>7386</v>
          </cell>
        </row>
        <row r="337">
          <cell r="I337">
            <v>181.04999999999998</v>
          </cell>
          <cell r="K337">
            <v>158.79923076923075</v>
          </cell>
          <cell r="L337">
            <v>203.30076923076922</v>
          </cell>
          <cell r="Q337">
            <v>7389</v>
          </cell>
        </row>
        <row r="338">
          <cell r="I338">
            <v>427.60235294117643</v>
          </cell>
          <cell r="K338">
            <v>150.28789310738136</v>
          </cell>
          <cell r="L338">
            <v>704.9168127749715</v>
          </cell>
          <cell r="Q338">
            <v>7398</v>
          </cell>
        </row>
        <row r="339">
          <cell r="I339">
            <v>64.454230769230719</v>
          </cell>
          <cell r="K339">
            <v>63.869763313609404</v>
          </cell>
          <cell r="L339">
            <v>65.038698224852041</v>
          </cell>
          <cell r="Q339">
            <v>7402</v>
          </cell>
        </row>
        <row r="340">
          <cell r="I340">
            <v>43.494230769230782</v>
          </cell>
          <cell r="K340">
            <v>42.909763313609481</v>
          </cell>
          <cell r="L340">
            <v>44.078698224852083</v>
          </cell>
          <cell r="Q340">
            <v>7403</v>
          </cell>
        </row>
        <row r="341">
          <cell r="I341">
            <v>33.18423076923078</v>
          </cell>
          <cell r="K341">
            <v>32.599763313609479</v>
          </cell>
          <cell r="L341">
            <v>33.768698224852081</v>
          </cell>
          <cell r="Q341">
            <v>7404</v>
          </cell>
        </row>
        <row r="342">
          <cell r="I342">
            <v>67.032692307692315</v>
          </cell>
          <cell r="K342">
            <v>66.489497041420137</v>
          </cell>
          <cell r="L342">
            <v>67.575887573964494</v>
          </cell>
          <cell r="Q342">
            <v>7405</v>
          </cell>
        </row>
        <row r="343">
          <cell r="I343">
            <v>51.892307692307696</v>
          </cell>
          <cell r="K343">
            <v>50.556508875739652</v>
          </cell>
          <cell r="L343">
            <v>53.22810650887574</v>
          </cell>
          <cell r="Q343">
            <v>7406</v>
          </cell>
        </row>
        <row r="344">
          <cell r="I344">
            <v>26.522692307692296</v>
          </cell>
          <cell r="K344">
            <v>25.979497041420103</v>
          </cell>
          <cell r="L344">
            <v>27.065887573964488</v>
          </cell>
          <cell r="Q344">
            <v>7407</v>
          </cell>
        </row>
        <row r="345">
          <cell r="I345">
            <v>77.464230769230724</v>
          </cell>
          <cell r="K345">
            <v>71.938661496253999</v>
          </cell>
          <cell r="L345">
            <v>82.989800042207449</v>
          </cell>
          <cell r="Q345">
            <v>7408</v>
          </cell>
        </row>
        <row r="346">
          <cell r="I346">
            <v>40.954615384615394</v>
          </cell>
          <cell r="K346">
            <v>38.672011834319534</v>
          </cell>
          <cell r="L346">
            <v>43.237218934911255</v>
          </cell>
          <cell r="Q346">
            <v>7409</v>
          </cell>
        </row>
        <row r="347">
          <cell r="I347">
            <v>47.728518518518506</v>
          </cell>
          <cell r="K347">
            <v>45.954389574759929</v>
          </cell>
          <cell r="L347">
            <v>49.502647462277082</v>
          </cell>
          <cell r="Q347">
            <v>7410</v>
          </cell>
        </row>
        <row r="348">
          <cell r="I348">
            <v>0</v>
          </cell>
          <cell r="K348">
            <v>0</v>
          </cell>
          <cell r="L348">
            <v>0</v>
          </cell>
          <cell r="Q348">
            <v>7424</v>
          </cell>
        </row>
        <row r="349">
          <cell r="I349">
            <v>0</v>
          </cell>
          <cell r="K349">
            <v>0</v>
          </cell>
          <cell r="L349">
            <v>0</v>
          </cell>
          <cell r="Q349">
            <v>7425</v>
          </cell>
        </row>
        <row r="350">
          <cell r="I350">
            <v>0</v>
          </cell>
          <cell r="K350">
            <v>0</v>
          </cell>
          <cell r="L350">
            <v>0</v>
          </cell>
          <cell r="Q350">
            <v>7427</v>
          </cell>
        </row>
        <row r="351">
          <cell r="I351">
            <v>0</v>
          </cell>
          <cell r="K351">
            <v>0</v>
          </cell>
          <cell r="L351">
            <v>0</v>
          </cell>
          <cell r="Q351">
            <v>7428</v>
          </cell>
        </row>
        <row r="352">
          <cell r="I352">
            <v>146.79576923076922</v>
          </cell>
          <cell r="K352">
            <v>80.671952662721907</v>
          </cell>
          <cell r="L352">
            <v>212.91958579881654</v>
          </cell>
          <cell r="Q352">
            <v>8007</v>
          </cell>
        </row>
        <row r="353">
          <cell r="I353">
            <v>249.92053333333334</v>
          </cell>
          <cell r="K353">
            <v>67.561755208333381</v>
          </cell>
          <cell r="L353">
            <v>432.27931145833327</v>
          </cell>
          <cell r="Q353">
            <v>8008</v>
          </cell>
        </row>
        <row r="354">
          <cell r="I354">
            <v>82.239999999999981</v>
          </cell>
          <cell r="K354">
            <v>82.239999999999966</v>
          </cell>
          <cell r="L354">
            <v>82.24</v>
          </cell>
          <cell r="Q354">
            <v>8115</v>
          </cell>
        </row>
        <row r="355">
          <cell r="I355">
            <v>112.29166666666667</v>
          </cell>
          <cell r="K355">
            <v>111.32388888888889</v>
          </cell>
          <cell r="L355">
            <v>113.25944444444445</v>
          </cell>
          <cell r="Q355">
            <v>8153</v>
          </cell>
        </row>
        <row r="356">
          <cell r="I356">
            <v>245.6196153846154</v>
          </cell>
          <cell r="K356">
            <v>174.16633136094674</v>
          </cell>
          <cell r="L356">
            <v>317.07289940828406</v>
          </cell>
          <cell r="Q356">
            <v>8157</v>
          </cell>
        </row>
        <row r="357">
          <cell r="I357">
            <v>342.89037037037048</v>
          </cell>
          <cell r="K357">
            <v>222.32632756418741</v>
          </cell>
          <cell r="L357">
            <v>463.45441317655354</v>
          </cell>
          <cell r="Q357">
            <v>8182</v>
          </cell>
        </row>
        <row r="358">
          <cell r="I358">
            <v>229.79730769230775</v>
          </cell>
          <cell r="K358">
            <v>226.73491124260366</v>
          </cell>
          <cell r="L358">
            <v>232.85970414201185</v>
          </cell>
          <cell r="Q358">
            <v>8184</v>
          </cell>
        </row>
        <row r="359">
          <cell r="I359">
            <v>82.587499999999991</v>
          </cell>
          <cell r="K359">
            <v>31.159722222222214</v>
          </cell>
          <cell r="L359">
            <v>134.01527777777778</v>
          </cell>
          <cell r="Q359">
            <v>8194</v>
          </cell>
        </row>
        <row r="360">
          <cell r="I360">
            <v>54.595384615384589</v>
          </cell>
          <cell r="K360">
            <v>53.69165680473369</v>
          </cell>
          <cell r="L360">
            <v>55.499112426035488</v>
          </cell>
          <cell r="Q360">
            <v>8268</v>
          </cell>
        </row>
        <row r="361">
          <cell r="I361">
            <v>312.52153846153857</v>
          </cell>
          <cell r="K361">
            <v>305.05994082840249</v>
          </cell>
          <cell r="L361">
            <v>319.98313609467465</v>
          </cell>
          <cell r="Q361">
            <v>8275</v>
          </cell>
        </row>
        <row r="362">
          <cell r="I362">
            <v>48.117692307692309</v>
          </cell>
          <cell r="K362">
            <v>38.003136094674559</v>
          </cell>
          <cell r="L362">
            <v>58.232248520710058</v>
          </cell>
          <cell r="Q362">
            <v>8313</v>
          </cell>
        </row>
        <row r="363">
          <cell r="I363">
            <v>28.169999999999998</v>
          </cell>
          <cell r="K363">
            <v>28.169999999999995</v>
          </cell>
          <cell r="L363">
            <v>28.17</v>
          </cell>
          <cell r="Q363">
            <v>8326</v>
          </cell>
        </row>
        <row r="364">
          <cell r="I364">
            <v>78.811666666666667</v>
          </cell>
          <cell r="K364">
            <v>77.803888888888892</v>
          </cell>
          <cell r="L364">
            <v>79.819444444444443</v>
          </cell>
          <cell r="Q364">
            <v>8357</v>
          </cell>
        </row>
        <row r="365">
          <cell r="I365">
            <v>35.535384615384615</v>
          </cell>
          <cell r="K365">
            <v>34.830532544378698</v>
          </cell>
          <cell r="L365">
            <v>36.240236686390531</v>
          </cell>
          <cell r="Q365">
            <v>8370</v>
          </cell>
        </row>
        <row r="366">
          <cell r="I366">
            <v>81.555384615384611</v>
          </cell>
          <cell r="K366">
            <v>78.851656804733722</v>
          </cell>
          <cell r="L366">
            <v>84.2591124260355</v>
          </cell>
          <cell r="Q366">
            <v>8384</v>
          </cell>
        </row>
        <row r="367">
          <cell r="I367">
            <v>77.898571428571444</v>
          </cell>
          <cell r="K367">
            <v>73.787959183673493</v>
          </cell>
          <cell r="L367">
            <v>82.009183673469394</v>
          </cell>
          <cell r="Q367">
            <v>8402</v>
          </cell>
        </row>
        <row r="368">
          <cell r="I368">
            <v>365.07961538461535</v>
          </cell>
          <cell r="K368">
            <v>316.65068681318678</v>
          </cell>
          <cell r="L368">
            <v>413.50854395604392</v>
          </cell>
          <cell r="Q368">
            <v>8426</v>
          </cell>
        </row>
        <row r="369">
          <cell r="I369">
            <v>48.556923076923084</v>
          </cell>
          <cell r="K369">
            <v>45.093329112588385</v>
          </cell>
          <cell r="L369">
            <v>52.020517041257783</v>
          </cell>
          <cell r="Q369">
            <v>8460</v>
          </cell>
        </row>
        <row r="370">
          <cell r="I370">
            <v>75.039999999999978</v>
          </cell>
          <cell r="K370">
            <v>58.68814814814813</v>
          </cell>
          <cell r="L370">
            <v>91.391851851851825</v>
          </cell>
          <cell r="Q370">
            <v>8494</v>
          </cell>
        </row>
        <row r="371">
          <cell r="I371">
            <v>54.310384615384606</v>
          </cell>
          <cell r="K371">
            <v>32.570650887573962</v>
          </cell>
          <cell r="L371">
            <v>76.050118343195251</v>
          </cell>
          <cell r="Q371">
            <v>8495</v>
          </cell>
        </row>
        <row r="372">
          <cell r="I372">
            <v>115.12814814814813</v>
          </cell>
          <cell r="K372">
            <v>76.307983539094636</v>
          </cell>
          <cell r="L372">
            <v>153.94831275720162</v>
          </cell>
          <cell r="Q372">
            <v>8496</v>
          </cell>
        </row>
        <row r="373">
          <cell r="I373">
            <v>70.558846153846162</v>
          </cell>
          <cell r="K373">
            <v>51.786775147928992</v>
          </cell>
          <cell r="L373">
            <v>89.330917159763331</v>
          </cell>
          <cell r="Q373">
            <v>8497</v>
          </cell>
        </row>
        <row r="374">
          <cell r="I374">
            <v>80.736296296296302</v>
          </cell>
          <cell r="K374">
            <v>53.13374485596708</v>
          </cell>
          <cell r="L374">
            <v>108.33884773662552</v>
          </cell>
          <cell r="Q374">
            <v>8498</v>
          </cell>
        </row>
        <row r="375">
          <cell r="I375">
            <v>143.55074074074071</v>
          </cell>
          <cell r="K375">
            <v>73.160809327846351</v>
          </cell>
          <cell r="L375">
            <v>213.94067215363506</v>
          </cell>
          <cell r="Q375">
            <v>8499</v>
          </cell>
        </row>
        <row r="376">
          <cell r="I376">
            <v>99.788461538461519</v>
          </cell>
          <cell r="K376">
            <v>64.773701593331211</v>
          </cell>
          <cell r="L376">
            <v>134.80322148359181</v>
          </cell>
          <cell r="Q376">
            <v>8500</v>
          </cell>
        </row>
        <row r="377">
          <cell r="I377">
            <v>58.426153846153852</v>
          </cell>
          <cell r="K377">
            <v>23.972544378698224</v>
          </cell>
          <cell r="L377">
            <v>92.879763313609487</v>
          </cell>
          <cell r="Q377">
            <v>8502</v>
          </cell>
        </row>
        <row r="378">
          <cell r="I378">
            <v>79.263333333333321</v>
          </cell>
          <cell r="K378">
            <v>40.612325333333331</v>
          </cell>
          <cell r="L378">
            <v>117.91434133333331</v>
          </cell>
          <cell r="Q378">
            <v>8503</v>
          </cell>
        </row>
        <row r="379">
          <cell r="I379">
            <v>72.02</v>
          </cell>
          <cell r="K379">
            <v>48.80208504801098</v>
          </cell>
          <cell r="L379">
            <v>95.237914951989012</v>
          </cell>
          <cell r="Q379">
            <v>8507</v>
          </cell>
        </row>
        <row r="380">
          <cell r="I380">
            <v>79.194814814814791</v>
          </cell>
          <cell r="K380">
            <v>53.897640603566515</v>
          </cell>
          <cell r="L380">
            <v>104.49198902606307</v>
          </cell>
          <cell r="Q380">
            <v>8508</v>
          </cell>
        </row>
        <row r="381">
          <cell r="I381">
            <v>103.82807692307691</v>
          </cell>
          <cell r="K381">
            <v>70.564911242603529</v>
          </cell>
          <cell r="L381">
            <v>137.09124260355028</v>
          </cell>
          <cell r="Q381">
            <v>8524</v>
          </cell>
        </row>
        <row r="382">
          <cell r="I382">
            <v>42.733461538461547</v>
          </cell>
          <cell r="K382">
            <v>34.595532544378699</v>
          </cell>
          <cell r="L382">
            <v>50.871390532544396</v>
          </cell>
          <cell r="Q382">
            <v>8525</v>
          </cell>
        </row>
        <row r="383">
          <cell r="I383">
            <v>89.197692307692307</v>
          </cell>
          <cell r="K383">
            <v>43.943398754880228</v>
          </cell>
          <cell r="L383">
            <v>134.45198586050438</v>
          </cell>
          <cell r="Q383">
            <v>8527</v>
          </cell>
        </row>
        <row r="384">
          <cell r="I384">
            <v>152.0911111111111</v>
          </cell>
          <cell r="K384">
            <v>105.62181069958848</v>
          </cell>
          <cell r="L384">
            <v>198.56041152263373</v>
          </cell>
          <cell r="Q384">
            <v>8528</v>
          </cell>
        </row>
        <row r="385">
          <cell r="I385">
            <v>92.648846153846165</v>
          </cell>
          <cell r="K385">
            <v>58.218816568047352</v>
          </cell>
          <cell r="L385">
            <v>127.07887573964499</v>
          </cell>
          <cell r="Q385">
            <v>8529</v>
          </cell>
        </row>
        <row r="386">
          <cell r="I386">
            <v>41.35</v>
          </cell>
          <cell r="K386">
            <v>20.675000000000001</v>
          </cell>
          <cell r="L386">
            <v>62.025000000000006</v>
          </cell>
          <cell r="Q386">
            <v>8686</v>
          </cell>
        </row>
        <row r="387">
          <cell r="I387">
            <v>167.95153846153849</v>
          </cell>
          <cell r="K387">
            <v>131.980650887574</v>
          </cell>
          <cell r="L387">
            <v>203.92242603550298</v>
          </cell>
          <cell r="Q387">
            <v>8690</v>
          </cell>
        </row>
        <row r="388">
          <cell r="I388">
            <v>35</v>
          </cell>
          <cell r="K388">
            <v>35</v>
          </cell>
          <cell r="L388">
            <v>35</v>
          </cell>
          <cell r="Q388">
            <v>8720</v>
          </cell>
        </row>
        <row r="389">
          <cell r="I389">
            <v>94.50333333333333</v>
          </cell>
          <cell r="K389">
            <v>58.591770833333328</v>
          </cell>
          <cell r="L389">
            <v>130.41489583333333</v>
          </cell>
          <cell r="Q389">
            <v>8734</v>
          </cell>
        </row>
        <row r="390">
          <cell r="I390">
            <v>57.733846153846159</v>
          </cell>
          <cell r="K390">
            <v>57.153017751479297</v>
          </cell>
          <cell r="L390">
            <v>58.314674556213021</v>
          </cell>
          <cell r="Q390">
            <v>8845</v>
          </cell>
        </row>
        <row r="391">
          <cell r="I391">
            <v>20.304615384615392</v>
          </cell>
          <cell r="K391">
            <v>17.9219526627219</v>
          </cell>
          <cell r="L391">
            <v>22.687278106508884</v>
          </cell>
          <cell r="Q391">
            <v>8871</v>
          </cell>
        </row>
        <row r="392">
          <cell r="I392">
            <v>53.361153846153826</v>
          </cell>
          <cell r="K392">
            <v>53.166065088757378</v>
          </cell>
          <cell r="L392">
            <v>53.556242603550274</v>
          </cell>
          <cell r="Q392">
            <v>8877</v>
          </cell>
        </row>
        <row r="393">
          <cell r="I393">
            <v>117.71923076923076</v>
          </cell>
          <cell r="K393">
            <v>90.024556213017746</v>
          </cell>
          <cell r="L393">
            <v>145.41390532544378</v>
          </cell>
          <cell r="Q393">
            <v>8885</v>
          </cell>
        </row>
        <row r="394">
          <cell r="I394">
            <v>50.979615384615386</v>
          </cell>
          <cell r="K394">
            <v>49.30159763313609</v>
          </cell>
          <cell r="L394">
            <v>52.657633136094681</v>
          </cell>
          <cell r="Q394">
            <v>8904</v>
          </cell>
        </row>
        <row r="395">
          <cell r="I395">
            <v>68.75</v>
          </cell>
          <cell r="K395">
            <v>54.519999999999996</v>
          </cell>
          <cell r="L395">
            <v>82.98</v>
          </cell>
          <cell r="Q395">
            <v>8921</v>
          </cell>
        </row>
        <row r="396">
          <cell r="I396">
            <v>89.705384615384602</v>
          </cell>
          <cell r="K396">
            <v>60.680295857988149</v>
          </cell>
          <cell r="L396">
            <v>118.73047337278106</v>
          </cell>
          <cell r="Q396">
            <v>8923</v>
          </cell>
        </row>
        <row r="397">
          <cell r="I397">
            <v>61.756923076923059</v>
          </cell>
          <cell r="K397">
            <v>50.707218934911239</v>
          </cell>
          <cell r="L397">
            <v>72.806627218934878</v>
          </cell>
          <cell r="Q397">
            <v>8924</v>
          </cell>
        </row>
        <row r="398">
          <cell r="I398">
            <v>109.12307692307695</v>
          </cell>
          <cell r="K398">
            <v>81.432544378698253</v>
          </cell>
          <cell r="L398">
            <v>136.81360946745565</v>
          </cell>
          <cell r="Q398">
            <v>8925</v>
          </cell>
        </row>
        <row r="399">
          <cell r="I399">
            <v>42.81307692307692</v>
          </cell>
          <cell r="K399">
            <v>42.164556213017747</v>
          </cell>
          <cell r="L399">
            <v>43.461597633136094</v>
          </cell>
          <cell r="Q399">
            <v>8943</v>
          </cell>
        </row>
        <row r="400">
          <cell r="I400">
            <v>25.757307692307691</v>
          </cell>
          <cell r="K400">
            <v>22.110887573964497</v>
          </cell>
          <cell r="L400">
            <v>29.403727810650885</v>
          </cell>
          <cell r="Q400">
            <v>8982</v>
          </cell>
        </row>
        <row r="401">
          <cell r="I401">
            <v>95.28</v>
          </cell>
          <cell r="K401">
            <v>43.541420118343204</v>
          </cell>
          <cell r="L401">
            <v>147.01857988165679</v>
          </cell>
          <cell r="Q401">
            <v>9032</v>
          </cell>
        </row>
        <row r="402">
          <cell r="I402">
            <v>62.60884615384613</v>
          </cell>
          <cell r="K402">
            <v>28.334512820512806</v>
          </cell>
          <cell r="L402">
            <v>96.883179487179461</v>
          </cell>
          <cell r="Q402">
            <v>9036</v>
          </cell>
        </row>
        <row r="403">
          <cell r="I403">
            <v>25.939999999999998</v>
          </cell>
          <cell r="K403">
            <v>10.982653061224488</v>
          </cell>
          <cell r="L403">
            <v>40.897346938775506</v>
          </cell>
          <cell r="Q403">
            <v>9069</v>
          </cell>
        </row>
        <row r="404">
          <cell r="I404">
            <v>73.64</v>
          </cell>
          <cell r="K404">
            <v>37.377600000000001</v>
          </cell>
          <cell r="L404">
            <v>109.9024</v>
          </cell>
          <cell r="Q404">
            <v>9073</v>
          </cell>
        </row>
        <row r="405">
          <cell r="I405">
            <v>166.58208333333326</v>
          </cell>
          <cell r="K405">
            <v>165.45402777777767</v>
          </cell>
          <cell r="L405">
            <v>167.71013888888885</v>
          </cell>
          <cell r="Q405">
            <v>9106</v>
          </cell>
        </row>
        <row r="406">
          <cell r="I406">
            <v>44.336666666666666</v>
          </cell>
          <cell r="K406">
            <v>27.710416666666664</v>
          </cell>
          <cell r="L406">
            <v>60.962916666666672</v>
          </cell>
          <cell r="Q406">
            <v>9116</v>
          </cell>
        </row>
        <row r="407">
          <cell r="I407">
            <v>575.0418518518519</v>
          </cell>
          <cell r="K407">
            <v>427.53381344307275</v>
          </cell>
          <cell r="L407">
            <v>722.54989026063106</v>
          </cell>
          <cell r="Q407">
            <v>9117</v>
          </cell>
        </row>
        <row r="408">
          <cell r="I408">
            <v>32.890400000000007</v>
          </cell>
          <cell r="K408">
            <v>31.936544000000008</v>
          </cell>
          <cell r="L408">
            <v>33.844256000000001</v>
          </cell>
          <cell r="Q408">
            <v>9128</v>
          </cell>
        </row>
        <row r="409">
          <cell r="I409">
            <v>1.2696153846153846</v>
          </cell>
          <cell r="K409">
            <v>1.0972781065088757</v>
          </cell>
          <cell r="L409">
            <v>1.4419526627218935</v>
          </cell>
          <cell r="Q409">
            <v>9138</v>
          </cell>
        </row>
        <row r="410">
          <cell r="I410">
            <v>43.4096153846154</v>
          </cell>
          <cell r="K410">
            <v>13.88076923076925</v>
          </cell>
          <cell r="L410">
            <v>72.938461538461553</v>
          </cell>
          <cell r="Q410">
            <v>9139</v>
          </cell>
        </row>
        <row r="411">
          <cell r="I411">
            <v>29.990000000000006</v>
          </cell>
          <cell r="K411">
            <v>25.521538461538462</v>
          </cell>
          <cell r="L411">
            <v>34.458461538461549</v>
          </cell>
          <cell r="Q411">
            <v>9140</v>
          </cell>
        </row>
        <row r="412">
          <cell r="I412">
            <v>2.64</v>
          </cell>
          <cell r="K412">
            <v>2.64</v>
          </cell>
          <cell r="L412">
            <v>2.64</v>
          </cell>
          <cell r="Q412">
            <v>9141</v>
          </cell>
        </row>
        <row r="413">
          <cell r="I413">
            <v>36.658846153846156</v>
          </cell>
          <cell r="K413">
            <v>31.964112426035506</v>
          </cell>
          <cell r="L413">
            <v>41.353579881656806</v>
          </cell>
          <cell r="Q413">
            <v>9142</v>
          </cell>
        </row>
        <row r="414">
          <cell r="I414">
            <v>21.337307692307697</v>
          </cell>
          <cell r="K414">
            <v>20.134822485207103</v>
          </cell>
          <cell r="L414">
            <v>22.53979289940829</v>
          </cell>
          <cell r="Q414">
            <v>9143</v>
          </cell>
        </row>
        <row r="415">
          <cell r="I415">
            <v>186.86423076923077</v>
          </cell>
          <cell r="K415">
            <v>169.68136094674557</v>
          </cell>
          <cell r="L415">
            <v>204.04710059171597</v>
          </cell>
          <cell r="Q415">
            <v>9144</v>
          </cell>
        </row>
        <row r="416">
          <cell r="I416">
            <v>72.245769230769241</v>
          </cell>
          <cell r="K416">
            <v>66.635473372781064</v>
          </cell>
          <cell r="L416">
            <v>77.856065088757418</v>
          </cell>
          <cell r="Q416">
            <v>9145</v>
          </cell>
        </row>
        <row r="417">
          <cell r="I417">
            <v>67.810769230769239</v>
          </cell>
          <cell r="K417">
            <v>63.961715976331362</v>
          </cell>
          <cell r="L417">
            <v>71.659822485207116</v>
          </cell>
          <cell r="Q417">
            <v>9149</v>
          </cell>
        </row>
        <row r="418">
          <cell r="I418">
            <v>72.866153846153821</v>
          </cell>
          <cell r="K418">
            <v>62.432544378698211</v>
          </cell>
          <cell r="L418">
            <v>83.299763313609432</v>
          </cell>
          <cell r="Q418">
            <v>9244</v>
          </cell>
        </row>
        <row r="419">
          <cell r="I419">
            <v>119.5761538461538</v>
          </cell>
          <cell r="K419">
            <v>115.08775147928988</v>
          </cell>
          <cell r="L419">
            <v>124.06455621301772</v>
          </cell>
          <cell r="Q419">
            <v>9245</v>
          </cell>
        </row>
        <row r="420">
          <cell r="I420">
            <v>44.48846153846155</v>
          </cell>
          <cell r="K420">
            <v>27.241538461538475</v>
          </cell>
          <cell r="L420">
            <v>61.735384615384625</v>
          </cell>
          <cell r="Q420">
            <v>9246</v>
          </cell>
        </row>
        <row r="421">
          <cell r="I421">
            <v>130.92714285714285</v>
          </cell>
          <cell r="K421">
            <v>78.889591836734695</v>
          </cell>
          <cell r="L421">
            <v>182.96469387755101</v>
          </cell>
          <cell r="Q421">
            <v>9261</v>
          </cell>
        </row>
        <row r="422">
          <cell r="I422">
            <v>0</v>
          </cell>
          <cell r="K422">
            <v>0</v>
          </cell>
          <cell r="L422">
            <v>0</v>
          </cell>
          <cell r="Q422">
            <v>9271</v>
          </cell>
        </row>
        <row r="423">
          <cell r="I423">
            <v>21.871923076923075</v>
          </cell>
          <cell r="K423">
            <v>18.747988165680471</v>
          </cell>
          <cell r="L423">
            <v>24.995857988165678</v>
          </cell>
          <cell r="Q423">
            <v>9272</v>
          </cell>
        </row>
        <row r="424">
          <cell r="I424">
            <v>37.396153846153851</v>
          </cell>
          <cell r="K424">
            <v>30.398934911242609</v>
          </cell>
          <cell r="L424">
            <v>44.393372781065089</v>
          </cell>
          <cell r="Q424">
            <v>9273</v>
          </cell>
        </row>
        <row r="425">
          <cell r="I425">
            <v>8.2561538461538468</v>
          </cell>
          <cell r="K425">
            <v>7.0905917159763323</v>
          </cell>
          <cell r="L425">
            <v>9.4217159763313614</v>
          </cell>
          <cell r="Q425">
            <v>9274</v>
          </cell>
        </row>
        <row r="426">
          <cell r="I426">
            <v>26.60923076923077</v>
          </cell>
          <cell r="K426">
            <v>18.423491124260359</v>
          </cell>
          <cell r="L426">
            <v>34.794970414201181</v>
          </cell>
          <cell r="Q426">
            <v>9275</v>
          </cell>
        </row>
        <row r="427">
          <cell r="I427">
            <v>242.18653846153836</v>
          </cell>
          <cell r="K427">
            <v>227.60852071005914</v>
          </cell>
          <cell r="L427">
            <v>256.76455621301761</v>
          </cell>
          <cell r="Q427">
            <v>9285</v>
          </cell>
        </row>
        <row r="428">
          <cell r="I428">
            <v>108.54846153846151</v>
          </cell>
          <cell r="K428">
            <v>91.201005917159748</v>
          </cell>
          <cell r="L428">
            <v>125.89591715976327</v>
          </cell>
          <cell r="Q428">
            <v>9292</v>
          </cell>
        </row>
        <row r="429">
          <cell r="I429">
            <v>66.80423076923077</v>
          </cell>
          <cell r="K429">
            <v>63.65221893491124</v>
          </cell>
          <cell r="L429">
            <v>69.956242603550294</v>
          </cell>
          <cell r="Q429">
            <v>9304</v>
          </cell>
        </row>
        <row r="430">
          <cell r="I430">
            <v>59.576923076923087</v>
          </cell>
          <cell r="K430">
            <v>45.621124260355032</v>
          </cell>
          <cell r="L430">
            <v>73.532721893491143</v>
          </cell>
          <cell r="Q430">
            <v>9332</v>
          </cell>
        </row>
        <row r="431">
          <cell r="I431">
            <v>105.49923076923079</v>
          </cell>
          <cell r="K431">
            <v>101.04431952662725</v>
          </cell>
          <cell r="L431">
            <v>109.95414201183434</v>
          </cell>
          <cell r="Q431">
            <v>9334</v>
          </cell>
        </row>
        <row r="432">
          <cell r="I432">
            <v>19.629999999999992</v>
          </cell>
          <cell r="K432">
            <v>18.599230769230765</v>
          </cell>
          <cell r="L432">
            <v>20.660769230769219</v>
          </cell>
          <cell r="Q432">
            <v>9358</v>
          </cell>
        </row>
        <row r="433">
          <cell r="I433">
            <v>396.08807692307681</v>
          </cell>
          <cell r="K433">
            <v>210.03438693679425</v>
          </cell>
          <cell r="L433">
            <v>582.14176690935938</v>
          </cell>
          <cell r="Q433">
            <v>9374</v>
          </cell>
        </row>
        <row r="434">
          <cell r="I434">
            <v>219.65076923076919</v>
          </cell>
          <cell r="K434">
            <v>166.24994082840232</v>
          </cell>
          <cell r="L434">
            <v>273.05159763313605</v>
          </cell>
          <cell r="Q434">
            <v>9380</v>
          </cell>
        </row>
        <row r="435">
          <cell r="I435">
            <v>175.34615384615381</v>
          </cell>
          <cell r="K435">
            <v>126.3536094674556</v>
          </cell>
          <cell r="L435">
            <v>224.33869822485201</v>
          </cell>
          <cell r="Q435">
            <v>9394</v>
          </cell>
        </row>
        <row r="436">
          <cell r="I436">
            <v>78.433846153846176</v>
          </cell>
          <cell r="K436">
            <v>69.140591715976342</v>
          </cell>
          <cell r="L436">
            <v>87.72710059171601</v>
          </cell>
          <cell r="Q436">
            <v>9417</v>
          </cell>
        </row>
        <row r="437">
          <cell r="I437">
            <v>74.619230769230768</v>
          </cell>
          <cell r="K437">
            <v>73.788934911242606</v>
          </cell>
          <cell r="L437">
            <v>75.44952662721893</v>
          </cell>
          <cell r="Q437">
            <v>9444</v>
          </cell>
        </row>
        <row r="438">
          <cell r="I438">
            <v>41.906666666666666</v>
          </cell>
          <cell r="K438">
            <v>37.430212585034013</v>
          </cell>
          <cell r="L438">
            <v>46.383120748299319</v>
          </cell>
          <cell r="Q438">
            <v>9454</v>
          </cell>
        </row>
        <row r="439">
          <cell r="I439">
            <v>73.197499999999991</v>
          </cell>
          <cell r="K439">
            <v>62.599926035502946</v>
          </cell>
          <cell r="L439">
            <v>83.795073964497035</v>
          </cell>
          <cell r="Q439">
            <v>9464</v>
          </cell>
        </row>
        <row r="440">
          <cell r="I440">
            <v>47.709615384615397</v>
          </cell>
          <cell r="K440">
            <v>41.376479289940825</v>
          </cell>
          <cell r="L440">
            <v>54.042751479289969</v>
          </cell>
          <cell r="Q440">
            <v>9467</v>
          </cell>
        </row>
        <row r="441">
          <cell r="I441">
            <v>97.59076923076924</v>
          </cell>
          <cell r="K441">
            <v>77.242011834319527</v>
          </cell>
          <cell r="L441">
            <v>117.93952662721895</v>
          </cell>
          <cell r="Q441">
            <v>9468</v>
          </cell>
        </row>
        <row r="442">
          <cell r="I442">
            <v>205.57961538461547</v>
          </cell>
          <cell r="K442">
            <v>204.77985207100602</v>
          </cell>
          <cell r="L442">
            <v>206.37937869822491</v>
          </cell>
          <cell r="Q442">
            <v>9475</v>
          </cell>
        </row>
        <row r="443">
          <cell r="I443">
            <v>60.998148148148132</v>
          </cell>
          <cell r="K443">
            <v>52.68794238683126</v>
          </cell>
          <cell r="L443">
            <v>69.308353909465012</v>
          </cell>
          <cell r="Q443">
            <v>9478</v>
          </cell>
        </row>
        <row r="444">
          <cell r="I444">
            <v>27.153703703703702</v>
          </cell>
          <cell r="K444">
            <v>24.93875171467764</v>
          </cell>
          <cell r="L444">
            <v>29.368655692729764</v>
          </cell>
          <cell r="Q444">
            <v>9479</v>
          </cell>
        </row>
        <row r="445">
          <cell r="I445">
            <v>63.342500000000001</v>
          </cell>
          <cell r="K445">
            <v>44.773858024691364</v>
          </cell>
          <cell r="L445">
            <v>81.911141975308638</v>
          </cell>
          <cell r="Q445">
            <v>9493</v>
          </cell>
        </row>
        <row r="446">
          <cell r="I446">
            <v>50.521250000000009</v>
          </cell>
          <cell r="K446">
            <v>41.823125000000012</v>
          </cell>
          <cell r="L446">
            <v>59.219375000000007</v>
          </cell>
          <cell r="Q446">
            <v>9496</v>
          </cell>
        </row>
        <row r="447">
          <cell r="I447">
            <v>76.011666666666656</v>
          </cell>
          <cell r="K447">
            <v>64.845631163708063</v>
          </cell>
          <cell r="L447">
            <v>87.177702169625249</v>
          </cell>
          <cell r="Q447">
            <v>9533</v>
          </cell>
        </row>
        <row r="448">
          <cell r="I448">
            <v>234.22307692307692</v>
          </cell>
          <cell r="K448">
            <v>203.15266875981163</v>
          </cell>
          <cell r="L448">
            <v>265.29348508634223</v>
          </cell>
          <cell r="Q448">
            <v>9543</v>
          </cell>
        </row>
        <row r="449">
          <cell r="I449">
            <v>155.93192307692306</v>
          </cell>
          <cell r="K449">
            <v>108.88526627218931</v>
          </cell>
          <cell r="L449">
            <v>202.9785798816568</v>
          </cell>
          <cell r="Q449">
            <v>9546</v>
          </cell>
        </row>
        <row r="450">
          <cell r="I450">
            <v>332.01653846153846</v>
          </cell>
          <cell r="K450">
            <v>246.10697213500785</v>
          </cell>
          <cell r="L450">
            <v>417.9261047880691</v>
          </cell>
          <cell r="Q450">
            <v>9547</v>
          </cell>
        </row>
        <row r="451">
          <cell r="I451">
            <v>135.66</v>
          </cell>
          <cell r="K451">
            <v>105.984375</v>
          </cell>
          <cell r="L451">
            <v>165.33562499999999</v>
          </cell>
          <cell r="Q451">
            <v>9548</v>
          </cell>
        </row>
        <row r="452">
          <cell r="I452">
            <v>99.649629629629615</v>
          </cell>
          <cell r="K452">
            <v>66.58515775034293</v>
          </cell>
          <cell r="L452">
            <v>132.71410150891631</v>
          </cell>
          <cell r="Q452">
            <v>9551</v>
          </cell>
        </row>
        <row r="453">
          <cell r="I453">
            <v>114.08749999999999</v>
          </cell>
          <cell r="K453">
            <v>113.76874999999998</v>
          </cell>
          <cell r="L453">
            <v>114.40625</v>
          </cell>
          <cell r="Q453">
            <v>9562</v>
          </cell>
        </row>
        <row r="454">
          <cell r="I454">
            <v>122.36846153846152</v>
          </cell>
          <cell r="K454">
            <v>121.17733727810648</v>
          </cell>
          <cell r="L454">
            <v>123.55958579881656</v>
          </cell>
          <cell r="Q454">
            <v>9577</v>
          </cell>
        </row>
        <row r="455">
          <cell r="I455">
            <v>90.523600000000002</v>
          </cell>
          <cell r="K455">
            <v>73.770020118343197</v>
          </cell>
          <cell r="L455">
            <v>107.27717988165681</v>
          </cell>
          <cell r="Q455">
            <v>9579</v>
          </cell>
        </row>
        <row r="456">
          <cell r="I456">
            <v>143.9507692307692</v>
          </cell>
          <cell r="K456">
            <v>117.89085153529595</v>
          </cell>
          <cell r="L456">
            <v>170.01068692624244</v>
          </cell>
          <cell r="Q456">
            <v>9639</v>
          </cell>
        </row>
        <row r="457">
          <cell r="I457">
            <v>92.402692307692263</v>
          </cell>
          <cell r="K457">
            <v>92.213905325443733</v>
          </cell>
          <cell r="L457">
            <v>92.591479289940793</v>
          </cell>
          <cell r="Q457">
            <v>9651</v>
          </cell>
        </row>
        <row r="458">
          <cell r="I458">
            <v>37.681153846153833</v>
          </cell>
          <cell r="K458">
            <v>37.273934911242591</v>
          </cell>
          <cell r="L458">
            <v>38.088372781065075</v>
          </cell>
          <cell r="Q458">
            <v>9685</v>
          </cell>
        </row>
        <row r="459">
          <cell r="I459">
            <v>98.756956521739127</v>
          </cell>
          <cell r="K459">
            <v>90.419942632850237</v>
          </cell>
          <cell r="L459">
            <v>107.09397041062802</v>
          </cell>
          <cell r="Q459">
            <v>9719</v>
          </cell>
        </row>
        <row r="460">
          <cell r="I460">
            <v>61.303461538461541</v>
          </cell>
          <cell r="K460">
            <v>51.747192677007497</v>
          </cell>
          <cell r="L460">
            <v>70.859730399915591</v>
          </cell>
          <cell r="Q460">
            <v>9729</v>
          </cell>
        </row>
        <row r="461">
          <cell r="I461">
            <v>110.43999999999998</v>
          </cell>
          <cell r="K461">
            <v>85.907692307692287</v>
          </cell>
          <cell r="L461">
            <v>134.97230769230768</v>
          </cell>
          <cell r="Q461">
            <v>9737</v>
          </cell>
        </row>
        <row r="462">
          <cell r="I462">
            <v>13.319999999999995</v>
          </cell>
          <cell r="K462">
            <v>13.31999999999999</v>
          </cell>
          <cell r="L462">
            <v>13.32</v>
          </cell>
          <cell r="Q462">
            <v>9740</v>
          </cell>
        </row>
        <row r="463">
          <cell r="I463">
            <v>36.360000000000007</v>
          </cell>
          <cell r="K463">
            <v>36.36</v>
          </cell>
          <cell r="L463">
            <v>36.360000000000014</v>
          </cell>
          <cell r="Q463">
            <v>9741</v>
          </cell>
        </row>
        <row r="464">
          <cell r="I464">
            <v>102.34</v>
          </cell>
          <cell r="K464">
            <v>102.34</v>
          </cell>
          <cell r="L464">
            <v>102.34</v>
          </cell>
          <cell r="Q464">
            <v>9742</v>
          </cell>
        </row>
        <row r="465">
          <cell r="I465">
            <v>81.955384615384602</v>
          </cell>
          <cell r="K465">
            <v>80.127810650887554</v>
          </cell>
          <cell r="L465">
            <v>83.782958579881651</v>
          </cell>
          <cell r="Q465">
            <v>9758</v>
          </cell>
        </row>
        <row r="466">
          <cell r="I466">
            <v>88.811481481481493</v>
          </cell>
          <cell r="K466">
            <v>64.416584362139943</v>
          </cell>
          <cell r="L466">
            <v>113.20637860082304</v>
          </cell>
          <cell r="Q466">
            <v>9785</v>
          </cell>
        </row>
        <row r="467">
          <cell r="I467">
            <v>287.02379310344838</v>
          </cell>
          <cell r="K467">
            <v>204.30008327792041</v>
          </cell>
          <cell r="L467">
            <v>369.74750292897636</v>
          </cell>
          <cell r="Q467">
            <v>9816</v>
          </cell>
        </row>
        <row r="468">
          <cell r="I468">
            <v>59.084800000000016</v>
          </cell>
          <cell r="K468">
            <v>51.514563313609486</v>
          </cell>
          <cell r="L468">
            <v>66.655036686390545</v>
          </cell>
          <cell r="Q468">
            <v>9832</v>
          </cell>
        </row>
        <row r="469">
          <cell r="I469">
            <v>54.685714285714297</v>
          </cell>
          <cell r="K469">
            <v>42.723214285714306</v>
          </cell>
          <cell r="L469">
            <v>66.648214285714289</v>
          </cell>
          <cell r="Q469">
            <v>9836</v>
          </cell>
        </row>
        <row r="470">
          <cell r="I470">
            <v>32.521764705882354</v>
          </cell>
          <cell r="K470">
            <v>17.800374173337975</v>
          </cell>
          <cell r="L470">
            <v>47.243155238426738</v>
          </cell>
          <cell r="Q470">
            <v>9865</v>
          </cell>
        </row>
        <row r="471">
          <cell r="I471">
            <v>51.661153846153852</v>
          </cell>
          <cell r="K471">
            <v>49.026923076923083</v>
          </cell>
          <cell r="L471">
            <v>54.29538461538462</v>
          </cell>
          <cell r="Q471">
            <v>9866</v>
          </cell>
        </row>
        <row r="472">
          <cell r="I472">
            <v>226.50423076923079</v>
          </cell>
          <cell r="K472">
            <v>190.93603550295859</v>
          </cell>
          <cell r="L472">
            <v>262.07242603550299</v>
          </cell>
          <cell r="Q472">
            <v>9867</v>
          </cell>
        </row>
        <row r="473">
          <cell r="I473">
            <v>91.158846153846142</v>
          </cell>
          <cell r="K473">
            <v>84.177603550295842</v>
          </cell>
          <cell r="L473">
            <v>98.140088757396441</v>
          </cell>
          <cell r="Q473">
            <v>9881</v>
          </cell>
        </row>
        <row r="474">
          <cell r="I474">
            <v>60.735384615384611</v>
          </cell>
          <cell r="K474">
            <v>56.94526627218935</v>
          </cell>
          <cell r="L474">
            <v>64.525502958579878</v>
          </cell>
          <cell r="Q474">
            <v>9906</v>
          </cell>
        </row>
        <row r="475">
          <cell r="I475">
            <v>537.51230769230767</v>
          </cell>
          <cell r="K475">
            <v>298.38964419646942</v>
          </cell>
          <cell r="L475">
            <v>776.63497118814598</v>
          </cell>
          <cell r="Q475">
            <v>9927</v>
          </cell>
        </row>
        <row r="476">
          <cell r="I476">
            <v>327.22115384615392</v>
          </cell>
          <cell r="K476">
            <v>211.12171597633144</v>
          </cell>
          <cell r="L476">
            <v>443.32059171597643</v>
          </cell>
          <cell r="Q476">
            <v>9928</v>
          </cell>
        </row>
        <row r="477">
          <cell r="I477">
            <v>162.55999999999995</v>
          </cell>
          <cell r="K477">
            <v>137.72867346938764</v>
          </cell>
          <cell r="L477">
            <v>187.39132653061225</v>
          </cell>
          <cell r="Q477">
            <v>9971</v>
          </cell>
        </row>
        <row r="478">
          <cell r="I478">
            <v>527.9003846153845</v>
          </cell>
          <cell r="K478">
            <v>508.26937869822467</v>
          </cell>
          <cell r="L478">
            <v>547.53139053254426</v>
          </cell>
          <cell r="Q478">
            <v>9974</v>
          </cell>
        </row>
        <row r="479">
          <cell r="I479">
            <v>157.71280000000002</v>
          </cell>
          <cell r="K479">
            <v>116.97765207100593</v>
          </cell>
          <cell r="L479">
            <v>198.4479479289941</v>
          </cell>
          <cell r="Q479">
            <v>9978</v>
          </cell>
        </row>
        <row r="480">
          <cell r="I480">
            <v>149.40807692307692</v>
          </cell>
          <cell r="K480">
            <v>68.68798816568048</v>
          </cell>
          <cell r="L480">
            <v>230.12816568047336</v>
          </cell>
          <cell r="Q480">
            <v>9986</v>
          </cell>
        </row>
        <row r="481">
          <cell r="I481">
            <v>622.48769230769233</v>
          </cell>
          <cell r="K481">
            <v>294.35351957095975</v>
          </cell>
          <cell r="L481">
            <v>950.62186504442491</v>
          </cell>
          <cell r="Q481">
            <v>10038</v>
          </cell>
        </row>
        <row r="482">
          <cell r="I482">
            <v>215.85</v>
          </cell>
          <cell r="K482">
            <v>87.160909090909058</v>
          </cell>
          <cell r="L482">
            <v>344.53909090909093</v>
          </cell>
          <cell r="Q482">
            <v>10090</v>
          </cell>
        </row>
        <row r="483">
          <cell r="I483">
            <v>238.02769230769232</v>
          </cell>
          <cell r="K483">
            <v>205.68999683444127</v>
          </cell>
          <cell r="L483">
            <v>270.36538778094337</v>
          </cell>
          <cell r="Q483">
            <v>10093</v>
          </cell>
        </row>
        <row r="484">
          <cell r="I484">
            <v>53.395714285714284</v>
          </cell>
          <cell r="K484">
            <v>52.158163265306122</v>
          </cell>
          <cell r="L484">
            <v>54.633265306122446</v>
          </cell>
          <cell r="Q484">
            <v>10101</v>
          </cell>
        </row>
        <row r="485">
          <cell r="I485">
            <v>58.756428571428572</v>
          </cell>
          <cell r="K485">
            <v>36.434739682539679</v>
          </cell>
          <cell r="L485">
            <v>81.078117460317458</v>
          </cell>
          <cell r="Q485">
            <v>10109</v>
          </cell>
        </row>
        <row r="486">
          <cell r="I486">
            <v>88.886153846153846</v>
          </cell>
          <cell r="K486">
            <v>75.725621301775149</v>
          </cell>
          <cell r="L486">
            <v>102.04668639053254</v>
          </cell>
          <cell r="Q486">
            <v>10120</v>
          </cell>
        </row>
        <row r="487">
          <cell r="I487">
            <v>416.43296296296279</v>
          </cell>
          <cell r="K487">
            <v>365.98252928949347</v>
          </cell>
          <cell r="L487">
            <v>466.88339663643211</v>
          </cell>
          <cell r="Q487">
            <v>10209</v>
          </cell>
        </row>
        <row r="488">
          <cell r="I488">
            <v>209.85923076923066</v>
          </cell>
          <cell r="K488">
            <v>176.84792899408276</v>
          </cell>
          <cell r="L488">
            <v>242.87053254437856</v>
          </cell>
          <cell r="Q488">
            <v>10235</v>
          </cell>
        </row>
        <row r="489">
          <cell r="I489">
            <v>45.083333333333336</v>
          </cell>
          <cell r="K489">
            <v>27.765555555555558</v>
          </cell>
          <cell r="L489">
            <v>62.401111111111113</v>
          </cell>
          <cell r="Q489">
            <v>10256</v>
          </cell>
        </row>
        <row r="490">
          <cell r="I490">
            <v>243.28923076923067</v>
          </cell>
          <cell r="K490">
            <v>241.98224852070996</v>
          </cell>
          <cell r="L490">
            <v>244.59621301775138</v>
          </cell>
          <cell r="Q490">
            <v>10257</v>
          </cell>
        </row>
        <row r="491">
          <cell r="I491">
            <v>0</v>
          </cell>
          <cell r="K491">
            <v>0</v>
          </cell>
          <cell r="L491">
            <v>0</v>
          </cell>
          <cell r="Q491">
            <v>10281</v>
          </cell>
        </row>
        <row r="492">
          <cell r="I492">
            <v>42.282727272727286</v>
          </cell>
          <cell r="K492">
            <v>39.706198347107453</v>
          </cell>
          <cell r="L492">
            <v>44.859256198347119</v>
          </cell>
          <cell r="Q492">
            <v>10300</v>
          </cell>
        </row>
        <row r="493">
          <cell r="I493">
            <v>645.80037735849055</v>
          </cell>
          <cell r="K493">
            <v>208.7493698825204</v>
          </cell>
          <cell r="L493">
            <v>1082.8513848344608</v>
          </cell>
          <cell r="Q493">
            <v>10323</v>
          </cell>
        </row>
        <row r="494">
          <cell r="I494">
            <v>137.3899999999999</v>
          </cell>
          <cell r="K494">
            <v>137.38999999999982</v>
          </cell>
          <cell r="L494">
            <v>137.38999999999999</v>
          </cell>
          <cell r="Q494">
            <v>10332</v>
          </cell>
        </row>
        <row r="495">
          <cell r="I495">
            <v>49.607499999999987</v>
          </cell>
          <cell r="K495">
            <v>48.056249999999991</v>
          </cell>
          <cell r="L495">
            <v>51.158749999999984</v>
          </cell>
          <cell r="Q495">
            <v>10429</v>
          </cell>
        </row>
        <row r="496">
          <cell r="I496">
            <v>71.234285714285704</v>
          </cell>
          <cell r="K496">
            <v>46.610088183421496</v>
          </cell>
          <cell r="L496">
            <v>95.858483245149912</v>
          </cell>
          <cell r="Q496">
            <v>10435</v>
          </cell>
        </row>
        <row r="497">
          <cell r="I497">
            <v>28.418571428571429</v>
          </cell>
          <cell r="K497">
            <v>15.788095238095243</v>
          </cell>
          <cell r="L497">
            <v>41.049047619047613</v>
          </cell>
          <cell r="Q497">
            <v>10459</v>
          </cell>
        </row>
        <row r="498">
          <cell r="I498">
            <v>29.742857142857137</v>
          </cell>
          <cell r="K498">
            <v>16.523809523809518</v>
          </cell>
          <cell r="L498">
            <v>42.961904761904755</v>
          </cell>
          <cell r="Q498">
            <v>10460</v>
          </cell>
        </row>
        <row r="499">
          <cell r="I499">
            <v>77.460769230769216</v>
          </cell>
          <cell r="K499">
            <v>76.581005917159743</v>
          </cell>
          <cell r="L499">
            <v>78.340532544378689</v>
          </cell>
          <cell r="Q499">
            <v>10476</v>
          </cell>
        </row>
        <row r="500">
          <cell r="I500">
            <v>31.314285714285713</v>
          </cell>
          <cell r="K500">
            <v>30.187755102040814</v>
          </cell>
          <cell r="L500">
            <v>32.440816326530609</v>
          </cell>
          <cell r="Q500">
            <v>10482</v>
          </cell>
        </row>
        <row r="501">
          <cell r="I501">
            <v>51.996249999999982</v>
          </cell>
          <cell r="K501">
            <v>50.732083333333314</v>
          </cell>
          <cell r="L501">
            <v>53.26041666666665</v>
          </cell>
          <cell r="Q501">
            <v>10507</v>
          </cell>
        </row>
        <row r="502">
          <cell r="I502">
            <v>77.480769230769198</v>
          </cell>
          <cell r="K502">
            <v>62.391775147928982</v>
          </cell>
          <cell r="L502">
            <v>92.569763313609414</v>
          </cell>
          <cell r="Q502">
            <v>10509</v>
          </cell>
        </row>
        <row r="503">
          <cell r="I503">
            <v>119.9074074074074</v>
          </cell>
          <cell r="K503">
            <v>102.83473251028806</v>
          </cell>
          <cell r="L503">
            <v>136.98008230452675</v>
          </cell>
          <cell r="Q503">
            <v>10514</v>
          </cell>
        </row>
        <row r="504">
          <cell r="I504">
            <v>325.99115384615368</v>
          </cell>
          <cell r="K504">
            <v>322.14266272189326</v>
          </cell>
          <cell r="L504">
            <v>329.8396449704141</v>
          </cell>
          <cell r="Q504">
            <v>10551</v>
          </cell>
        </row>
        <row r="505">
          <cell r="I505">
            <v>44.734615384615395</v>
          </cell>
          <cell r="K505">
            <v>37.720769230769243</v>
          </cell>
          <cell r="L505">
            <v>51.748461538461548</v>
          </cell>
          <cell r="Q505">
            <v>10561</v>
          </cell>
        </row>
        <row r="506">
          <cell r="I506">
            <v>74.462142857142865</v>
          </cell>
          <cell r="K506">
            <v>72.665714285714287</v>
          </cell>
          <cell r="L506">
            <v>76.258571428571443</v>
          </cell>
          <cell r="Q506">
            <v>10603</v>
          </cell>
        </row>
        <row r="507">
          <cell r="I507">
            <v>47.265714285714282</v>
          </cell>
          <cell r="K507">
            <v>43.164897959183669</v>
          </cell>
          <cell r="L507">
            <v>51.366530612244894</v>
          </cell>
          <cell r="Q507">
            <v>10605</v>
          </cell>
        </row>
        <row r="508">
          <cell r="I508">
            <v>76.806538461538437</v>
          </cell>
          <cell r="K508">
            <v>55.02994038197739</v>
          </cell>
          <cell r="L508">
            <v>98.583136541099492</v>
          </cell>
          <cell r="Q508">
            <v>10620</v>
          </cell>
        </row>
        <row r="509">
          <cell r="I509">
            <v>20</v>
          </cell>
          <cell r="K509">
            <v>20</v>
          </cell>
          <cell r="L509">
            <v>20</v>
          </cell>
          <cell r="Q509">
            <v>10625</v>
          </cell>
        </row>
        <row r="510">
          <cell r="I510">
            <v>50.165555555555549</v>
          </cell>
          <cell r="K510">
            <v>43.14711934156378</v>
          </cell>
          <cell r="L510">
            <v>57.183991769547319</v>
          </cell>
          <cell r="Q510">
            <v>10643</v>
          </cell>
        </row>
        <row r="511">
          <cell r="I511">
            <v>22.474615384615383</v>
          </cell>
          <cell r="K511">
            <v>12.305147928994083</v>
          </cell>
          <cell r="L511">
            <v>32.644082840236685</v>
          </cell>
          <cell r="Q511">
            <v>10650</v>
          </cell>
        </row>
        <row r="512">
          <cell r="I512">
            <v>72.002307692307696</v>
          </cell>
          <cell r="K512">
            <v>61.341715976331365</v>
          </cell>
          <cell r="L512">
            <v>82.662899408284034</v>
          </cell>
          <cell r="Q512">
            <v>10655</v>
          </cell>
        </row>
        <row r="513">
          <cell r="I513">
            <v>82.274230769230755</v>
          </cell>
          <cell r="K513">
            <v>76.23375739644969</v>
          </cell>
          <cell r="L513">
            <v>88.31470414201182</v>
          </cell>
          <cell r="Q513">
            <v>10656</v>
          </cell>
        </row>
        <row r="514">
          <cell r="I514">
            <v>325.87538461538458</v>
          </cell>
          <cell r="K514">
            <v>301.26568047337275</v>
          </cell>
          <cell r="L514">
            <v>350.4850887573964</v>
          </cell>
          <cell r="Q514">
            <v>10667</v>
          </cell>
        </row>
        <row r="515">
          <cell r="I515">
            <v>54.362307692307695</v>
          </cell>
          <cell r="K515">
            <v>53.197810650887575</v>
          </cell>
          <cell r="L515">
            <v>55.526804733727815</v>
          </cell>
          <cell r="Q515">
            <v>10668</v>
          </cell>
        </row>
        <row r="516">
          <cell r="I516">
            <v>77.736666666666665</v>
          </cell>
          <cell r="K516">
            <v>63.771111111111111</v>
          </cell>
          <cell r="L516">
            <v>91.702222222222218</v>
          </cell>
          <cell r="Q516">
            <v>10671</v>
          </cell>
        </row>
        <row r="517">
          <cell r="I517">
            <v>139.39846153846153</v>
          </cell>
          <cell r="K517">
            <v>132.69390532544378</v>
          </cell>
          <cell r="L517">
            <v>146.10301775147929</v>
          </cell>
          <cell r="Q517">
            <v>10675</v>
          </cell>
        </row>
        <row r="518">
          <cell r="I518">
            <v>150.53321428571425</v>
          </cell>
          <cell r="K518">
            <v>58.784140404340704</v>
          </cell>
          <cell r="L518">
            <v>242.28228816708781</v>
          </cell>
          <cell r="Q518">
            <v>10693</v>
          </cell>
        </row>
        <row r="519">
          <cell r="I519">
            <v>50.958461538461535</v>
          </cell>
          <cell r="K519">
            <v>48.606745562130172</v>
          </cell>
          <cell r="L519">
            <v>53.310177514792898</v>
          </cell>
          <cell r="Q519">
            <v>10702</v>
          </cell>
        </row>
        <row r="520">
          <cell r="I520">
            <v>98.172499999999999</v>
          </cell>
          <cell r="K520">
            <v>84.23084319526626</v>
          </cell>
          <cell r="L520">
            <v>112.11415680473374</v>
          </cell>
          <cell r="Q520">
            <v>10707</v>
          </cell>
        </row>
        <row r="521">
          <cell r="I521">
            <v>72.161153846153837</v>
          </cell>
          <cell r="K521">
            <v>52.528461538461528</v>
          </cell>
          <cell r="L521">
            <v>91.793846153846147</v>
          </cell>
          <cell r="Q521">
            <v>10709</v>
          </cell>
        </row>
        <row r="522">
          <cell r="I522">
            <v>104.51807692307693</v>
          </cell>
          <cell r="K522">
            <v>66.345976331360959</v>
          </cell>
          <cell r="L522">
            <v>142.69017751479291</v>
          </cell>
          <cell r="Q522">
            <v>10752</v>
          </cell>
        </row>
        <row r="523">
          <cell r="I523">
            <v>459.4314814814814</v>
          </cell>
          <cell r="K523">
            <v>365.51661179698209</v>
          </cell>
          <cell r="L523">
            <v>553.34635116598065</v>
          </cell>
          <cell r="Q523">
            <v>10758</v>
          </cell>
        </row>
        <row r="524">
          <cell r="I524">
            <v>56.307692307692314</v>
          </cell>
          <cell r="K524">
            <v>54.141893491124264</v>
          </cell>
          <cell r="L524">
            <v>58.473491124260363</v>
          </cell>
          <cell r="Q524">
            <v>10762</v>
          </cell>
        </row>
        <row r="525">
          <cell r="I525">
            <v>89.024814814814803</v>
          </cell>
          <cell r="K525">
            <v>69.43096021947872</v>
          </cell>
          <cell r="L525">
            <v>108.61866941015089</v>
          </cell>
          <cell r="Q525">
            <v>10776</v>
          </cell>
        </row>
        <row r="526">
          <cell r="I526">
            <v>75.515000000000001</v>
          </cell>
          <cell r="K526">
            <v>57.021530612244909</v>
          </cell>
          <cell r="L526">
            <v>94.008469387755099</v>
          </cell>
          <cell r="Q526">
            <v>10791</v>
          </cell>
        </row>
        <row r="527">
          <cell r="I527">
            <v>52.096250000000012</v>
          </cell>
          <cell r="K527">
            <v>41.964687500000025</v>
          </cell>
          <cell r="L527">
            <v>62.227812499999999</v>
          </cell>
          <cell r="Q527">
            <v>10792</v>
          </cell>
        </row>
        <row r="528">
          <cell r="I528">
            <v>51.991428571428571</v>
          </cell>
          <cell r="K528">
            <v>40.036428571428573</v>
          </cell>
          <cell r="L528">
            <v>63.946428571428569</v>
          </cell>
          <cell r="Q528">
            <v>10797</v>
          </cell>
        </row>
        <row r="529">
          <cell r="I529">
            <v>47.94</v>
          </cell>
          <cell r="K529">
            <v>38.887499999999996</v>
          </cell>
          <cell r="L529">
            <v>56.9925</v>
          </cell>
          <cell r="Q529">
            <v>10804</v>
          </cell>
        </row>
        <row r="530">
          <cell r="I530">
            <v>51.132499999999993</v>
          </cell>
          <cell r="K530">
            <v>39.88562499999999</v>
          </cell>
          <cell r="L530">
            <v>62.379374999999996</v>
          </cell>
          <cell r="Q530">
            <v>10811</v>
          </cell>
        </row>
        <row r="531">
          <cell r="I531">
            <v>118.58250000000002</v>
          </cell>
          <cell r="K531">
            <v>74.043240740740771</v>
          </cell>
          <cell r="L531">
            <v>163.12175925925928</v>
          </cell>
          <cell r="Q531">
            <v>10812</v>
          </cell>
        </row>
        <row r="532">
          <cell r="I532">
            <v>83.95192307692308</v>
          </cell>
          <cell r="K532">
            <v>57.247573964497043</v>
          </cell>
          <cell r="L532">
            <v>110.65627218934912</v>
          </cell>
          <cell r="Q532">
            <v>10813</v>
          </cell>
        </row>
        <row r="533">
          <cell r="I533">
            <v>99.082692307692298</v>
          </cell>
          <cell r="K533">
            <v>78.054822485207097</v>
          </cell>
          <cell r="L533">
            <v>120.1105621301775</v>
          </cell>
          <cell r="Q533">
            <v>10814</v>
          </cell>
        </row>
        <row r="534">
          <cell r="I534">
            <v>56.834285714285713</v>
          </cell>
          <cell r="K534">
            <v>42.242723214285711</v>
          </cell>
          <cell r="L534">
            <v>71.425848214285708</v>
          </cell>
          <cell r="Q534">
            <v>10820</v>
          </cell>
        </row>
        <row r="535">
          <cell r="I535">
            <v>48.3</v>
          </cell>
          <cell r="K535">
            <v>36.364999999999995</v>
          </cell>
          <cell r="L535">
            <v>60.234999999999999</v>
          </cell>
          <cell r="Q535">
            <v>10822</v>
          </cell>
        </row>
        <row r="536">
          <cell r="I536">
            <v>82.631428571428572</v>
          </cell>
          <cell r="K536">
            <v>38.253628571428571</v>
          </cell>
          <cell r="L536">
            <v>127.00922857142857</v>
          </cell>
          <cell r="Q536">
            <v>10823</v>
          </cell>
        </row>
        <row r="537">
          <cell r="I537">
            <v>55.907142857142858</v>
          </cell>
          <cell r="K537">
            <v>50.405510204081629</v>
          </cell>
          <cell r="L537">
            <v>61.408775510204087</v>
          </cell>
          <cell r="Q537">
            <v>10824</v>
          </cell>
        </row>
        <row r="538">
          <cell r="I538">
            <v>42.85</v>
          </cell>
          <cell r="K538">
            <v>34.415000000000006</v>
          </cell>
          <cell r="L538">
            <v>51.284999999999997</v>
          </cell>
          <cell r="Q538">
            <v>10825</v>
          </cell>
        </row>
        <row r="539">
          <cell r="I539">
            <v>44.42</v>
          </cell>
          <cell r="K539">
            <v>35.755000000000003</v>
          </cell>
          <cell r="L539">
            <v>53.085000000000001</v>
          </cell>
          <cell r="Q539">
            <v>10826</v>
          </cell>
        </row>
        <row r="540">
          <cell r="I540">
            <v>107.63999999999999</v>
          </cell>
          <cell r="K540">
            <v>83.982499999999987</v>
          </cell>
          <cell r="L540">
            <v>131.29749999999999</v>
          </cell>
          <cell r="Q540">
            <v>10828</v>
          </cell>
        </row>
        <row r="541">
          <cell r="I541">
            <v>57.262500000000003</v>
          </cell>
          <cell r="K541">
            <v>31.136574074074076</v>
          </cell>
          <cell r="L541">
            <v>83.38842592592593</v>
          </cell>
          <cell r="Q541">
            <v>10829</v>
          </cell>
        </row>
        <row r="542">
          <cell r="I542">
            <v>46.867499999999993</v>
          </cell>
          <cell r="K542">
            <v>37.28437499999999</v>
          </cell>
          <cell r="L542">
            <v>56.450624999999995</v>
          </cell>
          <cell r="Q542">
            <v>10830</v>
          </cell>
        </row>
        <row r="543">
          <cell r="I543">
            <v>148.60624999999999</v>
          </cell>
          <cell r="K543">
            <v>118.47843749999998</v>
          </cell>
          <cell r="L543">
            <v>178.73406249999999</v>
          </cell>
          <cell r="Q543">
            <v>10835</v>
          </cell>
        </row>
        <row r="544">
          <cell r="I544">
            <v>7.9076923076923089</v>
          </cell>
          <cell r="K544">
            <v>7.396272189349113</v>
          </cell>
          <cell r="L544">
            <v>8.4191124260355057</v>
          </cell>
          <cell r="Q544">
            <v>10842</v>
          </cell>
        </row>
        <row r="545">
          <cell r="I545">
            <v>161.27833333333334</v>
          </cell>
          <cell r="K545">
            <v>118.83944444444444</v>
          </cell>
          <cell r="L545">
            <v>203.71722222222223</v>
          </cell>
          <cell r="Q545">
            <v>10850</v>
          </cell>
        </row>
        <row r="546">
          <cell r="I546">
            <v>367.52615384615376</v>
          </cell>
          <cell r="K546">
            <v>362.01857988165665</v>
          </cell>
          <cell r="L546">
            <v>373.03372781065087</v>
          </cell>
          <cell r="Q546">
            <v>10855</v>
          </cell>
        </row>
        <row r="547">
          <cell r="I547">
            <v>1248.8284000000003</v>
          </cell>
          <cell r="K547">
            <v>1156.1746720000001</v>
          </cell>
          <cell r="L547">
            <v>1341.4821280000006</v>
          </cell>
          <cell r="Q547">
            <v>10856</v>
          </cell>
        </row>
        <row r="548">
          <cell r="I548">
            <v>386.56115384615407</v>
          </cell>
          <cell r="K548">
            <v>385.40420118343224</v>
          </cell>
          <cell r="L548">
            <v>387.71810650887591</v>
          </cell>
          <cell r="Q548">
            <v>10857</v>
          </cell>
        </row>
        <row r="549">
          <cell r="I549">
            <v>49.189615384615379</v>
          </cell>
          <cell r="K549">
            <v>22.853254437869815</v>
          </cell>
          <cell r="L549">
            <v>75.525976331360937</v>
          </cell>
          <cell r="Q549">
            <v>10943</v>
          </cell>
        </row>
        <row r="550">
          <cell r="I550">
            <v>61.070769230769208</v>
          </cell>
          <cell r="K550">
            <v>44.288461538461519</v>
          </cell>
          <cell r="L550">
            <v>77.853076923076898</v>
          </cell>
          <cell r="Q550">
            <v>10948</v>
          </cell>
        </row>
        <row r="551">
          <cell r="I551">
            <v>136.59230769230768</v>
          </cell>
          <cell r="K551">
            <v>135.69242603550296</v>
          </cell>
          <cell r="L551">
            <v>137.49218934911241</v>
          </cell>
          <cell r="Q551">
            <v>10969</v>
          </cell>
        </row>
        <row r="552">
          <cell r="I552">
            <v>41.376296296296289</v>
          </cell>
          <cell r="K552">
            <v>36.086145404663917</v>
          </cell>
          <cell r="L552">
            <v>46.666447187928661</v>
          </cell>
          <cell r="Q552">
            <v>10970</v>
          </cell>
        </row>
        <row r="553">
          <cell r="I553">
            <v>54.345185185185194</v>
          </cell>
          <cell r="K553">
            <v>42.856406035665302</v>
          </cell>
          <cell r="L553">
            <v>65.833964334705087</v>
          </cell>
          <cell r="Q553">
            <v>10971</v>
          </cell>
        </row>
        <row r="554">
          <cell r="I554">
            <v>24.107777777777777</v>
          </cell>
          <cell r="K554">
            <v>16.65551440329218</v>
          </cell>
          <cell r="L554">
            <v>31.560041152263373</v>
          </cell>
          <cell r="Q554">
            <v>10972</v>
          </cell>
        </row>
        <row r="555">
          <cell r="I555">
            <v>22.371851851851847</v>
          </cell>
          <cell r="K555">
            <v>9.4501783264746191</v>
          </cell>
          <cell r="L555">
            <v>35.293525377229074</v>
          </cell>
          <cell r="Q555">
            <v>10973</v>
          </cell>
        </row>
        <row r="556">
          <cell r="I556">
            <v>127.30038461538463</v>
          </cell>
          <cell r="K556">
            <v>77.732218934911259</v>
          </cell>
          <cell r="L556">
            <v>176.868550295858</v>
          </cell>
          <cell r="Q556">
            <v>10978</v>
          </cell>
        </row>
        <row r="557">
          <cell r="I557">
            <v>227.81999999999991</v>
          </cell>
          <cell r="K557">
            <v>213.18461538461534</v>
          </cell>
          <cell r="L557">
            <v>242.45538461538447</v>
          </cell>
          <cell r="Q557">
            <v>10991</v>
          </cell>
        </row>
        <row r="558">
          <cell r="I558">
            <v>56.141538461538481</v>
          </cell>
          <cell r="K558">
            <v>55.019467455621324</v>
          </cell>
          <cell r="L558">
            <v>57.263609467455638</v>
          </cell>
          <cell r="Q558">
            <v>11000</v>
          </cell>
        </row>
        <row r="559">
          <cell r="I559">
            <v>127.24538461538461</v>
          </cell>
          <cell r="K559">
            <v>104.79911242603549</v>
          </cell>
          <cell r="L559">
            <v>149.69165680473373</v>
          </cell>
          <cell r="Q559">
            <v>11019</v>
          </cell>
        </row>
        <row r="560">
          <cell r="I560">
            <v>290.76428571428568</v>
          </cell>
          <cell r="K560">
            <v>255.15489795918361</v>
          </cell>
          <cell r="L560">
            <v>326.37367346938777</v>
          </cell>
          <cell r="Q560">
            <v>11025</v>
          </cell>
        </row>
        <row r="561">
          <cell r="I561">
            <v>69.491428571428557</v>
          </cell>
          <cell r="K561">
            <v>68.644897959183652</v>
          </cell>
          <cell r="L561">
            <v>70.337959183673462</v>
          </cell>
          <cell r="Q561">
            <v>11028</v>
          </cell>
        </row>
        <row r="562">
          <cell r="I562">
            <v>141.22076923076929</v>
          </cell>
          <cell r="K562">
            <v>110.81615384615391</v>
          </cell>
          <cell r="L562">
            <v>171.62538461538466</v>
          </cell>
          <cell r="Q562">
            <v>11042</v>
          </cell>
        </row>
        <row r="563">
          <cell r="I563">
            <v>89.685555555555567</v>
          </cell>
          <cell r="K563">
            <v>73.542155555555581</v>
          </cell>
          <cell r="L563">
            <v>105.82895555555555</v>
          </cell>
          <cell r="Q563">
            <v>11054</v>
          </cell>
        </row>
        <row r="564">
          <cell r="I564">
            <v>140.59074074074073</v>
          </cell>
          <cell r="K564">
            <v>133.41987654320985</v>
          </cell>
          <cell r="L564">
            <v>147.7616049382716</v>
          </cell>
          <cell r="Q564">
            <v>11063</v>
          </cell>
        </row>
        <row r="565">
          <cell r="I565">
            <v>20.400000000000002</v>
          </cell>
          <cell r="K565">
            <v>13.348148148148152</v>
          </cell>
          <cell r="L565">
            <v>27.451851851851853</v>
          </cell>
          <cell r="Q565">
            <v>11076</v>
          </cell>
        </row>
        <row r="566">
          <cell r="I566">
            <v>20.974999999999998</v>
          </cell>
          <cell r="K566">
            <v>13.109374999999998</v>
          </cell>
          <cell r="L566">
            <v>28.840624999999996</v>
          </cell>
          <cell r="Q566">
            <v>11077</v>
          </cell>
        </row>
        <row r="567">
          <cell r="I567">
            <v>28.737142857142857</v>
          </cell>
          <cell r="K567">
            <v>16.667542857142855</v>
          </cell>
          <cell r="L567">
            <v>40.806742857142858</v>
          </cell>
          <cell r="Q567">
            <v>11078</v>
          </cell>
        </row>
        <row r="568">
          <cell r="I568">
            <v>0</v>
          </cell>
          <cell r="K568">
            <v>0</v>
          </cell>
          <cell r="L568">
            <v>0</v>
          </cell>
          <cell r="Q568">
            <v>11093</v>
          </cell>
        </row>
        <row r="569">
          <cell r="I569">
            <v>117.10346153846149</v>
          </cell>
          <cell r="K569">
            <v>108.93156804733722</v>
          </cell>
          <cell r="L569">
            <v>125.27535502958575</v>
          </cell>
          <cell r="Q569">
            <v>11120</v>
          </cell>
        </row>
        <row r="570">
          <cell r="I570">
            <v>61.336923076923085</v>
          </cell>
          <cell r="K570">
            <v>51.446923076923085</v>
          </cell>
          <cell r="L570">
            <v>71.226923076923086</v>
          </cell>
          <cell r="Q570">
            <v>11122</v>
          </cell>
        </row>
        <row r="571">
          <cell r="I571">
            <v>60.268148148148128</v>
          </cell>
          <cell r="K571">
            <v>49.419881481481454</v>
          </cell>
          <cell r="L571">
            <v>71.116414814814803</v>
          </cell>
          <cell r="Q571">
            <v>11132</v>
          </cell>
        </row>
        <row r="572">
          <cell r="I572">
            <v>206.22500000000008</v>
          </cell>
          <cell r="K572">
            <v>162.10269230769239</v>
          </cell>
          <cell r="L572">
            <v>250.34730769230777</v>
          </cell>
          <cell r="Q572">
            <v>11134</v>
          </cell>
        </row>
        <row r="573">
          <cell r="I573">
            <v>298.44076923076926</v>
          </cell>
          <cell r="K573">
            <v>135.09325436751121</v>
          </cell>
          <cell r="L573">
            <v>461.78828409402729</v>
          </cell>
          <cell r="Q573">
            <v>11138</v>
          </cell>
        </row>
        <row r="574">
          <cell r="I574">
            <v>46.796666666666674</v>
          </cell>
          <cell r="K574">
            <v>45.745555555555562</v>
          </cell>
          <cell r="L574">
            <v>47.847777777777786</v>
          </cell>
          <cell r="Q574">
            <v>11149</v>
          </cell>
        </row>
        <row r="575">
          <cell r="I575">
            <v>206.3214285714285</v>
          </cell>
          <cell r="K575">
            <v>106.66611607142852</v>
          </cell>
          <cell r="L575">
            <v>305.97674107142848</v>
          </cell>
          <cell r="Q575">
            <v>11159</v>
          </cell>
        </row>
        <row r="576">
          <cell r="I576">
            <v>10.768846153846154</v>
          </cell>
          <cell r="K576">
            <v>9.8907100591715977</v>
          </cell>
          <cell r="L576">
            <v>11.646982248520709</v>
          </cell>
          <cell r="Q576">
            <v>11162</v>
          </cell>
        </row>
        <row r="577">
          <cell r="I577">
            <v>35.231000000000009</v>
          </cell>
          <cell r="K577">
            <v>25.444611111111122</v>
          </cell>
          <cell r="L577">
            <v>45.017388888888895</v>
          </cell>
          <cell r="Q577">
            <v>11165</v>
          </cell>
        </row>
        <row r="578">
          <cell r="I578">
            <v>139.55499999999995</v>
          </cell>
          <cell r="K578">
            <v>127.63692307692304</v>
          </cell>
          <cell r="L578">
            <v>151.47307692307686</v>
          </cell>
          <cell r="Q578">
            <v>11169</v>
          </cell>
        </row>
        <row r="579">
          <cell r="I579">
            <v>127.15591836734691</v>
          </cell>
          <cell r="K579">
            <v>69.610918367346926</v>
          </cell>
          <cell r="L579">
            <v>184.7009183673469</v>
          </cell>
          <cell r="Q579">
            <v>11175</v>
          </cell>
        </row>
        <row r="580">
          <cell r="I580">
            <v>477.67851851851856</v>
          </cell>
          <cell r="K580">
            <v>449.33319615912211</v>
          </cell>
          <cell r="L580">
            <v>506.02384087791501</v>
          </cell>
          <cell r="Q580">
            <v>11178</v>
          </cell>
        </row>
        <row r="581">
          <cell r="I581">
            <v>161.41307692307691</v>
          </cell>
          <cell r="K581">
            <v>141.52585798816565</v>
          </cell>
          <cell r="L581">
            <v>181.30029585798817</v>
          </cell>
          <cell r="Q581">
            <v>11186</v>
          </cell>
        </row>
        <row r="582">
          <cell r="I582">
            <v>176.87533333333332</v>
          </cell>
          <cell r="K582">
            <v>93.728311111111097</v>
          </cell>
          <cell r="L582">
            <v>260.02235555555552</v>
          </cell>
          <cell r="Q582">
            <v>11196</v>
          </cell>
        </row>
        <row r="583">
          <cell r="I583">
            <v>117.71407407407402</v>
          </cell>
          <cell r="K583">
            <v>92.167599451303104</v>
          </cell>
          <cell r="L583">
            <v>143.26054869684492</v>
          </cell>
          <cell r="Q583">
            <v>11197</v>
          </cell>
        </row>
        <row r="584">
          <cell r="I584">
            <v>63.999999999999986</v>
          </cell>
          <cell r="K584">
            <v>52.647555555555542</v>
          </cell>
          <cell r="L584">
            <v>75.35244444444443</v>
          </cell>
          <cell r="Q584">
            <v>11213</v>
          </cell>
        </row>
        <row r="585">
          <cell r="I585">
            <v>73.31538461538463</v>
          </cell>
          <cell r="K585">
            <v>51.430295857988177</v>
          </cell>
          <cell r="L585">
            <v>95.20047337278109</v>
          </cell>
          <cell r="Q585">
            <v>11244</v>
          </cell>
        </row>
        <row r="586">
          <cell r="I586">
            <v>187.17407407407407</v>
          </cell>
          <cell r="K586">
            <v>156.75240054869684</v>
          </cell>
          <cell r="L586">
            <v>217.5957475994513</v>
          </cell>
          <cell r="Q586">
            <v>11269</v>
          </cell>
        </row>
        <row r="587">
          <cell r="I587">
            <v>100.4253846153846</v>
          </cell>
          <cell r="K587">
            <v>81.945621301775148</v>
          </cell>
          <cell r="L587">
            <v>118.90514792899405</v>
          </cell>
          <cell r="Q587">
            <v>11270</v>
          </cell>
        </row>
        <row r="588">
          <cell r="I588">
            <v>51.634</v>
          </cell>
          <cell r="K588">
            <v>26.635666666666665</v>
          </cell>
          <cell r="L588">
            <v>76.632333333333335</v>
          </cell>
          <cell r="Q588">
            <v>11278</v>
          </cell>
        </row>
        <row r="589">
          <cell r="I589">
            <v>76.75230769230771</v>
          </cell>
          <cell r="K589">
            <v>75.416568047337307</v>
          </cell>
          <cell r="L589">
            <v>78.088047337278113</v>
          </cell>
          <cell r="Q589">
            <v>11294</v>
          </cell>
        </row>
        <row r="590">
          <cell r="I590">
            <v>65.404615384615397</v>
          </cell>
          <cell r="K590">
            <v>58.515147928994089</v>
          </cell>
          <cell r="L590">
            <v>72.294082840236698</v>
          </cell>
          <cell r="Q590">
            <v>11295</v>
          </cell>
        </row>
        <row r="591">
          <cell r="I591">
            <v>47.010833333333331</v>
          </cell>
          <cell r="K591">
            <v>32.309722222222227</v>
          </cell>
          <cell r="L591">
            <v>61.711944444444434</v>
          </cell>
          <cell r="Q591">
            <v>11300</v>
          </cell>
        </row>
        <row r="592">
          <cell r="I592">
            <v>43.396153846153851</v>
          </cell>
          <cell r="K592">
            <v>42.391420118343198</v>
          </cell>
          <cell r="L592">
            <v>44.400887573964503</v>
          </cell>
          <cell r="Q592">
            <v>11301</v>
          </cell>
        </row>
        <row r="593">
          <cell r="I593">
            <v>95.864615384615362</v>
          </cell>
          <cell r="K593">
            <v>47.657455621301771</v>
          </cell>
          <cell r="L593">
            <v>144.07177514792895</v>
          </cell>
          <cell r="Q593">
            <v>11307</v>
          </cell>
        </row>
        <row r="594">
          <cell r="I594">
            <v>74.021666666666661</v>
          </cell>
          <cell r="K594">
            <v>71.907222222222217</v>
          </cell>
          <cell r="L594">
            <v>76.136111111111106</v>
          </cell>
          <cell r="Q594">
            <v>11313</v>
          </cell>
        </row>
        <row r="595">
          <cell r="I595">
            <v>97.385769230769242</v>
          </cell>
          <cell r="K595">
            <v>71.474142011834317</v>
          </cell>
          <cell r="L595">
            <v>123.29739644970417</v>
          </cell>
          <cell r="Q595">
            <v>11316</v>
          </cell>
        </row>
        <row r="596">
          <cell r="I596">
            <v>35.231999999999999</v>
          </cell>
          <cell r="K596">
            <v>32.626082840236684</v>
          </cell>
          <cell r="L596">
            <v>37.837917159763315</v>
          </cell>
          <cell r="Q596">
            <v>11338</v>
          </cell>
        </row>
        <row r="597">
          <cell r="I597">
            <v>350.86461538461532</v>
          </cell>
          <cell r="K597">
            <v>341.96431952662715</v>
          </cell>
          <cell r="L597">
            <v>359.76491124260349</v>
          </cell>
          <cell r="Q597">
            <v>11347</v>
          </cell>
        </row>
        <row r="598">
          <cell r="I598">
            <v>146.49319999999997</v>
          </cell>
          <cell r="K598">
            <v>135.0432295857988</v>
          </cell>
          <cell r="L598">
            <v>157.94317041420115</v>
          </cell>
          <cell r="Q598">
            <v>11358</v>
          </cell>
        </row>
        <row r="599">
          <cell r="I599">
            <v>136.23461538461535</v>
          </cell>
          <cell r="K599">
            <v>132.55118343195264</v>
          </cell>
          <cell r="L599">
            <v>139.91804733727807</v>
          </cell>
          <cell r="Q599">
            <v>11362</v>
          </cell>
        </row>
        <row r="600">
          <cell r="I600">
            <v>136.71285714285713</v>
          </cell>
          <cell r="K600">
            <v>120.90020408163264</v>
          </cell>
          <cell r="L600">
            <v>152.52551020408163</v>
          </cell>
          <cell r="Q600">
            <v>11428</v>
          </cell>
        </row>
        <row r="601">
          <cell r="I601">
            <v>95.509615384615387</v>
          </cell>
          <cell r="K601">
            <v>89.139881656804732</v>
          </cell>
          <cell r="L601">
            <v>101.87934911242604</v>
          </cell>
          <cell r="Q601">
            <v>11429</v>
          </cell>
        </row>
        <row r="602">
          <cell r="I602">
            <v>133.73692307692306</v>
          </cell>
          <cell r="K602">
            <v>109.67278106508874</v>
          </cell>
          <cell r="L602">
            <v>157.80106508875738</v>
          </cell>
          <cell r="Q602">
            <v>11442</v>
          </cell>
        </row>
        <row r="603">
          <cell r="I603">
            <v>112.26269230769225</v>
          </cell>
          <cell r="K603">
            <v>110.20621301775141</v>
          </cell>
          <cell r="L603">
            <v>114.31917159763309</v>
          </cell>
          <cell r="Q603">
            <v>11443</v>
          </cell>
        </row>
        <row r="604">
          <cell r="I604">
            <v>189.60038461538463</v>
          </cell>
          <cell r="K604">
            <v>144.26535502958581</v>
          </cell>
          <cell r="L604">
            <v>234.93541420118345</v>
          </cell>
          <cell r="Q604">
            <v>11453</v>
          </cell>
        </row>
        <row r="605">
          <cell r="I605">
            <v>100.24111111111112</v>
          </cell>
          <cell r="K605">
            <v>98.422510288065851</v>
          </cell>
          <cell r="L605">
            <v>102.0597119341564</v>
          </cell>
          <cell r="Q605">
            <v>11455</v>
          </cell>
        </row>
        <row r="606">
          <cell r="I606">
            <v>103.03346153846154</v>
          </cell>
          <cell r="K606">
            <v>92.789437869822493</v>
          </cell>
          <cell r="L606">
            <v>113.27748520710058</v>
          </cell>
          <cell r="Q606">
            <v>11469</v>
          </cell>
        </row>
        <row r="607">
          <cell r="I607">
            <v>119.23428571428572</v>
          </cell>
          <cell r="K607">
            <v>71.852244897959196</v>
          </cell>
          <cell r="L607">
            <v>166.61632653061224</v>
          </cell>
          <cell r="Q607">
            <v>11470</v>
          </cell>
        </row>
        <row r="608">
          <cell r="I608">
            <v>268.68692307692311</v>
          </cell>
          <cell r="K608">
            <v>158.49548274770495</v>
          </cell>
          <cell r="L608">
            <v>378.87836340614126</v>
          </cell>
          <cell r="Q608">
            <v>11483</v>
          </cell>
        </row>
        <row r="609">
          <cell r="I609">
            <v>373.301875</v>
          </cell>
          <cell r="K609">
            <v>228.94395112456746</v>
          </cell>
          <cell r="L609">
            <v>517.65979887543256</v>
          </cell>
          <cell r="Q609">
            <v>11496</v>
          </cell>
        </row>
        <row r="610">
          <cell r="I610">
            <v>54.856538461538449</v>
          </cell>
          <cell r="K610">
            <v>54.100532544378687</v>
          </cell>
          <cell r="L610">
            <v>55.61254437869821</v>
          </cell>
          <cell r="Q610">
            <v>11511</v>
          </cell>
        </row>
        <row r="611">
          <cell r="I611">
            <v>100.17500000000001</v>
          </cell>
          <cell r="K611">
            <v>72.95192307692308</v>
          </cell>
          <cell r="L611">
            <v>127.39807692307694</v>
          </cell>
          <cell r="Q611">
            <v>11512</v>
          </cell>
        </row>
        <row r="612">
          <cell r="I612">
            <v>182.04500000000002</v>
          </cell>
          <cell r="K612">
            <v>147.80230769230769</v>
          </cell>
          <cell r="L612">
            <v>216.28769230769234</v>
          </cell>
          <cell r="Q612">
            <v>11525</v>
          </cell>
        </row>
        <row r="613">
          <cell r="I613">
            <v>115.48076923076921</v>
          </cell>
          <cell r="K613">
            <v>99.264615384615368</v>
          </cell>
          <cell r="L613">
            <v>131.69692307692307</v>
          </cell>
          <cell r="Q613">
            <v>11537</v>
          </cell>
        </row>
        <row r="614">
          <cell r="I614">
            <v>174.06384615384619</v>
          </cell>
          <cell r="K614">
            <v>140.46112426035506</v>
          </cell>
          <cell r="L614">
            <v>207.66656804733731</v>
          </cell>
          <cell r="Q614">
            <v>11540</v>
          </cell>
        </row>
        <row r="615">
          <cell r="I615">
            <v>91.603846153846149</v>
          </cell>
          <cell r="K615">
            <v>89.518757396449701</v>
          </cell>
          <cell r="L615">
            <v>93.688934911242598</v>
          </cell>
          <cell r="Q615">
            <v>11571</v>
          </cell>
        </row>
        <row r="616">
          <cell r="I616">
            <v>49.772692307692289</v>
          </cell>
          <cell r="K616">
            <v>41.160906593406558</v>
          </cell>
          <cell r="L616">
            <v>58.384478021978019</v>
          </cell>
          <cell r="Q616">
            <v>11584</v>
          </cell>
        </row>
        <row r="617">
          <cell r="I617">
            <v>26.312307692307702</v>
          </cell>
          <cell r="K617">
            <v>25.109822485207108</v>
          </cell>
          <cell r="L617">
            <v>27.514792899408295</v>
          </cell>
          <cell r="Q617">
            <v>11589</v>
          </cell>
        </row>
        <row r="618">
          <cell r="I618">
            <v>41.776153846153846</v>
          </cell>
          <cell r="K618">
            <v>6.5395857988165602</v>
          </cell>
          <cell r="L618">
            <v>77.012721893491133</v>
          </cell>
          <cell r="Q618">
            <v>11590</v>
          </cell>
        </row>
        <row r="619">
          <cell r="I619">
            <v>111.98740740740739</v>
          </cell>
          <cell r="K619">
            <v>106.2830452674897</v>
          </cell>
          <cell r="L619">
            <v>117.69176954732508</v>
          </cell>
          <cell r="Q619">
            <v>11603</v>
          </cell>
        </row>
        <row r="620">
          <cell r="I620">
            <v>38.927142857142861</v>
          </cell>
          <cell r="K620">
            <v>35.803061224489802</v>
          </cell>
          <cell r="L620">
            <v>42.051224489795921</v>
          </cell>
          <cell r="Q620">
            <v>11606</v>
          </cell>
        </row>
        <row r="621">
          <cell r="I621">
            <v>99.228275862068941</v>
          </cell>
          <cell r="K621">
            <v>57.46516475095784</v>
          </cell>
          <cell r="L621">
            <v>140.99138697318006</v>
          </cell>
          <cell r="Q621">
            <v>11648</v>
          </cell>
        </row>
        <row r="622">
          <cell r="I622">
            <v>107.02461538461536</v>
          </cell>
          <cell r="K622">
            <v>26.918343195266274</v>
          </cell>
          <cell r="L622">
            <v>187.13088757396446</v>
          </cell>
          <cell r="Q622">
            <v>11664</v>
          </cell>
        </row>
        <row r="623">
          <cell r="I623">
            <v>1306.0296153846155</v>
          </cell>
          <cell r="K623">
            <v>952.68133234611389</v>
          </cell>
          <cell r="L623">
            <v>1659.3778984231171</v>
          </cell>
          <cell r="Q623">
            <v>11665</v>
          </cell>
        </row>
        <row r="624">
          <cell r="I624">
            <v>755.50653846153853</v>
          </cell>
          <cell r="K624">
            <v>666.12029585798825</v>
          </cell>
          <cell r="L624">
            <v>844.8927810650888</v>
          </cell>
          <cell r="Q624">
            <v>11671</v>
          </cell>
        </row>
        <row r="625">
          <cell r="I625">
            <v>202.46384615384616</v>
          </cell>
          <cell r="K625">
            <v>171.33319526627218</v>
          </cell>
          <cell r="L625">
            <v>233.59449704142014</v>
          </cell>
          <cell r="Q625">
            <v>11673</v>
          </cell>
        </row>
        <row r="626">
          <cell r="I626">
            <v>48.498333333333335</v>
          </cell>
          <cell r="K626">
            <v>24.74404761904762</v>
          </cell>
          <cell r="L626">
            <v>72.252619047619049</v>
          </cell>
          <cell r="Q626">
            <v>11700</v>
          </cell>
        </row>
        <row r="627">
          <cell r="I627">
            <v>361.12461538461531</v>
          </cell>
          <cell r="K627">
            <v>232.78890109890105</v>
          </cell>
          <cell r="L627">
            <v>489.46032967032954</v>
          </cell>
          <cell r="Q627">
            <v>11724</v>
          </cell>
        </row>
        <row r="628">
          <cell r="I628">
            <v>390.45653846153857</v>
          </cell>
          <cell r="K628">
            <v>313.31254437869836</v>
          </cell>
          <cell r="L628">
            <v>467.60053254437878</v>
          </cell>
          <cell r="Q628">
            <v>11733</v>
          </cell>
        </row>
        <row r="629">
          <cell r="I629">
            <v>76.931666666666658</v>
          </cell>
          <cell r="K629">
            <v>63.203737672583813</v>
          </cell>
          <cell r="L629">
            <v>90.659595660749503</v>
          </cell>
          <cell r="Q629">
            <v>11738</v>
          </cell>
        </row>
        <row r="630">
          <cell r="I630">
            <v>171.55153846153843</v>
          </cell>
          <cell r="K630">
            <v>163.38869822485208</v>
          </cell>
          <cell r="L630">
            <v>179.71437869822478</v>
          </cell>
          <cell r="Q630">
            <v>11760</v>
          </cell>
        </row>
        <row r="631">
          <cell r="I631">
            <v>16.621818181818185</v>
          </cell>
          <cell r="K631">
            <v>11.262479338842976</v>
          </cell>
          <cell r="L631">
            <v>21.981157024793394</v>
          </cell>
          <cell r="Q631">
            <v>11770</v>
          </cell>
        </row>
        <row r="632">
          <cell r="I632">
            <v>22.495384615384619</v>
          </cell>
          <cell r="K632">
            <v>12.338698224852077</v>
          </cell>
          <cell r="L632">
            <v>32.652071005917165</v>
          </cell>
          <cell r="Q632">
            <v>11775</v>
          </cell>
        </row>
        <row r="633">
          <cell r="I633">
            <v>69.183076923076911</v>
          </cell>
          <cell r="K633">
            <v>36.934437869822474</v>
          </cell>
          <cell r="L633">
            <v>101.43171597633135</v>
          </cell>
          <cell r="Q633">
            <v>11777</v>
          </cell>
        </row>
        <row r="634">
          <cell r="I634">
            <v>22.760000000000005</v>
          </cell>
          <cell r="K634">
            <v>12.236923076923079</v>
          </cell>
          <cell r="L634">
            <v>33.283076923076933</v>
          </cell>
          <cell r="Q634">
            <v>11782</v>
          </cell>
        </row>
        <row r="635">
          <cell r="I635">
            <v>94.228846153846149</v>
          </cell>
          <cell r="K635">
            <v>86.608017751479281</v>
          </cell>
          <cell r="L635">
            <v>101.84967455621302</v>
          </cell>
          <cell r="Q635">
            <v>11792</v>
          </cell>
        </row>
        <row r="636">
          <cell r="I636">
            <v>172.92038461538462</v>
          </cell>
          <cell r="K636">
            <v>151.76137226970562</v>
          </cell>
          <cell r="L636">
            <v>194.07939696106362</v>
          </cell>
          <cell r="Q636">
            <v>11793</v>
          </cell>
        </row>
        <row r="637">
          <cell r="I637">
            <v>72.313076923076906</v>
          </cell>
          <cell r="K637">
            <v>71.209644970414175</v>
          </cell>
          <cell r="L637">
            <v>73.416508875739638</v>
          </cell>
          <cell r="Q637">
            <v>11818</v>
          </cell>
        </row>
        <row r="638">
          <cell r="I638">
            <v>111.89076923076922</v>
          </cell>
          <cell r="K638">
            <v>98.205384615384617</v>
          </cell>
          <cell r="L638">
            <v>125.57615384615383</v>
          </cell>
          <cell r="Q638">
            <v>11824</v>
          </cell>
        </row>
        <row r="639">
          <cell r="I639">
            <v>117.1955555555555</v>
          </cell>
          <cell r="K639">
            <v>100.11412698412693</v>
          </cell>
          <cell r="L639">
            <v>134.27698412698408</v>
          </cell>
          <cell r="Q639">
            <v>11825</v>
          </cell>
        </row>
        <row r="640">
          <cell r="I640">
            <v>71.063749999999985</v>
          </cell>
          <cell r="K640">
            <v>59.405937499999979</v>
          </cell>
          <cell r="L640">
            <v>82.72156249999999</v>
          </cell>
          <cell r="Q640">
            <v>11847</v>
          </cell>
        </row>
        <row r="641">
          <cell r="I641">
            <v>208.15653846153853</v>
          </cell>
          <cell r="K641">
            <v>158.96544378698229</v>
          </cell>
          <cell r="L641">
            <v>257.34763313609477</v>
          </cell>
          <cell r="Q641">
            <v>11863</v>
          </cell>
        </row>
        <row r="642">
          <cell r="I642">
            <v>157.62230769230763</v>
          </cell>
          <cell r="K642">
            <v>131.50301775147926</v>
          </cell>
          <cell r="L642">
            <v>183.741597633136</v>
          </cell>
          <cell r="Q642">
            <v>11864</v>
          </cell>
        </row>
        <row r="643">
          <cell r="I643">
            <v>134.63961538461541</v>
          </cell>
          <cell r="K643">
            <v>93.730739644970441</v>
          </cell>
          <cell r="L643">
            <v>175.54849112426038</v>
          </cell>
          <cell r="Q643">
            <v>11914</v>
          </cell>
        </row>
        <row r="644">
          <cell r="I644">
            <v>154.51769230769233</v>
          </cell>
          <cell r="K644">
            <v>138.30372781065091</v>
          </cell>
          <cell r="L644">
            <v>170.73165680473375</v>
          </cell>
          <cell r="Q644">
            <v>11921</v>
          </cell>
        </row>
        <row r="645">
          <cell r="I645">
            <v>165.67</v>
          </cell>
          <cell r="K645">
            <v>121.78555555555553</v>
          </cell>
          <cell r="L645">
            <v>209.55444444444444</v>
          </cell>
          <cell r="Q645">
            <v>11935</v>
          </cell>
        </row>
        <row r="646">
          <cell r="I646">
            <v>159.25000000000003</v>
          </cell>
          <cell r="K646">
            <v>135.79153846153847</v>
          </cell>
          <cell r="L646">
            <v>182.70846153846159</v>
          </cell>
          <cell r="Q646">
            <v>11941</v>
          </cell>
        </row>
        <row r="647">
          <cell r="I647">
            <v>392.47111111111093</v>
          </cell>
          <cell r="K647">
            <v>312.04732510288045</v>
          </cell>
          <cell r="L647">
            <v>472.89489711934141</v>
          </cell>
          <cell r="Q647">
            <v>11966</v>
          </cell>
        </row>
        <row r="648">
          <cell r="I648">
            <v>142.57999999999998</v>
          </cell>
          <cell r="K648">
            <v>108.82384615384613</v>
          </cell>
          <cell r="L648">
            <v>176.33615384615382</v>
          </cell>
          <cell r="Q648">
            <v>11968</v>
          </cell>
        </row>
        <row r="649">
          <cell r="I649">
            <v>35</v>
          </cell>
          <cell r="K649">
            <v>28.7</v>
          </cell>
          <cell r="L649">
            <v>41.3</v>
          </cell>
          <cell r="Q649">
            <v>11975</v>
          </cell>
        </row>
        <row r="650">
          <cell r="I650">
            <v>185.58000000000004</v>
          </cell>
          <cell r="K650">
            <v>140.4876543209877</v>
          </cell>
          <cell r="L650">
            <v>230.67234567901238</v>
          </cell>
          <cell r="Q650">
            <v>11998</v>
          </cell>
        </row>
        <row r="651">
          <cell r="I651">
            <v>140.2361538461538</v>
          </cell>
          <cell r="K651">
            <v>110.29798816568044</v>
          </cell>
          <cell r="L651">
            <v>170.17431952662716</v>
          </cell>
          <cell r="Q651">
            <v>11999</v>
          </cell>
        </row>
        <row r="652">
          <cell r="I652">
            <v>69.223333333333287</v>
          </cell>
          <cell r="K652">
            <v>28.542571614583302</v>
          </cell>
          <cell r="L652">
            <v>109.90409505208328</v>
          </cell>
          <cell r="Q652">
            <v>12000</v>
          </cell>
        </row>
        <row r="653">
          <cell r="I653">
            <v>63.466666666666669</v>
          </cell>
          <cell r="K653">
            <v>62.588888888888889</v>
          </cell>
          <cell r="L653">
            <v>64.344444444444449</v>
          </cell>
          <cell r="Q653">
            <v>12005</v>
          </cell>
        </row>
        <row r="654">
          <cell r="I654">
            <v>93.188148148148144</v>
          </cell>
          <cell r="K654">
            <v>62.757792592592594</v>
          </cell>
          <cell r="L654">
            <v>123.61850370370369</v>
          </cell>
          <cell r="Q654">
            <v>12011</v>
          </cell>
        </row>
        <row r="655">
          <cell r="I655">
            <v>107.95769230769234</v>
          </cell>
          <cell r="K655">
            <v>96.530473372781074</v>
          </cell>
          <cell r="L655">
            <v>119.38491124260361</v>
          </cell>
          <cell r="Q655">
            <v>12022</v>
          </cell>
        </row>
        <row r="656">
          <cell r="I656">
            <v>89.294444444444437</v>
          </cell>
          <cell r="K656">
            <v>57.204648526077087</v>
          </cell>
          <cell r="L656">
            <v>121.38424036281179</v>
          </cell>
          <cell r="Q656">
            <v>12028</v>
          </cell>
        </row>
        <row r="657">
          <cell r="I657">
            <v>77.979230769230767</v>
          </cell>
          <cell r="K657">
            <v>77.556035502958579</v>
          </cell>
          <cell r="L657">
            <v>78.402426035502955</v>
          </cell>
          <cell r="Q657">
            <v>12030</v>
          </cell>
        </row>
        <row r="658">
          <cell r="I658">
            <v>67.920999999999992</v>
          </cell>
          <cell r="K658">
            <v>28.522065088757387</v>
          </cell>
          <cell r="L658">
            <v>107.3199349112426</v>
          </cell>
          <cell r="Q658">
            <v>12033</v>
          </cell>
        </row>
        <row r="659">
          <cell r="I659">
            <v>97.462666666666664</v>
          </cell>
          <cell r="K659">
            <v>68.930844444444446</v>
          </cell>
          <cell r="L659">
            <v>125.99448888888888</v>
          </cell>
          <cell r="Q659">
            <v>12048</v>
          </cell>
        </row>
        <row r="660">
          <cell r="I660">
            <v>135.065</v>
          </cell>
          <cell r="K660">
            <v>101.92214285714286</v>
          </cell>
          <cell r="L660">
            <v>168.20785714285714</v>
          </cell>
          <cell r="Q660">
            <v>12074</v>
          </cell>
        </row>
        <row r="661">
          <cell r="I661">
            <v>52.55461538461536</v>
          </cell>
          <cell r="K661">
            <v>46.619644970414178</v>
          </cell>
          <cell r="L661">
            <v>58.489585798816542</v>
          </cell>
          <cell r="Q661">
            <v>12079</v>
          </cell>
        </row>
        <row r="662">
          <cell r="I662">
            <v>52.533846153846156</v>
          </cell>
          <cell r="K662">
            <v>48.562248520710064</v>
          </cell>
          <cell r="L662">
            <v>56.505443786982248</v>
          </cell>
          <cell r="Q662">
            <v>12084</v>
          </cell>
        </row>
        <row r="663">
          <cell r="I663">
            <v>82.133571428571443</v>
          </cell>
          <cell r="K663">
            <v>81.002448979591861</v>
          </cell>
          <cell r="L663">
            <v>83.264693877551025</v>
          </cell>
          <cell r="Q663">
            <v>12088</v>
          </cell>
        </row>
        <row r="664">
          <cell r="I664">
            <v>14.329615384615384</v>
          </cell>
          <cell r="K664">
            <v>11.122337278106508</v>
          </cell>
          <cell r="L664">
            <v>17.53689349112426</v>
          </cell>
          <cell r="Q664">
            <v>12091</v>
          </cell>
        </row>
        <row r="665">
          <cell r="I665">
            <v>196.47384615384615</v>
          </cell>
          <cell r="K665">
            <v>192.95763313609467</v>
          </cell>
          <cell r="L665">
            <v>199.99005917159764</v>
          </cell>
          <cell r="Q665">
            <v>12114</v>
          </cell>
        </row>
        <row r="666">
          <cell r="I666">
            <v>72.583076923076931</v>
          </cell>
          <cell r="K666">
            <v>71.503786982248528</v>
          </cell>
          <cell r="L666">
            <v>73.662366863905334</v>
          </cell>
          <cell r="Q666">
            <v>12144</v>
          </cell>
        </row>
        <row r="667">
          <cell r="I667">
            <v>171.09576923076926</v>
          </cell>
          <cell r="K667">
            <v>161.05360946745563</v>
          </cell>
          <cell r="L667">
            <v>181.1379289940829</v>
          </cell>
          <cell r="Q667">
            <v>12149</v>
          </cell>
        </row>
        <row r="668">
          <cell r="I668">
            <v>187.53111111111116</v>
          </cell>
          <cell r="K668">
            <v>162.08369137270452</v>
          </cell>
          <cell r="L668">
            <v>212.9785308495178</v>
          </cell>
          <cell r="Q668">
            <v>12150</v>
          </cell>
        </row>
        <row r="669">
          <cell r="I669">
            <v>56.059230769230759</v>
          </cell>
          <cell r="K669">
            <v>41.83899408284023</v>
          </cell>
          <cell r="L669">
            <v>70.279467455621287</v>
          </cell>
          <cell r="Q669">
            <v>12158</v>
          </cell>
        </row>
        <row r="670">
          <cell r="I670">
            <v>86.734230769230777</v>
          </cell>
          <cell r="K670">
            <v>75.414408284023679</v>
          </cell>
          <cell r="L670">
            <v>98.054053254437875</v>
          </cell>
          <cell r="Q670">
            <v>12160</v>
          </cell>
        </row>
        <row r="671">
          <cell r="I671">
            <v>55.458846153846174</v>
          </cell>
          <cell r="K671">
            <v>45.464733727810653</v>
          </cell>
          <cell r="L671">
            <v>65.452958579881695</v>
          </cell>
          <cell r="Q671">
            <v>12161</v>
          </cell>
        </row>
        <row r="672">
          <cell r="I672">
            <v>53.074230769230752</v>
          </cell>
          <cell r="K672">
            <v>43.751449704142004</v>
          </cell>
          <cell r="L672">
            <v>62.3970118343195</v>
          </cell>
          <cell r="Q672">
            <v>12162</v>
          </cell>
        </row>
        <row r="673">
          <cell r="I673">
            <v>46.044230769230772</v>
          </cell>
          <cell r="K673">
            <v>33.897317188983855</v>
          </cell>
          <cell r="L673">
            <v>58.191144349477689</v>
          </cell>
          <cell r="Q673">
            <v>12173</v>
          </cell>
        </row>
        <row r="674">
          <cell r="I674">
            <v>69.410769230769219</v>
          </cell>
          <cell r="K674">
            <v>53.064267173156068</v>
          </cell>
          <cell r="L674">
            <v>85.75727128838237</v>
          </cell>
          <cell r="Q674">
            <v>12204</v>
          </cell>
        </row>
        <row r="675">
          <cell r="I675">
            <v>82.540769230769229</v>
          </cell>
          <cell r="K675">
            <v>81.605621301775145</v>
          </cell>
          <cell r="L675">
            <v>83.475917159763313</v>
          </cell>
          <cell r="Q675">
            <v>12205</v>
          </cell>
        </row>
        <row r="676">
          <cell r="I676">
            <v>25.324814814814818</v>
          </cell>
          <cell r="K676">
            <v>23.010137174211252</v>
          </cell>
          <cell r="L676">
            <v>27.639492455418385</v>
          </cell>
          <cell r="Q676">
            <v>12222</v>
          </cell>
        </row>
        <row r="677">
          <cell r="I677">
            <v>23.96</v>
          </cell>
          <cell r="K677">
            <v>23.96</v>
          </cell>
          <cell r="L677">
            <v>23.96</v>
          </cell>
          <cell r="Q677">
            <v>12256</v>
          </cell>
        </row>
        <row r="678">
          <cell r="I678">
            <v>72.863076923076932</v>
          </cell>
          <cell r="K678">
            <v>72.091952662721908</v>
          </cell>
          <cell r="L678">
            <v>73.634201183431955</v>
          </cell>
          <cell r="Q678">
            <v>12295</v>
          </cell>
        </row>
        <row r="679">
          <cell r="I679">
            <v>0</v>
          </cell>
          <cell r="K679">
            <v>0</v>
          </cell>
          <cell r="L679">
            <v>0</v>
          </cell>
          <cell r="Q679">
            <v>12298</v>
          </cell>
        </row>
        <row r="680">
          <cell r="I680">
            <v>21.869230769230771</v>
          </cell>
          <cell r="K680">
            <v>21.697396449704147</v>
          </cell>
          <cell r="L680">
            <v>22.041065088757396</v>
          </cell>
          <cell r="Q680">
            <v>12299</v>
          </cell>
        </row>
        <row r="681">
          <cell r="I681">
            <v>1054.1165517241382</v>
          </cell>
          <cell r="K681">
            <v>745.80033944526213</v>
          </cell>
          <cell r="L681">
            <v>1362.4327640030142</v>
          </cell>
          <cell r="Q681">
            <v>12303</v>
          </cell>
        </row>
        <row r="682">
          <cell r="I682">
            <v>260.67153846153849</v>
          </cell>
          <cell r="K682">
            <v>218.97650887573968</v>
          </cell>
          <cell r="L682">
            <v>302.3665680473373</v>
          </cell>
          <cell r="Q682">
            <v>12354</v>
          </cell>
        </row>
        <row r="683">
          <cell r="I683">
            <v>54.124347826086932</v>
          </cell>
          <cell r="K683">
            <v>49.005860113421541</v>
          </cell>
          <cell r="L683">
            <v>59.242835538752324</v>
          </cell>
          <cell r="Q683">
            <v>12358</v>
          </cell>
        </row>
        <row r="684">
          <cell r="I684">
            <v>38.758333333333333</v>
          </cell>
          <cell r="K684">
            <v>38.346111111111114</v>
          </cell>
          <cell r="L684">
            <v>39.170555555555552</v>
          </cell>
          <cell r="Q684">
            <v>12391</v>
          </cell>
        </row>
        <row r="685">
          <cell r="I685">
            <v>57.655999999999985</v>
          </cell>
          <cell r="K685">
            <v>51.072568047337256</v>
          </cell>
          <cell r="L685">
            <v>64.239431952662713</v>
          </cell>
          <cell r="Q685">
            <v>12394</v>
          </cell>
        </row>
        <row r="686">
          <cell r="I686">
            <v>32.120909090909088</v>
          </cell>
          <cell r="K686">
            <v>23.758068854222692</v>
          </cell>
          <cell r="L686">
            <v>40.483749327595483</v>
          </cell>
          <cell r="Q686">
            <v>12414</v>
          </cell>
        </row>
        <row r="687">
          <cell r="I687">
            <v>34.841666666666669</v>
          </cell>
          <cell r="K687">
            <v>33.693888888888893</v>
          </cell>
          <cell r="L687">
            <v>35.989444444444445</v>
          </cell>
          <cell r="Q687">
            <v>12426</v>
          </cell>
        </row>
        <row r="688">
          <cell r="I688">
            <v>377.86596153846165</v>
          </cell>
          <cell r="K688">
            <v>286.53849980830859</v>
          </cell>
          <cell r="L688">
            <v>469.19342326861471</v>
          </cell>
          <cell r="Q688">
            <v>12440</v>
          </cell>
        </row>
        <row r="689">
          <cell r="I689">
            <v>43.808181818181822</v>
          </cell>
          <cell r="K689">
            <v>32.402501344809039</v>
          </cell>
          <cell r="L689">
            <v>55.213862291554605</v>
          </cell>
          <cell r="Q689">
            <v>12455</v>
          </cell>
        </row>
        <row r="690">
          <cell r="I690">
            <v>51.74839999999999</v>
          </cell>
          <cell r="K690">
            <v>33.855371904266377</v>
          </cell>
          <cell r="L690">
            <v>69.641428095733602</v>
          </cell>
          <cell r="Q690">
            <v>12462</v>
          </cell>
        </row>
        <row r="691">
          <cell r="I691">
            <v>43.505925925925943</v>
          </cell>
          <cell r="K691">
            <v>42.728641975308669</v>
          </cell>
          <cell r="L691">
            <v>44.283209876543218</v>
          </cell>
          <cell r="Q691">
            <v>12466</v>
          </cell>
        </row>
        <row r="692">
          <cell r="I692">
            <v>49.612727272727277</v>
          </cell>
          <cell r="K692">
            <v>28.54960227272726</v>
          </cell>
          <cell r="L692">
            <v>70.675852272727298</v>
          </cell>
          <cell r="Q692">
            <v>12468</v>
          </cell>
        </row>
        <row r="693">
          <cell r="I693">
            <v>156.79714285714289</v>
          </cell>
          <cell r="K693">
            <v>155.89591836734698</v>
          </cell>
          <cell r="L693">
            <v>157.6983673469388</v>
          </cell>
          <cell r="Q693">
            <v>12474</v>
          </cell>
        </row>
        <row r="694">
          <cell r="I694">
            <v>889.91346153846155</v>
          </cell>
          <cell r="K694">
            <v>786.46502958579879</v>
          </cell>
          <cell r="L694">
            <v>993.36189349112431</v>
          </cell>
          <cell r="Q694">
            <v>12475</v>
          </cell>
        </row>
        <row r="695">
          <cell r="I695">
            <v>44.684074074074061</v>
          </cell>
          <cell r="K695">
            <v>36.416562962962942</v>
          </cell>
          <cell r="L695">
            <v>52.951585185185181</v>
          </cell>
          <cell r="Q695">
            <v>12477</v>
          </cell>
        </row>
        <row r="696">
          <cell r="I696">
            <v>65.645999999999987</v>
          </cell>
          <cell r="K696">
            <v>32.901555555555547</v>
          </cell>
          <cell r="L696">
            <v>98.390444444444427</v>
          </cell>
          <cell r="Q696">
            <v>12484</v>
          </cell>
        </row>
        <row r="697">
          <cell r="I697">
            <v>97.876538461538473</v>
          </cell>
          <cell r="K697">
            <v>87.078757396449717</v>
          </cell>
          <cell r="L697">
            <v>108.67431952662723</v>
          </cell>
          <cell r="Q697">
            <v>12494</v>
          </cell>
        </row>
        <row r="698">
          <cell r="I698">
            <v>296.71333333333337</v>
          </cell>
          <cell r="K698">
            <v>278.86666666666667</v>
          </cell>
          <cell r="L698">
            <v>314.56000000000006</v>
          </cell>
          <cell r="Q698">
            <v>12513</v>
          </cell>
        </row>
        <row r="699">
          <cell r="I699">
            <v>103.41666666666667</v>
          </cell>
          <cell r="K699">
            <v>52.346707818930057</v>
          </cell>
          <cell r="L699">
            <v>154.48662551440327</v>
          </cell>
          <cell r="Q699">
            <v>12529</v>
          </cell>
        </row>
        <row r="700">
          <cell r="I700">
            <v>92.94076923076922</v>
          </cell>
          <cell r="K700">
            <v>84.432485207100598</v>
          </cell>
          <cell r="L700">
            <v>101.44905325443784</v>
          </cell>
          <cell r="Q700">
            <v>12595</v>
          </cell>
        </row>
        <row r="701">
          <cell r="I701">
            <v>76.767692307692329</v>
          </cell>
          <cell r="K701">
            <v>71.474911242603582</v>
          </cell>
          <cell r="L701">
            <v>82.060473372781075</v>
          </cell>
          <cell r="Q701">
            <v>12608</v>
          </cell>
        </row>
        <row r="702">
          <cell r="I702">
            <v>126.01111111111108</v>
          </cell>
          <cell r="K702">
            <v>84.827489711934135</v>
          </cell>
          <cell r="L702">
            <v>167.19473251028802</v>
          </cell>
          <cell r="Q702">
            <v>12611</v>
          </cell>
        </row>
        <row r="703">
          <cell r="I703">
            <v>61.375384615384583</v>
          </cell>
          <cell r="K703">
            <v>59.25307692307689</v>
          </cell>
          <cell r="L703">
            <v>63.497692307692276</v>
          </cell>
          <cell r="Q703">
            <v>12617</v>
          </cell>
        </row>
        <row r="704">
          <cell r="I704">
            <v>172.72793103448271</v>
          </cell>
          <cell r="K704">
            <v>103.15755325670493</v>
          </cell>
          <cell r="L704">
            <v>242.29830881226047</v>
          </cell>
          <cell r="Q704">
            <v>12618</v>
          </cell>
        </row>
        <row r="705">
          <cell r="I705">
            <v>19.420000000000002</v>
          </cell>
          <cell r="K705">
            <v>14.241333333333333</v>
          </cell>
          <cell r="L705">
            <v>24.59866666666667</v>
          </cell>
          <cell r="Q705">
            <v>12620</v>
          </cell>
        </row>
        <row r="706">
          <cell r="I706">
            <v>65.375000000000028</v>
          </cell>
          <cell r="K706">
            <v>54.322160493827198</v>
          </cell>
          <cell r="L706">
            <v>76.427839506172859</v>
          </cell>
          <cell r="Q706">
            <v>12643</v>
          </cell>
        </row>
        <row r="707">
          <cell r="I707">
            <v>58.380769230769253</v>
          </cell>
          <cell r="K707">
            <v>55.786982248520708</v>
          </cell>
          <cell r="L707">
            <v>60.974556213017799</v>
          </cell>
          <cell r="Q707">
            <v>12645</v>
          </cell>
        </row>
        <row r="708">
          <cell r="I708">
            <v>99.475555555555488</v>
          </cell>
          <cell r="K708">
            <v>77.673497942386817</v>
          </cell>
          <cell r="L708">
            <v>121.27761316872416</v>
          </cell>
          <cell r="Q708">
            <v>12653</v>
          </cell>
        </row>
        <row r="709">
          <cell r="I709">
            <v>116.88307692307694</v>
          </cell>
          <cell r="K709">
            <v>94.80470957613818</v>
          </cell>
          <cell r="L709">
            <v>138.9614442700157</v>
          </cell>
          <cell r="Q709">
            <v>12701</v>
          </cell>
        </row>
        <row r="710">
          <cell r="I710">
            <v>116.75461538461535</v>
          </cell>
          <cell r="K710">
            <v>111.45704142011832</v>
          </cell>
          <cell r="L710">
            <v>122.05218934911238</v>
          </cell>
          <cell r="Q710">
            <v>12724</v>
          </cell>
        </row>
        <row r="711">
          <cell r="I711">
            <v>46.463333333333338</v>
          </cell>
          <cell r="K711">
            <v>23.096666666666675</v>
          </cell>
          <cell r="L711">
            <v>69.83</v>
          </cell>
          <cell r="Q711">
            <v>12735</v>
          </cell>
        </row>
        <row r="712">
          <cell r="I712">
            <v>81.065555555555576</v>
          </cell>
          <cell r="K712">
            <v>59.655514403292202</v>
          </cell>
          <cell r="L712">
            <v>102.47559670781895</v>
          </cell>
          <cell r="Q712">
            <v>12737</v>
          </cell>
        </row>
        <row r="713">
          <cell r="I713">
            <v>36.043703703703713</v>
          </cell>
          <cell r="K713">
            <v>33.462002743484234</v>
          </cell>
          <cell r="L713">
            <v>38.625404663923192</v>
          </cell>
          <cell r="Q713">
            <v>12740</v>
          </cell>
        </row>
        <row r="714">
          <cell r="I714">
            <v>91.569615384615389</v>
          </cell>
          <cell r="K714">
            <v>89.451508875739648</v>
          </cell>
          <cell r="L714">
            <v>93.68772189349113</v>
          </cell>
          <cell r="Q714">
            <v>12741</v>
          </cell>
        </row>
        <row r="715">
          <cell r="I715">
            <v>67.867142857142852</v>
          </cell>
          <cell r="K715">
            <v>64.770408163265301</v>
          </cell>
          <cell r="L715">
            <v>70.963877551020403</v>
          </cell>
          <cell r="Q715">
            <v>12744</v>
          </cell>
        </row>
        <row r="716">
          <cell r="I716">
            <v>78.11</v>
          </cell>
          <cell r="K716">
            <v>37.173333333333339</v>
          </cell>
          <cell r="L716">
            <v>119.04666666666665</v>
          </cell>
          <cell r="Q716">
            <v>12746</v>
          </cell>
        </row>
        <row r="717">
          <cell r="I717">
            <v>95.799615384615379</v>
          </cell>
          <cell r="K717">
            <v>90.146153846153837</v>
          </cell>
          <cell r="L717">
            <v>101.45307692307692</v>
          </cell>
          <cell r="Q717">
            <v>12796</v>
          </cell>
        </row>
        <row r="718">
          <cell r="I718">
            <v>350</v>
          </cell>
          <cell r="K718">
            <v>350</v>
          </cell>
          <cell r="L718">
            <v>350</v>
          </cell>
          <cell r="Q718">
            <v>12809</v>
          </cell>
        </row>
        <row r="719">
          <cell r="I719">
            <v>10.056842105263165</v>
          </cell>
          <cell r="K719">
            <v>1.4698341052631658</v>
          </cell>
          <cell r="L719">
            <v>18.643850105263162</v>
          </cell>
          <cell r="Q719">
            <v>12819</v>
          </cell>
        </row>
        <row r="720">
          <cell r="I720">
            <v>33.93</v>
          </cell>
          <cell r="K720">
            <v>23.072399999999998</v>
          </cell>
          <cell r="L720">
            <v>44.787599999999998</v>
          </cell>
          <cell r="Q720">
            <v>12821</v>
          </cell>
        </row>
        <row r="721">
          <cell r="I721">
            <v>28.8</v>
          </cell>
          <cell r="K721">
            <v>19.584</v>
          </cell>
          <cell r="L721">
            <v>38.016000000000005</v>
          </cell>
          <cell r="Q721">
            <v>12822</v>
          </cell>
        </row>
        <row r="722">
          <cell r="I722">
            <v>27.68</v>
          </cell>
          <cell r="K722">
            <v>18.822399999999998</v>
          </cell>
          <cell r="L722">
            <v>36.537599999999998</v>
          </cell>
          <cell r="Q722">
            <v>12823</v>
          </cell>
        </row>
        <row r="723">
          <cell r="I723">
            <v>24.265000000000001</v>
          </cell>
          <cell r="K723">
            <v>16.5002</v>
          </cell>
          <cell r="L723">
            <v>32.029800000000002</v>
          </cell>
          <cell r="Q723">
            <v>12824</v>
          </cell>
        </row>
        <row r="724">
          <cell r="I724">
            <v>33.26</v>
          </cell>
          <cell r="K724">
            <v>18.477777777777774</v>
          </cell>
          <cell r="L724">
            <v>48.042222222222222</v>
          </cell>
          <cell r="Q724">
            <v>12828</v>
          </cell>
        </row>
        <row r="725">
          <cell r="I725">
            <v>20</v>
          </cell>
          <cell r="K725">
            <v>11.111111111111112</v>
          </cell>
          <cell r="L725">
            <v>28.888888888888886</v>
          </cell>
          <cell r="Q725">
            <v>12829</v>
          </cell>
        </row>
        <row r="726">
          <cell r="I726">
            <v>21.76</v>
          </cell>
          <cell r="K726">
            <v>12.08888888888889</v>
          </cell>
          <cell r="L726">
            <v>31.431111111111115</v>
          </cell>
          <cell r="Q726">
            <v>12830</v>
          </cell>
        </row>
        <row r="727">
          <cell r="I727">
            <v>20</v>
          </cell>
          <cell r="K727">
            <v>11.111111111111112</v>
          </cell>
          <cell r="L727">
            <v>28.888888888888886</v>
          </cell>
          <cell r="Q727">
            <v>12832</v>
          </cell>
        </row>
        <row r="728">
          <cell r="I728">
            <v>20.7</v>
          </cell>
          <cell r="K728">
            <v>11.499999999999998</v>
          </cell>
          <cell r="L728">
            <v>29.9</v>
          </cell>
          <cell r="Q728">
            <v>12833</v>
          </cell>
        </row>
        <row r="729">
          <cell r="I729">
            <v>23.86</v>
          </cell>
          <cell r="K729">
            <v>13.255555555555555</v>
          </cell>
          <cell r="L729">
            <v>34.464444444444446</v>
          </cell>
          <cell r="Q729">
            <v>12834</v>
          </cell>
        </row>
        <row r="730">
          <cell r="I730">
            <v>30.36</v>
          </cell>
          <cell r="K730">
            <v>16.866666666666667</v>
          </cell>
          <cell r="L730">
            <v>43.853333333333332</v>
          </cell>
          <cell r="Q730">
            <v>12835</v>
          </cell>
        </row>
        <row r="731">
          <cell r="I731">
            <v>26.98</v>
          </cell>
          <cell r="K731">
            <v>14.988888888888891</v>
          </cell>
          <cell r="L731">
            <v>38.971111111111114</v>
          </cell>
          <cell r="Q731">
            <v>12836</v>
          </cell>
        </row>
        <row r="732">
          <cell r="I732">
            <v>20</v>
          </cell>
          <cell r="K732">
            <v>20</v>
          </cell>
          <cell r="L732">
            <v>20</v>
          </cell>
          <cell r="Q732">
            <v>12837</v>
          </cell>
        </row>
        <row r="733">
          <cell r="I733">
            <v>20.153076923076924</v>
          </cell>
          <cell r="K733">
            <v>16.224913657770799</v>
          </cell>
          <cell r="L733">
            <v>24.081240188383049</v>
          </cell>
          <cell r="Q733">
            <v>12838</v>
          </cell>
        </row>
        <row r="734">
          <cell r="I734">
            <v>28.44208333333334</v>
          </cell>
          <cell r="K734">
            <v>24.644097222222221</v>
          </cell>
          <cell r="L734">
            <v>32.240069444444458</v>
          </cell>
          <cell r="Q734">
            <v>12839</v>
          </cell>
        </row>
        <row r="735">
          <cell r="I735">
            <v>28.792083333333338</v>
          </cell>
          <cell r="K735">
            <v>24.352430555555557</v>
          </cell>
          <cell r="L735">
            <v>33.231736111111118</v>
          </cell>
          <cell r="Q735">
            <v>12840</v>
          </cell>
        </row>
        <row r="736">
          <cell r="I736">
            <v>22.318333333333342</v>
          </cell>
          <cell r="K736">
            <v>19.083055555555557</v>
          </cell>
          <cell r="L736">
            <v>25.553611111111127</v>
          </cell>
          <cell r="Q736">
            <v>12841</v>
          </cell>
        </row>
        <row r="737">
          <cell r="I737">
            <v>26.69</v>
          </cell>
          <cell r="K737">
            <v>14.827777777777778</v>
          </cell>
          <cell r="L737">
            <v>38.552222222222227</v>
          </cell>
          <cell r="Q737">
            <v>12844</v>
          </cell>
        </row>
        <row r="738">
          <cell r="I738">
            <v>20.059999999999999</v>
          </cell>
          <cell r="K738">
            <v>11.144444444444444</v>
          </cell>
          <cell r="L738">
            <v>28.975555555555552</v>
          </cell>
          <cell r="Q738">
            <v>12846</v>
          </cell>
        </row>
        <row r="739">
          <cell r="I739">
            <v>34.43</v>
          </cell>
          <cell r="K739">
            <v>19.12777777777778</v>
          </cell>
          <cell r="L739">
            <v>49.732222222222219</v>
          </cell>
          <cell r="Q739">
            <v>12847</v>
          </cell>
        </row>
        <row r="740">
          <cell r="I740">
            <v>10.430833333333327</v>
          </cell>
          <cell r="K740">
            <v>1.9353472222222212</v>
          </cell>
          <cell r="L740">
            <v>18.926319444444431</v>
          </cell>
          <cell r="Q740">
            <v>12848</v>
          </cell>
        </row>
        <row r="741">
          <cell r="I741">
            <v>32.61</v>
          </cell>
          <cell r="K741">
            <v>18.116666666666667</v>
          </cell>
          <cell r="L741">
            <v>47.103333333333332</v>
          </cell>
          <cell r="Q741">
            <v>12852</v>
          </cell>
        </row>
        <row r="742">
          <cell r="I742">
            <v>22.259999999999998</v>
          </cell>
          <cell r="K742">
            <v>14.917291666666667</v>
          </cell>
          <cell r="L742">
            <v>29.602708333333329</v>
          </cell>
          <cell r="Q742">
            <v>12853</v>
          </cell>
        </row>
        <row r="743">
          <cell r="I743">
            <v>20</v>
          </cell>
          <cell r="K743">
            <v>11.111111111111112</v>
          </cell>
          <cell r="L743">
            <v>28.888888888888886</v>
          </cell>
          <cell r="Q743">
            <v>12854</v>
          </cell>
        </row>
        <row r="744">
          <cell r="I744">
            <v>24.87</v>
          </cell>
          <cell r="K744">
            <v>13.816666666666668</v>
          </cell>
          <cell r="L744">
            <v>35.923333333333332</v>
          </cell>
          <cell r="Q744">
            <v>12855</v>
          </cell>
        </row>
        <row r="745">
          <cell r="I745">
            <v>40.719166666666673</v>
          </cell>
          <cell r="K745">
            <v>35.760694444444447</v>
          </cell>
          <cell r="L745">
            <v>45.6776388888889</v>
          </cell>
          <cell r="Q745">
            <v>12856</v>
          </cell>
        </row>
        <row r="746">
          <cell r="I746">
            <v>6.3358333333333334</v>
          </cell>
          <cell r="K746">
            <v>0.3140972222222258</v>
          </cell>
          <cell r="L746">
            <v>12.35756944444444</v>
          </cell>
          <cell r="Q746">
            <v>12861</v>
          </cell>
        </row>
        <row r="747">
          <cell r="I747">
            <v>38.380000000000003</v>
          </cell>
          <cell r="K747">
            <v>21.322222222222226</v>
          </cell>
          <cell r="L747">
            <v>55.437777777777782</v>
          </cell>
          <cell r="Q747">
            <v>12864</v>
          </cell>
        </row>
        <row r="748">
          <cell r="I748">
            <v>29.69</v>
          </cell>
          <cell r="K748">
            <v>16.494444444444444</v>
          </cell>
          <cell r="L748">
            <v>42.885555555555555</v>
          </cell>
          <cell r="Q748">
            <v>12865</v>
          </cell>
        </row>
        <row r="749">
          <cell r="I749">
            <v>35.86</v>
          </cell>
          <cell r="K749">
            <v>35.86</v>
          </cell>
          <cell r="L749">
            <v>35.86</v>
          </cell>
          <cell r="Q749">
            <v>12866</v>
          </cell>
        </row>
        <row r="750">
          <cell r="I750">
            <v>34.6</v>
          </cell>
          <cell r="K750">
            <v>19.222222222222221</v>
          </cell>
          <cell r="L750">
            <v>49.977777777777781</v>
          </cell>
          <cell r="Q750">
            <v>12867</v>
          </cell>
        </row>
        <row r="751">
          <cell r="I751">
            <v>38.15</v>
          </cell>
          <cell r="K751">
            <v>21.194444444444446</v>
          </cell>
          <cell r="L751">
            <v>55.105555555555554</v>
          </cell>
          <cell r="Q751">
            <v>12868</v>
          </cell>
        </row>
        <row r="752">
          <cell r="I752">
            <v>78.81</v>
          </cell>
          <cell r="K752">
            <v>58.983846153846159</v>
          </cell>
          <cell r="L752">
            <v>98.636153846153846</v>
          </cell>
          <cell r="Q752">
            <v>12882</v>
          </cell>
        </row>
        <row r="753">
          <cell r="I753">
            <v>85.692692307692298</v>
          </cell>
          <cell r="K753">
            <v>78.152337278106515</v>
          </cell>
          <cell r="L753">
            <v>93.23304733727808</v>
          </cell>
          <cell r="Q753">
            <v>12884</v>
          </cell>
        </row>
        <row r="754">
          <cell r="I754">
            <v>35.329230769230769</v>
          </cell>
          <cell r="K754">
            <v>34.142011834319526</v>
          </cell>
          <cell r="L754">
            <v>36.516449704142012</v>
          </cell>
          <cell r="Q754">
            <v>12889</v>
          </cell>
        </row>
        <row r="755">
          <cell r="I755">
            <v>804.09766666666667</v>
          </cell>
          <cell r="K755">
            <v>624.73337777777772</v>
          </cell>
          <cell r="L755">
            <v>983.46195555555562</v>
          </cell>
          <cell r="Q755">
            <v>12896</v>
          </cell>
        </row>
        <row r="756">
          <cell r="I756">
            <v>160.52363636363634</v>
          </cell>
          <cell r="K756">
            <v>87.392247474747435</v>
          </cell>
          <cell r="L756">
            <v>233.65502525252526</v>
          </cell>
          <cell r="Q756">
            <v>12897</v>
          </cell>
        </row>
        <row r="757">
          <cell r="I757">
            <v>193.92269230769219</v>
          </cell>
          <cell r="K757">
            <v>192.1055325443786</v>
          </cell>
          <cell r="L757">
            <v>195.73985207100577</v>
          </cell>
          <cell r="Q757">
            <v>12904</v>
          </cell>
        </row>
        <row r="758">
          <cell r="I758">
            <v>61.232692307692318</v>
          </cell>
          <cell r="K758">
            <v>59.591124260355038</v>
          </cell>
          <cell r="L758">
            <v>62.874260355029598</v>
          </cell>
          <cell r="Q758">
            <v>12906</v>
          </cell>
        </row>
        <row r="759">
          <cell r="I759">
            <v>192.65346153846153</v>
          </cell>
          <cell r="K759">
            <v>177.96970296507331</v>
          </cell>
          <cell r="L759">
            <v>207.33722011184975</v>
          </cell>
          <cell r="Q759">
            <v>12909</v>
          </cell>
        </row>
        <row r="760">
          <cell r="I760">
            <v>64.948846153846176</v>
          </cell>
          <cell r="K760">
            <v>63.971094674556248</v>
          </cell>
          <cell r="L760">
            <v>65.926597633136112</v>
          </cell>
          <cell r="Q760">
            <v>12911</v>
          </cell>
        </row>
        <row r="761">
          <cell r="I761">
            <v>19.639230769230767</v>
          </cell>
          <cell r="K761">
            <v>13.717218934911241</v>
          </cell>
          <cell r="L761">
            <v>25.561242603550294</v>
          </cell>
          <cell r="Q761">
            <v>12915</v>
          </cell>
        </row>
        <row r="762">
          <cell r="I762">
            <v>0</v>
          </cell>
          <cell r="K762">
            <v>0</v>
          </cell>
          <cell r="L762">
            <v>0</v>
          </cell>
          <cell r="Q762">
            <v>12916</v>
          </cell>
        </row>
        <row r="763">
          <cell r="I763">
            <v>33.115714285714283</v>
          </cell>
          <cell r="K763">
            <v>32.569591836734688</v>
          </cell>
          <cell r="L763">
            <v>33.661836734693878</v>
          </cell>
          <cell r="Q763">
            <v>12919</v>
          </cell>
        </row>
        <row r="764">
          <cell r="I764">
            <v>37.615714285714283</v>
          </cell>
          <cell r="K764">
            <v>37.069591836734688</v>
          </cell>
          <cell r="L764">
            <v>38.161836734693878</v>
          </cell>
          <cell r="Q764">
            <v>12920</v>
          </cell>
        </row>
        <row r="765">
          <cell r="I765">
            <v>33.115714285714283</v>
          </cell>
          <cell r="K765">
            <v>32.569591836734688</v>
          </cell>
          <cell r="L765">
            <v>33.661836734693878</v>
          </cell>
          <cell r="Q765">
            <v>12922</v>
          </cell>
        </row>
        <row r="766">
          <cell r="I766">
            <v>33.115714285714283</v>
          </cell>
          <cell r="K766">
            <v>32.569591836734688</v>
          </cell>
          <cell r="L766">
            <v>33.661836734693878</v>
          </cell>
          <cell r="Q766">
            <v>12923</v>
          </cell>
        </row>
        <row r="767">
          <cell r="I767">
            <v>60</v>
          </cell>
          <cell r="K767">
            <v>60</v>
          </cell>
          <cell r="L767">
            <v>60</v>
          </cell>
          <cell r="Q767">
            <v>12931</v>
          </cell>
        </row>
        <row r="768">
          <cell r="I768">
            <v>40.58</v>
          </cell>
          <cell r="K768">
            <v>39.682857142857138</v>
          </cell>
          <cell r="L768">
            <v>41.477142857142859</v>
          </cell>
          <cell r="Q768">
            <v>12933</v>
          </cell>
        </row>
        <row r="769">
          <cell r="I769">
            <v>26.46</v>
          </cell>
          <cell r="K769">
            <v>14.700000000000001</v>
          </cell>
          <cell r="L769">
            <v>38.22</v>
          </cell>
          <cell r="Q769">
            <v>12936</v>
          </cell>
        </row>
        <row r="770">
          <cell r="I770">
            <v>52.695384615384619</v>
          </cell>
          <cell r="K770">
            <v>43.120118343195259</v>
          </cell>
          <cell r="L770">
            <v>62.270650887573979</v>
          </cell>
          <cell r="Q770">
            <v>12985</v>
          </cell>
        </row>
        <row r="771">
          <cell r="I771">
            <v>17.88</v>
          </cell>
          <cell r="K771">
            <v>17.88</v>
          </cell>
          <cell r="L771">
            <v>17.88</v>
          </cell>
          <cell r="Q771">
            <v>12992</v>
          </cell>
        </row>
        <row r="772">
          <cell r="I772">
            <v>220.88</v>
          </cell>
          <cell r="K772">
            <v>192.87</v>
          </cell>
          <cell r="L772">
            <v>248.89</v>
          </cell>
          <cell r="Q772">
            <v>13000</v>
          </cell>
        </row>
        <row r="773">
          <cell r="I773">
            <v>93.979999999999976</v>
          </cell>
          <cell r="K773">
            <v>34.494999999999983</v>
          </cell>
          <cell r="L773">
            <v>153.46499999999997</v>
          </cell>
          <cell r="Q773">
            <v>13001</v>
          </cell>
        </row>
        <row r="774">
          <cell r="I774">
            <v>182.17333333333332</v>
          </cell>
          <cell r="K774">
            <v>133.80888888888887</v>
          </cell>
          <cell r="L774">
            <v>230.53777777777776</v>
          </cell>
          <cell r="Q774">
            <v>13002</v>
          </cell>
        </row>
        <row r="775">
          <cell r="I775">
            <v>61.2</v>
          </cell>
          <cell r="K775">
            <v>61.2</v>
          </cell>
          <cell r="L775">
            <v>61.2</v>
          </cell>
          <cell r="Q775">
            <v>13016</v>
          </cell>
        </row>
        <row r="776">
          <cell r="I776">
            <v>700.68499999999995</v>
          </cell>
          <cell r="K776">
            <v>408.49262688614544</v>
          </cell>
          <cell r="L776">
            <v>992.87737311385445</v>
          </cell>
          <cell r="Q776">
            <v>13030</v>
          </cell>
        </row>
        <row r="777">
          <cell r="I777">
            <v>0</v>
          </cell>
          <cell r="K777">
            <v>0</v>
          </cell>
          <cell r="L777">
            <v>0</v>
          </cell>
          <cell r="Q777">
            <v>13031</v>
          </cell>
        </row>
        <row r="778">
          <cell r="I778">
            <v>29.72</v>
          </cell>
          <cell r="K778">
            <v>14.86</v>
          </cell>
          <cell r="L778">
            <v>44.58</v>
          </cell>
          <cell r="Q778">
            <v>13032</v>
          </cell>
        </row>
        <row r="779">
          <cell r="I779">
            <v>59.915000000000006</v>
          </cell>
          <cell r="K779">
            <v>49.52000000000001</v>
          </cell>
          <cell r="L779">
            <v>70.31</v>
          </cell>
          <cell r="Q779">
            <v>13033</v>
          </cell>
        </row>
        <row r="780">
          <cell r="I780">
            <v>41.84</v>
          </cell>
          <cell r="K780">
            <v>23.244444444444447</v>
          </cell>
          <cell r="L780">
            <v>60.43555555555556</v>
          </cell>
          <cell r="Q780">
            <v>13040</v>
          </cell>
        </row>
        <row r="781">
          <cell r="I781">
            <v>0</v>
          </cell>
          <cell r="K781">
            <v>0</v>
          </cell>
          <cell r="L781">
            <v>0</v>
          </cell>
          <cell r="Q781">
            <v>13041</v>
          </cell>
        </row>
        <row r="782">
          <cell r="I782">
            <v>89.766666666666666</v>
          </cell>
          <cell r="K782">
            <v>54.844444444444441</v>
          </cell>
          <cell r="L782">
            <v>124.6888888888889</v>
          </cell>
          <cell r="Q782">
            <v>13042</v>
          </cell>
        </row>
        <row r="783">
          <cell r="I783">
            <v>48.44</v>
          </cell>
          <cell r="K783">
            <v>48.44</v>
          </cell>
          <cell r="L783">
            <v>48.44</v>
          </cell>
          <cell r="Q783">
            <v>13043</v>
          </cell>
        </row>
        <row r="784">
          <cell r="I784">
            <v>0</v>
          </cell>
          <cell r="K784">
            <v>0</v>
          </cell>
          <cell r="L784">
            <v>0</v>
          </cell>
          <cell r="Q784">
            <v>13044</v>
          </cell>
        </row>
        <row r="785">
          <cell r="I785">
            <v>0</v>
          </cell>
          <cell r="K785">
            <v>0</v>
          </cell>
          <cell r="L785">
            <v>0</v>
          </cell>
          <cell r="Q785">
            <v>13048</v>
          </cell>
        </row>
        <row r="786">
          <cell r="I786">
            <v>0</v>
          </cell>
          <cell r="K786">
            <v>0</v>
          </cell>
          <cell r="L786">
            <v>0</v>
          </cell>
          <cell r="Q786">
            <v>13051</v>
          </cell>
        </row>
        <row r="787">
          <cell r="I787">
            <v>68.011666666666656</v>
          </cell>
          <cell r="K787">
            <v>28.916666666666657</v>
          </cell>
          <cell r="L787">
            <v>107.10666666666665</v>
          </cell>
          <cell r="Q787">
            <v>13058</v>
          </cell>
        </row>
        <row r="788">
          <cell r="I788">
            <v>70.416666666666671</v>
          </cell>
          <cell r="K788">
            <v>51.467777777777783</v>
          </cell>
          <cell r="L788">
            <v>89.365555555555559</v>
          </cell>
          <cell r="Q788">
            <v>13059</v>
          </cell>
        </row>
        <row r="789">
          <cell r="I789">
            <v>114.63666666666666</v>
          </cell>
          <cell r="K789">
            <v>31.447777777777773</v>
          </cell>
          <cell r="L789">
            <v>197.82555555555552</v>
          </cell>
          <cell r="Q789">
            <v>13060</v>
          </cell>
        </row>
        <row r="790">
          <cell r="I790">
            <v>0</v>
          </cell>
          <cell r="K790">
            <v>0</v>
          </cell>
          <cell r="L790">
            <v>0</v>
          </cell>
          <cell r="Q790">
            <v>13064</v>
          </cell>
        </row>
        <row r="791">
          <cell r="I791">
            <v>73</v>
          </cell>
          <cell r="K791">
            <v>73</v>
          </cell>
          <cell r="L791">
            <v>73</v>
          </cell>
          <cell r="Q791">
            <v>13065</v>
          </cell>
        </row>
        <row r="792">
          <cell r="I792">
            <v>214.87</v>
          </cell>
          <cell r="K792">
            <v>214.87</v>
          </cell>
          <cell r="L792">
            <v>214.87</v>
          </cell>
          <cell r="Q792">
            <v>13066</v>
          </cell>
        </row>
        <row r="793">
          <cell r="I793">
            <v>180.6</v>
          </cell>
          <cell r="K793">
            <v>180.6</v>
          </cell>
          <cell r="L793">
            <v>180.6</v>
          </cell>
          <cell r="Q793">
            <v>13071</v>
          </cell>
        </row>
        <row r="794">
          <cell r="I794">
            <v>0</v>
          </cell>
          <cell r="K794">
            <v>0</v>
          </cell>
          <cell r="L794">
            <v>0</v>
          </cell>
          <cell r="Q794">
            <v>13072</v>
          </cell>
        </row>
        <row r="795">
          <cell r="I795">
            <v>95.04</v>
          </cell>
          <cell r="K795">
            <v>47.52</v>
          </cell>
          <cell r="L795">
            <v>142.56</v>
          </cell>
          <cell r="Q795">
            <v>13073</v>
          </cell>
        </row>
        <row r="796">
          <cell r="I796">
            <v>184.53</v>
          </cell>
          <cell r="K796">
            <v>184.53</v>
          </cell>
          <cell r="L796">
            <v>184.53</v>
          </cell>
          <cell r="Q796">
            <v>13076</v>
          </cell>
        </row>
        <row r="797">
          <cell r="I797">
            <v>115.5</v>
          </cell>
          <cell r="K797">
            <v>106.95710059171599</v>
          </cell>
          <cell r="L797">
            <v>124.04289940828401</v>
          </cell>
          <cell r="Q797">
            <v>13085</v>
          </cell>
        </row>
        <row r="798">
          <cell r="I798">
            <v>380.94</v>
          </cell>
          <cell r="K798">
            <v>120.46000000000004</v>
          </cell>
          <cell r="L798">
            <v>641.41999999999996</v>
          </cell>
          <cell r="Q798">
            <v>13086</v>
          </cell>
        </row>
        <row r="799">
          <cell r="I799">
            <v>83.31</v>
          </cell>
          <cell r="K799">
            <v>83.31</v>
          </cell>
          <cell r="L799">
            <v>83.31</v>
          </cell>
          <cell r="Q799">
            <v>13095</v>
          </cell>
        </row>
        <row r="800">
          <cell r="I800">
            <v>4.4000000000000004</v>
          </cell>
          <cell r="K800">
            <v>4.4000000000000004</v>
          </cell>
          <cell r="L800">
            <v>4.4000000000000004</v>
          </cell>
          <cell r="Q800">
            <v>13101</v>
          </cell>
        </row>
        <row r="801">
          <cell r="I801">
            <v>173.4</v>
          </cell>
          <cell r="K801">
            <v>173.4</v>
          </cell>
          <cell r="L801">
            <v>173.4</v>
          </cell>
          <cell r="Q801">
            <v>13102</v>
          </cell>
        </row>
        <row r="802">
          <cell r="I802">
            <v>65.79249999999999</v>
          </cell>
          <cell r="K802">
            <v>32.464999999999989</v>
          </cell>
          <cell r="L802">
            <v>99.11999999999999</v>
          </cell>
          <cell r="Q802">
            <v>13113</v>
          </cell>
        </row>
        <row r="803">
          <cell r="I803">
            <v>179.80500000000001</v>
          </cell>
          <cell r="K803">
            <v>143.62</v>
          </cell>
          <cell r="L803">
            <v>215.99</v>
          </cell>
          <cell r="Q803">
            <v>13117</v>
          </cell>
        </row>
        <row r="804">
          <cell r="I804">
            <v>39.344999999999999</v>
          </cell>
          <cell r="K804">
            <v>13.620000000000001</v>
          </cell>
          <cell r="L804">
            <v>65.069999999999993</v>
          </cell>
          <cell r="Q804">
            <v>13118</v>
          </cell>
        </row>
        <row r="805">
          <cell r="I805">
            <v>67.460000000000008</v>
          </cell>
          <cell r="K805">
            <v>45.530000000000008</v>
          </cell>
          <cell r="L805">
            <v>89.390000000000015</v>
          </cell>
          <cell r="Q805">
            <v>13120</v>
          </cell>
        </row>
        <row r="806">
          <cell r="I806">
            <v>0</v>
          </cell>
          <cell r="K806">
            <v>0</v>
          </cell>
          <cell r="L806">
            <v>0</v>
          </cell>
          <cell r="Q806">
            <v>13121</v>
          </cell>
        </row>
        <row r="807">
          <cell r="I807">
            <v>29.37</v>
          </cell>
          <cell r="K807">
            <v>3.4700000000000024</v>
          </cell>
          <cell r="L807">
            <v>55.269999999999996</v>
          </cell>
          <cell r="Q807">
            <v>13124</v>
          </cell>
        </row>
        <row r="808">
          <cell r="I808">
            <v>583.67499999999995</v>
          </cell>
          <cell r="K808">
            <v>534.32999999999993</v>
          </cell>
          <cell r="L808">
            <v>633.02</v>
          </cell>
          <cell r="Q808">
            <v>13126</v>
          </cell>
        </row>
        <row r="809">
          <cell r="I809">
            <v>322.26</v>
          </cell>
          <cell r="K809">
            <v>322.26</v>
          </cell>
          <cell r="L809">
            <v>322.26</v>
          </cell>
          <cell r="Q809">
            <v>13134</v>
          </cell>
        </row>
        <row r="810">
          <cell r="I810">
            <v>0</v>
          </cell>
          <cell r="K810">
            <v>0</v>
          </cell>
          <cell r="L810">
            <v>0</v>
          </cell>
          <cell r="Q810">
            <v>13135</v>
          </cell>
        </row>
        <row r="811">
          <cell r="I811">
            <v>0</v>
          </cell>
          <cell r="K811">
            <v>0</v>
          </cell>
          <cell r="L811">
            <v>0</v>
          </cell>
          <cell r="Q811">
            <v>13136</v>
          </cell>
        </row>
        <row r="812">
          <cell r="I812">
            <v>237.67133333333328</v>
          </cell>
          <cell r="K812">
            <v>201.24319999999992</v>
          </cell>
          <cell r="L812">
            <v>274.09946666666661</v>
          </cell>
          <cell r="Q812">
            <v>13178</v>
          </cell>
        </row>
        <row r="813">
          <cell r="I813">
            <v>41.96</v>
          </cell>
          <cell r="K813">
            <v>24.833469387755102</v>
          </cell>
          <cell r="L813">
            <v>59.0865306122449</v>
          </cell>
          <cell r="Q813">
            <v>13185</v>
          </cell>
        </row>
        <row r="814">
          <cell r="I814">
            <v>58.54846153846151</v>
          </cell>
          <cell r="K814">
            <v>58.229408284023627</v>
          </cell>
          <cell r="L814">
            <v>58.867514792899392</v>
          </cell>
          <cell r="Q814">
            <v>13198</v>
          </cell>
        </row>
        <row r="815">
          <cell r="I815">
            <v>48.195769230769208</v>
          </cell>
          <cell r="K815">
            <v>47.852544378698198</v>
          </cell>
          <cell r="L815">
            <v>48.538994082840219</v>
          </cell>
          <cell r="Q815">
            <v>13200</v>
          </cell>
        </row>
        <row r="816">
          <cell r="I816">
            <v>42.478461538461517</v>
          </cell>
          <cell r="K816">
            <v>42.159408284023641</v>
          </cell>
          <cell r="L816">
            <v>42.797514792899392</v>
          </cell>
          <cell r="Q816">
            <v>13201</v>
          </cell>
        </row>
        <row r="817">
          <cell r="I817">
            <v>47.178461538461534</v>
          </cell>
          <cell r="K817">
            <v>46.859408284023658</v>
          </cell>
          <cell r="L817">
            <v>47.497514792899409</v>
          </cell>
          <cell r="Q817">
            <v>13204</v>
          </cell>
        </row>
        <row r="818">
          <cell r="I818">
            <v>43.358461538461555</v>
          </cell>
          <cell r="K818">
            <v>43.039408284023693</v>
          </cell>
          <cell r="L818">
            <v>43.677514792899416</v>
          </cell>
          <cell r="Q818">
            <v>13210</v>
          </cell>
        </row>
        <row r="819">
          <cell r="I819">
            <v>46.558461538461543</v>
          </cell>
          <cell r="K819">
            <v>43.237419014456066</v>
          </cell>
          <cell r="L819">
            <v>49.879504062467021</v>
          </cell>
          <cell r="Q819">
            <v>13211</v>
          </cell>
        </row>
        <row r="820">
          <cell r="I820">
            <v>59.745769230769206</v>
          </cell>
          <cell r="K820">
            <v>59.402544378698188</v>
          </cell>
          <cell r="L820">
            <v>60.088994082840223</v>
          </cell>
          <cell r="Q820">
            <v>13212</v>
          </cell>
        </row>
        <row r="821">
          <cell r="I821">
            <v>50.309259259259271</v>
          </cell>
          <cell r="K821">
            <v>49.976419753086439</v>
          </cell>
          <cell r="L821">
            <v>50.642098765432102</v>
          </cell>
          <cell r="Q821">
            <v>13214</v>
          </cell>
        </row>
        <row r="822">
          <cell r="I822">
            <v>55.469999999999978</v>
          </cell>
          <cell r="K822">
            <v>54.336923076923036</v>
          </cell>
          <cell r="L822">
            <v>56.60307692307692</v>
          </cell>
          <cell r="Q822">
            <v>13215</v>
          </cell>
        </row>
        <row r="823">
          <cell r="I823">
            <v>68.225769230769231</v>
          </cell>
          <cell r="K823">
            <v>67.926508875739643</v>
          </cell>
          <cell r="L823">
            <v>68.525029585798819</v>
          </cell>
          <cell r="Q823">
            <v>13216</v>
          </cell>
        </row>
        <row r="824">
          <cell r="I824">
            <v>46.805769230769229</v>
          </cell>
          <cell r="K824">
            <v>46.462544378698226</v>
          </cell>
          <cell r="L824">
            <v>47.148994082840233</v>
          </cell>
          <cell r="Q824">
            <v>13217</v>
          </cell>
        </row>
        <row r="825">
          <cell r="I825">
            <v>93.003846153846169</v>
          </cell>
          <cell r="K825">
            <v>92.607041420118364</v>
          </cell>
          <cell r="L825">
            <v>93.400650887573974</v>
          </cell>
          <cell r="Q825">
            <v>13219</v>
          </cell>
        </row>
        <row r="826">
          <cell r="I826">
            <v>46.599259259259284</v>
          </cell>
          <cell r="K826">
            <v>46.266419753086453</v>
          </cell>
          <cell r="L826">
            <v>46.932098765432116</v>
          </cell>
          <cell r="Q826">
            <v>13221</v>
          </cell>
        </row>
        <row r="827">
          <cell r="I827">
            <v>46.335769230769259</v>
          </cell>
          <cell r="K827">
            <v>43.030611480426344</v>
          </cell>
          <cell r="L827">
            <v>49.640926981112173</v>
          </cell>
          <cell r="Q827">
            <v>13224</v>
          </cell>
        </row>
        <row r="828">
          <cell r="I828">
            <v>59.585769230769273</v>
          </cell>
          <cell r="K828">
            <v>59.242544378698284</v>
          </cell>
          <cell r="L828">
            <v>59.928994082840262</v>
          </cell>
          <cell r="Q828">
            <v>13226</v>
          </cell>
        </row>
        <row r="829">
          <cell r="I829">
            <v>76.375769230769251</v>
          </cell>
          <cell r="K829">
            <v>76.03375739644973</v>
          </cell>
          <cell r="L829">
            <v>76.717781065088772</v>
          </cell>
          <cell r="Q829">
            <v>13229</v>
          </cell>
        </row>
        <row r="830">
          <cell r="I830">
            <v>48.847692307692313</v>
          </cell>
          <cell r="K830">
            <v>47.267573964497046</v>
          </cell>
          <cell r="L830">
            <v>50.427810650887579</v>
          </cell>
          <cell r="Q830">
            <v>13231</v>
          </cell>
        </row>
        <row r="831">
          <cell r="I831">
            <v>52.335384615384626</v>
          </cell>
          <cell r="K831">
            <v>48.76325443786984</v>
          </cell>
          <cell r="L831">
            <v>55.907514792899413</v>
          </cell>
          <cell r="Q831">
            <v>13257</v>
          </cell>
        </row>
        <row r="832">
          <cell r="I832">
            <v>104.91571428571424</v>
          </cell>
          <cell r="K832">
            <v>68.720692063492038</v>
          </cell>
          <cell r="L832">
            <v>141.11073650793645</v>
          </cell>
          <cell r="Q832">
            <v>13272</v>
          </cell>
        </row>
        <row r="833">
          <cell r="I833">
            <v>123.00703703703702</v>
          </cell>
          <cell r="K833">
            <v>100.86577037037034</v>
          </cell>
          <cell r="L833">
            <v>145.1483037037037</v>
          </cell>
          <cell r="Q833">
            <v>13274</v>
          </cell>
        </row>
        <row r="834">
          <cell r="I834">
            <v>142.32999999999998</v>
          </cell>
          <cell r="K834">
            <v>104.7442857142857</v>
          </cell>
          <cell r="L834">
            <v>179.91571428571427</v>
          </cell>
          <cell r="Q834">
            <v>13339</v>
          </cell>
        </row>
        <row r="835">
          <cell r="I835">
            <v>147.59692307692305</v>
          </cell>
          <cell r="K835">
            <v>146.63059171597629</v>
          </cell>
          <cell r="L835">
            <v>148.5632544378698</v>
          </cell>
          <cell r="Q835">
            <v>13341</v>
          </cell>
        </row>
        <row r="836">
          <cell r="I836">
            <v>7.3100000000000014</v>
          </cell>
          <cell r="K836">
            <v>7.31</v>
          </cell>
          <cell r="L836">
            <v>7.3100000000000032</v>
          </cell>
          <cell r="Q836">
            <v>13404</v>
          </cell>
        </row>
        <row r="837">
          <cell r="I837">
            <v>49.265000000000022</v>
          </cell>
          <cell r="K837">
            <v>44.630384615384628</v>
          </cell>
          <cell r="L837">
            <v>53.899615384615416</v>
          </cell>
          <cell r="Q837">
            <v>13405</v>
          </cell>
        </row>
        <row r="838">
          <cell r="I838">
            <v>28.672307692307694</v>
          </cell>
          <cell r="K838">
            <v>20.963846153846156</v>
          </cell>
          <cell r="L838">
            <v>36.380769230769232</v>
          </cell>
          <cell r="Q838">
            <v>13406</v>
          </cell>
        </row>
        <row r="839">
          <cell r="I839">
            <v>7.9592307692307713</v>
          </cell>
          <cell r="K839">
            <v>7.3526627218934921</v>
          </cell>
          <cell r="L839">
            <v>8.5657988165680496</v>
          </cell>
          <cell r="Q839">
            <v>13407</v>
          </cell>
        </row>
        <row r="840">
          <cell r="I840">
            <v>45.265769230769237</v>
          </cell>
          <cell r="K840">
            <v>37.58174556213018</v>
          </cell>
          <cell r="L840">
            <v>52.949792899408294</v>
          </cell>
          <cell r="Q840">
            <v>13408</v>
          </cell>
        </row>
        <row r="841">
          <cell r="I841">
            <v>78.540000000000006</v>
          </cell>
          <cell r="K841">
            <v>78.540000000000006</v>
          </cell>
          <cell r="L841">
            <v>78.540000000000006</v>
          </cell>
          <cell r="Q841">
            <v>13409</v>
          </cell>
        </row>
        <row r="842">
          <cell r="I842">
            <v>48.337692307692315</v>
          </cell>
          <cell r="K842">
            <v>46.747869822485214</v>
          </cell>
          <cell r="L842">
            <v>49.927514792899416</v>
          </cell>
          <cell r="Q842">
            <v>13469</v>
          </cell>
        </row>
        <row r="843">
          <cell r="I843">
            <v>34.286923076923081</v>
          </cell>
          <cell r="K843">
            <v>33.396508875739649</v>
          </cell>
          <cell r="L843">
            <v>35.177337278106513</v>
          </cell>
          <cell r="Q843">
            <v>13470</v>
          </cell>
        </row>
        <row r="844">
          <cell r="I844">
            <v>30.676923076923067</v>
          </cell>
          <cell r="K844">
            <v>29.786508875739631</v>
          </cell>
          <cell r="L844">
            <v>31.567337278106503</v>
          </cell>
          <cell r="Q844">
            <v>13471</v>
          </cell>
        </row>
        <row r="845">
          <cell r="I845">
            <v>28.469999999999995</v>
          </cell>
          <cell r="K845">
            <v>27.019230769230766</v>
          </cell>
          <cell r="L845">
            <v>29.920769230769224</v>
          </cell>
          <cell r="Q845">
            <v>13472</v>
          </cell>
        </row>
        <row r="846">
          <cell r="I846">
            <v>36.701999999999998</v>
          </cell>
          <cell r="K846">
            <v>23.671704142011833</v>
          </cell>
          <cell r="L846">
            <v>49.732295857988163</v>
          </cell>
          <cell r="Q846">
            <v>13474</v>
          </cell>
        </row>
        <row r="847">
          <cell r="I847">
            <v>34.682142857142864</v>
          </cell>
          <cell r="K847">
            <v>33.759183673469394</v>
          </cell>
          <cell r="L847">
            <v>35.605102040816334</v>
          </cell>
          <cell r="Q847">
            <v>13475</v>
          </cell>
        </row>
        <row r="848">
          <cell r="I848">
            <v>597.84888888888884</v>
          </cell>
          <cell r="K848">
            <v>465.85266439909299</v>
          </cell>
          <cell r="L848">
            <v>729.84511337868469</v>
          </cell>
          <cell r="Q848">
            <v>13585</v>
          </cell>
        </row>
        <row r="849">
          <cell r="I849">
            <v>328.32500000000005</v>
          </cell>
          <cell r="K849">
            <v>295.85589163237319</v>
          </cell>
          <cell r="L849">
            <v>360.7941083676269</v>
          </cell>
          <cell r="Q849">
            <v>13586</v>
          </cell>
        </row>
        <row r="850">
          <cell r="I850">
            <v>421.17192307692306</v>
          </cell>
          <cell r="K850">
            <v>357.68981059406985</v>
          </cell>
          <cell r="L850">
            <v>484.65403555977628</v>
          </cell>
          <cell r="Q850">
            <v>13608</v>
          </cell>
        </row>
        <row r="851">
          <cell r="I851">
            <v>20</v>
          </cell>
          <cell r="K851">
            <v>20</v>
          </cell>
          <cell r="L851">
            <v>20</v>
          </cell>
          <cell r="Q851">
            <v>13610</v>
          </cell>
        </row>
        <row r="852">
          <cell r="I852">
            <v>24.959230769230768</v>
          </cell>
          <cell r="K852">
            <v>24.582899408284021</v>
          </cell>
          <cell r="L852">
            <v>25.335562130177514</v>
          </cell>
          <cell r="Q852">
            <v>13611</v>
          </cell>
        </row>
        <row r="853">
          <cell r="I853">
            <v>20</v>
          </cell>
          <cell r="K853">
            <v>20</v>
          </cell>
          <cell r="L853">
            <v>20</v>
          </cell>
          <cell r="Q853">
            <v>13612</v>
          </cell>
        </row>
        <row r="854">
          <cell r="I854">
            <v>20</v>
          </cell>
          <cell r="K854">
            <v>20</v>
          </cell>
          <cell r="L854">
            <v>20</v>
          </cell>
          <cell r="Q854">
            <v>13624</v>
          </cell>
        </row>
        <row r="855">
          <cell r="I855">
            <v>34.037500000000001</v>
          </cell>
          <cell r="K855">
            <v>21.432647928994086</v>
          </cell>
          <cell r="L855">
            <v>46.642352071005917</v>
          </cell>
          <cell r="Q855">
            <v>13701</v>
          </cell>
        </row>
        <row r="856">
          <cell r="I856">
            <v>160.20833333333334</v>
          </cell>
          <cell r="K856">
            <v>67.199197530864225</v>
          </cell>
          <cell r="L856">
            <v>253.21746913580245</v>
          </cell>
          <cell r="Q856">
            <v>13717</v>
          </cell>
        </row>
        <row r="857">
          <cell r="I857">
            <v>66.201666666666668</v>
          </cell>
          <cell r="K857">
            <v>24.299444444444447</v>
          </cell>
          <cell r="L857">
            <v>108.10388888888889</v>
          </cell>
          <cell r="Q857">
            <v>13718</v>
          </cell>
        </row>
        <row r="858">
          <cell r="I858">
            <v>73.163461538461519</v>
          </cell>
          <cell r="K858">
            <v>69.898520710059145</v>
          </cell>
          <cell r="L858">
            <v>76.428402366863892</v>
          </cell>
          <cell r="Q858">
            <v>13721</v>
          </cell>
        </row>
        <row r="859">
          <cell r="I859">
            <v>512.25</v>
          </cell>
          <cell r="K859">
            <v>486.12777777777779</v>
          </cell>
          <cell r="L859">
            <v>538.37222222222226</v>
          </cell>
          <cell r="Q859">
            <v>13762</v>
          </cell>
        </row>
        <row r="860">
          <cell r="I860">
            <v>47.819615384615403</v>
          </cell>
          <cell r="K860">
            <v>24.434512503956967</v>
          </cell>
          <cell r="L860">
            <v>71.20471826527384</v>
          </cell>
          <cell r="Q860">
            <v>13767</v>
          </cell>
        </row>
        <row r="861">
          <cell r="I861">
            <v>237.13666666666666</v>
          </cell>
          <cell r="K861">
            <v>123.31106666666668</v>
          </cell>
          <cell r="L861">
            <v>350.96226666666666</v>
          </cell>
          <cell r="Q861">
            <v>13850</v>
          </cell>
        </row>
        <row r="862">
          <cell r="I862">
            <v>97.784230769230746</v>
          </cell>
          <cell r="K862">
            <v>48.70837278106508</v>
          </cell>
          <cell r="L862">
            <v>146.8600887573964</v>
          </cell>
          <cell r="Q862">
            <v>13882</v>
          </cell>
        </row>
        <row r="863">
          <cell r="I863">
            <v>135.00076923076924</v>
          </cell>
          <cell r="K863">
            <v>100.43852071005918</v>
          </cell>
          <cell r="L863">
            <v>169.56301775147929</v>
          </cell>
          <cell r="Q863">
            <v>13891</v>
          </cell>
        </row>
        <row r="864">
          <cell r="I864">
            <v>50.800769230769227</v>
          </cell>
          <cell r="K864">
            <v>41.779822485207099</v>
          </cell>
          <cell r="L864">
            <v>59.821715976331355</v>
          </cell>
          <cell r="Q864">
            <v>13892</v>
          </cell>
        </row>
        <row r="865">
          <cell r="I865">
            <v>61.093076923076929</v>
          </cell>
          <cell r="K865">
            <v>43.025147928994087</v>
          </cell>
          <cell r="L865">
            <v>79.16100591715977</v>
          </cell>
          <cell r="Q865">
            <v>13949</v>
          </cell>
        </row>
        <row r="866">
          <cell r="I866">
            <v>231.66038461538466</v>
          </cell>
          <cell r="K866">
            <v>214.49204142011837</v>
          </cell>
          <cell r="L866">
            <v>248.82872781065095</v>
          </cell>
          <cell r="Q866">
            <v>13954</v>
          </cell>
        </row>
        <row r="867">
          <cell r="I867">
            <v>40.796999999999997</v>
          </cell>
          <cell r="K867">
            <v>36.42</v>
          </cell>
          <cell r="L867">
            <v>45.173999999999992</v>
          </cell>
          <cell r="Q867">
            <v>13968</v>
          </cell>
        </row>
        <row r="868">
          <cell r="I868">
            <v>97.587692307692279</v>
          </cell>
          <cell r="K868">
            <v>85.570650887573919</v>
          </cell>
          <cell r="L868">
            <v>109.60473372781064</v>
          </cell>
          <cell r="Q868">
            <v>13978</v>
          </cell>
        </row>
        <row r="869">
          <cell r="I869">
            <v>86.394230769230774</v>
          </cell>
          <cell r="K869">
            <v>76.197071005917167</v>
          </cell>
          <cell r="L869">
            <v>96.591390532544381</v>
          </cell>
          <cell r="Q869">
            <v>14027</v>
          </cell>
        </row>
        <row r="870">
          <cell r="I870">
            <v>157.58076923076925</v>
          </cell>
          <cell r="K870">
            <v>101.24005494505496</v>
          </cell>
          <cell r="L870">
            <v>213.92148351648353</v>
          </cell>
          <cell r="Q870">
            <v>14028</v>
          </cell>
        </row>
        <row r="871">
          <cell r="I871">
            <v>1005.75</v>
          </cell>
          <cell r="K871">
            <v>1005.75</v>
          </cell>
          <cell r="L871">
            <v>1005.75</v>
          </cell>
          <cell r="Q871">
            <v>14038</v>
          </cell>
        </row>
        <row r="872">
          <cell r="I872">
            <v>35.392222222222216</v>
          </cell>
          <cell r="K872">
            <v>29.021622222222213</v>
          </cell>
          <cell r="L872">
            <v>41.762822222222219</v>
          </cell>
          <cell r="Q872">
            <v>14045</v>
          </cell>
        </row>
        <row r="873">
          <cell r="I873">
            <v>188.38499999999999</v>
          </cell>
          <cell r="K873">
            <v>104.65833333333332</v>
          </cell>
          <cell r="L873">
            <v>272.11166666666668</v>
          </cell>
          <cell r="Q873">
            <v>14061</v>
          </cell>
        </row>
        <row r="874">
          <cell r="I874">
            <v>37.19</v>
          </cell>
          <cell r="K874">
            <v>20.661111111111111</v>
          </cell>
          <cell r="L874">
            <v>53.718888888888884</v>
          </cell>
          <cell r="Q874">
            <v>14062</v>
          </cell>
        </row>
        <row r="875">
          <cell r="I875">
            <v>45.647500000000001</v>
          </cell>
          <cell r="K875">
            <v>43.4925</v>
          </cell>
          <cell r="L875">
            <v>47.802500000000002</v>
          </cell>
          <cell r="Q875">
            <v>14080</v>
          </cell>
        </row>
        <row r="876">
          <cell r="I876">
            <v>25.125454545454541</v>
          </cell>
          <cell r="K876">
            <v>18.583916083916076</v>
          </cell>
          <cell r="L876">
            <v>31.666993006993007</v>
          </cell>
          <cell r="Q876">
            <v>14090</v>
          </cell>
        </row>
        <row r="877">
          <cell r="I877">
            <v>62.525555555555556</v>
          </cell>
          <cell r="K877">
            <v>35.887449046679812</v>
          </cell>
          <cell r="L877">
            <v>89.163662064431293</v>
          </cell>
          <cell r="Q877">
            <v>14091</v>
          </cell>
        </row>
        <row r="878">
          <cell r="I878">
            <v>24.280769230769231</v>
          </cell>
          <cell r="K878">
            <v>23.13568047337278</v>
          </cell>
          <cell r="L878">
            <v>25.425857988165681</v>
          </cell>
          <cell r="Q878">
            <v>14099</v>
          </cell>
        </row>
        <row r="879">
          <cell r="I879">
            <v>37.424166666666672</v>
          </cell>
          <cell r="K879">
            <v>32.109492110453658</v>
          </cell>
          <cell r="L879">
            <v>42.738841222879685</v>
          </cell>
          <cell r="Q879">
            <v>14100</v>
          </cell>
        </row>
        <row r="880">
          <cell r="I880">
            <v>257.94</v>
          </cell>
          <cell r="K880">
            <v>257.94</v>
          </cell>
          <cell r="L880">
            <v>257.94</v>
          </cell>
          <cell r="Q880">
            <v>14101</v>
          </cell>
        </row>
        <row r="881">
          <cell r="I881">
            <v>159.06592592592591</v>
          </cell>
          <cell r="K881">
            <v>91.173278463648842</v>
          </cell>
          <cell r="L881">
            <v>226.95857338820298</v>
          </cell>
          <cell r="Q881">
            <v>14104</v>
          </cell>
        </row>
        <row r="882">
          <cell r="I882">
            <v>43.599230769230765</v>
          </cell>
          <cell r="K882">
            <v>41.880414201183427</v>
          </cell>
          <cell r="L882">
            <v>45.318047337278102</v>
          </cell>
          <cell r="Q882">
            <v>14110</v>
          </cell>
        </row>
        <row r="883">
          <cell r="I883">
            <v>92.733703703703696</v>
          </cell>
          <cell r="K883">
            <v>63.400489417989405</v>
          </cell>
          <cell r="L883">
            <v>122.06691798941799</v>
          </cell>
          <cell r="Q883">
            <v>14123</v>
          </cell>
        </row>
        <row r="884">
          <cell r="I884">
            <v>111.58307692307696</v>
          </cell>
          <cell r="K884">
            <v>105.17674556213019</v>
          </cell>
          <cell r="L884">
            <v>117.98940828402372</v>
          </cell>
          <cell r="Q884">
            <v>14124</v>
          </cell>
        </row>
        <row r="885">
          <cell r="I885">
            <v>224.42379310344828</v>
          </cell>
          <cell r="K885">
            <v>129.89054696789538</v>
          </cell>
          <cell r="L885">
            <v>318.95703923900118</v>
          </cell>
          <cell r="Q885">
            <v>14135</v>
          </cell>
        </row>
        <row r="886">
          <cell r="I886">
            <v>94.267499999999984</v>
          </cell>
          <cell r="K886">
            <v>93.289166666666645</v>
          </cell>
          <cell r="L886">
            <v>95.245833333333323</v>
          </cell>
          <cell r="Q886">
            <v>14138</v>
          </cell>
        </row>
        <row r="887">
          <cell r="I887">
            <v>208.33653846153837</v>
          </cell>
          <cell r="K887">
            <v>208.00636094674545</v>
          </cell>
          <cell r="L887">
            <v>208.66671597633129</v>
          </cell>
          <cell r="Q887">
            <v>14141</v>
          </cell>
        </row>
        <row r="888">
          <cell r="I888">
            <v>259.11115384615385</v>
          </cell>
          <cell r="K888">
            <v>239.88094808483697</v>
          </cell>
          <cell r="L888">
            <v>278.34135960747074</v>
          </cell>
          <cell r="Q888">
            <v>14142</v>
          </cell>
        </row>
        <row r="889">
          <cell r="I889">
            <v>64.203846153846158</v>
          </cell>
          <cell r="K889">
            <v>43.148540031397175</v>
          </cell>
          <cell r="L889">
            <v>85.25915227629514</v>
          </cell>
          <cell r="Q889">
            <v>14156</v>
          </cell>
        </row>
        <row r="890">
          <cell r="I890">
            <v>61.67961538461536</v>
          </cell>
          <cell r="K890">
            <v>60.981035502958569</v>
          </cell>
          <cell r="L890">
            <v>62.378195266272151</v>
          </cell>
          <cell r="Q890">
            <v>14158</v>
          </cell>
        </row>
        <row r="891">
          <cell r="I891">
            <v>121.71185185185183</v>
          </cell>
          <cell r="K891">
            <v>56.721508916323714</v>
          </cell>
          <cell r="L891">
            <v>186.70219478737994</v>
          </cell>
          <cell r="Q891">
            <v>14159</v>
          </cell>
        </row>
        <row r="892">
          <cell r="I892">
            <v>60.393846153846162</v>
          </cell>
          <cell r="K892">
            <v>58.841183431952665</v>
          </cell>
          <cell r="L892">
            <v>61.94650887573966</v>
          </cell>
          <cell r="Q892">
            <v>14163</v>
          </cell>
        </row>
        <row r="893">
          <cell r="I893">
            <v>69.654117647058797</v>
          </cell>
          <cell r="K893">
            <v>40.873423202614362</v>
          </cell>
          <cell r="L893">
            <v>98.434812091503233</v>
          </cell>
          <cell r="Q893">
            <v>14166</v>
          </cell>
        </row>
        <row r="894">
          <cell r="I894">
            <v>98.445769230769258</v>
          </cell>
          <cell r="K894">
            <v>97.312159763313616</v>
          </cell>
          <cell r="L894">
            <v>99.5793786982249</v>
          </cell>
          <cell r="Q894">
            <v>14167</v>
          </cell>
        </row>
        <row r="895">
          <cell r="I895">
            <v>59.651923076923104</v>
          </cell>
          <cell r="K895">
            <v>54.63405325443788</v>
          </cell>
          <cell r="L895">
            <v>64.669792899408336</v>
          </cell>
          <cell r="Q895">
            <v>14168</v>
          </cell>
        </row>
        <row r="896">
          <cell r="I896">
            <v>81.228846153846177</v>
          </cell>
          <cell r="K896">
            <v>76.723875739644981</v>
          </cell>
          <cell r="L896">
            <v>85.733816568047374</v>
          </cell>
          <cell r="Q896">
            <v>14169</v>
          </cell>
        </row>
        <row r="897">
          <cell r="I897">
            <v>75.111538461538458</v>
          </cell>
          <cell r="K897">
            <v>74.297041420118347</v>
          </cell>
          <cell r="L897">
            <v>75.92603550295857</v>
          </cell>
          <cell r="Q897">
            <v>14170</v>
          </cell>
        </row>
        <row r="898">
          <cell r="I898">
            <v>71.441538461538499</v>
          </cell>
          <cell r="K898">
            <v>70.982840236686414</v>
          </cell>
          <cell r="L898">
            <v>71.900236686390585</v>
          </cell>
          <cell r="Q898">
            <v>14171</v>
          </cell>
        </row>
        <row r="899">
          <cell r="I899">
            <v>96.400000000000034</v>
          </cell>
          <cell r="K899">
            <v>93.710769230769273</v>
          </cell>
          <cell r="L899">
            <v>99.089230769230795</v>
          </cell>
          <cell r="Q899">
            <v>14174</v>
          </cell>
        </row>
        <row r="900">
          <cell r="I900">
            <v>51.844615384615388</v>
          </cell>
          <cell r="K900">
            <v>48.987573964497038</v>
          </cell>
          <cell r="L900">
            <v>54.701656804733737</v>
          </cell>
          <cell r="Q900">
            <v>14178</v>
          </cell>
        </row>
        <row r="901">
          <cell r="I901">
            <v>61.680370370370333</v>
          </cell>
          <cell r="K901">
            <v>57.007887517146763</v>
          </cell>
          <cell r="L901">
            <v>66.352853223593897</v>
          </cell>
          <cell r="Q901">
            <v>14181</v>
          </cell>
        </row>
        <row r="902">
          <cell r="I902">
            <v>57.990384615384606</v>
          </cell>
          <cell r="K902">
            <v>55.987426035502956</v>
          </cell>
          <cell r="L902">
            <v>59.993343195266256</v>
          </cell>
          <cell r="Q902">
            <v>14186</v>
          </cell>
        </row>
        <row r="903">
          <cell r="I903">
            <v>43.233333333333327</v>
          </cell>
          <cell r="K903">
            <v>42.24444444444444</v>
          </cell>
          <cell r="L903">
            <v>44.222222222222214</v>
          </cell>
          <cell r="Q903">
            <v>14191</v>
          </cell>
        </row>
        <row r="904">
          <cell r="I904">
            <v>52.061923076923044</v>
          </cell>
          <cell r="K904">
            <v>49.662514792899401</v>
          </cell>
          <cell r="L904">
            <v>54.461331360946687</v>
          </cell>
          <cell r="Q904">
            <v>14194</v>
          </cell>
        </row>
        <row r="905">
          <cell r="I905">
            <v>108.82692307692312</v>
          </cell>
          <cell r="K905">
            <v>107.99881656804736</v>
          </cell>
          <cell r="L905">
            <v>109.65502958579889</v>
          </cell>
          <cell r="Q905">
            <v>14195</v>
          </cell>
        </row>
        <row r="906">
          <cell r="I906">
            <v>54.546538461538425</v>
          </cell>
          <cell r="K906">
            <v>54.21636094674551</v>
          </cell>
          <cell r="L906">
            <v>54.87671597633134</v>
          </cell>
          <cell r="Q906">
            <v>14196</v>
          </cell>
        </row>
        <row r="907">
          <cell r="I907">
            <v>51.56269230769233</v>
          </cell>
          <cell r="K907">
            <v>49.609881656804745</v>
          </cell>
          <cell r="L907">
            <v>53.515502958579916</v>
          </cell>
          <cell r="Q907">
            <v>14197</v>
          </cell>
        </row>
        <row r="908">
          <cell r="I908">
            <v>55.140384615384633</v>
          </cell>
          <cell r="K908">
            <v>53.812751479289943</v>
          </cell>
          <cell r="L908">
            <v>56.468017751479323</v>
          </cell>
          <cell r="Q908">
            <v>14198</v>
          </cell>
        </row>
        <row r="909">
          <cell r="I909">
            <v>75.696538461538438</v>
          </cell>
          <cell r="K909">
            <v>75.36636094674553</v>
          </cell>
          <cell r="L909">
            <v>76.026715976331346</v>
          </cell>
          <cell r="Q909">
            <v>14200</v>
          </cell>
        </row>
        <row r="910">
          <cell r="I910">
            <v>52.317692307692298</v>
          </cell>
          <cell r="K910">
            <v>50.750828402366864</v>
          </cell>
          <cell r="L910">
            <v>53.884556213017731</v>
          </cell>
          <cell r="Q910">
            <v>14201</v>
          </cell>
        </row>
        <row r="911">
          <cell r="I911">
            <v>127.93142857142857</v>
          </cell>
          <cell r="K911">
            <v>127.61632653061224</v>
          </cell>
          <cell r="L911">
            <v>128.2465306122449</v>
          </cell>
          <cell r="Q911">
            <v>14203</v>
          </cell>
        </row>
        <row r="912">
          <cell r="I912">
            <v>25</v>
          </cell>
          <cell r="K912">
            <v>25</v>
          </cell>
          <cell r="L912">
            <v>25</v>
          </cell>
          <cell r="Q912">
            <v>14204</v>
          </cell>
        </row>
        <row r="913">
          <cell r="I913">
            <v>63.019615384615385</v>
          </cell>
          <cell r="K913">
            <v>57.933343195266275</v>
          </cell>
          <cell r="L913">
            <v>68.105887573964495</v>
          </cell>
          <cell r="Q913">
            <v>14205</v>
          </cell>
        </row>
        <row r="914">
          <cell r="I914">
            <v>141.32653846153852</v>
          </cell>
          <cell r="K914">
            <v>140.99636094674565</v>
          </cell>
          <cell r="L914">
            <v>141.65671597633138</v>
          </cell>
          <cell r="Q914">
            <v>14206</v>
          </cell>
        </row>
        <row r="915">
          <cell r="I915">
            <v>75.193076923076916</v>
          </cell>
          <cell r="K915">
            <v>72.774792899408283</v>
          </cell>
          <cell r="L915">
            <v>77.611360946745549</v>
          </cell>
          <cell r="Q915">
            <v>14207</v>
          </cell>
        </row>
        <row r="916">
          <cell r="I916">
            <v>64.456538461538443</v>
          </cell>
          <cell r="K916">
            <v>64.126360946745535</v>
          </cell>
          <cell r="L916">
            <v>64.786715976331351</v>
          </cell>
          <cell r="Q916">
            <v>14208</v>
          </cell>
        </row>
        <row r="917">
          <cell r="I917">
            <v>49.166538461538458</v>
          </cell>
          <cell r="K917">
            <v>48.836360946745557</v>
          </cell>
          <cell r="L917">
            <v>49.496715976331359</v>
          </cell>
          <cell r="Q917">
            <v>14209</v>
          </cell>
        </row>
        <row r="918">
          <cell r="I918">
            <v>26.544615384615383</v>
          </cell>
          <cell r="K918">
            <v>23.930650887573965</v>
          </cell>
          <cell r="L918">
            <v>29.158579881656802</v>
          </cell>
          <cell r="Q918">
            <v>14210</v>
          </cell>
        </row>
        <row r="919">
          <cell r="I919">
            <v>8.2899999999999938</v>
          </cell>
          <cell r="K919">
            <v>8.2899999999999885</v>
          </cell>
          <cell r="L919">
            <v>8.2899999999999991</v>
          </cell>
          <cell r="Q919">
            <v>14211</v>
          </cell>
        </row>
        <row r="920">
          <cell r="I920">
            <v>76.314230769230804</v>
          </cell>
          <cell r="K920">
            <v>75.274704142011885</v>
          </cell>
          <cell r="L920">
            <v>77.353757396449723</v>
          </cell>
          <cell r="Q920">
            <v>14213</v>
          </cell>
        </row>
        <row r="921">
          <cell r="I921">
            <v>28.297777777777782</v>
          </cell>
          <cell r="K921">
            <v>25.122139917695478</v>
          </cell>
          <cell r="L921">
            <v>31.473415637860086</v>
          </cell>
          <cell r="Q921">
            <v>14214</v>
          </cell>
        </row>
        <row r="922">
          <cell r="I922">
            <v>70.687777777777754</v>
          </cell>
          <cell r="K922">
            <v>68.334526748971186</v>
          </cell>
          <cell r="L922">
            <v>73.041028806584322</v>
          </cell>
          <cell r="Q922">
            <v>14215</v>
          </cell>
        </row>
        <row r="923">
          <cell r="I923">
            <v>50.325000000000017</v>
          </cell>
          <cell r="K923">
            <v>47.06807692307693</v>
          </cell>
          <cell r="L923">
            <v>53.581923076923104</v>
          </cell>
          <cell r="Q923">
            <v>14216</v>
          </cell>
        </row>
        <row r="924">
          <cell r="I924">
            <v>58.151538461538458</v>
          </cell>
          <cell r="K924">
            <v>55.223431952662722</v>
          </cell>
          <cell r="L924">
            <v>61.079644970414193</v>
          </cell>
          <cell r="Q924">
            <v>14217</v>
          </cell>
        </row>
        <row r="925">
          <cell r="I925">
            <v>76.088076923076954</v>
          </cell>
          <cell r="K925">
            <v>73.238254437869827</v>
          </cell>
          <cell r="L925">
            <v>78.937899408284082</v>
          </cell>
          <cell r="Q925">
            <v>14218</v>
          </cell>
        </row>
        <row r="926">
          <cell r="I926">
            <v>102.49296296296296</v>
          </cell>
          <cell r="K926">
            <v>97.705006858710561</v>
          </cell>
          <cell r="L926">
            <v>107.28091906721536</v>
          </cell>
          <cell r="Q926">
            <v>14225</v>
          </cell>
        </row>
        <row r="927">
          <cell r="I927">
            <v>40.092592592592567</v>
          </cell>
          <cell r="K927">
            <v>37.607626886145397</v>
          </cell>
          <cell r="L927">
            <v>42.577558299039737</v>
          </cell>
          <cell r="Q927">
            <v>14226</v>
          </cell>
        </row>
        <row r="928">
          <cell r="I928">
            <v>80.212592592592586</v>
          </cell>
          <cell r="K928">
            <v>74.465404663923181</v>
          </cell>
          <cell r="L928">
            <v>85.95978052126199</v>
          </cell>
          <cell r="Q928">
            <v>14229</v>
          </cell>
        </row>
        <row r="929">
          <cell r="I929">
            <v>91.147307692307692</v>
          </cell>
          <cell r="K929">
            <v>90.457633136094671</v>
          </cell>
          <cell r="L929">
            <v>91.836982248520712</v>
          </cell>
          <cell r="Q929">
            <v>14234</v>
          </cell>
        </row>
        <row r="930">
          <cell r="I930">
            <v>50.680769230769229</v>
          </cell>
          <cell r="K930">
            <v>43.957810047095769</v>
          </cell>
          <cell r="L930">
            <v>57.403728414442689</v>
          </cell>
          <cell r="Q930">
            <v>14237</v>
          </cell>
        </row>
        <row r="931">
          <cell r="I931">
            <v>83.035714285714292</v>
          </cell>
          <cell r="K931">
            <v>64.871651785714292</v>
          </cell>
          <cell r="L931">
            <v>101.19977678571429</v>
          </cell>
          <cell r="Q931">
            <v>14243</v>
          </cell>
        </row>
        <row r="932">
          <cell r="I932">
            <v>106.65133333333331</v>
          </cell>
          <cell r="K932">
            <v>73.725222222222214</v>
          </cell>
          <cell r="L932">
            <v>139.57744444444441</v>
          </cell>
          <cell r="Q932">
            <v>14249</v>
          </cell>
        </row>
        <row r="933">
          <cell r="I933">
            <v>238.08500000000001</v>
          </cell>
          <cell r="K933">
            <v>105.96166666666667</v>
          </cell>
          <cell r="L933">
            <v>370.20833333333337</v>
          </cell>
          <cell r="Q933">
            <v>14255</v>
          </cell>
        </row>
        <row r="934">
          <cell r="I934">
            <v>44.75</v>
          </cell>
          <cell r="K934">
            <v>43.776666666666664</v>
          </cell>
          <cell r="L934">
            <v>45.723333333333336</v>
          </cell>
          <cell r="Q934">
            <v>14256</v>
          </cell>
        </row>
        <row r="935">
          <cell r="I935">
            <v>60.429230769230784</v>
          </cell>
          <cell r="K935">
            <v>59.503491124260378</v>
          </cell>
          <cell r="L935">
            <v>61.35497041420119</v>
          </cell>
          <cell r="Q935">
            <v>14272</v>
          </cell>
        </row>
        <row r="936">
          <cell r="I936">
            <v>31.387999999999998</v>
          </cell>
          <cell r="K936">
            <v>18.576571428571423</v>
          </cell>
          <cell r="L936">
            <v>44.19942857142857</v>
          </cell>
          <cell r="Q936">
            <v>14278</v>
          </cell>
        </row>
        <row r="937">
          <cell r="I937">
            <v>71.12461538461541</v>
          </cell>
          <cell r="K937">
            <v>51.104303209797514</v>
          </cell>
          <cell r="L937">
            <v>91.144927559433313</v>
          </cell>
          <cell r="Q937">
            <v>14284</v>
          </cell>
        </row>
        <row r="938">
          <cell r="I938">
            <v>47.32961538461538</v>
          </cell>
          <cell r="K938">
            <v>45.136360946745562</v>
          </cell>
          <cell r="L938">
            <v>49.522869822485198</v>
          </cell>
          <cell r="Q938">
            <v>14318</v>
          </cell>
        </row>
        <row r="939">
          <cell r="I939">
            <v>121.47769230769231</v>
          </cell>
          <cell r="K939">
            <v>119.82207100591717</v>
          </cell>
          <cell r="L939">
            <v>123.13331360946745</v>
          </cell>
          <cell r="Q939">
            <v>14328</v>
          </cell>
        </row>
        <row r="940">
          <cell r="I940">
            <v>47.391538461538445</v>
          </cell>
          <cell r="K940">
            <v>45.704437869822463</v>
          </cell>
          <cell r="L940">
            <v>49.078639053254427</v>
          </cell>
          <cell r="Q940">
            <v>14335</v>
          </cell>
        </row>
        <row r="941">
          <cell r="I941">
            <v>226.01296296296309</v>
          </cell>
          <cell r="K941">
            <v>205.90827160493834</v>
          </cell>
          <cell r="L941">
            <v>246.11765432098784</v>
          </cell>
          <cell r="Q941">
            <v>14339</v>
          </cell>
        </row>
        <row r="942">
          <cell r="I942">
            <v>63.100454545454561</v>
          </cell>
          <cell r="K942">
            <v>44.121312533620241</v>
          </cell>
          <cell r="L942">
            <v>82.07959655728888</v>
          </cell>
          <cell r="Q942">
            <v>14345</v>
          </cell>
        </row>
        <row r="943">
          <cell r="I943">
            <v>145.75769230769237</v>
          </cell>
          <cell r="K943">
            <v>96.683372781065103</v>
          </cell>
          <cell r="L943">
            <v>194.83201183431964</v>
          </cell>
          <cell r="Q943">
            <v>14362</v>
          </cell>
        </row>
        <row r="944">
          <cell r="I944">
            <v>68.143076923076947</v>
          </cell>
          <cell r="K944">
            <v>67.150946745562166</v>
          </cell>
          <cell r="L944">
            <v>69.135207100591728</v>
          </cell>
          <cell r="Q944">
            <v>14363</v>
          </cell>
        </row>
        <row r="945">
          <cell r="I945">
            <v>75.014166666666654</v>
          </cell>
          <cell r="K945">
            <v>67.354646666666667</v>
          </cell>
          <cell r="L945">
            <v>82.67368666666664</v>
          </cell>
          <cell r="Q945">
            <v>14377</v>
          </cell>
        </row>
        <row r="946">
          <cell r="I946">
            <v>68.668749999999989</v>
          </cell>
          <cell r="K946">
            <v>53.037187499999987</v>
          </cell>
          <cell r="L946">
            <v>84.30031249999999</v>
          </cell>
          <cell r="Q946">
            <v>14380</v>
          </cell>
        </row>
        <row r="947">
          <cell r="I947">
            <v>36.02000000000001</v>
          </cell>
          <cell r="K947">
            <v>27.695377777777793</v>
          </cell>
          <cell r="L947">
            <v>44.344622222222227</v>
          </cell>
          <cell r="Q947">
            <v>14382</v>
          </cell>
        </row>
        <row r="948">
          <cell r="I948">
            <v>94.073999999999984</v>
          </cell>
          <cell r="K948">
            <v>53.382875739644938</v>
          </cell>
          <cell r="L948">
            <v>134.76512426035504</v>
          </cell>
          <cell r="Q948">
            <v>14396</v>
          </cell>
        </row>
        <row r="949">
          <cell r="I949">
            <v>68.862592592592605</v>
          </cell>
          <cell r="K949">
            <v>68.307530864197545</v>
          </cell>
          <cell r="L949">
            <v>69.417654320987666</v>
          </cell>
          <cell r="Q949">
            <v>14401</v>
          </cell>
        </row>
        <row r="950">
          <cell r="I950">
            <v>51.896923076923059</v>
          </cell>
          <cell r="K950">
            <v>50.27136094674556</v>
          </cell>
          <cell r="L950">
            <v>53.522485207100559</v>
          </cell>
          <cell r="Q950">
            <v>14403</v>
          </cell>
        </row>
        <row r="951">
          <cell r="I951">
            <v>98.123846153846188</v>
          </cell>
          <cell r="K951">
            <v>96.540414201183481</v>
          </cell>
          <cell r="L951">
            <v>99.707278106508895</v>
          </cell>
          <cell r="Q951">
            <v>14405</v>
          </cell>
        </row>
        <row r="952">
          <cell r="I952">
            <v>59.062692307692288</v>
          </cell>
          <cell r="K952">
            <v>53.142337278106503</v>
          </cell>
          <cell r="L952">
            <v>64.983047337278066</v>
          </cell>
          <cell r="Q952">
            <v>14406</v>
          </cell>
        </row>
        <row r="953">
          <cell r="I953">
            <v>75.194615384615361</v>
          </cell>
          <cell r="K953">
            <v>74.662544378698186</v>
          </cell>
          <cell r="L953">
            <v>75.726686390532535</v>
          </cell>
          <cell r="Q953">
            <v>14407</v>
          </cell>
        </row>
        <row r="954">
          <cell r="I954">
            <v>80.3546153846154</v>
          </cell>
          <cell r="K954">
            <v>79.82254437869824</v>
          </cell>
          <cell r="L954">
            <v>80.88668639053256</v>
          </cell>
          <cell r="Q954">
            <v>14408</v>
          </cell>
        </row>
        <row r="955">
          <cell r="I955">
            <v>76.287692307692311</v>
          </cell>
          <cell r="K955">
            <v>74.69869822485208</v>
          </cell>
          <cell r="L955">
            <v>77.876686390532541</v>
          </cell>
          <cell r="Q955">
            <v>14409</v>
          </cell>
        </row>
        <row r="956">
          <cell r="I956">
            <v>51.775000000000006</v>
          </cell>
          <cell r="K956">
            <v>51.59961538461539</v>
          </cell>
          <cell r="L956">
            <v>51.950384615384621</v>
          </cell>
          <cell r="Q956">
            <v>14422</v>
          </cell>
        </row>
        <row r="957">
          <cell r="I957">
            <v>0</v>
          </cell>
          <cell r="K957">
            <v>0</v>
          </cell>
          <cell r="L957">
            <v>0</v>
          </cell>
          <cell r="Q957">
            <v>14423</v>
          </cell>
        </row>
        <row r="958">
          <cell r="I958">
            <v>122.8911538461538</v>
          </cell>
          <cell r="K958">
            <v>98.292899408283986</v>
          </cell>
          <cell r="L958">
            <v>147.48940828402363</v>
          </cell>
          <cell r="Q958">
            <v>14426</v>
          </cell>
        </row>
        <row r="959">
          <cell r="I959">
            <v>99.555185185185181</v>
          </cell>
          <cell r="K959">
            <v>86.994224965706451</v>
          </cell>
          <cell r="L959">
            <v>112.11614540466391</v>
          </cell>
          <cell r="Q959">
            <v>14482</v>
          </cell>
        </row>
        <row r="960">
          <cell r="I960">
            <v>71.654615384615397</v>
          </cell>
          <cell r="K960">
            <v>69.249112426035524</v>
          </cell>
          <cell r="L960">
            <v>74.060118343195271</v>
          </cell>
          <cell r="Q960">
            <v>14505</v>
          </cell>
        </row>
        <row r="961">
          <cell r="I961">
            <v>127.31576923076922</v>
          </cell>
          <cell r="K961">
            <v>120.87437869822485</v>
          </cell>
          <cell r="L961">
            <v>133.75715976331361</v>
          </cell>
          <cell r="Q961">
            <v>14522</v>
          </cell>
        </row>
        <row r="962">
          <cell r="I962">
            <v>108.81777777777774</v>
          </cell>
          <cell r="K962">
            <v>108.59094650205762</v>
          </cell>
          <cell r="L962">
            <v>109.04460905349785</v>
          </cell>
          <cell r="Q962">
            <v>14525</v>
          </cell>
        </row>
        <row r="963">
          <cell r="I963">
            <v>147.30000000000007</v>
          </cell>
          <cell r="K963">
            <v>147.30000000000001</v>
          </cell>
          <cell r="L963">
            <v>147.30000000000013</v>
          </cell>
          <cell r="Q963">
            <v>14526</v>
          </cell>
        </row>
        <row r="964">
          <cell r="I964">
            <v>116.80423076923074</v>
          </cell>
          <cell r="K964">
            <v>114.3730177514793</v>
          </cell>
          <cell r="L964">
            <v>119.23544378698219</v>
          </cell>
          <cell r="Q964">
            <v>14527</v>
          </cell>
        </row>
        <row r="965">
          <cell r="I965">
            <v>43.074615384615385</v>
          </cell>
          <cell r="K965">
            <v>40.930236686390529</v>
          </cell>
          <cell r="L965">
            <v>45.21899408284024</v>
          </cell>
          <cell r="Q965">
            <v>14528</v>
          </cell>
        </row>
        <row r="966">
          <cell r="I966">
            <v>48.163076923076929</v>
          </cell>
          <cell r="K966">
            <v>45.443313609467459</v>
          </cell>
          <cell r="L966">
            <v>50.882840236686398</v>
          </cell>
          <cell r="Q966">
            <v>14545</v>
          </cell>
        </row>
        <row r="967">
          <cell r="I967">
            <v>63.712307692307704</v>
          </cell>
          <cell r="K967">
            <v>58.888639053254451</v>
          </cell>
          <cell r="L967">
            <v>68.535976331360956</v>
          </cell>
          <cell r="Q967">
            <v>14546</v>
          </cell>
        </row>
        <row r="968">
          <cell r="I968">
            <v>98.543461538461528</v>
          </cell>
          <cell r="K968">
            <v>61.91488165680471</v>
          </cell>
          <cell r="L968">
            <v>135.17204142011835</v>
          </cell>
          <cell r="Q968">
            <v>14558</v>
          </cell>
        </row>
        <row r="969">
          <cell r="I969">
            <v>240.61230769230772</v>
          </cell>
          <cell r="K969">
            <v>220.22575076501005</v>
          </cell>
          <cell r="L969">
            <v>260.9988646196054</v>
          </cell>
          <cell r="Q969">
            <v>14562</v>
          </cell>
        </row>
        <row r="970">
          <cell r="I970">
            <v>91.943461538461534</v>
          </cell>
          <cell r="K970">
            <v>64.779201183431951</v>
          </cell>
          <cell r="L970">
            <v>119.10772189349112</v>
          </cell>
          <cell r="Q970">
            <v>14573</v>
          </cell>
        </row>
        <row r="971">
          <cell r="I971">
            <v>74.629230769230759</v>
          </cell>
          <cell r="K971">
            <v>57.075275213675198</v>
          </cell>
          <cell r="L971">
            <v>92.18318632478632</v>
          </cell>
          <cell r="Q971">
            <v>14574</v>
          </cell>
        </row>
        <row r="972">
          <cell r="I972">
            <v>70.007333333333335</v>
          </cell>
          <cell r="K972">
            <v>34.797020833333335</v>
          </cell>
          <cell r="L972">
            <v>105.21764583333334</v>
          </cell>
          <cell r="Q972">
            <v>14577</v>
          </cell>
        </row>
        <row r="973">
          <cell r="I973">
            <v>40.853076923076905</v>
          </cell>
          <cell r="K973">
            <v>34.377633136094666</v>
          </cell>
          <cell r="L973">
            <v>47.328520710059145</v>
          </cell>
          <cell r="Q973">
            <v>14590</v>
          </cell>
        </row>
        <row r="974">
          <cell r="I974">
            <v>49.491851851851834</v>
          </cell>
          <cell r="K974">
            <v>46.281097393689976</v>
          </cell>
          <cell r="L974">
            <v>52.702606310013692</v>
          </cell>
          <cell r="Q974">
            <v>14591</v>
          </cell>
        </row>
        <row r="975">
          <cell r="I975">
            <v>505.5403448275863</v>
          </cell>
          <cell r="K975">
            <v>295.95117527741331</v>
          </cell>
          <cell r="L975">
            <v>715.12951437775928</v>
          </cell>
          <cell r="Q975">
            <v>14608</v>
          </cell>
        </row>
        <row r="976">
          <cell r="I976">
            <v>87.526538461538465</v>
          </cell>
          <cell r="K976">
            <v>86.595295857988177</v>
          </cell>
          <cell r="L976">
            <v>88.457781065088753</v>
          </cell>
          <cell r="Q976">
            <v>14624</v>
          </cell>
        </row>
        <row r="977">
          <cell r="I977">
            <v>212.28307692307695</v>
          </cell>
          <cell r="K977">
            <v>210.96792899408283</v>
          </cell>
          <cell r="L977">
            <v>213.59822485207107</v>
          </cell>
          <cell r="Q977">
            <v>14627</v>
          </cell>
        </row>
        <row r="978">
          <cell r="I978">
            <v>43.490769230769239</v>
          </cell>
          <cell r="K978">
            <v>40.01840236686391</v>
          </cell>
          <cell r="L978">
            <v>46.963136094674567</v>
          </cell>
          <cell r="Q978">
            <v>14643</v>
          </cell>
        </row>
        <row r="979">
          <cell r="I979">
            <v>113.40846153846149</v>
          </cell>
          <cell r="K979">
            <v>111.00183431952661</v>
          </cell>
          <cell r="L979">
            <v>115.81508875739638</v>
          </cell>
          <cell r="Q979">
            <v>14644</v>
          </cell>
        </row>
        <row r="980">
          <cell r="I980">
            <v>96.061666666666667</v>
          </cell>
          <cell r="K980">
            <v>65.321933333333334</v>
          </cell>
          <cell r="L980">
            <v>126.8014</v>
          </cell>
          <cell r="Q980">
            <v>14650</v>
          </cell>
        </row>
        <row r="981">
          <cell r="I981">
            <v>40.106666666666676</v>
          </cell>
          <cell r="K981">
            <v>30.284625850340156</v>
          </cell>
          <cell r="L981">
            <v>49.928707482993197</v>
          </cell>
          <cell r="Q981">
            <v>14651</v>
          </cell>
        </row>
        <row r="982">
          <cell r="I982">
            <v>35</v>
          </cell>
          <cell r="K982">
            <v>35</v>
          </cell>
          <cell r="L982">
            <v>35</v>
          </cell>
          <cell r="Q982">
            <v>14653</v>
          </cell>
        </row>
        <row r="983">
          <cell r="I983">
            <v>2764.339310344827</v>
          </cell>
          <cell r="K983">
            <v>1802.1056293239094</v>
          </cell>
          <cell r="L983">
            <v>3726.5729913657447</v>
          </cell>
          <cell r="Q983">
            <v>14656</v>
          </cell>
        </row>
        <row r="984">
          <cell r="I984">
            <v>9.6999999999999957</v>
          </cell>
          <cell r="K984">
            <v>9.6999999999999922</v>
          </cell>
          <cell r="L984">
            <v>9.6999999999999993</v>
          </cell>
          <cell r="Q984">
            <v>14657</v>
          </cell>
        </row>
        <row r="985">
          <cell r="I985">
            <v>37.580000000000013</v>
          </cell>
          <cell r="K985">
            <v>37.58</v>
          </cell>
          <cell r="L985">
            <v>37.580000000000027</v>
          </cell>
          <cell r="Q985">
            <v>14658</v>
          </cell>
        </row>
        <row r="986">
          <cell r="I986">
            <v>18.199999999999992</v>
          </cell>
          <cell r="K986">
            <v>18.199999999999985</v>
          </cell>
          <cell r="L986">
            <v>18.2</v>
          </cell>
          <cell r="Q986">
            <v>14659</v>
          </cell>
        </row>
        <row r="987">
          <cell r="I987">
            <v>67.006153846153865</v>
          </cell>
          <cell r="K987">
            <v>65.255207100591733</v>
          </cell>
          <cell r="L987">
            <v>68.757100591715997</v>
          </cell>
          <cell r="Q987">
            <v>14675</v>
          </cell>
        </row>
        <row r="988">
          <cell r="I988">
            <v>70.940384615384588</v>
          </cell>
          <cell r="K988">
            <v>69.463550295857985</v>
          </cell>
          <cell r="L988">
            <v>72.41721893491119</v>
          </cell>
          <cell r="Q988">
            <v>14685</v>
          </cell>
        </row>
        <row r="989">
          <cell r="I989">
            <v>117.3923076923077</v>
          </cell>
          <cell r="K989">
            <v>92.324497041420116</v>
          </cell>
          <cell r="L989">
            <v>142.46011834319529</v>
          </cell>
          <cell r="Q989">
            <v>14689</v>
          </cell>
        </row>
        <row r="990">
          <cell r="I990">
            <v>197.68769230769234</v>
          </cell>
          <cell r="K990">
            <v>145.42662721893493</v>
          </cell>
          <cell r="L990">
            <v>249.94875739644976</v>
          </cell>
          <cell r="Q990">
            <v>14711</v>
          </cell>
        </row>
        <row r="991">
          <cell r="I991">
            <v>315.92961538461554</v>
          </cell>
          <cell r="K991">
            <v>279.52707100591726</v>
          </cell>
          <cell r="L991">
            <v>352.33215976331383</v>
          </cell>
          <cell r="Q991">
            <v>14713</v>
          </cell>
        </row>
        <row r="992">
          <cell r="I992">
            <v>106.58640000000001</v>
          </cell>
          <cell r="K992">
            <v>96.819181065088785</v>
          </cell>
          <cell r="L992">
            <v>116.35361893491124</v>
          </cell>
          <cell r="Q992">
            <v>14720</v>
          </cell>
        </row>
        <row r="993">
          <cell r="I993">
            <v>0</v>
          </cell>
          <cell r="K993">
            <v>0</v>
          </cell>
          <cell r="L993">
            <v>0</v>
          </cell>
          <cell r="Q993">
            <v>14722</v>
          </cell>
        </row>
        <row r="994">
          <cell r="I994">
            <v>0</v>
          </cell>
          <cell r="K994">
            <v>0</v>
          </cell>
          <cell r="L994">
            <v>0</v>
          </cell>
          <cell r="Q994">
            <v>14723</v>
          </cell>
        </row>
        <row r="995">
          <cell r="I995">
            <v>90.373750000000001</v>
          </cell>
          <cell r="K995">
            <v>68.760625000000005</v>
          </cell>
          <cell r="L995">
            <v>111.986875</v>
          </cell>
          <cell r="Q995">
            <v>14741</v>
          </cell>
        </row>
        <row r="996">
          <cell r="I996">
            <v>75.749999999999986</v>
          </cell>
          <cell r="K996">
            <v>44.611333333333313</v>
          </cell>
          <cell r="L996">
            <v>106.88866666666667</v>
          </cell>
          <cell r="Q996">
            <v>14742</v>
          </cell>
        </row>
        <row r="997">
          <cell r="I997">
            <v>20</v>
          </cell>
          <cell r="K997">
            <v>11.111111111111112</v>
          </cell>
          <cell r="L997">
            <v>28.888888888888886</v>
          </cell>
          <cell r="Q997">
            <v>14753</v>
          </cell>
        </row>
        <row r="998">
          <cell r="I998">
            <v>857.18666666666695</v>
          </cell>
          <cell r="K998">
            <v>747.12125850340158</v>
          </cell>
          <cell r="L998">
            <v>967.25207482993233</v>
          </cell>
          <cell r="Q998">
            <v>14761</v>
          </cell>
        </row>
        <row r="999">
          <cell r="I999">
            <v>79.17307692307692</v>
          </cell>
          <cell r="K999">
            <v>45.574674556213019</v>
          </cell>
          <cell r="L999">
            <v>112.77147928994083</v>
          </cell>
          <cell r="Q999">
            <v>14762</v>
          </cell>
        </row>
        <row r="1000">
          <cell r="I1000">
            <v>63.53</v>
          </cell>
          <cell r="K1000">
            <v>54.404615384615383</v>
          </cell>
          <cell r="L1000">
            <v>72.655384615384619</v>
          </cell>
          <cell r="Q1000">
            <v>14763</v>
          </cell>
        </row>
        <row r="1001">
          <cell r="I1001">
            <v>103.98769230769231</v>
          </cell>
          <cell r="K1001">
            <v>84.321775147929003</v>
          </cell>
          <cell r="L1001">
            <v>123.65360946745562</v>
          </cell>
          <cell r="Q1001">
            <v>14767</v>
          </cell>
        </row>
        <row r="1002">
          <cell r="I1002">
            <v>192.30538461538455</v>
          </cell>
          <cell r="K1002">
            <v>158.77455621301772</v>
          </cell>
          <cell r="L1002">
            <v>225.83621301775139</v>
          </cell>
          <cell r="Q1002">
            <v>14773</v>
          </cell>
        </row>
        <row r="1003">
          <cell r="I1003">
            <v>139.28461538461536</v>
          </cell>
          <cell r="K1003">
            <v>130.5107692307692</v>
          </cell>
          <cell r="L1003">
            <v>148.05846153846153</v>
          </cell>
          <cell r="Q1003">
            <v>14783</v>
          </cell>
        </row>
        <row r="1004">
          <cell r="I1004">
            <v>43.473461538461528</v>
          </cell>
          <cell r="K1004">
            <v>42.550295857988154</v>
          </cell>
          <cell r="L1004">
            <v>44.396627218934903</v>
          </cell>
          <cell r="Q1004">
            <v>14784</v>
          </cell>
        </row>
        <row r="1005">
          <cell r="I1005">
            <v>26.114444444444437</v>
          </cell>
          <cell r="K1005">
            <v>21.413844444444432</v>
          </cell>
          <cell r="L1005">
            <v>30.815044444444442</v>
          </cell>
          <cell r="Q1005">
            <v>14785</v>
          </cell>
        </row>
        <row r="1006">
          <cell r="I1006">
            <v>187.24</v>
          </cell>
          <cell r="K1006">
            <v>93.7</v>
          </cell>
          <cell r="L1006">
            <v>280.78000000000003</v>
          </cell>
          <cell r="Q1006">
            <v>14797</v>
          </cell>
        </row>
        <row r="1007">
          <cell r="I1007">
            <v>302.07941176470592</v>
          </cell>
          <cell r="K1007">
            <v>121.6651181358971</v>
          </cell>
          <cell r="L1007">
            <v>482.49370539351474</v>
          </cell>
          <cell r="Q1007">
            <v>14814</v>
          </cell>
        </row>
        <row r="1008">
          <cell r="I1008">
            <v>41.054166666666667</v>
          </cell>
          <cell r="K1008">
            <v>35.223989151873766</v>
          </cell>
          <cell r="L1008">
            <v>46.884344181459568</v>
          </cell>
          <cell r="Q1008">
            <v>14816</v>
          </cell>
        </row>
        <row r="1009">
          <cell r="I1009">
            <v>443.59999999999997</v>
          </cell>
          <cell r="K1009">
            <v>325.54285714285709</v>
          </cell>
          <cell r="L1009">
            <v>561.65714285714284</v>
          </cell>
          <cell r="Q1009">
            <v>14821</v>
          </cell>
        </row>
        <row r="1010">
          <cell r="I1010">
            <v>137.0965384615385</v>
          </cell>
          <cell r="K1010">
            <v>128.08434911242608</v>
          </cell>
          <cell r="L1010">
            <v>146.10872781065092</v>
          </cell>
          <cell r="Q1010">
            <v>14837</v>
          </cell>
        </row>
        <row r="1011">
          <cell r="I1011">
            <v>137.95875000000001</v>
          </cell>
          <cell r="K1011">
            <v>81.649056122448997</v>
          </cell>
          <cell r="L1011">
            <v>194.26844387755102</v>
          </cell>
          <cell r="Q1011">
            <v>14845</v>
          </cell>
        </row>
        <row r="1012">
          <cell r="I1012">
            <v>153.64500000000001</v>
          </cell>
          <cell r="K1012">
            <v>123.85298353909467</v>
          </cell>
          <cell r="L1012">
            <v>183.43701646090534</v>
          </cell>
          <cell r="Q1012">
            <v>14853</v>
          </cell>
        </row>
        <row r="1013">
          <cell r="I1013">
            <v>112.89923076923067</v>
          </cell>
          <cell r="K1013">
            <v>103.68400443178203</v>
          </cell>
          <cell r="L1013">
            <v>122.11445710667931</v>
          </cell>
          <cell r="Q1013">
            <v>14869</v>
          </cell>
        </row>
        <row r="1014">
          <cell r="I1014">
            <v>166.28294117647064</v>
          </cell>
          <cell r="K1014">
            <v>30.266484033613494</v>
          </cell>
          <cell r="L1014">
            <v>302.29939831932779</v>
          </cell>
          <cell r="Q1014">
            <v>14894</v>
          </cell>
        </row>
        <row r="1015">
          <cell r="I1015">
            <v>107.69346153846156</v>
          </cell>
          <cell r="K1015">
            <v>104.58207100591719</v>
          </cell>
          <cell r="L1015">
            <v>110.80485207100594</v>
          </cell>
          <cell r="Q1015">
            <v>14922</v>
          </cell>
        </row>
        <row r="1016">
          <cell r="I1016">
            <v>50.307499999999997</v>
          </cell>
          <cell r="K1016">
            <v>27.948611111111109</v>
          </cell>
          <cell r="L1016">
            <v>72.666388888888889</v>
          </cell>
          <cell r="Q1016">
            <v>14935</v>
          </cell>
        </row>
        <row r="1017">
          <cell r="I1017">
            <v>58.615714285714276</v>
          </cell>
          <cell r="K1017">
            <v>54.015918367346927</v>
          </cell>
          <cell r="L1017">
            <v>63.215510204081625</v>
          </cell>
          <cell r="Q1017">
            <v>14936</v>
          </cell>
        </row>
        <row r="1018">
          <cell r="I1018">
            <v>45.991851851851862</v>
          </cell>
          <cell r="K1018">
            <v>45.457283950617295</v>
          </cell>
          <cell r="L1018">
            <v>46.526419753086429</v>
          </cell>
          <cell r="Q1018">
            <v>14938</v>
          </cell>
        </row>
        <row r="1019">
          <cell r="I1019">
            <v>123.00000000000004</v>
          </cell>
          <cell r="K1019">
            <v>104.02480000000003</v>
          </cell>
          <cell r="L1019">
            <v>141.97520000000006</v>
          </cell>
          <cell r="Q1019">
            <v>14945</v>
          </cell>
        </row>
        <row r="1020">
          <cell r="I1020">
            <v>57.292400000000008</v>
          </cell>
          <cell r="K1020">
            <v>41.163920000000005</v>
          </cell>
          <cell r="L1020">
            <v>73.420880000000011</v>
          </cell>
          <cell r="Q1020">
            <v>14950</v>
          </cell>
        </row>
        <row r="1021">
          <cell r="I1021">
            <v>604.70807692307699</v>
          </cell>
          <cell r="K1021">
            <v>577.75911242603559</v>
          </cell>
          <cell r="L1021">
            <v>631.65704142011839</v>
          </cell>
          <cell r="Q1021">
            <v>14956</v>
          </cell>
        </row>
        <row r="1022">
          <cell r="I1022">
            <v>488.05499999999978</v>
          </cell>
          <cell r="K1022">
            <v>458.67730769230764</v>
          </cell>
          <cell r="L1022">
            <v>517.43269230769192</v>
          </cell>
          <cell r="Q1022">
            <v>14957</v>
          </cell>
        </row>
        <row r="1023">
          <cell r="I1023">
            <v>72.354166666666671</v>
          </cell>
          <cell r="K1023">
            <v>60.718900394477323</v>
          </cell>
          <cell r="L1023">
            <v>83.989432938856027</v>
          </cell>
          <cell r="Q1023">
            <v>14958</v>
          </cell>
        </row>
        <row r="1024">
          <cell r="I1024">
            <v>34.341538461538462</v>
          </cell>
          <cell r="K1024">
            <v>33.709940828402367</v>
          </cell>
          <cell r="L1024">
            <v>34.973136094674558</v>
          </cell>
          <cell r="Q1024">
            <v>14985</v>
          </cell>
        </row>
        <row r="1025">
          <cell r="I1025">
            <v>148.00513513513516</v>
          </cell>
          <cell r="K1025">
            <v>84.20937180423671</v>
          </cell>
          <cell r="L1025">
            <v>211.80089846603363</v>
          </cell>
          <cell r="Q1025">
            <v>14986</v>
          </cell>
        </row>
        <row r="1026">
          <cell r="I1026">
            <v>77.927692307692325</v>
          </cell>
          <cell r="K1026">
            <v>52.255147928994091</v>
          </cell>
          <cell r="L1026">
            <v>103.60023668639056</v>
          </cell>
          <cell r="Q1026">
            <v>14987</v>
          </cell>
        </row>
        <row r="1027">
          <cell r="I1027">
            <v>125.31538461538464</v>
          </cell>
          <cell r="K1027">
            <v>115.93003482114598</v>
          </cell>
          <cell r="L1027">
            <v>134.70073440962332</v>
          </cell>
          <cell r="Q1027">
            <v>14988</v>
          </cell>
        </row>
        <row r="1028">
          <cell r="I1028">
            <v>116.78</v>
          </cell>
          <cell r="K1028">
            <v>79.117499999999993</v>
          </cell>
          <cell r="L1028">
            <v>154.4425</v>
          </cell>
          <cell r="Q1028">
            <v>14989</v>
          </cell>
        </row>
        <row r="1029">
          <cell r="I1029">
            <v>49.19714285714285</v>
          </cell>
          <cell r="K1029">
            <v>48.775918367346925</v>
          </cell>
          <cell r="L1029">
            <v>49.618367346938776</v>
          </cell>
          <cell r="Q1029">
            <v>14990</v>
          </cell>
        </row>
        <row r="1030">
          <cell r="I1030">
            <v>95.334615384615375</v>
          </cell>
          <cell r="K1030">
            <v>67.992393162393142</v>
          </cell>
          <cell r="L1030">
            <v>122.67683760683761</v>
          </cell>
          <cell r="Q1030">
            <v>14991</v>
          </cell>
        </row>
        <row r="1031">
          <cell r="I1031">
            <v>32.291923076923077</v>
          </cell>
          <cell r="K1031">
            <v>14.317100591715985</v>
          </cell>
          <cell r="L1031">
            <v>50.266745562130168</v>
          </cell>
          <cell r="Q1031">
            <v>14992</v>
          </cell>
        </row>
        <row r="1032">
          <cell r="I1032">
            <v>20.632727272727276</v>
          </cell>
          <cell r="K1032">
            <v>20.389752066115708</v>
          </cell>
          <cell r="L1032">
            <v>20.875702479338845</v>
          </cell>
          <cell r="Q1032">
            <v>14993</v>
          </cell>
        </row>
        <row r="1033">
          <cell r="I1033">
            <v>37.432142857142857</v>
          </cell>
          <cell r="K1033">
            <v>35.385204081632651</v>
          </cell>
          <cell r="L1033">
            <v>39.479081632653063</v>
          </cell>
          <cell r="Q1033">
            <v>14994</v>
          </cell>
        </row>
        <row r="1034">
          <cell r="I1034">
            <v>4.9000000000000004</v>
          </cell>
          <cell r="K1034">
            <v>2.7222222222222223</v>
          </cell>
          <cell r="L1034">
            <v>7.0777777777777784</v>
          </cell>
          <cell r="Q1034">
            <v>14996</v>
          </cell>
        </row>
        <row r="1035">
          <cell r="I1035">
            <v>20.975384615384616</v>
          </cell>
          <cell r="K1035">
            <v>19.772544378698225</v>
          </cell>
          <cell r="L1035">
            <v>22.178224852071008</v>
          </cell>
          <cell r="Q1035">
            <v>14997</v>
          </cell>
        </row>
        <row r="1036">
          <cell r="I1036">
            <v>20</v>
          </cell>
          <cell r="K1036">
            <v>17.159763313609467</v>
          </cell>
          <cell r="L1036">
            <v>22.840236686390533</v>
          </cell>
          <cell r="Q1036">
            <v>14998</v>
          </cell>
        </row>
        <row r="1037">
          <cell r="I1037">
            <v>17.984999999999999</v>
          </cell>
          <cell r="K1037">
            <v>17.501666666666665</v>
          </cell>
          <cell r="L1037">
            <v>18.468333333333334</v>
          </cell>
          <cell r="Q1037">
            <v>14999</v>
          </cell>
        </row>
        <row r="1038">
          <cell r="I1038">
            <v>21.617499999999996</v>
          </cell>
          <cell r="K1038">
            <v>16.323418367346935</v>
          </cell>
          <cell r="L1038">
            <v>26.911581632653057</v>
          </cell>
          <cell r="Q1038">
            <v>15000</v>
          </cell>
        </row>
        <row r="1039">
          <cell r="I1039">
            <v>41.471538461538472</v>
          </cell>
          <cell r="K1039">
            <v>41.021360946745574</v>
          </cell>
          <cell r="L1039">
            <v>41.92171597633137</v>
          </cell>
          <cell r="Q1039">
            <v>15001</v>
          </cell>
        </row>
        <row r="1040">
          <cell r="I1040">
            <v>20.271538461538459</v>
          </cell>
          <cell r="K1040">
            <v>19.821360946745557</v>
          </cell>
          <cell r="L1040">
            <v>20.72171597633136</v>
          </cell>
          <cell r="Q1040">
            <v>15002</v>
          </cell>
        </row>
        <row r="1041">
          <cell r="I1041">
            <v>19.899999999999999</v>
          </cell>
          <cell r="K1041">
            <v>6.6333333333333329</v>
          </cell>
          <cell r="L1041">
            <v>33.166666666666664</v>
          </cell>
          <cell r="Q1041">
            <v>15004</v>
          </cell>
        </row>
        <row r="1042">
          <cell r="I1042">
            <v>20</v>
          </cell>
          <cell r="K1042">
            <v>15.102040816326529</v>
          </cell>
          <cell r="L1042">
            <v>24.897959183673471</v>
          </cell>
          <cell r="Q1042">
            <v>15005</v>
          </cell>
        </row>
        <row r="1043">
          <cell r="I1043">
            <v>42.331538461538457</v>
          </cell>
          <cell r="K1043">
            <v>25.61378698224852</v>
          </cell>
          <cell r="L1043">
            <v>59.049289940828395</v>
          </cell>
          <cell r="Q1043">
            <v>15006</v>
          </cell>
        </row>
        <row r="1044">
          <cell r="I1044">
            <v>164.39857142857142</v>
          </cell>
          <cell r="K1044">
            <v>127.13959183673467</v>
          </cell>
          <cell r="L1044">
            <v>201.65755102040816</v>
          </cell>
          <cell r="Q1044">
            <v>15007</v>
          </cell>
        </row>
        <row r="1045">
          <cell r="I1045">
            <v>22.450769230769232</v>
          </cell>
          <cell r="K1045">
            <v>21.957869822485208</v>
          </cell>
          <cell r="L1045">
            <v>22.943668639053257</v>
          </cell>
          <cell r="Q1045">
            <v>15008</v>
          </cell>
        </row>
        <row r="1046">
          <cell r="I1046">
            <v>57.73857142857144</v>
          </cell>
          <cell r="K1046">
            <v>47.750816326530625</v>
          </cell>
          <cell r="L1046">
            <v>67.726326530612255</v>
          </cell>
          <cell r="Q1046">
            <v>15009</v>
          </cell>
        </row>
        <row r="1047">
          <cell r="I1047">
            <v>42.994166666666672</v>
          </cell>
          <cell r="K1047">
            <v>36.888486193293893</v>
          </cell>
          <cell r="L1047">
            <v>49.099847140039451</v>
          </cell>
          <cell r="Q1047">
            <v>15010</v>
          </cell>
        </row>
        <row r="1048">
          <cell r="I1048">
            <v>35.559999999999995</v>
          </cell>
          <cell r="K1048">
            <v>27.289876543209871</v>
          </cell>
          <cell r="L1048">
            <v>43.830123456790119</v>
          </cell>
          <cell r="Q1048">
            <v>15011</v>
          </cell>
        </row>
        <row r="1049">
          <cell r="I1049">
            <v>109.06076923076924</v>
          </cell>
          <cell r="K1049">
            <v>108.56786982248522</v>
          </cell>
          <cell r="L1049">
            <v>109.55366863905326</v>
          </cell>
          <cell r="Q1049">
            <v>15012</v>
          </cell>
        </row>
        <row r="1050">
          <cell r="I1050">
            <v>21.760769230769235</v>
          </cell>
          <cell r="K1050">
            <v>21.267869822485213</v>
          </cell>
          <cell r="L1050">
            <v>22.253668639053256</v>
          </cell>
          <cell r="Q1050">
            <v>15013</v>
          </cell>
        </row>
        <row r="1051">
          <cell r="I1051">
            <v>22.790769230769225</v>
          </cell>
          <cell r="K1051">
            <v>22.2978698224852</v>
          </cell>
          <cell r="L1051">
            <v>23.28366863905325</v>
          </cell>
          <cell r="Q1051">
            <v>15014</v>
          </cell>
        </row>
        <row r="1052">
          <cell r="I1052">
            <v>36.994615384615386</v>
          </cell>
          <cell r="K1052">
            <v>30.892721893491125</v>
          </cell>
          <cell r="L1052">
            <v>43.096508875739652</v>
          </cell>
          <cell r="Q1052">
            <v>15015</v>
          </cell>
        </row>
        <row r="1053">
          <cell r="I1053">
            <v>41.420000000000009</v>
          </cell>
          <cell r="K1053">
            <v>41.42</v>
          </cell>
          <cell r="L1053">
            <v>41.420000000000016</v>
          </cell>
          <cell r="Q1053">
            <v>15017</v>
          </cell>
        </row>
        <row r="1054">
          <cell r="I1054">
            <v>20</v>
          </cell>
          <cell r="K1054">
            <v>20</v>
          </cell>
          <cell r="L1054">
            <v>20</v>
          </cell>
          <cell r="Q1054">
            <v>15018</v>
          </cell>
        </row>
        <row r="1055">
          <cell r="I1055">
            <v>42.335714285714289</v>
          </cell>
          <cell r="K1055">
            <v>41.967959183673472</v>
          </cell>
          <cell r="L1055">
            <v>42.703469387755106</v>
          </cell>
          <cell r="Q1055">
            <v>15019</v>
          </cell>
        </row>
        <row r="1056">
          <cell r="I1056">
            <v>38.884</v>
          </cell>
          <cell r="K1056">
            <v>28.082888888888888</v>
          </cell>
          <cell r="L1056">
            <v>49.685111111111112</v>
          </cell>
          <cell r="Q1056">
            <v>15020</v>
          </cell>
        </row>
        <row r="1057">
          <cell r="I1057">
            <v>67.265000000000001</v>
          </cell>
          <cell r="K1057">
            <v>66.781666666666666</v>
          </cell>
          <cell r="L1057">
            <v>67.748333333333335</v>
          </cell>
          <cell r="Q1057">
            <v>15021</v>
          </cell>
        </row>
        <row r="1058">
          <cell r="I1058">
            <v>17.170000000000002</v>
          </cell>
          <cell r="K1058">
            <v>12.40055555555556</v>
          </cell>
          <cell r="L1058">
            <v>21.939444444444444</v>
          </cell>
          <cell r="Q1058">
            <v>15022</v>
          </cell>
        </row>
        <row r="1059">
          <cell r="I1059">
            <v>25.520000000000003</v>
          </cell>
          <cell r="K1059">
            <v>13.775000000000002</v>
          </cell>
          <cell r="L1059">
            <v>37.265000000000001</v>
          </cell>
          <cell r="Q1059">
            <v>15023</v>
          </cell>
        </row>
        <row r="1060">
          <cell r="I1060">
            <v>41.24</v>
          </cell>
          <cell r="K1060">
            <v>23.713333333333342</v>
          </cell>
          <cell r="L1060">
            <v>58.766666666666666</v>
          </cell>
          <cell r="Q1060">
            <v>15024</v>
          </cell>
        </row>
        <row r="1061">
          <cell r="I1061">
            <v>104.25857142857141</v>
          </cell>
          <cell r="K1061">
            <v>103.7712244897959</v>
          </cell>
          <cell r="L1061">
            <v>104.74591836734693</v>
          </cell>
          <cell r="Q1061">
            <v>15025</v>
          </cell>
        </row>
        <row r="1062">
          <cell r="I1062">
            <v>43.758571428571429</v>
          </cell>
          <cell r="K1062">
            <v>43.27122448979592</v>
          </cell>
          <cell r="L1062">
            <v>44.245918367346938</v>
          </cell>
          <cell r="Q1062">
            <v>15026</v>
          </cell>
        </row>
        <row r="1063">
          <cell r="I1063">
            <v>43.921428571428571</v>
          </cell>
          <cell r="K1063">
            <v>37.701836734693877</v>
          </cell>
          <cell r="L1063">
            <v>50.141020408163264</v>
          </cell>
          <cell r="Q1063">
            <v>15027</v>
          </cell>
        </row>
        <row r="1064">
          <cell r="I1064">
            <v>28.569999999999997</v>
          </cell>
          <cell r="K1064">
            <v>28.19285714285714</v>
          </cell>
          <cell r="L1064">
            <v>28.947142857142854</v>
          </cell>
          <cell r="Q1064">
            <v>15028</v>
          </cell>
        </row>
        <row r="1065">
          <cell r="I1065">
            <v>19.688571428571429</v>
          </cell>
          <cell r="K1065">
            <v>19.201224489795919</v>
          </cell>
          <cell r="L1065">
            <v>20.175918367346938</v>
          </cell>
          <cell r="Q1065">
            <v>15029</v>
          </cell>
        </row>
        <row r="1066">
          <cell r="I1066">
            <v>30.68</v>
          </cell>
          <cell r="K1066">
            <v>30.68</v>
          </cell>
          <cell r="L1066">
            <v>30.68</v>
          </cell>
          <cell r="Q1066">
            <v>15030</v>
          </cell>
        </row>
        <row r="1067">
          <cell r="I1067">
            <v>72.537307692307721</v>
          </cell>
          <cell r="K1067">
            <v>72.095887573964532</v>
          </cell>
          <cell r="L1067">
            <v>72.978727810650909</v>
          </cell>
          <cell r="Q1067">
            <v>15031</v>
          </cell>
        </row>
        <row r="1068">
          <cell r="I1068">
            <v>98.509999999999991</v>
          </cell>
          <cell r="K1068">
            <v>71.422154195011331</v>
          </cell>
          <cell r="L1068">
            <v>125.59784580498865</v>
          </cell>
          <cell r="Q1068">
            <v>15032</v>
          </cell>
        </row>
        <row r="1069">
          <cell r="I1069">
            <v>32.08</v>
          </cell>
          <cell r="K1069">
            <v>25.531124260355025</v>
          </cell>
          <cell r="L1069">
            <v>38.628875739644968</v>
          </cell>
          <cell r="Q1069">
            <v>15033</v>
          </cell>
        </row>
        <row r="1070">
          <cell r="I1070">
            <v>179.04639999999995</v>
          </cell>
          <cell r="K1070">
            <v>119.65318399999998</v>
          </cell>
          <cell r="L1070">
            <v>238.43961599999992</v>
          </cell>
          <cell r="Q1070">
            <v>15034</v>
          </cell>
        </row>
        <row r="1071">
          <cell r="I1071">
            <v>127.99153846153844</v>
          </cell>
          <cell r="K1071">
            <v>83.29954866562008</v>
          </cell>
          <cell r="L1071">
            <v>172.6835282574568</v>
          </cell>
          <cell r="Q1071">
            <v>15036</v>
          </cell>
        </row>
        <row r="1072">
          <cell r="I1072">
            <v>60.937083333333334</v>
          </cell>
          <cell r="K1072">
            <v>41.980633629191331</v>
          </cell>
          <cell r="L1072">
            <v>79.893533037475336</v>
          </cell>
          <cell r="Q1072">
            <v>15037</v>
          </cell>
        </row>
        <row r="1073">
          <cell r="I1073">
            <v>29.187307692307677</v>
          </cell>
          <cell r="K1073">
            <v>28.745887573964474</v>
          </cell>
          <cell r="L1073">
            <v>29.628727810650879</v>
          </cell>
          <cell r="Q1073">
            <v>15038</v>
          </cell>
        </row>
        <row r="1074">
          <cell r="I1074">
            <v>29.364799999999995</v>
          </cell>
          <cell r="K1074">
            <v>27.190362130177505</v>
          </cell>
          <cell r="L1074">
            <v>31.539237869822486</v>
          </cell>
          <cell r="Q1074">
            <v>15040</v>
          </cell>
        </row>
        <row r="1075">
          <cell r="I1075">
            <v>92.460000000000022</v>
          </cell>
          <cell r="K1075">
            <v>81.272307692307692</v>
          </cell>
          <cell r="L1075">
            <v>103.64769230769235</v>
          </cell>
          <cell r="Q1075">
            <v>15042</v>
          </cell>
        </row>
        <row r="1076">
          <cell r="I1076">
            <v>80.857692307692304</v>
          </cell>
          <cell r="K1076">
            <v>62.267514792899405</v>
          </cell>
          <cell r="L1076">
            <v>99.447869822485202</v>
          </cell>
          <cell r="Q1076">
            <v>15043</v>
          </cell>
        </row>
        <row r="1077">
          <cell r="I1077">
            <v>31.143076923076926</v>
          </cell>
          <cell r="K1077">
            <v>30.710414201183436</v>
          </cell>
          <cell r="L1077">
            <v>31.575739644970415</v>
          </cell>
          <cell r="Q1077">
            <v>15044</v>
          </cell>
        </row>
        <row r="1078">
          <cell r="I1078">
            <v>17</v>
          </cell>
          <cell r="K1078">
            <v>17</v>
          </cell>
          <cell r="L1078">
            <v>17</v>
          </cell>
          <cell r="Q1078">
            <v>15045</v>
          </cell>
        </row>
        <row r="1079">
          <cell r="I1079">
            <v>54.240000000000009</v>
          </cell>
          <cell r="K1079">
            <v>34.635555555555563</v>
          </cell>
          <cell r="L1079">
            <v>73.844444444444463</v>
          </cell>
          <cell r="Q1079">
            <v>15046</v>
          </cell>
        </row>
        <row r="1080">
          <cell r="I1080">
            <v>129.50153846153847</v>
          </cell>
          <cell r="K1080">
            <v>127.04733727810651</v>
          </cell>
          <cell r="L1080">
            <v>131.95573964497044</v>
          </cell>
          <cell r="Q1080">
            <v>15047</v>
          </cell>
        </row>
        <row r="1081">
          <cell r="I1081">
            <v>123.34222222222222</v>
          </cell>
          <cell r="K1081">
            <v>77.088888888888874</v>
          </cell>
          <cell r="L1081">
            <v>169.59555555555556</v>
          </cell>
          <cell r="Q1081">
            <v>15048</v>
          </cell>
        </row>
        <row r="1082">
          <cell r="I1082">
            <v>15.827142857142858</v>
          </cell>
          <cell r="K1082">
            <v>15.594489795918369</v>
          </cell>
          <cell r="L1082">
            <v>16.059795918367346</v>
          </cell>
          <cell r="Q1082">
            <v>15050</v>
          </cell>
        </row>
        <row r="1083">
          <cell r="I1083">
            <v>69.071538461538481</v>
          </cell>
          <cell r="K1083">
            <v>51.855562130177525</v>
          </cell>
          <cell r="L1083">
            <v>86.287514792899429</v>
          </cell>
          <cell r="Q1083">
            <v>15052</v>
          </cell>
        </row>
        <row r="1084">
          <cell r="I1084">
            <v>12.238461538461538</v>
          </cell>
          <cell r="K1084">
            <v>9.0013017751479278</v>
          </cell>
          <cell r="L1084">
            <v>15.475621301775147</v>
          </cell>
          <cell r="Q1084">
            <v>15053</v>
          </cell>
        </row>
        <row r="1085">
          <cell r="I1085">
            <v>50.321538461538459</v>
          </cell>
          <cell r="K1085">
            <v>49.871360946745561</v>
          </cell>
          <cell r="L1085">
            <v>50.771715976331357</v>
          </cell>
          <cell r="Q1085">
            <v>15054</v>
          </cell>
        </row>
        <row r="1086">
          <cell r="I1086">
            <v>61.257142857142853</v>
          </cell>
          <cell r="K1086">
            <v>60.835918367346935</v>
          </cell>
          <cell r="L1086">
            <v>61.678367346938771</v>
          </cell>
          <cell r="Q1086">
            <v>15055</v>
          </cell>
        </row>
        <row r="1087">
          <cell r="I1087">
            <v>24.642142857142858</v>
          </cell>
          <cell r="K1087">
            <v>11.768775510204083</v>
          </cell>
          <cell r="L1087">
            <v>37.515510204081636</v>
          </cell>
          <cell r="Q1087">
            <v>15057</v>
          </cell>
        </row>
        <row r="1088">
          <cell r="I1088">
            <v>62.797499999999999</v>
          </cell>
          <cell r="K1088">
            <v>18.895833333333336</v>
          </cell>
          <cell r="L1088">
            <v>106.69916666666666</v>
          </cell>
          <cell r="Q1088">
            <v>15058</v>
          </cell>
        </row>
        <row r="1089">
          <cell r="I1089">
            <v>13.473333333333336</v>
          </cell>
          <cell r="K1089">
            <v>13.371111111111116</v>
          </cell>
          <cell r="L1089">
            <v>13.575555555555557</v>
          </cell>
          <cell r="Q1089">
            <v>15059</v>
          </cell>
        </row>
        <row r="1090">
          <cell r="I1090">
            <v>74.38666666666667</v>
          </cell>
          <cell r="K1090">
            <v>50.486666666666672</v>
          </cell>
          <cell r="L1090">
            <v>98.286666666666662</v>
          </cell>
          <cell r="Q1090">
            <v>15060</v>
          </cell>
        </row>
        <row r="1091">
          <cell r="I1091">
            <v>26.23714285714286</v>
          </cell>
          <cell r="K1091">
            <v>25.815918367346942</v>
          </cell>
          <cell r="L1091">
            <v>26.658367346938778</v>
          </cell>
          <cell r="Q1091">
            <v>15061</v>
          </cell>
        </row>
        <row r="1092">
          <cell r="I1092">
            <v>0</v>
          </cell>
          <cell r="K1092">
            <v>0</v>
          </cell>
          <cell r="L1092">
            <v>0</v>
          </cell>
          <cell r="Q1092">
            <v>15062</v>
          </cell>
        </row>
        <row r="1093">
          <cell r="I1093">
            <v>20.86884615384615</v>
          </cell>
          <cell r="K1093">
            <v>20.606568047337273</v>
          </cell>
          <cell r="L1093">
            <v>21.131124260355026</v>
          </cell>
          <cell r="Q1093">
            <v>15063</v>
          </cell>
        </row>
        <row r="1094">
          <cell r="I1094">
            <v>29.608749999999997</v>
          </cell>
          <cell r="K1094">
            <v>20.133688271604939</v>
          </cell>
          <cell r="L1094">
            <v>39.083811728395055</v>
          </cell>
          <cell r="Q1094">
            <v>15064</v>
          </cell>
        </row>
        <row r="1095">
          <cell r="I1095">
            <v>29.510434782608694</v>
          </cell>
          <cell r="K1095">
            <v>11.618420893719811</v>
          </cell>
          <cell r="L1095">
            <v>47.402448671497581</v>
          </cell>
          <cell r="Q1095">
            <v>15065</v>
          </cell>
        </row>
        <row r="1096">
          <cell r="I1096">
            <v>20.750384615384618</v>
          </cell>
          <cell r="K1096">
            <v>20.383195266272192</v>
          </cell>
          <cell r="L1096">
            <v>21.117573964497044</v>
          </cell>
          <cell r="Q1096">
            <v>15066</v>
          </cell>
        </row>
        <row r="1097">
          <cell r="I1097">
            <v>68.739615384615391</v>
          </cell>
          <cell r="K1097">
            <v>68.179112426035516</v>
          </cell>
          <cell r="L1097">
            <v>69.300118343195265</v>
          </cell>
          <cell r="Q1097">
            <v>15067</v>
          </cell>
        </row>
        <row r="1098">
          <cell r="I1098">
            <v>19.446153846153845</v>
          </cell>
          <cell r="K1098">
            <v>18.825739644970412</v>
          </cell>
          <cell r="L1098">
            <v>20.066568047337277</v>
          </cell>
          <cell r="Q1098">
            <v>15068</v>
          </cell>
        </row>
        <row r="1099">
          <cell r="I1099">
            <v>82.695384615384611</v>
          </cell>
          <cell r="K1099">
            <v>77.030236686390523</v>
          </cell>
          <cell r="L1099">
            <v>88.3605325443787</v>
          </cell>
          <cell r="Q1099">
            <v>15069</v>
          </cell>
        </row>
        <row r="1100">
          <cell r="I1100">
            <v>99.738800000000012</v>
          </cell>
          <cell r="K1100">
            <v>80.425603840877926</v>
          </cell>
          <cell r="L1100">
            <v>119.0519961591221</v>
          </cell>
          <cell r="Q1100">
            <v>15070</v>
          </cell>
        </row>
        <row r="1101">
          <cell r="I1101">
            <v>13.436153846153854</v>
          </cell>
          <cell r="K1101">
            <v>12.815739644970424</v>
          </cell>
          <cell r="L1101">
            <v>14.056568047337283</v>
          </cell>
          <cell r="Q1101">
            <v>15071</v>
          </cell>
        </row>
        <row r="1102">
          <cell r="I1102">
            <v>54.365925925925907</v>
          </cell>
          <cell r="K1102">
            <v>26.226948148148143</v>
          </cell>
          <cell r="L1102">
            <v>82.504903703703675</v>
          </cell>
          <cell r="Q1102">
            <v>15072</v>
          </cell>
        </row>
        <row r="1103">
          <cell r="I1103">
            <v>110.15592592592591</v>
          </cell>
          <cell r="K1103">
            <v>81.258502456538167</v>
          </cell>
          <cell r="L1103">
            <v>139.05334939531366</v>
          </cell>
          <cell r="Q1103">
            <v>15074</v>
          </cell>
        </row>
        <row r="1104">
          <cell r="I1104">
            <v>50.424800000000012</v>
          </cell>
          <cell r="K1104">
            <v>22.785046913580253</v>
          </cell>
          <cell r="L1104">
            <v>78.064553086419778</v>
          </cell>
          <cell r="Q1104">
            <v>15075</v>
          </cell>
        </row>
        <row r="1105">
          <cell r="I1105">
            <v>26.652307692307698</v>
          </cell>
          <cell r="K1105">
            <v>20.696449704142015</v>
          </cell>
          <cell r="L1105">
            <v>32.608165680473384</v>
          </cell>
          <cell r="Q1105">
            <v>15076</v>
          </cell>
        </row>
        <row r="1106">
          <cell r="I1106">
            <v>32.355000000000004</v>
          </cell>
          <cell r="K1106">
            <v>20.868017751479293</v>
          </cell>
          <cell r="L1106">
            <v>43.841982248520715</v>
          </cell>
          <cell r="Q1106">
            <v>15077</v>
          </cell>
        </row>
        <row r="1107">
          <cell r="I1107">
            <v>73.951153846153844</v>
          </cell>
          <cell r="K1107">
            <v>53.321538461538452</v>
          </cell>
          <cell r="L1107">
            <v>94.580769230769235</v>
          </cell>
          <cell r="Q1107">
            <v>15078</v>
          </cell>
        </row>
        <row r="1108">
          <cell r="I1108">
            <v>35.606153846153866</v>
          </cell>
          <cell r="K1108">
            <v>33.255917159763321</v>
          </cell>
          <cell r="L1108">
            <v>37.956390532544411</v>
          </cell>
          <cell r="Q1108">
            <v>15079</v>
          </cell>
        </row>
        <row r="1109">
          <cell r="I1109">
            <v>41.482142857142847</v>
          </cell>
          <cell r="K1109">
            <v>40.216122448979576</v>
          </cell>
          <cell r="L1109">
            <v>42.748163265306118</v>
          </cell>
          <cell r="Q1109">
            <v>15081</v>
          </cell>
        </row>
        <row r="1110">
          <cell r="I1110">
            <v>92.671538461538518</v>
          </cell>
          <cell r="K1110">
            <v>90.070828402366942</v>
          </cell>
          <cell r="L1110">
            <v>95.272248520710093</v>
          </cell>
          <cell r="Q1110">
            <v>15082</v>
          </cell>
        </row>
        <row r="1111">
          <cell r="I1111">
            <v>143.14000000000001</v>
          </cell>
          <cell r="K1111">
            <v>103.21239795918369</v>
          </cell>
          <cell r="L1111">
            <v>183.06760204081633</v>
          </cell>
          <cell r="Q1111">
            <v>15083</v>
          </cell>
        </row>
        <row r="1112">
          <cell r="I1112">
            <v>139.37222222222221</v>
          </cell>
          <cell r="K1112">
            <v>97.301604938271595</v>
          </cell>
          <cell r="L1112">
            <v>181.44283950617282</v>
          </cell>
          <cell r="Q1112">
            <v>15084</v>
          </cell>
        </row>
        <row r="1113">
          <cell r="I1113">
            <v>10</v>
          </cell>
          <cell r="K1113">
            <v>0</v>
          </cell>
          <cell r="L1113">
            <v>21.111111111111107</v>
          </cell>
          <cell r="Q1113">
            <v>15085</v>
          </cell>
        </row>
        <row r="1114">
          <cell r="I1114">
            <v>25.304615384615381</v>
          </cell>
          <cell r="K1114">
            <v>25.117159763313605</v>
          </cell>
          <cell r="L1114">
            <v>25.492071005917158</v>
          </cell>
          <cell r="Q1114">
            <v>15086</v>
          </cell>
        </row>
        <row r="1115">
          <cell r="I1115">
            <v>35.122857142857143</v>
          </cell>
          <cell r="K1115">
            <v>29.500816326530611</v>
          </cell>
          <cell r="L1115">
            <v>40.744897959183675</v>
          </cell>
          <cell r="Q1115">
            <v>15087</v>
          </cell>
        </row>
        <row r="1116">
          <cell r="I1116">
            <v>50.581666666666671</v>
          </cell>
          <cell r="K1116">
            <v>39.514684418145961</v>
          </cell>
          <cell r="L1116">
            <v>61.64864891518738</v>
          </cell>
          <cell r="Q1116">
            <v>15088</v>
          </cell>
        </row>
        <row r="1117">
          <cell r="I1117">
            <v>14.68923076923077</v>
          </cell>
          <cell r="K1117">
            <v>13.830059171597634</v>
          </cell>
          <cell r="L1117">
            <v>15.548402366863906</v>
          </cell>
          <cell r="Q1117">
            <v>15089</v>
          </cell>
        </row>
        <row r="1118">
          <cell r="I1118">
            <v>23.943846153846152</v>
          </cell>
          <cell r="K1118">
            <v>15.523846153846153</v>
          </cell>
          <cell r="L1118">
            <v>32.363846153846154</v>
          </cell>
          <cell r="Q1118">
            <v>15090</v>
          </cell>
        </row>
        <row r="1119">
          <cell r="I1119">
            <v>17.943846153846152</v>
          </cell>
          <cell r="K1119">
            <v>12.631499215070646</v>
          </cell>
          <cell r="L1119">
            <v>23.256193092621658</v>
          </cell>
          <cell r="Q1119">
            <v>15091</v>
          </cell>
        </row>
        <row r="1120">
          <cell r="I1120">
            <v>20.728076923076927</v>
          </cell>
          <cell r="K1120">
            <v>19.607958579881657</v>
          </cell>
          <cell r="L1120">
            <v>21.848195266272196</v>
          </cell>
          <cell r="Q1120">
            <v>15092</v>
          </cell>
        </row>
        <row r="1121">
          <cell r="I1121">
            <v>23.846153846153847</v>
          </cell>
          <cell r="K1121">
            <v>19.761893491124262</v>
          </cell>
          <cell r="L1121">
            <v>27.930414201183432</v>
          </cell>
          <cell r="Q1121">
            <v>15093</v>
          </cell>
        </row>
        <row r="1122">
          <cell r="I1122">
            <v>138.43875</v>
          </cell>
          <cell r="K1122">
            <v>119.59</v>
          </cell>
          <cell r="L1122">
            <v>157.28749999999999</v>
          </cell>
          <cell r="Q1122">
            <v>15094</v>
          </cell>
        </row>
        <row r="1123">
          <cell r="I1123">
            <v>29.831538461538472</v>
          </cell>
          <cell r="K1123">
            <v>29.381360946745577</v>
          </cell>
          <cell r="L1123">
            <v>30.281715976331366</v>
          </cell>
          <cell r="Q1123">
            <v>15095</v>
          </cell>
        </row>
        <row r="1124">
          <cell r="I1124">
            <v>37.03125</v>
          </cell>
          <cell r="K1124">
            <v>29.290624999999999</v>
          </cell>
          <cell r="L1124">
            <v>44.771875000000001</v>
          </cell>
          <cell r="Q1124">
            <v>15096</v>
          </cell>
        </row>
        <row r="1125">
          <cell r="I1125">
            <v>71.218461538461554</v>
          </cell>
          <cell r="K1125">
            <v>67.632426035502974</v>
          </cell>
          <cell r="L1125">
            <v>74.804497041420134</v>
          </cell>
          <cell r="Q1125">
            <v>15097</v>
          </cell>
        </row>
        <row r="1126">
          <cell r="I1126">
            <v>28.105</v>
          </cell>
          <cell r="K1126">
            <v>27.621666666666666</v>
          </cell>
          <cell r="L1126">
            <v>28.588333333333335</v>
          </cell>
          <cell r="Q1126">
            <v>15098</v>
          </cell>
        </row>
        <row r="1127">
          <cell r="I1127">
            <v>60.655714285714289</v>
          </cell>
          <cell r="K1127">
            <v>59.965102040816333</v>
          </cell>
          <cell r="L1127">
            <v>61.346326530612245</v>
          </cell>
          <cell r="Q1127">
            <v>15101</v>
          </cell>
        </row>
        <row r="1128">
          <cell r="I1128">
            <v>55.272857142857156</v>
          </cell>
          <cell r="K1128">
            <v>54.636122448979606</v>
          </cell>
          <cell r="L1128">
            <v>55.909591836734705</v>
          </cell>
          <cell r="Q1128">
            <v>15102</v>
          </cell>
        </row>
        <row r="1129">
          <cell r="I1129">
            <v>144.49299999999999</v>
          </cell>
          <cell r="K1129">
            <v>90.938199999999995</v>
          </cell>
          <cell r="L1129">
            <v>198.0478</v>
          </cell>
          <cell r="Q1129">
            <v>15105</v>
          </cell>
        </row>
        <row r="1130">
          <cell r="I1130">
            <v>34.067692307692305</v>
          </cell>
          <cell r="K1130">
            <v>21.713846153846156</v>
          </cell>
          <cell r="L1130">
            <v>46.421538461538454</v>
          </cell>
          <cell r="Q1130">
            <v>15106</v>
          </cell>
        </row>
        <row r="1131">
          <cell r="I1131">
            <v>277.65777777777777</v>
          </cell>
          <cell r="K1131">
            <v>243.94012471655327</v>
          </cell>
          <cell r="L1131">
            <v>311.37543083900226</v>
          </cell>
          <cell r="Q1131">
            <v>15107</v>
          </cell>
        </row>
        <row r="1132">
          <cell r="I1132">
            <v>53.211923076923057</v>
          </cell>
          <cell r="K1132">
            <v>52.191390532544361</v>
          </cell>
          <cell r="L1132">
            <v>54.232455621301753</v>
          </cell>
          <cell r="Q1132">
            <v>15108</v>
          </cell>
        </row>
        <row r="1133">
          <cell r="I1133">
            <v>30.791499999999992</v>
          </cell>
          <cell r="K1133">
            <v>11.318846938775501</v>
          </cell>
          <cell r="L1133">
            <v>50.264153061224484</v>
          </cell>
          <cell r="Q1133">
            <v>15111</v>
          </cell>
        </row>
        <row r="1134">
          <cell r="I1134">
            <v>48.926666666666669</v>
          </cell>
          <cell r="K1134">
            <v>36.944625850340138</v>
          </cell>
          <cell r="L1134">
            <v>60.908707482993201</v>
          </cell>
          <cell r="Q1134">
            <v>15112</v>
          </cell>
        </row>
        <row r="1135">
          <cell r="I1135">
            <v>49.508695652173927</v>
          </cell>
          <cell r="K1135">
            <v>34.854935652173936</v>
          </cell>
          <cell r="L1135">
            <v>64.162455652173918</v>
          </cell>
          <cell r="Q1135">
            <v>15113</v>
          </cell>
        </row>
        <row r="1136">
          <cell r="I1136">
            <v>61.314999999999998</v>
          </cell>
          <cell r="K1136">
            <v>59.039999999999992</v>
          </cell>
          <cell r="L1136">
            <v>63.59</v>
          </cell>
          <cell r="Q1136">
            <v>15114</v>
          </cell>
        </row>
        <row r="1137">
          <cell r="I1137">
            <v>44.314230769230775</v>
          </cell>
          <cell r="K1137">
            <v>28.479585798816576</v>
          </cell>
          <cell r="L1137">
            <v>60.148875739644978</v>
          </cell>
          <cell r="Q1137">
            <v>15115</v>
          </cell>
        </row>
        <row r="1138">
          <cell r="I1138">
            <v>30.596666666666668</v>
          </cell>
          <cell r="K1138">
            <v>29.965555555555554</v>
          </cell>
          <cell r="L1138">
            <v>31.227777777777781</v>
          </cell>
          <cell r="Q1138">
            <v>15116</v>
          </cell>
        </row>
        <row r="1139">
          <cell r="I1139">
            <v>40.619615384615379</v>
          </cell>
          <cell r="K1139">
            <v>37.871715976331359</v>
          </cell>
          <cell r="L1139">
            <v>43.367514792899399</v>
          </cell>
          <cell r="Q1139">
            <v>15117</v>
          </cell>
        </row>
        <row r="1140">
          <cell r="I1140">
            <v>48.05</v>
          </cell>
          <cell r="K1140">
            <v>26.694444444444443</v>
          </cell>
          <cell r="L1140">
            <v>69.405555555555551</v>
          </cell>
          <cell r="Q1140">
            <v>15118</v>
          </cell>
        </row>
        <row r="1141">
          <cell r="I1141">
            <v>60.666923076923062</v>
          </cell>
          <cell r="K1141">
            <v>60.09035502958578</v>
          </cell>
          <cell r="L1141">
            <v>61.243491124260345</v>
          </cell>
          <cell r="Q1141">
            <v>15121</v>
          </cell>
        </row>
        <row r="1142">
          <cell r="I1142">
            <v>120.55692307692304</v>
          </cell>
          <cell r="K1142">
            <v>102.14745562130173</v>
          </cell>
          <cell r="L1142">
            <v>138.96639053254435</v>
          </cell>
          <cell r="Q1142">
            <v>15122</v>
          </cell>
        </row>
        <row r="1143">
          <cell r="I1143">
            <v>36.594999999999985</v>
          </cell>
          <cell r="K1143">
            <v>35.941538461538443</v>
          </cell>
          <cell r="L1143">
            <v>37.248461538461527</v>
          </cell>
          <cell r="Q1143">
            <v>15123</v>
          </cell>
        </row>
        <row r="1144">
          <cell r="I1144">
            <v>38.707307692307673</v>
          </cell>
          <cell r="K1144">
            <v>38.26588757396447</v>
          </cell>
          <cell r="L1144">
            <v>39.148727810650875</v>
          </cell>
          <cell r="Q1144">
            <v>15124</v>
          </cell>
        </row>
        <row r="1145">
          <cell r="I1145">
            <v>42.146923076923073</v>
          </cell>
          <cell r="K1145">
            <v>41.570355029585791</v>
          </cell>
          <cell r="L1145">
            <v>42.723491124260356</v>
          </cell>
          <cell r="Q1145">
            <v>15125</v>
          </cell>
        </row>
        <row r="1146">
          <cell r="I1146">
            <v>57.497599999999991</v>
          </cell>
          <cell r="K1146">
            <v>47.216475171467749</v>
          </cell>
          <cell r="L1146">
            <v>67.778724828532233</v>
          </cell>
          <cell r="Q1146">
            <v>15126</v>
          </cell>
        </row>
        <row r="1147">
          <cell r="I1147">
            <v>78.266923076923092</v>
          </cell>
          <cell r="K1147">
            <v>68.362071005917173</v>
          </cell>
          <cell r="L1147">
            <v>88.171775147929011</v>
          </cell>
          <cell r="Q1147">
            <v>15127</v>
          </cell>
        </row>
        <row r="1148">
          <cell r="I1148">
            <v>100.02346153846155</v>
          </cell>
          <cell r="K1148">
            <v>83.721479289940831</v>
          </cell>
          <cell r="L1148">
            <v>116.32544378698226</v>
          </cell>
          <cell r="Q1148">
            <v>15128</v>
          </cell>
        </row>
        <row r="1149">
          <cell r="I1149">
            <v>19.636923076923075</v>
          </cell>
          <cell r="K1149">
            <v>19.060355029585796</v>
          </cell>
          <cell r="L1149">
            <v>20.213491124260354</v>
          </cell>
          <cell r="Q1149">
            <v>15129</v>
          </cell>
        </row>
        <row r="1150">
          <cell r="I1150">
            <v>0</v>
          </cell>
          <cell r="K1150">
            <v>0</v>
          </cell>
          <cell r="L1150">
            <v>0</v>
          </cell>
          <cell r="Q1150">
            <v>15130</v>
          </cell>
        </row>
        <row r="1151">
          <cell r="I1151">
            <v>37.400000000000013</v>
          </cell>
          <cell r="K1151">
            <v>28.952857142857141</v>
          </cell>
          <cell r="L1151">
            <v>45.847142857142885</v>
          </cell>
          <cell r="Q1151">
            <v>15131</v>
          </cell>
        </row>
        <row r="1152">
          <cell r="I1152">
            <v>29.133333333333336</v>
          </cell>
          <cell r="K1152">
            <v>18.998639455782317</v>
          </cell>
          <cell r="L1152">
            <v>39.268027210884355</v>
          </cell>
          <cell r="Q1152">
            <v>15132</v>
          </cell>
        </row>
        <row r="1153">
          <cell r="I1153">
            <v>34.151538461538465</v>
          </cell>
          <cell r="K1153">
            <v>30.625621301775148</v>
          </cell>
          <cell r="L1153">
            <v>37.677455621301782</v>
          </cell>
          <cell r="Q1153">
            <v>15133</v>
          </cell>
        </row>
        <row r="1154">
          <cell r="I1154">
            <v>81.048461538461552</v>
          </cell>
          <cell r="K1154">
            <v>70.29713500784932</v>
          </cell>
          <cell r="L1154">
            <v>91.799788069073784</v>
          </cell>
          <cell r="Q1154">
            <v>15134</v>
          </cell>
        </row>
        <row r="1155">
          <cell r="I1155">
            <v>122.67692307692309</v>
          </cell>
          <cell r="K1155">
            <v>79.864065934065948</v>
          </cell>
          <cell r="L1155">
            <v>165.48978021978024</v>
          </cell>
          <cell r="Q1155">
            <v>15135</v>
          </cell>
        </row>
        <row r="1156">
          <cell r="I1156">
            <v>37.566153846153846</v>
          </cell>
          <cell r="K1156">
            <v>36.463195266272187</v>
          </cell>
          <cell r="L1156">
            <v>38.669112426035504</v>
          </cell>
          <cell r="Q1156">
            <v>15136</v>
          </cell>
        </row>
        <row r="1157">
          <cell r="I1157">
            <v>95.465384615384593</v>
          </cell>
          <cell r="K1157">
            <v>58.950355029585779</v>
          </cell>
          <cell r="L1157">
            <v>131.98041420118341</v>
          </cell>
          <cell r="Q1157">
            <v>15137</v>
          </cell>
        </row>
        <row r="1158">
          <cell r="I1158">
            <v>26.17307692307692</v>
          </cell>
          <cell r="K1158">
            <v>19.52514792899408</v>
          </cell>
          <cell r="L1158">
            <v>32.821005917159759</v>
          </cell>
          <cell r="Q1158">
            <v>15138</v>
          </cell>
        </row>
        <row r="1159">
          <cell r="I1159">
            <v>178.05961538461531</v>
          </cell>
          <cell r="K1159">
            <v>176.0977810650887</v>
          </cell>
          <cell r="L1159">
            <v>180.02144970414193</v>
          </cell>
          <cell r="Q1159">
            <v>15140</v>
          </cell>
        </row>
        <row r="1160">
          <cell r="I1160">
            <v>46.034615384615378</v>
          </cell>
          <cell r="K1160">
            <v>44.285976331360942</v>
          </cell>
          <cell r="L1160">
            <v>47.783254437869815</v>
          </cell>
          <cell r="Q1160">
            <v>15141</v>
          </cell>
        </row>
        <row r="1161">
          <cell r="I1161">
            <v>127.12923076923077</v>
          </cell>
          <cell r="K1161">
            <v>120.46059171597634</v>
          </cell>
          <cell r="L1161">
            <v>133.79786982248521</v>
          </cell>
          <cell r="Q1161">
            <v>15142</v>
          </cell>
        </row>
        <row r="1162">
          <cell r="I1162">
            <v>42.45269230769231</v>
          </cell>
          <cell r="K1162">
            <v>21.001937849530446</v>
          </cell>
          <cell r="L1162">
            <v>63.90344676585417</v>
          </cell>
          <cell r="Q1162">
            <v>15144</v>
          </cell>
        </row>
        <row r="1163">
          <cell r="I1163">
            <v>62.671111111111117</v>
          </cell>
          <cell r="K1163">
            <v>40.590370370370366</v>
          </cell>
          <cell r="L1163">
            <v>84.751851851851868</v>
          </cell>
          <cell r="Q1163">
            <v>15145</v>
          </cell>
        </row>
        <row r="1164">
          <cell r="I1164">
            <v>75.593076923076922</v>
          </cell>
          <cell r="K1164">
            <v>55.564792899408289</v>
          </cell>
          <cell r="L1164">
            <v>95.621360946745554</v>
          </cell>
          <cell r="Q1164">
            <v>15146</v>
          </cell>
        </row>
        <row r="1165">
          <cell r="I1165">
            <v>50.458846153846153</v>
          </cell>
          <cell r="K1165">
            <v>39.209674556213017</v>
          </cell>
          <cell r="L1165">
            <v>61.708017751479289</v>
          </cell>
          <cell r="Q1165">
            <v>15147</v>
          </cell>
        </row>
        <row r="1166">
          <cell r="I1166">
            <v>22.561538461538458</v>
          </cell>
          <cell r="K1166">
            <v>22.111360946745556</v>
          </cell>
          <cell r="L1166">
            <v>23.011715976331359</v>
          </cell>
          <cell r="Q1166">
            <v>15148</v>
          </cell>
        </row>
        <row r="1167">
          <cell r="I1167">
            <v>71.205714285714279</v>
          </cell>
          <cell r="K1167">
            <v>62.093877551020405</v>
          </cell>
          <cell r="L1167">
            <v>80.31755102040816</v>
          </cell>
          <cell r="Q1167">
            <v>15149</v>
          </cell>
        </row>
        <row r="1168">
          <cell r="I1168">
            <v>24.431538461538459</v>
          </cell>
          <cell r="K1168">
            <v>23.981360946745557</v>
          </cell>
          <cell r="L1168">
            <v>24.88171597633136</v>
          </cell>
          <cell r="Q1168">
            <v>15150</v>
          </cell>
        </row>
        <row r="1169">
          <cell r="I1169">
            <v>27.326000000000001</v>
          </cell>
          <cell r="K1169">
            <v>14.516937500000001</v>
          </cell>
          <cell r="L1169">
            <v>40.135062500000004</v>
          </cell>
          <cell r="Q1169">
            <v>15151</v>
          </cell>
        </row>
        <row r="1170">
          <cell r="I1170">
            <v>42.07</v>
          </cell>
          <cell r="K1170">
            <v>42.07</v>
          </cell>
          <cell r="L1170">
            <v>42.07</v>
          </cell>
          <cell r="Q1170">
            <v>15152</v>
          </cell>
        </row>
        <row r="1171">
          <cell r="I1171">
            <v>35.425384615384615</v>
          </cell>
          <cell r="K1171">
            <v>34.598757396449706</v>
          </cell>
          <cell r="L1171">
            <v>36.252011834319525</v>
          </cell>
          <cell r="Q1171">
            <v>15153</v>
          </cell>
        </row>
        <row r="1172">
          <cell r="I1172">
            <v>45.560769230769246</v>
          </cell>
          <cell r="K1172">
            <v>45.067869822485228</v>
          </cell>
          <cell r="L1172">
            <v>46.053668639053264</v>
          </cell>
          <cell r="Q1172">
            <v>15154</v>
          </cell>
        </row>
        <row r="1173">
          <cell r="I1173">
            <v>23.944166666666671</v>
          </cell>
          <cell r="K1173">
            <v>20.543811637080879</v>
          </cell>
          <cell r="L1173">
            <v>27.344521696252464</v>
          </cell>
          <cell r="Q1173">
            <v>15155</v>
          </cell>
        </row>
        <row r="1174">
          <cell r="I1174">
            <v>47.813076923076927</v>
          </cell>
          <cell r="K1174">
            <v>29.663609467455629</v>
          </cell>
          <cell r="L1174">
            <v>65.962544378698226</v>
          </cell>
          <cell r="Q1174">
            <v>15156</v>
          </cell>
        </row>
        <row r="1175">
          <cell r="I1175">
            <v>59.515000000000001</v>
          </cell>
          <cell r="K1175">
            <v>53.423846153846149</v>
          </cell>
          <cell r="L1175">
            <v>65.606153846153845</v>
          </cell>
          <cell r="Q1175">
            <v>15157</v>
          </cell>
        </row>
        <row r="1176">
          <cell r="I1176">
            <v>56.198333333333331</v>
          </cell>
          <cell r="K1176">
            <v>38.154444444444437</v>
          </cell>
          <cell r="L1176">
            <v>74.242222222222225</v>
          </cell>
          <cell r="Q1176">
            <v>15158</v>
          </cell>
        </row>
        <row r="1177">
          <cell r="I1177">
            <v>42.648571428571422</v>
          </cell>
          <cell r="K1177">
            <v>33.319196428571416</v>
          </cell>
          <cell r="L1177">
            <v>51.977946428571428</v>
          </cell>
          <cell r="Q1177">
            <v>15159</v>
          </cell>
        </row>
        <row r="1178">
          <cell r="I1178">
            <v>300.09250000000003</v>
          </cell>
          <cell r="K1178">
            <v>182.6680029585799</v>
          </cell>
          <cell r="L1178">
            <v>417.51699704142015</v>
          </cell>
          <cell r="Q1178">
            <v>15162</v>
          </cell>
        </row>
        <row r="1179">
          <cell r="I1179">
            <v>66.777692307692305</v>
          </cell>
          <cell r="K1179">
            <v>59.003846153846155</v>
          </cell>
          <cell r="L1179">
            <v>74.551538461538456</v>
          </cell>
          <cell r="Q1179">
            <v>15163</v>
          </cell>
        </row>
        <row r="1180">
          <cell r="I1180">
            <v>47.95384615384615</v>
          </cell>
          <cell r="K1180">
            <v>39.708757396449698</v>
          </cell>
          <cell r="L1180">
            <v>56.198934911242603</v>
          </cell>
          <cell r="Q1180">
            <v>15164</v>
          </cell>
        </row>
        <row r="1181">
          <cell r="I1181">
            <v>22.996923076923085</v>
          </cell>
          <cell r="K1181">
            <v>22.42035502958581</v>
          </cell>
          <cell r="L1181">
            <v>23.573491124260361</v>
          </cell>
          <cell r="Q1181">
            <v>15165</v>
          </cell>
        </row>
        <row r="1182">
          <cell r="I1182">
            <v>41.622222222222234</v>
          </cell>
          <cell r="K1182">
            <v>36.937777777777782</v>
          </cell>
          <cell r="L1182">
            <v>46.306666666666686</v>
          </cell>
          <cell r="Q1182">
            <v>15166</v>
          </cell>
        </row>
        <row r="1183">
          <cell r="I1183">
            <v>28.826923076923087</v>
          </cell>
          <cell r="K1183">
            <v>28.250355029585812</v>
          </cell>
          <cell r="L1183">
            <v>29.403491124260363</v>
          </cell>
          <cell r="Q1183">
            <v>15167</v>
          </cell>
        </row>
        <row r="1184">
          <cell r="I1184">
            <v>28.624615384615375</v>
          </cell>
          <cell r="K1184">
            <v>22.716331360946739</v>
          </cell>
          <cell r="L1184">
            <v>34.53289940828401</v>
          </cell>
          <cell r="Q1184">
            <v>15168</v>
          </cell>
        </row>
        <row r="1185">
          <cell r="I1185">
            <v>710.54407407407427</v>
          </cell>
          <cell r="K1185">
            <v>474.87231548926684</v>
          </cell>
          <cell r="L1185">
            <v>946.21583265888171</v>
          </cell>
          <cell r="Q1185">
            <v>15169</v>
          </cell>
        </row>
        <row r="1186">
          <cell r="I1186">
            <v>389.75346153846164</v>
          </cell>
          <cell r="K1186">
            <v>305.88056716260428</v>
          </cell>
          <cell r="L1186">
            <v>473.62635591431899</v>
          </cell>
          <cell r="Q1186">
            <v>15170</v>
          </cell>
        </row>
        <row r="1187">
          <cell r="I1187">
            <v>112.67192307692312</v>
          </cell>
          <cell r="K1187">
            <v>111.2649112426036</v>
          </cell>
          <cell r="L1187">
            <v>114.07893491124264</v>
          </cell>
          <cell r="Q1187">
            <v>15171</v>
          </cell>
        </row>
        <row r="1188">
          <cell r="I1188">
            <v>53.42</v>
          </cell>
          <cell r="K1188">
            <v>49.468816568047338</v>
          </cell>
          <cell r="L1188">
            <v>57.371183431952666</v>
          </cell>
          <cell r="Q1188">
            <v>15173</v>
          </cell>
        </row>
        <row r="1189">
          <cell r="I1189">
            <v>176.7553846153846</v>
          </cell>
          <cell r="K1189">
            <v>131.39337278106507</v>
          </cell>
          <cell r="L1189">
            <v>222.11739644970413</v>
          </cell>
          <cell r="Q1189">
            <v>15174</v>
          </cell>
        </row>
        <row r="1190">
          <cell r="I1190">
            <v>38.643461538461551</v>
          </cell>
          <cell r="K1190">
            <v>33.451982248520714</v>
          </cell>
          <cell r="L1190">
            <v>43.834940828402388</v>
          </cell>
          <cell r="Q1190">
            <v>15175</v>
          </cell>
        </row>
        <row r="1191">
          <cell r="I1191">
            <v>93.63000000000001</v>
          </cell>
          <cell r="K1191">
            <v>93.230769230769241</v>
          </cell>
          <cell r="L1191">
            <v>94.029230769230779</v>
          </cell>
          <cell r="Q1191">
            <v>15177</v>
          </cell>
        </row>
        <row r="1192">
          <cell r="I1192">
            <v>23.139230769230771</v>
          </cell>
          <cell r="K1192">
            <v>18.309644970414201</v>
          </cell>
          <cell r="L1192">
            <v>27.968816568047341</v>
          </cell>
          <cell r="Q1192">
            <v>15178</v>
          </cell>
        </row>
        <row r="1193">
          <cell r="I1193">
            <v>20.246666666666666</v>
          </cell>
          <cell r="K1193">
            <v>15.288299319727891</v>
          </cell>
          <cell r="L1193">
            <v>25.205034013605442</v>
          </cell>
          <cell r="Q1193">
            <v>15179</v>
          </cell>
        </row>
        <row r="1194">
          <cell r="I1194">
            <v>53.823846153846155</v>
          </cell>
          <cell r="K1194">
            <v>40.967988165680474</v>
          </cell>
          <cell r="L1194">
            <v>66.679704142011843</v>
          </cell>
          <cell r="Q1194">
            <v>15180</v>
          </cell>
        </row>
        <row r="1195">
          <cell r="I1195">
            <v>35.850769230769224</v>
          </cell>
          <cell r="K1195">
            <v>35.182426035502949</v>
          </cell>
          <cell r="L1195">
            <v>36.519112426035498</v>
          </cell>
          <cell r="Q1195">
            <v>15182</v>
          </cell>
        </row>
        <row r="1196">
          <cell r="I1196">
            <v>78.351538461538425</v>
          </cell>
          <cell r="K1196">
            <v>73.369230769230725</v>
          </cell>
          <cell r="L1196">
            <v>83.333846153846125</v>
          </cell>
          <cell r="Q1196">
            <v>15183</v>
          </cell>
        </row>
        <row r="1197">
          <cell r="I1197">
            <v>20.017692307692307</v>
          </cell>
          <cell r="K1197">
            <v>19.983668639053253</v>
          </cell>
          <cell r="L1197">
            <v>20.051715976331362</v>
          </cell>
          <cell r="Q1197">
            <v>15184</v>
          </cell>
        </row>
        <row r="1198">
          <cell r="I1198">
            <v>35.157777777777774</v>
          </cell>
          <cell r="K1198">
            <v>6.251687242798333</v>
          </cell>
          <cell r="L1198">
            <v>64.063868312757222</v>
          </cell>
          <cell r="Q1198">
            <v>15185</v>
          </cell>
        </row>
        <row r="1199">
          <cell r="I1199">
            <v>28.576923076923087</v>
          </cell>
          <cell r="K1199">
            <v>28.000355029585812</v>
          </cell>
          <cell r="L1199">
            <v>29.153491124260363</v>
          </cell>
          <cell r="Q1199">
            <v>15186</v>
          </cell>
        </row>
        <row r="1200">
          <cell r="I1200">
            <v>23.619615384615386</v>
          </cell>
          <cell r="K1200">
            <v>19.973846153846154</v>
          </cell>
          <cell r="L1200">
            <v>27.265384615384619</v>
          </cell>
          <cell r="Q1200">
            <v>15187</v>
          </cell>
        </row>
        <row r="1201">
          <cell r="I1201">
            <v>46.410769230769233</v>
          </cell>
          <cell r="K1201">
            <v>18.446508875739639</v>
          </cell>
          <cell r="L1201">
            <v>74.375029585798828</v>
          </cell>
          <cell r="Q1201">
            <v>15188</v>
          </cell>
        </row>
        <row r="1202">
          <cell r="I1202">
            <v>26.622307692307693</v>
          </cell>
          <cell r="K1202">
            <v>14.680355029585797</v>
          </cell>
          <cell r="L1202">
            <v>38.564260355029589</v>
          </cell>
          <cell r="Q1202">
            <v>15189</v>
          </cell>
        </row>
        <row r="1203">
          <cell r="I1203">
            <v>114.89846153846153</v>
          </cell>
          <cell r="K1203">
            <v>83.746390532544382</v>
          </cell>
          <cell r="L1203">
            <v>146.05053254437868</v>
          </cell>
          <cell r="Q1203">
            <v>15190</v>
          </cell>
        </row>
        <row r="1204">
          <cell r="I1204">
            <v>14.083076923076923</v>
          </cell>
          <cell r="K1204">
            <v>13.650414201183432</v>
          </cell>
          <cell r="L1204">
            <v>14.515739644970415</v>
          </cell>
          <cell r="Q1204">
            <v>15191</v>
          </cell>
        </row>
        <row r="1205">
          <cell r="I1205">
            <v>29.839999999999996</v>
          </cell>
          <cell r="K1205">
            <v>25.607692307692304</v>
          </cell>
          <cell r="L1205">
            <v>34.072307692307689</v>
          </cell>
          <cell r="Q1205">
            <v>15192</v>
          </cell>
        </row>
        <row r="1206">
          <cell r="I1206">
            <v>59.005384615384628</v>
          </cell>
          <cell r="K1206">
            <v>58.417455621301791</v>
          </cell>
          <cell r="L1206">
            <v>59.593313609467465</v>
          </cell>
          <cell r="Q1206">
            <v>15193</v>
          </cell>
        </row>
        <row r="1207">
          <cell r="I1207">
            <v>28.958461538461542</v>
          </cell>
          <cell r="K1207">
            <v>28.393254437869828</v>
          </cell>
          <cell r="L1207">
            <v>29.523668639053255</v>
          </cell>
          <cell r="Q1207">
            <v>15194</v>
          </cell>
        </row>
        <row r="1208">
          <cell r="I1208">
            <v>55.021538461538476</v>
          </cell>
          <cell r="K1208">
            <v>54.571360946745585</v>
          </cell>
          <cell r="L1208">
            <v>55.471715976331367</v>
          </cell>
          <cell r="Q1208">
            <v>15195</v>
          </cell>
        </row>
        <row r="1209">
          <cell r="I1209">
            <v>70.951538461538448</v>
          </cell>
          <cell r="K1209">
            <v>70.501360946745535</v>
          </cell>
          <cell r="L1209">
            <v>71.40171597633136</v>
          </cell>
          <cell r="Q1209">
            <v>15196</v>
          </cell>
        </row>
        <row r="1210">
          <cell r="I1210">
            <v>38.143333333333338</v>
          </cell>
          <cell r="K1210">
            <v>28.802108843537425</v>
          </cell>
          <cell r="L1210">
            <v>47.484557823129251</v>
          </cell>
          <cell r="Q1210">
            <v>15197</v>
          </cell>
        </row>
        <row r="1211">
          <cell r="I1211">
            <v>177.34333333333333</v>
          </cell>
          <cell r="K1211">
            <v>176.90111111111111</v>
          </cell>
          <cell r="L1211">
            <v>177.78555555555556</v>
          </cell>
          <cell r="Q1211">
            <v>15198</v>
          </cell>
        </row>
        <row r="1212">
          <cell r="I1212">
            <v>29.315000000000001</v>
          </cell>
          <cell r="K1212">
            <v>28.831666666666671</v>
          </cell>
          <cell r="L1212">
            <v>29.798333333333332</v>
          </cell>
          <cell r="Q1212">
            <v>15199</v>
          </cell>
        </row>
        <row r="1213">
          <cell r="I1213">
            <v>50.29666666666666</v>
          </cell>
          <cell r="K1213">
            <v>49.665555555555549</v>
          </cell>
          <cell r="L1213">
            <v>50.92777777777777</v>
          </cell>
          <cell r="Q1213">
            <v>15200</v>
          </cell>
        </row>
        <row r="1214">
          <cell r="I1214">
            <v>59.123333333333328</v>
          </cell>
          <cell r="K1214">
            <v>58.6811111111111</v>
          </cell>
          <cell r="L1214">
            <v>59.565555555555555</v>
          </cell>
          <cell r="Q1214">
            <v>15201</v>
          </cell>
        </row>
        <row r="1215">
          <cell r="I1215">
            <v>45.208571428571432</v>
          </cell>
          <cell r="K1215">
            <v>38.753877551020409</v>
          </cell>
          <cell r="L1215">
            <v>51.663265306122454</v>
          </cell>
          <cell r="Q1215">
            <v>15202</v>
          </cell>
        </row>
        <row r="1216">
          <cell r="I1216">
            <v>62.247142857142855</v>
          </cell>
          <cell r="K1216">
            <v>48.630580357142854</v>
          </cell>
          <cell r="L1216">
            <v>75.863705357142862</v>
          </cell>
          <cell r="Q1216">
            <v>15203</v>
          </cell>
        </row>
        <row r="1217">
          <cell r="I1217">
            <v>32.566249999999997</v>
          </cell>
          <cell r="K1217">
            <v>18.563437499999999</v>
          </cell>
          <cell r="L1217">
            <v>46.569062499999994</v>
          </cell>
          <cell r="Q1217">
            <v>15204</v>
          </cell>
        </row>
        <row r="1218">
          <cell r="I1218">
            <v>85.242692307692309</v>
          </cell>
          <cell r="K1218">
            <v>80.382366863905332</v>
          </cell>
          <cell r="L1218">
            <v>90.103017751479285</v>
          </cell>
          <cell r="Q1218">
            <v>15206</v>
          </cell>
        </row>
        <row r="1219">
          <cell r="I1219">
            <v>30.677142857142858</v>
          </cell>
          <cell r="K1219">
            <v>30.25591836734694</v>
          </cell>
          <cell r="L1219">
            <v>31.098367346938776</v>
          </cell>
          <cell r="Q1219">
            <v>15207</v>
          </cell>
        </row>
        <row r="1220">
          <cell r="I1220">
            <v>67.987142857142857</v>
          </cell>
          <cell r="K1220">
            <v>67.75448979591836</v>
          </cell>
          <cell r="L1220">
            <v>68.219795918367353</v>
          </cell>
          <cell r="Q1220">
            <v>15208</v>
          </cell>
        </row>
        <row r="1221">
          <cell r="I1221">
            <v>44.200740740740748</v>
          </cell>
          <cell r="K1221">
            <v>36.244607407407422</v>
          </cell>
          <cell r="L1221">
            <v>52.156874074074075</v>
          </cell>
          <cell r="Q1221">
            <v>15209</v>
          </cell>
        </row>
        <row r="1222">
          <cell r="I1222">
            <v>85.192222222222213</v>
          </cell>
          <cell r="K1222">
            <v>75.179547325102874</v>
          </cell>
          <cell r="L1222">
            <v>95.204897119341553</v>
          </cell>
          <cell r="Q1222">
            <v>15211</v>
          </cell>
        </row>
        <row r="1223">
          <cell r="I1223">
            <v>60.875185185185181</v>
          </cell>
          <cell r="K1223">
            <v>46.770795610425246</v>
          </cell>
          <cell r="L1223">
            <v>74.979574759945123</v>
          </cell>
          <cell r="Q1223">
            <v>15212</v>
          </cell>
        </row>
        <row r="1224">
          <cell r="I1224">
            <v>174.52222222222221</v>
          </cell>
          <cell r="K1224">
            <v>109.38247732426305</v>
          </cell>
          <cell r="L1224">
            <v>239.66196712018137</v>
          </cell>
          <cell r="Q1224">
            <v>15213</v>
          </cell>
        </row>
        <row r="1225">
          <cell r="I1225">
            <v>36.735185185185181</v>
          </cell>
          <cell r="K1225">
            <v>29.239821673525373</v>
          </cell>
          <cell r="L1225">
            <v>44.230548696844991</v>
          </cell>
          <cell r="Q1225">
            <v>15214</v>
          </cell>
        </row>
        <row r="1226">
          <cell r="I1226">
            <v>163.46466666666669</v>
          </cell>
          <cell r="K1226">
            <v>121.4846042317031</v>
          </cell>
          <cell r="L1226">
            <v>205.44472910163029</v>
          </cell>
          <cell r="Q1226">
            <v>15215</v>
          </cell>
        </row>
        <row r="1227">
          <cell r="I1227">
            <v>111.21111111111109</v>
          </cell>
          <cell r="K1227">
            <v>89.357111111111081</v>
          </cell>
          <cell r="L1227">
            <v>133.06511111111109</v>
          </cell>
          <cell r="Q1227">
            <v>15217</v>
          </cell>
        </row>
        <row r="1228">
          <cell r="I1228">
            <v>317.44074074074086</v>
          </cell>
          <cell r="K1228">
            <v>246.09089682814991</v>
          </cell>
          <cell r="L1228">
            <v>388.79058465333185</v>
          </cell>
          <cell r="Q1228">
            <v>15218</v>
          </cell>
        </row>
        <row r="1229">
          <cell r="I1229">
            <v>30.111153846153858</v>
          </cell>
          <cell r="K1229">
            <v>27.963307481270466</v>
          </cell>
          <cell r="L1229">
            <v>32.259000211037247</v>
          </cell>
          <cell r="Q1229">
            <v>15219</v>
          </cell>
        </row>
        <row r="1230">
          <cell r="I1230">
            <v>46.758888888888912</v>
          </cell>
          <cell r="K1230">
            <v>37.631355555555587</v>
          </cell>
          <cell r="L1230">
            <v>55.886422222222237</v>
          </cell>
          <cell r="Q1230">
            <v>15220</v>
          </cell>
        </row>
        <row r="1231">
          <cell r="I1231">
            <v>22.065925925925924</v>
          </cell>
          <cell r="K1231">
            <v>20.502150415721843</v>
          </cell>
          <cell r="L1231">
            <v>23.629701436130006</v>
          </cell>
          <cell r="Q1231">
            <v>15221</v>
          </cell>
        </row>
        <row r="1232">
          <cell r="I1232">
            <v>26.631538461538451</v>
          </cell>
          <cell r="K1232">
            <v>23.098783359497627</v>
          </cell>
          <cell r="L1232">
            <v>30.164293563579275</v>
          </cell>
          <cell r="Q1232">
            <v>15222</v>
          </cell>
        </row>
        <row r="1233">
          <cell r="I1233">
            <v>190.4799999999999</v>
          </cell>
          <cell r="K1233">
            <v>148.56039999999987</v>
          </cell>
          <cell r="L1233">
            <v>232.39959999999994</v>
          </cell>
          <cell r="Q1233">
            <v>15223</v>
          </cell>
        </row>
        <row r="1234">
          <cell r="I1234">
            <v>29.302857142857132</v>
          </cell>
          <cell r="K1234">
            <v>25.656279365079346</v>
          </cell>
          <cell r="L1234">
            <v>32.949434920634914</v>
          </cell>
          <cell r="Q1234">
            <v>15224</v>
          </cell>
        </row>
        <row r="1235">
          <cell r="I1235">
            <v>13.482307692307691</v>
          </cell>
          <cell r="K1235">
            <v>13.382426035502956</v>
          </cell>
          <cell r="L1235">
            <v>13.582189349112426</v>
          </cell>
          <cell r="Q1235">
            <v>15225</v>
          </cell>
        </row>
        <row r="1236">
          <cell r="I1236">
            <v>35.278999999999996</v>
          </cell>
          <cell r="K1236">
            <v>13.965745562130174</v>
          </cell>
          <cell r="L1236">
            <v>56.592254437869819</v>
          </cell>
          <cell r="Q1236">
            <v>15226</v>
          </cell>
        </row>
        <row r="1237">
          <cell r="I1237">
            <v>40.96307692307694</v>
          </cell>
          <cell r="K1237">
            <v>4.0829585798816481</v>
          </cell>
          <cell r="L1237">
            <v>77.843195266272232</v>
          </cell>
          <cell r="Q1237">
            <v>15228</v>
          </cell>
        </row>
        <row r="1238">
          <cell r="I1238">
            <v>48.02</v>
          </cell>
          <cell r="K1238">
            <v>37.515625000000007</v>
          </cell>
          <cell r="L1238">
            <v>58.524374999999999</v>
          </cell>
          <cell r="Q1238">
            <v>15229</v>
          </cell>
        </row>
        <row r="1239">
          <cell r="I1239">
            <v>24.080000000000002</v>
          </cell>
          <cell r="K1239">
            <v>21.060088888888892</v>
          </cell>
          <cell r="L1239">
            <v>27.099911111111112</v>
          </cell>
          <cell r="Q1239">
            <v>15230</v>
          </cell>
        </row>
        <row r="1240">
          <cell r="I1240">
            <v>27.732857142857146</v>
          </cell>
          <cell r="K1240">
            <v>22.163790476190481</v>
          </cell>
          <cell r="L1240">
            <v>33.301923809523814</v>
          </cell>
          <cell r="Q1240">
            <v>15231</v>
          </cell>
        </row>
        <row r="1241">
          <cell r="I1241">
            <v>24.71846153846154</v>
          </cell>
          <cell r="K1241">
            <v>19.005750427350431</v>
          </cell>
          <cell r="L1241">
            <v>30.431172649572648</v>
          </cell>
          <cell r="Q1241">
            <v>15232</v>
          </cell>
        </row>
        <row r="1242">
          <cell r="I1242">
            <v>313.57153846153841</v>
          </cell>
          <cell r="K1242">
            <v>267.8502958579881</v>
          </cell>
          <cell r="L1242">
            <v>359.29278106508872</v>
          </cell>
          <cell r="Q1242">
            <v>15233</v>
          </cell>
        </row>
        <row r="1243">
          <cell r="I1243">
            <v>22.205000000000002</v>
          </cell>
          <cell r="K1243">
            <v>21.844285714285718</v>
          </cell>
          <cell r="L1243">
            <v>22.565714285714286</v>
          </cell>
          <cell r="Q1243">
            <v>15234</v>
          </cell>
        </row>
        <row r="1244">
          <cell r="I1244">
            <v>31.443076923076919</v>
          </cell>
          <cell r="K1244">
            <v>29.618698224852068</v>
          </cell>
          <cell r="L1244">
            <v>33.267455621301771</v>
          </cell>
          <cell r="Q1244">
            <v>15235</v>
          </cell>
        </row>
        <row r="1245">
          <cell r="I1245">
            <v>59.056666666666672</v>
          </cell>
          <cell r="K1245">
            <v>50.669921104536499</v>
          </cell>
          <cell r="L1245">
            <v>67.443412228796845</v>
          </cell>
          <cell r="Q1245">
            <v>15237</v>
          </cell>
        </row>
        <row r="1246">
          <cell r="I1246">
            <v>88.95</v>
          </cell>
          <cell r="K1246">
            <v>67.166326530612253</v>
          </cell>
          <cell r="L1246">
            <v>110.73367346938775</v>
          </cell>
          <cell r="Q1246">
            <v>15238</v>
          </cell>
        </row>
        <row r="1247">
          <cell r="I1247">
            <v>28.265000000000001</v>
          </cell>
          <cell r="K1247">
            <v>21.342959183673472</v>
          </cell>
          <cell r="L1247">
            <v>35.18704081632653</v>
          </cell>
          <cell r="Q1247">
            <v>15239</v>
          </cell>
        </row>
        <row r="1248">
          <cell r="I1248">
            <v>51.788571428571423</v>
          </cell>
          <cell r="K1248">
            <v>51.301224489795914</v>
          </cell>
          <cell r="L1248">
            <v>52.275918367346932</v>
          </cell>
          <cell r="Q1248">
            <v>15240</v>
          </cell>
        </row>
        <row r="1249">
          <cell r="I1249">
            <v>35.339999999999989</v>
          </cell>
          <cell r="K1249">
            <v>31.236923076923073</v>
          </cell>
          <cell r="L1249">
            <v>39.443076923076902</v>
          </cell>
          <cell r="Q1249">
            <v>15241</v>
          </cell>
        </row>
        <row r="1250">
          <cell r="I1250">
            <v>56.266538461538467</v>
          </cell>
          <cell r="K1250">
            <v>40.977923921072076</v>
          </cell>
          <cell r="L1250">
            <v>71.555153002004857</v>
          </cell>
          <cell r="Q1250">
            <v>15242</v>
          </cell>
        </row>
        <row r="1251">
          <cell r="I1251">
            <v>142.17866666666671</v>
          </cell>
          <cell r="K1251">
            <v>105.10866666666674</v>
          </cell>
          <cell r="L1251">
            <v>179.24866666666668</v>
          </cell>
          <cell r="Q1251">
            <v>15243</v>
          </cell>
        </row>
        <row r="1252">
          <cell r="I1252">
            <v>31.382307692307684</v>
          </cell>
          <cell r="K1252">
            <v>26.400572998430128</v>
          </cell>
          <cell r="L1252">
            <v>36.36404238618524</v>
          </cell>
          <cell r="Q1252">
            <v>15245</v>
          </cell>
        </row>
        <row r="1253">
          <cell r="I1253">
            <v>22.396153846153844</v>
          </cell>
          <cell r="K1253">
            <v>21.775739644970411</v>
          </cell>
          <cell r="L1253">
            <v>23.016568047337277</v>
          </cell>
          <cell r="Q1253">
            <v>15246</v>
          </cell>
        </row>
        <row r="1254">
          <cell r="I1254">
            <v>34.31</v>
          </cell>
          <cell r="K1254">
            <v>22.756632653061221</v>
          </cell>
          <cell r="L1254">
            <v>45.863367346938787</v>
          </cell>
          <cell r="Q1254">
            <v>15247</v>
          </cell>
        </row>
        <row r="1255">
          <cell r="I1255">
            <v>27.277692307692316</v>
          </cell>
          <cell r="K1255">
            <v>25.943905325443797</v>
          </cell>
          <cell r="L1255">
            <v>28.611479289940835</v>
          </cell>
          <cell r="Q1255">
            <v>15248</v>
          </cell>
        </row>
        <row r="1256">
          <cell r="I1256">
            <v>45.318571428571431</v>
          </cell>
          <cell r="K1256">
            <v>31.506326530612249</v>
          </cell>
          <cell r="L1256">
            <v>59.130816326530613</v>
          </cell>
          <cell r="Q1256">
            <v>15249</v>
          </cell>
        </row>
        <row r="1257">
          <cell r="I1257">
            <v>38.567692307692312</v>
          </cell>
          <cell r="K1257">
            <v>27.652307692307694</v>
          </cell>
          <cell r="L1257">
            <v>49.483076923076929</v>
          </cell>
          <cell r="Q1257">
            <v>15250</v>
          </cell>
        </row>
        <row r="1258">
          <cell r="I1258">
            <v>46.657142857142858</v>
          </cell>
          <cell r="K1258">
            <v>46.23591836734694</v>
          </cell>
          <cell r="L1258">
            <v>47.078367346938776</v>
          </cell>
          <cell r="Q1258">
            <v>15251</v>
          </cell>
        </row>
        <row r="1259">
          <cell r="I1259">
            <v>38.009230769230768</v>
          </cell>
          <cell r="K1259">
            <v>24.164733727810653</v>
          </cell>
          <cell r="L1259">
            <v>51.853727810650881</v>
          </cell>
          <cell r="Q1259">
            <v>15252</v>
          </cell>
        </row>
        <row r="1260">
          <cell r="I1260">
            <v>325.14</v>
          </cell>
          <cell r="K1260">
            <v>307.35384615384618</v>
          </cell>
          <cell r="L1260">
            <v>342.9261538461538</v>
          </cell>
          <cell r="Q1260">
            <v>15253</v>
          </cell>
        </row>
        <row r="1261">
          <cell r="I1261">
            <v>59.91538461538461</v>
          </cell>
          <cell r="K1261">
            <v>54.854479265590371</v>
          </cell>
          <cell r="L1261">
            <v>64.97628996517885</v>
          </cell>
          <cell r="Q1261">
            <v>15254</v>
          </cell>
        </row>
        <row r="1262">
          <cell r="I1262">
            <v>60.075833333333321</v>
          </cell>
          <cell r="K1262">
            <v>52.928472222222226</v>
          </cell>
          <cell r="L1262">
            <v>67.223194444444417</v>
          </cell>
          <cell r="Q1262">
            <v>15255</v>
          </cell>
        </row>
        <row r="1263">
          <cell r="I1263">
            <v>72.956923076923061</v>
          </cell>
          <cell r="K1263">
            <v>47.636106750392443</v>
          </cell>
          <cell r="L1263">
            <v>98.27773940345368</v>
          </cell>
          <cell r="Q1263">
            <v>15256</v>
          </cell>
        </row>
        <row r="1264">
          <cell r="I1264">
            <v>275.48730769230758</v>
          </cell>
          <cell r="K1264">
            <v>238.94307299842995</v>
          </cell>
          <cell r="L1264">
            <v>312.03154238618521</v>
          </cell>
          <cell r="Q1264">
            <v>15257</v>
          </cell>
        </row>
        <row r="1265">
          <cell r="I1265">
            <v>12.958461538461538</v>
          </cell>
          <cell r="K1265">
            <v>9.9431952662721894</v>
          </cell>
          <cell r="L1265">
            <v>15.973727810650887</v>
          </cell>
          <cell r="Q1265">
            <v>15258</v>
          </cell>
        </row>
        <row r="1266">
          <cell r="I1266">
            <v>14.0108</v>
          </cell>
          <cell r="K1266">
            <v>10.230415384615384</v>
          </cell>
          <cell r="L1266">
            <v>17.791184615384616</v>
          </cell>
          <cell r="Q1266">
            <v>15259</v>
          </cell>
        </row>
        <row r="1267">
          <cell r="I1267">
            <v>15.115000000000002</v>
          </cell>
          <cell r="K1267">
            <v>14.631666666666669</v>
          </cell>
          <cell r="L1267">
            <v>15.598333333333334</v>
          </cell>
          <cell r="Q1267">
            <v>15260</v>
          </cell>
        </row>
        <row r="1268">
          <cell r="I1268">
            <v>33.047307692307683</v>
          </cell>
          <cell r="K1268">
            <v>32.605887573964488</v>
          </cell>
          <cell r="L1268">
            <v>33.488727810650879</v>
          </cell>
          <cell r="Q1268">
            <v>15261</v>
          </cell>
        </row>
        <row r="1269">
          <cell r="I1269">
            <v>63.605000000000025</v>
          </cell>
          <cell r="K1269">
            <v>56.490769230769246</v>
          </cell>
          <cell r="L1269">
            <v>70.719230769230805</v>
          </cell>
          <cell r="Q1269">
            <v>15262</v>
          </cell>
        </row>
        <row r="1270">
          <cell r="I1270">
            <v>51.560769230769246</v>
          </cell>
          <cell r="K1270">
            <v>50.594142011834343</v>
          </cell>
          <cell r="L1270">
            <v>52.527396449704149</v>
          </cell>
          <cell r="Q1270">
            <v>15263</v>
          </cell>
        </row>
        <row r="1271">
          <cell r="I1271">
            <v>92.564230769230761</v>
          </cell>
          <cell r="K1271">
            <v>88.211331360946744</v>
          </cell>
          <cell r="L1271">
            <v>96.917130177514778</v>
          </cell>
          <cell r="Q1271">
            <v>15264</v>
          </cell>
        </row>
        <row r="1272">
          <cell r="I1272">
            <v>303.20230769230773</v>
          </cell>
          <cell r="K1272">
            <v>276.92982483908418</v>
          </cell>
          <cell r="L1272">
            <v>329.47479054553128</v>
          </cell>
          <cell r="Q1272">
            <v>15265</v>
          </cell>
        </row>
        <row r="1273">
          <cell r="I1273">
            <v>54.973076923076924</v>
          </cell>
          <cell r="K1273">
            <v>48.834556213017748</v>
          </cell>
          <cell r="L1273">
            <v>61.1115976331361</v>
          </cell>
          <cell r="Q1273">
            <v>15266</v>
          </cell>
        </row>
        <row r="1274">
          <cell r="I1274">
            <v>28.336923076923082</v>
          </cell>
          <cell r="K1274">
            <v>27.348165680473375</v>
          </cell>
          <cell r="L1274">
            <v>29.325680473372788</v>
          </cell>
          <cell r="Q1274">
            <v>15267</v>
          </cell>
        </row>
        <row r="1275">
          <cell r="I1275">
            <v>49.180740740740717</v>
          </cell>
          <cell r="K1275">
            <v>48.720246913580219</v>
          </cell>
          <cell r="L1275">
            <v>49.641234567901215</v>
          </cell>
          <cell r="Q1275">
            <v>15268</v>
          </cell>
        </row>
        <row r="1276">
          <cell r="I1276">
            <v>68.287272727272693</v>
          </cell>
          <cell r="K1276">
            <v>41.583367401828887</v>
          </cell>
          <cell r="L1276">
            <v>94.991178052716492</v>
          </cell>
          <cell r="Q1276">
            <v>15269</v>
          </cell>
        </row>
        <row r="1277">
          <cell r="I1277">
            <v>32.681111111111115</v>
          </cell>
          <cell r="K1277">
            <v>20.425694444444453</v>
          </cell>
          <cell r="L1277">
            <v>44.936527777777776</v>
          </cell>
          <cell r="Q1277">
            <v>15270</v>
          </cell>
        </row>
        <row r="1278">
          <cell r="I1278">
            <v>31.58519999999999</v>
          </cell>
          <cell r="K1278">
            <v>27.94765562130177</v>
          </cell>
          <cell r="L1278">
            <v>35.222744378698209</v>
          </cell>
          <cell r="Q1278">
            <v>15271</v>
          </cell>
        </row>
        <row r="1279">
          <cell r="I1279">
            <v>63.286799999999999</v>
          </cell>
          <cell r="K1279">
            <v>31.125912426035505</v>
          </cell>
          <cell r="L1279">
            <v>95.447687573964487</v>
          </cell>
          <cell r="Q1279">
            <v>15272</v>
          </cell>
        </row>
        <row r="1280">
          <cell r="I1280">
            <v>47.394736842105253</v>
          </cell>
          <cell r="K1280">
            <v>27.432679228936532</v>
          </cell>
          <cell r="L1280">
            <v>67.35679445527397</v>
          </cell>
          <cell r="Q1280">
            <v>15273</v>
          </cell>
        </row>
        <row r="1281">
          <cell r="I1281">
            <v>43.586153846153863</v>
          </cell>
          <cell r="K1281">
            <v>43.111124260355055</v>
          </cell>
          <cell r="L1281">
            <v>44.061183431952671</v>
          </cell>
          <cell r="Q1281">
            <v>15274</v>
          </cell>
        </row>
        <row r="1282">
          <cell r="I1282">
            <v>22.561923076923073</v>
          </cell>
          <cell r="K1282">
            <v>13.347692307692304</v>
          </cell>
          <cell r="L1282">
            <v>31.776153846153839</v>
          </cell>
          <cell r="Q1282">
            <v>15275</v>
          </cell>
        </row>
        <row r="1283">
          <cell r="I1283">
            <v>57.782307692307683</v>
          </cell>
          <cell r="K1283">
            <v>55.35710059171597</v>
          </cell>
          <cell r="L1283">
            <v>60.207514792899396</v>
          </cell>
          <cell r="Q1283">
            <v>15276</v>
          </cell>
        </row>
        <row r="1284">
          <cell r="I1284">
            <v>32.55692307692307</v>
          </cell>
          <cell r="K1284">
            <v>31.913136094674549</v>
          </cell>
          <cell r="L1284">
            <v>33.200710059171591</v>
          </cell>
          <cell r="Q1284">
            <v>15277</v>
          </cell>
        </row>
        <row r="1285">
          <cell r="I1285">
            <v>51.521923076923109</v>
          </cell>
          <cell r="K1285">
            <v>47.239763313609465</v>
          </cell>
          <cell r="L1285">
            <v>55.804082840236752</v>
          </cell>
          <cell r="Q1285">
            <v>15278</v>
          </cell>
        </row>
        <row r="1286">
          <cell r="I1286">
            <v>38.180769230769229</v>
          </cell>
          <cell r="K1286">
            <v>36.897928994082839</v>
          </cell>
          <cell r="L1286">
            <v>39.463609467455619</v>
          </cell>
          <cell r="Q1286">
            <v>15279</v>
          </cell>
        </row>
        <row r="1287">
          <cell r="I1287">
            <v>26.071538461538459</v>
          </cell>
          <cell r="K1287">
            <v>25.621360946745561</v>
          </cell>
          <cell r="L1287">
            <v>26.521715976331357</v>
          </cell>
          <cell r="Q1287">
            <v>15280</v>
          </cell>
        </row>
        <row r="1288">
          <cell r="I1288">
            <v>135.26115384615386</v>
          </cell>
          <cell r="K1288">
            <v>107.44436813186815</v>
          </cell>
          <cell r="L1288">
            <v>163.07793956043957</v>
          </cell>
          <cell r="Q1288">
            <v>15281</v>
          </cell>
        </row>
        <row r="1289">
          <cell r="I1289">
            <v>20.099999999999998</v>
          </cell>
          <cell r="K1289">
            <v>19.976923076923075</v>
          </cell>
          <cell r="L1289">
            <v>20.223076923076921</v>
          </cell>
          <cell r="Q1289">
            <v>15282</v>
          </cell>
        </row>
        <row r="1290">
          <cell r="I1290">
            <v>81.268846153846127</v>
          </cell>
          <cell r="K1290">
            <v>72.447278106508861</v>
          </cell>
          <cell r="L1290">
            <v>90.090414201183393</v>
          </cell>
          <cell r="Q1290">
            <v>15283</v>
          </cell>
        </row>
        <row r="1291">
          <cell r="I1291">
            <v>20.486153846153854</v>
          </cell>
          <cell r="K1291">
            <v>20.011124260355039</v>
          </cell>
          <cell r="L1291">
            <v>20.961183431952669</v>
          </cell>
          <cell r="Q1291">
            <v>15285</v>
          </cell>
        </row>
        <row r="1292">
          <cell r="I1292">
            <v>36.817037037037039</v>
          </cell>
          <cell r="K1292">
            <v>21.850178326474627</v>
          </cell>
          <cell r="L1292">
            <v>51.783895747599452</v>
          </cell>
          <cell r="Q1292">
            <v>15286</v>
          </cell>
        </row>
        <row r="1293">
          <cell r="I1293">
            <v>41.673846153846164</v>
          </cell>
          <cell r="K1293">
            <v>38.811715976331371</v>
          </cell>
          <cell r="L1293">
            <v>44.535976331360956</v>
          </cell>
          <cell r="Q1293">
            <v>15288</v>
          </cell>
        </row>
        <row r="1294">
          <cell r="I1294">
            <v>21.341538461538462</v>
          </cell>
          <cell r="K1294">
            <v>20.891360946745564</v>
          </cell>
          <cell r="L1294">
            <v>21.791715976331361</v>
          </cell>
          <cell r="Q1294">
            <v>15289</v>
          </cell>
        </row>
        <row r="1295">
          <cell r="I1295">
            <v>81.489999999999995</v>
          </cell>
          <cell r="K1295">
            <v>50.059795918367342</v>
          </cell>
          <cell r="L1295">
            <v>112.92020408163265</v>
          </cell>
          <cell r="Q1295">
            <v>15291</v>
          </cell>
        </row>
        <row r="1296">
          <cell r="I1296">
            <v>36.037500000000001</v>
          </cell>
          <cell r="K1296">
            <v>30.374304733727808</v>
          </cell>
          <cell r="L1296">
            <v>41.700695266272191</v>
          </cell>
          <cell r="Q1296">
            <v>15293</v>
          </cell>
        </row>
        <row r="1297">
          <cell r="I1297">
            <v>25</v>
          </cell>
          <cell r="K1297">
            <v>25</v>
          </cell>
          <cell r="L1297">
            <v>25</v>
          </cell>
          <cell r="Q1297">
            <v>15294</v>
          </cell>
        </row>
        <row r="1298">
          <cell r="I1298">
            <v>70.72166666666665</v>
          </cell>
          <cell r="K1298">
            <v>37.493503401360528</v>
          </cell>
          <cell r="L1298">
            <v>103.94982993197277</v>
          </cell>
          <cell r="Q1298">
            <v>15295</v>
          </cell>
        </row>
        <row r="1299">
          <cell r="I1299">
            <v>136.93923076923076</v>
          </cell>
          <cell r="K1299">
            <v>131.3180473372781</v>
          </cell>
          <cell r="L1299">
            <v>142.56041420118342</v>
          </cell>
          <cell r="Q1299">
            <v>15296</v>
          </cell>
        </row>
        <row r="1300">
          <cell r="I1300">
            <v>17.12</v>
          </cell>
          <cell r="K1300">
            <v>16.693333333333335</v>
          </cell>
          <cell r="L1300">
            <v>17.546666666666667</v>
          </cell>
          <cell r="Q1300">
            <v>15297</v>
          </cell>
        </row>
        <row r="1301">
          <cell r="I1301">
            <v>58.60653846153847</v>
          </cell>
          <cell r="K1301">
            <v>14.158994082840238</v>
          </cell>
          <cell r="L1301">
            <v>103.0540828402367</v>
          </cell>
          <cell r="Q1301">
            <v>15298</v>
          </cell>
        </row>
        <row r="1302">
          <cell r="I1302">
            <v>40.499375000000008</v>
          </cell>
          <cell r="K1302">
            <v>29.271905864197535</v>
          </cell>
          <cell r="L1302">
            <v>51.72684413580248</v>
          </cell>
          <cell r="Q1302">
            <v>15299</v>
          </cell>
        </row>
        <row r="1303">
          <cell r="I1303">
            <v>88.9796153846154</v>
          </cell>
          <cell r="K1303">
            <v>63.931878759100996</v>
          </cell>
          <cell r="L1303">
            <v>114.0273520101298</v>
          </cell>
          <cell r="Q1303">
            <v>15301</v>
          </cell>
        </row>
        <row r="1304">
          <cell r="I1304">
            <v>64.928928571428585</v>
          </cell>
          <cell r="K1304">
            <v>35.899974489795916</v>
          </cell>
          <cell r="L1304">
            <v>93.957882653061262</v>
          </cell>
          <cell r="Q1304">
            <v>15302</v>
          </cell>
        </row>
        <row r="1305">
          <cell r="I1305">
            <v>124.66370370370369</v>
          </cell>
          <cell r="K1305">
            <v>51.279000269780695</v>
          </cell>
          <cell r="L1305">
            <v>198.04840713762667</v>
          </cell>
          <cell r="Q1305">
            <v>15303</v>
          </cell>
        </row>
        <row r="1306">
          <cell r="I1306">
            <v>64.995769230769241</v>
          </cell>
          <cell r="K1306">
            <v>63.207426035502962</v>
          </cell>
          <cell r="L1306">
            <v>66.78411242603552</v>
          </cell>
          <cell r="Q1306">
            <v>15305</v>
          </cell>
        </row>
        <row r="1307">
          <cell r="I1307">
            <v>73.888571428571439</v>
          </cell>
          <cell r="K1307">
            <v>58.055918367346948</v>
          </cell>
          <cell r="L1307">
            <v>89.721224489795929</v>
          </cell>
          <cell r="Q1307">
            <v>15306</v>
          </cell>
        </row>
        <row r="1308">
          <cell r="I1308">
            <v>59.675000000000004</v>
          </cell>
          <cell r="K1308">
            <v>37.16357142857143</v>
          </cell>
          <cell r="L1308">
            <v>82.186428571428578</v>
          </cell>
          <cell r="Q1308">
            <v>15307</v>
          </cell>
        </row>
        <row r="1309">
          <cell r="I1309">
            <v>37.707692307692305</v>
          </cell>
          <cell r="K1309">
            <v>34.523076923076921</v>
          </cell>
          <cell r="L1309">
            <v>40.892307692307689</v>
          </cell>
          <cell r="Q1309">
            <v>15308</v>
          </cell>
        </row>
        <row r="1310">
          <cell r="I1310">
            <v>62.617307692307705</v>
          </cell>
          <cell r="K1310">
            <v>62.175887573964516</v>
          </cell>
          <cell r="L1310">
            <v>63.058727810650893</v>
          </cell>
          <cell r="Q1310">
            <v>15309</v>
          </cell>
        </row>
        <row r="1311">
          <cell r="I1311">
            <v>78.53692307692306</v>
          </cell>
          <cell r="K1311">
            <v>76.878224852071</v>
          </cell>
          <cell r="L1311">
            <v>80.19562130177512</v>
          </cell>
          <cell r="Q1311">
            <v>15310</v>
          </cell>
        </row>
        <row r="1312">
          <cell r="I1312">
            <v>365.79269230769233</v>
          </cell>
          <cell r="K1312">
            <v>327.26116967394751</v>
          </cell>
          <cell r="L1312">
            <v>404.32421494143716</v>
          </cell>
          <cell r="Q1312">
            <v>15311</v>
          </cell>
        </row>
        <row r="1313">
          <cell r="I1313">
            <v>87.980769230769226</v>
          </cell>
          <cell r="K1313">
            <v>78.899289940828396</v>
          </cell>
          <cell r="L1313">
            <v>97.062248520710057</v>
          </cell>
          <cell r="Q1313">
            <v>15312</v>
          </cell>
        </row>
        <row r="1314">
          <cell r="I1314">
            <v>21.481818181818184</v>
          </cell>
          <cell r="K1314">
            <v>19.647413644956181</v>
          </cell>
          <cell r="L1314">
            <v>23.316222718680187</v>
          </cell>
          <cell r="Q1314">
            <v>15313</v>
          </cell>
        </row>
        <row r="1315">
          <cell r="I1315">
            <v>27.868461538461531</v>
          </cell>
          <cell r="K1315">
            <v>27.207869822485197</v>
          </cell>
          <cell r="L1315">
            <v>28.529053254437866</v>
          </cell>
          <cell r="Q1315">
            <v>15316</v>
          </cell>
        </row>
        <row r="1316">
          <cell r="I1316">
            <v>3.95</v>
          </cell>
          <cell r="K1316">
            <v>2.1944444444444446</v>
          </cell>
          <cell r="L1316">
            <v>5.7055555555555557</v>
          </cell>
          <cell r="Q1316">
            <v>15317</v>
          </cell>
        </row>
        <row r="1317">
          <cell r="I1317">
            <v>34.883076923076928</v>
          </cell>
          <cell r="K1317">
            <v>34.450414201183435</v>
          </cell>
          <cell r="L1317">
            <v>35.315739644970421</v>
          </cell>
          <cell r="Q1317">
            <v>15318</v>
          </cell>
        </row>
        <row r="1318">
          <cell r="I1318">
            <v>64.79307692307691</v>
          </cell>
          <cell r="K1318">
            <v>64.360414201183417</v>
          </cell>
          <cell r="L1318">
            <v>65.225739644970403</v>
          </cell>
          <cell r="Q1318">
            <v>15319</v>
          </cell>
        </row>
        <row r="1319">
          <cell r="I1319">
            <v>28.548461538461535</v>
          </cell>
          <cell r="K1319">
            <v>21.138757396449702</v>
          </cell>
          <cell r="L1319">
            <v>35.958165680473371</v>
          </cell>
          <cell r="Q1319">
            <v>15320</v>
          </cell>
        </row>
        <row r="1320">
          <cell r="I1320">
            <v>36.75</v>
          </cell>
          <cell r="K1320">
            <v>36.75</v>
          </cell>
          <cell r="L1320">
            <v>36.75</v>
          </cell>
          <cell r="Q1320">
            <v>15321</v>
          </cell>
        </row>
        <row r="1321">
          <cell r="I1321">
            <v>98.88000000000001</v>
          </cell>
          <cell r="K1321">
            <v>77.605714285714299</v>
          </cell>
          <cell r="L1321">
            <v>120.15428571428572</v>
          </cell>
          <cell r="Q1321">
            <v>15322</v>
          </cell>
        </row>
        <row r="1322">
          <cell r="I1322">
            <v>50.129230769230773</v>
          </cell>
          <cell r="K1322">
            <v>28.830177514792904</v>
          </cell>
          <cell r="L1322">
            <v>71.428284023668638</v>
          </cell>
          <cell r="Q1322">
            <v>15323</v>
          </cell>
        </row>
        <row r="1323">
          <cell r="I1323">
            <v>137.11333333333332</v>
          </cell>
          <cell r="K1323">
            <v>112.73333333333332</v>
          </cell>
          <cell r="L1323">
            <v>161.49333333333331</v>
          </cell>
          <cell r="Q1323">
            <v>15324</v>
          </cell>
        </row>
        <row r="1324">
          <cell r="I1324">
            <v>46.982222222222227</v>
          </cell>
          <cell r="K1324">
            <v>26.824444444444449</v>
          </cell>
          <cell r="L1324">
            <v>67.14</v>
          </cell>
          <cell r="Q1324">
            <v>15325</v>
          </cell>
        </row>
        <row r="1325">
          <cell r="I1325">
            <v>134.42769230769233</v>
          </cell>
          <cell r="K1325">
            <v>97.424378698224871</v>
          </cell>
          <cell r="L1325">
            <v>171.43100591715978</v>
          </cell>
          <cell r="Q1325">
            <v>15326</v>
          </cell>
        </row>
        <row r="1326">
          <cell r="I1326">
            <v>21.596666666666668</v>
          </cell>
          <cell r="K1326">
            <v>12.629192618223762</v>
          </cell>
          <cell r="L1326">
            <v>30.564140715109573</v>
          </cell>
          <cell r="Q1326">
            <v>15327</v>
          </cell>
        </row>
        <row r="1327">
          <cell r="I1327">
            <v>79.437777777777754</v>
          </cell>
          <cell r="K1327">
            <v>47.408465777777742</v>
          </cell>
          <cell r="L1327">
            <v>111.46708977777777</v>
          </cell>
          <cell r="Q1327">
            <v>15328</v>
          </cell>
        </row>
        <row r="1328">
          <cell r="I1328">
            <v>53.73714285714285</v>
          </cell>
          <cell r="K1328">
            <v>51.24979591836734</v>
          </cell>
          <cell r="L1328">
            <v>56.224489795918359</v>
          </cell>
          <cell r="Q1328">
            <v>15329</v>
          </cell>
        </row>
        <row r="1329">
          <cell r="I1329">
            <v>111.00555555555556</v>
          </cell>
          <cell r="K1329">
            <v>58.83611111111113</v>
          </cell>
          <cell r="L1329">
            <v>163.17499999999998</v>
          </cell>
          <cell r="Q1329">
            <v>15330</v>
          </cell>
        </row>
        <row r="1330">
          <cell r="I1330">
            <v>17.6875</v>
          </cell>
          <cell r="K1330">
            <v>8.8744444444444444</v>
          </cell>
          <cell r="L1330">
            <v>26.500555555555557</v>
          </cell>
          <cell r="Q1330">
            <v>15331</v>
          </cell>
        </row>
        <row r="1331">
          <cell r="I1331">
            <v>34.88642857142856</v>
          </cell>
          <cell r="K1331">
            <v>30.545006349206329</v>
          </cell>
          <cell r="L1331">
            <v>39.227850793650788</v>
          </cell>
          <cell r="Q1331">
            <v>15332</v>
          </cell>
        </row>
        <row r="1332">
          <cell r="I1332">
            <v>93.582692307692312</v>
          </cell>
          <cell r="K1332">
            <v>90.776094674556219</v>
          </cell>
          <cell r="L1332">
            <v>96.389289940828405</v>
          </cell>
          <cell r="Q1332">
            <v>15333</v>
          </cell>
        </row>
        <row r="1333">
          <cell r="I1333">
            <v>27.942666666666675</v>
          </cell>
          <cell r="K1333">
            <v>23.851288888888902</v>
          </cell>
          <cell r="L1333">
            <v>32.034044444444447</v>
          </cell>
          <cell r="Q1333">
            <v>15334</v>
          </cell>
        </row>
        <row r="1334">
          <cell r="I1334">
            <v>22.293076923076924</v>
          </cell>
          <cell r="K1334">
            <v>14.128623798076925</v>
          </cell>
          <cell r="L1334">
            <v>30.457530048076926</v>
          </cell>
          <cell r="Q1334">
            <v>15336</v>
          </cell>
        </row>
        <row r="1335">
          <cell r="I1335">
            <v>26.40307692307692</v>
          </cell>
          <cell r="K1335">
            <v>25.970414201183427</v>
          </cell>
          <cell r="L1335">
            <v>26.835739644970413</v>
          </cell>
          <cell r="Q1335">
            <v>15337</v>
          </cell>
        </row>
        <row r="1336">
          <cell r="I1336">
            <v>137.323125</v>
          </cell>
          <cell r="K1336">
            <v>104.58578125</v>
          </cell>
          <cell r="L1336">
            <v>170.06046875000001</v>
          </cell>
          <cell r="Q1336">
            <v>15339</v>
          </cell>
        </row>
        <row r="1337">
          <cell r="I1337">
            <v>20.549333333333326</v>
          </cell>
          <cell r="K1337">
            <v>16.983083333333322</v>
          </cell>
          <cell r="L1337">
            <v>24.11558333333333</v>
          </cell>
          <cell r="Q1337">
            <v>15340</v>
          </cell>
        </row>
        <row r="1338">
          <cell r="I1338">
            <v>37.138400000000019</v>
          </cell>
          <cell r="K1338">
            <v>33.771476923076939</v>
          </cell>
          <cell r="L1338">
            <v>40.505323076923098</v>
          </cell>
          <cell r="Q1338">
            <v>15341</v>
          </cell>
        </row>
        <row r="1339">
          <cell r="I1339">
            <v>33.946400000000004</v>
          </cell>
          <cell r="K1339">
            <v>25.082021301775157</v>
          </cell>
          <cell r="L1339">
            <v>42.810778698224851</v>
          </cell>
          <cell r="Q1339">
            <v>15342</v>
          </cell>
        </row>
        <row r="1340">
          <cell r="I1340">
            <v>74.530769230769209</v>
          </cell>
          <cell r="K1340">
            <v>71.433491124260314</v>
          </cell>
          <cell r="L1340">
            <v>77.628047337278105</v>
          </cell>
          <cell r="Q1340">
            <v>15343</v>
          </cell>
        </row>
        <row r="1341">
          <cell r="I1341">
            <v>190.48999999999998</v>
          </cell>
          <cell r="K1341">
            <v>161.87826530612242</v>
          </cell>
          <cell r="L1341">
            <v>219.10173469387755</v>
          </cell>
          <cell r="Q1341">
            <v>15344</v>
          </cell>
        </row>
        <row r="1342">
          <cell r="I1342">
            <v>73.648461538461532</v>
          </cell>
          <cell r="K1342">
            <v>35.293431952662715</v>
          </cell>
          <cell r="L1342">
            <v>112.00349112426035</v>
          </cell>
          <cell r="Q1342">
            <v>15345</v>
          </cell>
        </row>
        <row r="1343">
          <cell r="I1343">
            <v>21.959615384615386</v>
          </cell>
          <cell r="K1343">
            <v>19.289382188456266</v>
          </cell>
          <cell r="L1343">
            <v>24.629848580774507</v>
          </cell>
          <cell r="Q1343">
            <v>15346</v>
          </cell>
        </row>
        <row r="1344">
          <cell r="I1344">
            <v>178.63500000000008</v>
          </cell>
          <cell r="K1344">
            <v>143.06707133059001</v>
          </cell>
          <cell r="L1344">
            <v>214.20292866941014</v>
          </cell>
          <cell r="Q1344">
            <v>15348</v>
          </cell>
        </row>
        <row r="1345">
          <cell r="I1345">
            <v>70.67692307692306</v>
          </cell>
          <cell r="K1345">
            <v>65.635496465126053</v>
          </cell>
          <cell r="L1345">
            <v>75.718349688720068</v>
          </cell>
          <cell r="Q1345">
            <v>15349</v>
          </cell>
        </row>
        <row r="1346">
          <cell r="I1346">
            <v>15.355384615384619</v>
          </cell>
          <cell r="K1346">
            <v>14.76745562130178</v>
          </cell>
          <cell r="L1346">
            <v>15.943313609467458</v>
          </cell>
          <cell r="Q1346">
            <v>15351</v>
          </cell>
        </row>
        <row r="1347">
          <cell r="I1347">
            <v>20</v>
          </cell>
          <cell r="K1347">
            <v>20</v>
          </cell>
          <cell r="L1347">
            <v>20</v>
          </cell>
          <cell r="Q1347">
            <v>15352</v>
          </cell>
        </row>
        <row r="1348">
          <cell r="I1348">
            <v>79.372799999999984</v>
          </cell>
          <cell r="K1348">
            <v>73.502030769230728</v>
          </cell>
          <cell r="L1348">
            <v>85.243569230769239</v>
          </cell>
          <cell r="Q1348">
            <v>15353</v>
          </cell>
        </row>
        <row r="1349">
          <cell r="I1349">
            <v>37.285000000000004</v>
          </cell>
          <cell r="K1349">
            <v>36.801666666666669</v>
          </cell>
          <cell r="L1349">
            <v>37.768333333333338</v>
          </cell>
          <cell r="Q1349">
            <v>15354</v>
          </cell>
        </row>
        <row r="1350">
          <cell r="I1350">
            <v>148.73307692307691</v>
          </cell>
          <cell r="K1350">
            <v>106.07129365833066</v>
          </cell>
          <cell r="L1350">
            <v>191.39486018782316</v>
          </cell>
          <cell r="Q1350">
            <v>15355</v>
          </cell>
        </row>
        <row r="1351">
          <cell r="I1351">
            <v>46.146923076923066</v>
          </cell>
          <cell r="K1351">
            <v>39.523136094674555</v>
          </cell>
          <cell r="L1351">
            <v>52.770710059171577</v>
          </cell>
          <cell r="Q1351">
            <v>15356</v>
          </cell>
        </row>
        <row r="1352">
          <cell r="I1352">
            <v>60.022857142857148</v>
          </cell>
          <cell r="K1352">
            <v>46.892857142857153</v>
          </cell>
          <cell r="L1352">
            <v>73.152857142857144</v>
          </cell>
          <cell r="Q1352">
            <v>15357</v>
          </cell>
        </row>
        <row r="1353">
          <cell r="I1353">
            <v>16.912857142857145</v>
          </cell>
          <cell r="K1353">
            <v>2.3526530612244958</v>
          </cell>
          <cell r="L1353">
            <v>31.473061224489797</v>
          </cell>
          <cell r="Q1353">
            <v>15358</v>
          </cell>
        </row>
        <row r="1354">
          <cell r="I1354">
            <v>69.437142857142845</v>
          </cell>
          <cell r="K1354">
            <v>54.24776785714284</v>
          </cell>
          <cell r="L1354">
            <v>84.626517857142858</v>
          </cell>
          <cell r="Q1354">
            <v>15359</v>
          </cell>
        </row>
        <row r="1355">
          <cell r="I1355">
            <v>32.50692307692308</v>
          </cell>
          <cell r="K1355">
            <v>30.188185079666567</v>
          </cell>
          <cell r="L1355">
            <v>34.825661074179592</v>
          </cell>
          <cell r="Q1355">
            <v>15362</v>
          </cell>
        </row>
        <row r="1356">
          <cell r="I1356">
            <v>57.548333333333339</v>
          </cell>
          <cell r="K1356">
            <v>55.501111111111115</v>
          </cell>
          <cell r="L1356">
            <v>59.595555555555563</v>
          </cell>
          <cell r="Q1356">
            <v>15363</v>
          </cell>
        </row>
        <row r="1357">
          <cell r="I1357">
            <v>85.20222222222219</v>
          </cell>
          <cell r="K1357">
            <v>69.865822222222178</v>
          </cell>
          <cell r="L1357">
            <v>100.5386222222222</v>
          </cell>
          <cell r="Q1357">
            <v>15364</v>
          </cell>
        </row>
        <row r="1358">
          <cell r="I1358">
            <v>31.486666666666665</v>
          </cell>
          <cell r="K1358">
            <v>27.015187376725837</v>
          </cell>
          <cell r="L1358">
            <v>35.958145956607495</v>
          </cell>
          <cell r="Q1358">
            <v>15366</v>
          </cell>
        </row>
        <row r="1359">
          <cell r="I1359">
            <v>23.345384615384617</v>
          </cell>
          <cell r="K1359">
            <v>22.757455621301776</v>
          </cell>
          <cell r="L1359">
            <v>23.933313609467458</v>
          </cell>
          <cell r="Q1359">
            <v>15367</v>
          </cell>
        </row>
        <row r="1360">
          <cell r="I1360">
            <v>68.351538461538453</v>
          </cell>
          <cell r="K1360">
            <v>49.255007849293555</v>
          </cell>
          <cell r="L1360">
            <v>87.448069073783358</v>
          </cell>
          <cell r="Q1360">
            <v>15368</v>
          </cell>
        </row>
        <row r="1361">
          <cell r="I1361">
            <v>72.424615384615379</v>
          </cell>
          <cell r="K1361">
            <v>48.275266272189342</v>
          </cell>
          <cell r="L1361">
            <v>96.573964497041416</v>
          </cell>
          <cell r="Q1361">
            <v>15370</v>
          </cell>
        </row>
        <row r="1362">
          <cell r="I1362">
            <v>36.30360000000001</v>
          </cell>
          <cell r="K1362">
            <v>23.294200000000011</v>
          </cell>
          <cell r="L1362">
            <v>49.313000000000009</v>
          </cell>
          <cell r="Q1362">
            <v>15371</v>
          </cell>
        </row>
        <row r="1363">
          <cell r="I1363">
            <v>51.932857142857138</v>
          </cell>
          <cell r="K1363">
            <v>31.592857142857135</v>
          </cell>
          <cell r="L1363">
            <v>72.272857142857134</v>
          </cell>
          <cell r="Q1363">
            <v>15372</v>
          </cell>
        </row>
        <row r="1364">
          <cell r="I1364">
            <v>19.674285714285713</v>
          </cell>
          <cell r="K1364">
            <v>5.8538775510204051</v>
          </cell>
          <cell r="L1364">
            <v>33.494693877551022</v>
          </cell>
          <cell r="Q1364">
            <v>15373</v>
          </cell>
        </row>
        <row r="1365">
          <cell r="I1365">
            <v>91.601538461538453</v>
          </cell>
          <cell r="K1365">
            <v>76.377660910518046</v>
          </cell>
          <cell r="L1365">
            <v>106.82541601255886</v>
          </cell>
          <cell r="Q1365">
            <v>15374</v>
          </cell>
        </row>
        <row r="1366">
          <cell r="I1366">
            <v>23.979090909090907</v>
          </cell>
          <cell r="K1366">
            <v>14.600602020202016</v>
          </cell>
          <cell r="L1366">
            <v>33.357579797979795</v>
          </cell>
          <cell r="Q1366">
            <v>15376</v>
          </cell>
        </row>
        <row r="1367">
          <cell r="I1367">
            <v>25.516666666666666</v>
          </cell>
          <cell r="K1367">
            <v>24.885555555555555</v>
          </cell>
          <cell r="L1367">
            <v>26.147777777777776</v>
          </cell>
          <cell r="Q1367">
            <v>15377</v>
          </cell>
        </row>
        <row r="1368">
          <cell r="I1368">
            <v>14.626666666666665</v>
          </cell>
          <cell r="K1368">
            <v>13.995555555555553</v>
          </cell>
          <cell r="L1368">
            <v>15.257777777777777</v>
          </cell>
          <cell r="Q1368">
            <v>15378</v>
          </cell>
        </row>
        <row r="1369">
          <cell r="I1369">
            <v>64.650000000000006</v>
          </cell>
          <cell r="K1369">
            <v>62.364285714285714</v>
          </cell>
          <cell r="L1369">
            <v>66.935714285714297</v>
          </cell>
          <cell r="Q1369">
            <v>15379</v>
          </cell>
        </row>
        <row r="1370">
          <cell r="I1370">
            <v>25.90285714285714</v>
          </cell>
          <cell r="K1370">
            <v>20.236607142857139</v>
          </cell>
          <cell r="L1370">
            <v>31.569107142857142</v>
          </cell>
          <cell r="Q1370">
            <v>15380</v>
          </cell>
        </row>
        <row r="1371">
          <cell r="I1371">
            <v>693.01928571428573</v>
          </cell>
          <cell r="K1371">
            <v>604.93875238095245</v>
          </cell>
          <cell r="L1371">
            <v>781.09981904761901</v>
          </cell>
          <cell r="Q1371">
            <v>15381</v>
          </cell>
        </row>
        <row r="1372">
          <cell r="I1372">
            <v>49.99538461538463</v>
          </cell>
          <cell r="K1372">
            <v>27.028757396449709</v>
          </cell>
          <cell r="L1372">
            <v>72.962011834319554</v>
          </cell>
          <cell r="Q1372">
            <v>15383</v>
          </cell>
        </row>
        <row r="1373">
          <cell r="I1373">
            <v>18.906666666666666</v>
          </cell>
          <cell r="K1373">
            <v>18.275555555555556</v>
          </cell>
          <cell r="L1373">
            <v>19.537777777777777</v>
          </cell>
          <cell r="Q1373">
            <v>15384</v>
          </cell>
        </row>
        <row r="1374">
          <cell r="I1374">
            <v>20.22730769230769</v>
          </cell>
          <cell r="K1374">
            <v>19.785887573964494</v>
          </cell>
          <cell r="L1374">
            <v>20.668727810650886</v>
          </cell>
          <cell r="Q1374">
            <v>15385</v>
          </cell>
        </row>
        <row r="1375">
          <cell r="I1375">
            <v>143.45038461538462</v>
          </cell>
          <cell r="K1375">
            <v>119.99384615384616</v>
          </cell>
          <cell r="L1375">
            <v>166.90692307692308</v>
          </cell>
          <cell r="Q1375">
            <v>15386</v>
          </cell>
        </row>
        <row r="1376">
          <cell r="I1376">
            <v>34.694230769230771</v>
          </cell>
          <cell r="K1376">
            <v>24.163757396449704</v>
          </cell>
          <cell r="L1376">
            <v>45.224704142011838</v>
          </cell>
          <cell r="Q1376">
            <v>15388</v>
          </cell>
        </row>
        <row r="1377">
          <cell r="I1377">
            <v>715.32074074074103</v>
          </cell>
          <cell r="K1377">
            <v>594.43420090720974</v>
          </cell>
          <cell r="L1377">
            <v>836.20728057427232</v>
          </cell>
          <cell r="Q1377">
            <v>15389</v>
          </cell>
        </row>
        <row r="1378">
          <cell r="I1378">
            <v>20</v>
          </cell>
          <cell r="K1378">
            <v>20</v>
          </cell>
          <cell r="L1378">
            <v>20</v>
          </cell>
          <cell r="Q1378">
            <v>15390</v>
          </cell>
        </row>
        <row r="1379">
          <cell r="I1379">
            <v>32.823846153846155</v>
          </cell>
          <cell r="K1379">
            <v>27.312130177514792</v>
          </cell>
          <cell r="L1379">
            <v>38.335562130177522</v>
          </cell>
          <cell r="Q1379">
            <v>15391</v>
          </cell>
        </row>
        <row r="1380">
          <cell r="I1380">
            <v>11.497307692307693</v>
          </cell>
          <cell r="K1380">
            <v>8.9531924659702433</v>
          </cell>
          <cell r="L1380">
            <v>14.041422918645143</v>
          </cell>
          <cell r="Q1380">
            <v>15392</v>
          </cell>
        </row>
        <row r="1381">
          <cell r="I1381">
            <v>25.192500000000006</v>
          </cell>
          <cell r="K1381">
            <v>24.741250000000004</v>
          </cell>
          <cell r="L1381">
            <v>25.643750000000008</v>
          </cell>
          <cell r="Q1381">
            <v>15393</v>
          </cell>
        </row>
        <row r="1382">
          <cell r="I1382">
            <v>88.24178571428574</v>
          </cell>
          <cell r="K1382">
            <v>64.409795918367394</v>
          </cell>
          <cell r="L1382">
            <v>112.07377551020409</v>
          </cell>
          <cell r="Q1382">
            <v>15395</v>
          </cell>
        </row>
        <row r="1383">
          <cell r="I1383">
            <v>32.296538461538461</v>
          </cell>
          <cell r="K1383">
            <v>16.51427924631848</v>
          </cell>
          <cell r="L1383">
            <v>48.078797676758441</v>
          </cell>
          <cell r="Q1383">
            <v>15396</v>
          </cell>
        </row>
        <row r="1384">
          <cell r="I1384">
            <v>559.33499999999992</v>
          </cell>
          <cell r="K1384">
            <v>536.5226923076923</v>
          </cell>
          <cell r="L1384">
            <v>582.14730769230755</v>
          </cell>
          <cell r="Q1384">
            <v>15397</v>
          </cell>
        </row>
        <row r="1385">
          <cell r="I1385">
            <v>87.627307692307653</v>
          </cell>
          <cell r="K1385">
            <v>87.185887573964436</v>
          </cell>
          <cell r="L1385">
            <v>88.06872781065087</v>
          </cell>
          <cell r="Q1385">
            <v>15398</v>
          </cell>
        </row>
        <row r="1386">
          <cell r="I1386">
            <v>24.216666666666669</v>
          </cell>
          <cell r="K1386">
            <v>23.585555555555558</v>
          </cell>
          <cell r="L1386">
            <v>24.847777777777779</v>
          </cell>
          <cell r="Q1386">
            <v>15399</v>
          </cell>
        </row>
        <row r="1387">
          <cell r="I1387">
            <v>55.498461538461541</v>
          </cell>
          <cell r="K1387">
            <v>46.630118343195264</v>
          </cell>
          <cell r="L1387">
            <v>64.366804733727818</v>
          </cell>
          <cell r="Q1387">
            <v>15400</v>
          </cell>
        </row>
        <row r="1388">
          <cell r="I1388">
            <v>29.263913043478269</v>
          </cell>
          <cell r="K1388">
            <v>21.84749704347827</v>
          </cell>
          <cell r="L1388">
            <v>36.680329043478267</v>
          </cell>
          <cell r="Q1388">
            <v>15402</v>
          </cell>
        </row>
        <row r="1389">
          <cell r="I1389">
            <v>38.848846153846146</v>
          </cell>
          <cell r="K1389">
            <v>28.275912480376757</v>
          </cell>
          <cell r="L1389">
            <v>49.421779827315532</v>
          </cell>
          <cell r="Q1389">
            <v>15403</v>
          </cell>
        </row>
        <row r="1390">
          <cell r="I1390">
            <v>122.34769230769233</v>
          </cell>
          <cell r="K1390">
            <v>99.037396449704147</v>
          </cell>
          <cell r="L1390">
            <v>145.65798816568051</v>
          </cell>
          <cell r="Q1390">
            <v>15404</v>
          </cell>
        </row>
        <row r="1391">
          <cell r="I1391">
            <v>103.18666666666667</v>
          </cell>
          <cell r="K1391">
            <v>93.378888888888895</v>
          </cell>
          <cell r="L1391">
            <v>112.99444444444444</v>
          </cell>
          <cell r="Q1391">
            <v>15405</v>
          </cell>
        </row>
        <row r="1392">
          <cell r="I1392">
            <v>109.86692307692313</v>
          </cell>
          <cell r="K1392">
            <v>69.697100591716008</v>
          </cell>
          <cell r="L1392">
            <v>150.03674556213025</v>
          </cell>
          <cell r="Q1392">
            <v>15406</v>
          </cell>
        </row>
        <row r="1393">
          <cell r="I1393">
            <v>68.946923076923042</v>
          </cell>
          <cell r="K1393">
            <v>66.875917159763318</v>
          </cell>
          <cell r="L1393">
            <v>71.017928994082766</v>
          </cell>
          <cell r="Q1393">
            <v>15407</v>
          </cell>
        </row>
        <row r="1394">
          <cell r="I1394">
            <v>46.940769230769241</v>
          </cell>
          <cell r="K1394">
            <v>46.447869822485224</v>
          </cell>
          <cell r="L1394">
            <v>47.433668639053259</v>
          </cell>
          <cell r="Q1394">
            <v>15408</v>
          </cell>
        </row>
        <row r="1395">
          <cell r="I1395">
            <v>99.528750000000002</v>
          </cell>
          <cell r="K1395">
            <v>64.076875000000001</v>
          </cell>
          <cell r="L1395">
            <v>134.980625</v>
          </cell>
          <cell r="Q1395">
            <v>15409</v>
          </cell>
        </row>
        <row r="1396">
          <cell r="I1396">
            <v>23.53</v>
          </cell>
          <cell r="K1396">
            <v>23.53</v>
          </cell>
          <cell r="L1396">
            <v>23.53</v>
          </cell>
          <cell r="Q1396">
            <v>15410</v>
          </cell>
        </row>
        <row r="1397">
          <cell r="I1397">
            <v>42.001538461538452</v>
          </cell>
          <cell r="K1397">
            <v>41.511124260355018</v>
          </cell>
          <cell r="L1397">
            <v>42.491952662721886</v>
          </cell>
          <cell r="Q1397">
            <v>15411</v>
          </cell>
        </row>
        <row r="1398">
          <cell r="I1398">
            <v>37.586666666666666</v>
          </cell>
          <cell r="K1398">
            <v>35.947777777777773</v>
          </cell>
          <cell r="L1398">
            <v>39.225555555555559</v>
          </cell>
          <cell r="Q1398">
            <v>15412</v>
          </cell>
        </row>
        <row r="1399">
          <cell r="I1399">
            <v>29.407142857142851</v>
          </cell>
          <cell r="K1399">
            <v>28.98591836734693</v>
          </cell>
          <cell r="L1399">
            <v>29.828367346938773</v>
          </cell>
          <cell r="Q1399">
            <v>15413</v>
          </cell>
        </row>
        <row r="1400">
          <cell r="I1400">
            <v>25.16714285714286</v>
          </cell>
          <cell r="K1400">
            <v>24.745918367346942</v>
          </cell>
          <cell r="L1400">
            <v>25.588367346938778</v>
          </cell>
          <cell r="Q1400">
            <v>15414</v>
          </cell>
        </row>
        <row r="1401">
          <cell r="I1401">
            <v>13.901666666666664</v>
          </cell>
          <cell r="K1401">
            <v>11.927465483234709</v>
          </cell>
          <cell r="L1401">
            <v>15.875867850098619</v>
          </cell>
          <cell r="Q1401">
            <v>15415</v>
          </cell>
        </row>
        <row r="1402">
          <cell r="I1402">
            <v>39.027142857142856</v>
          </cell>
          <cell r="K1402">
            <v>38.605918367346938</v>
          </cell>
          <cell r="L1402">
            <v>39.448367346938774</v>
          </cell>
          <cell r="Q1402">
            <v>15416</v>
          </cell>
        </row>
        <row r="1403">
          <cell r="I1403">
            <v>61.307142857142857</v>
          </cell>
          <cell r="K1403">
            <v>60.885918367346939</v>
          </cell>
          <cell r="L1403">
            <v>61.728367346938775</v>
          </cell>
          <cell r="Q1403">
            <v>15417</v>
          </cell>
        </row>
        <row r="1404">
          <cell r="I1404">
            <v>26.799999999999994</v>
          </cell>
          <cell r="K1404">
            <v>25.138461538461531</v>
          </cell>
          <cell r="L1404">
            <v>28.461538461538456</v>
          </cell>
          <cell r="Q1404">
            <v>15418</v>
          </cell>
        </row>
        <row r="1405">
          <cell r="I1405">
            <v>96.091923076923109</v>
          </cell>
          <cell r="K1405">
            <v>82.97923076923081</v>
          </cell>
          <cell r="L1405">
            <v>109.20461538461541</v>
          </cell>
          <cell r="Q1405">
            <v>15419</v>
          </cell>
        </row>
        <row r="1406">
          <cell r="I1406">
            <v>56.200769230769232</v>
          </cell>
          <cell r="K1406">
            <v>38.632248520710064</v>
          </cell>
          <cell r="L1406">
            <v>73.769289940828401</v>
          </cell>
          <cell r="Q1406">
            <v>15420</v>
          </cell>
        </row>
        <row r="1407">
          <cell r="I1407">
            <v>29.435384615384613</v>
          </cell>
          <cell r="K1407">
            <v>21.805162393162387</v>
          </cell>
          <cell r="L1407">
            <v>37.065606837606836</v>
          </cell>
          <cell r="Q1407">
            <v>15421</v>
          </cell>
        </row>
        <row r="1408">
          <cell r="I1408">
            <v>67.424999999999997</v>
          </cell>
          <cell r="K1408">
            <v>41.899804687499994</v>
          </cell>
          <cell r="L1408">
            <v>92.9501953125</v>
          </cell>
          <cell r="Q1408">
            <v>15422</v>
          </cell>
        </row>
        <row r="1409">
          <cell r="I1409">
            <v>40.719999999999992</v>
          </cell>
          <cell r="K1409">
            <v>38.297692307692301</v>
          </cell>
          <cell r="L1409">
            <v>43.142307692307682</v>
          </cell>
          <cell r="Q1409">
            <v>15423</v>
          </cell>
        </row>
        <row r="1410">
          <cell r="I1410">
            <v>17.34615384615385</v>
          </cell>
          <cell r="K1410">
            <v>17.059289940828407</v>
          </cell>
          <cell r="L1410">
            <v>17.633017751479294</v>
          </cell>
          <cell r="Q1410">
            <v>15424</v>
          </cell>
        </row>
        <row r="1411">
          <cell r="I1411">
            <v>46.929999999999993</v>
          </cell>
          <cell r="K1411">
            <v>46.929999999999986</v>
          </cell>
          <cell r="L1411">
            <v>46.93</v>
          </cell>
          <cell r="Q1411">
            <v>15425</v>
          </cell>
        </row>
        <row r="1412">
          <cell r="I1412">
            <v>37.647142857142853</v>
          </cell>
          <cell r="K1412">
            <v>37.225918367346928</v>
          </cell>
          <cell r="L1412">
            <v>38.068367346938778</v>
          </cell>
          <cell r="Q1412">
            <v>15427</v>
          </cell>
        </row>
        <row r="1413">
          <cell r="I1413">
            <v>55.315384615384609</v>
          </cell>
          <cell r="K1413">
            <v>52.257396449704132</v>
          </cell>
          <cell r="L1413">
            <v>58.373372781065086</v>
          </cell>
          <cell r="Q1413">
            <v>15428</v>
          </cell>
        </row>
        <row r="1414">
          <cell r="I1414">
            <v>20.662500000000001</v>
          </cell>
          <cell r="K1414">
            <v>16.581018518518519</v>
          </cell>
          <cell r="L1414">
            <v>24.743981481481484</v>
          </cell>
          <cell r="Q1414">
            <v>15429</v>
          </cell>
        </row>
        <row r="1415">
          <cell r="I1415">
            <v>0</v>
          </cell>
          <cell r="K1415">
            <v>0</v>
          </cell>
          <cell r="L1415">
            <v>0</v>
          </cell>
          <cell r="Q1415">
            <v>15430</v>
          </cell>
        </row>
        <row r="1416">
          <cell r="I1416">
            <v>46.17799999999999</v>
          </cell>
          <cell r="K1416">
            <v>32.267036860879891</v>
          </cell>
          <cell r="L1416">
            <v>60.088963139120089</v>
          </cell>
          <cell r="Q1416">
            <v>15431</v>
          </cell>
        </row>
        <row r="1417">
          <cell r="I1417">
            <v>25</v>
          </cell>
          <cell r="K1417">
            <v>9.6938775510204085</v>
          </cell>
          <cell r="L1417">
            <v>40.306122448979593</v>
          </cell>
          <cell r="Q1417">
            <v>15432</v>
          </cell>
        </row>
        <row r="1418">
          <cell r="I1418">
            <v>33.754999999999995</v>
          </cell>
          <cell r="K1418">
            <v>30.956538461538457</v>
          </cell>
          <cell r="L1418">
            <v>36.553461538461534</v>
          </cell>
          <cell r="Q1418">
            <v>15433</v>
          </cell>
        </row>
        <row r="1419">
          <cell r="I1419">
            <v>97.016923076923078</v>
          </cell>
          <cell r="K1419">
            <v>96.373136094674564</v>
          </cell>
          <cell r="L1419">
            <v>97.660710059171592</v>
          </cell>
          <cell r="Q1419">
            <v>15434</v>
          </cell>
        </row>
        <row r="1420">
          <cell r="I1420">
            <v>22.874999999999993</v>
          </cell>
          <cell r="K1420">
            <v>21.705384615384606</v>
          </cell>
          <cell r="L1420">
            <v>24.04461538461538</v>
          </cell>
          <cell r="Q1420">
            <v>15436</v>
          </cell>
        </row>
        <row r="1421">
          <cell r="I1421">
            <v>23.59538461538461</v>
          </cell>
          <cell r="K1421">
            <v>21.784023668639051</v>
          </cell>
          <cell r="L1421">
            <v>25.406745562130169</v>
          </cell>
          <cell r="Q1421">
            <v>15437</v>
          </cell>
        </row>
        <row r="1422">
          <cell r="I1422">
            <v>15</v>
          </cell>
          <cell r="K1422">
            <v>15</v>
          </cell>
          <cell r="L1422">
            <v>15</v>
          </cell>
          <cell r="Q1422">
            <v>15438</v>
          </cell>
        </row>
        <row r="1423">
          <cell r="I1423">
            <v>48.316153846153846</v>
          </cell>
          <cell r="K1423">
            <v>35.007582417582412</v>
          </cell>
          <cell r="L1423">
            <v>61.624725274725279</v>
          </cell>
          <cell r="Q1423">
            <v>15439</v>
          </cell>
        </row>
        <row r="1424">
          <cell r="I1424">
            <v>145.85730769230764</v>
          </cell>
          <cell r="K1424">
            <v>145.41588757396443</v>
          </cell>
          <cell r="L1424">
            <v>146.29872781065086</v>
          </cell>
          <cell r="Q1424">
            <v>15440</v>
          </cell>
        </row>
        <row r="1425">
          <cell r="I1425">
            <v>113.80375000000002</v>
          </cell>
          <cell r="K1425">
            <v>73.926685528120743</v>
          </cell>
          <cell r="L1425">
            <v>153.6808144718793</v>
          </cell>
          <cell r="Q1425">
            <v>15441</v>
          </cell>
        </row>
        <row r="1426">
          <cell r="I1426">
            <v>50.567142857142855</v>
          </cell>
          <cell r="K1426">
            <v>50.145918367346937</v>
          </cell>
          <cell r="L1426">
            <v>50.988367346938773</v>
          </cell>
          <cell r="Q1426">
            <v>15442</v>
          </cell>
        </row>
        <row r="1427">
          <cell r="I1427">
            <v>47.207142857142863</v>
          </cell>
          <cell r="K1427">
            <v>46.785918367346945</v>
          </cell>
          <cell r="L1427">
            <v>47.628367346938781</v>
          </cell>
          <cell r="Q1427">
            <v>15443</v>
          </cell>
        </row>
        <row r="1428">
          <cell r="I1428">
            <v>40.240769230769232</v>
          </cell>
          <cell r="K1428">
            <v>34.790414201183431</v>
          </cell>
          <cell r="L1428">
            <v>45.691124260355032</v>
          </cell>
          <cell r="Q1428">
            <v>15444</v>
          </cell>
        </row>
        <row r="1429">
          <cell r="I1429">
            <v>23.23714285714286</v>
          </cell>
          <cell r="K1429">
            <v>22.815918367346942</v>
          </cell>
          <cell r="L1429">
            <v>23.658367346938778</v>
          </cell>
          <cell r="Q1429">
            <v>15445</v>
          </cell>
        </row>
        <row r="1430">
          <cell r="I1430">
            <v>206.08846153846156</v>
          </cell>
          <cell r="K1430">
            <v>182.33715976331362</v>
          </cell>
          <cell r="L1430">
            <v>229.8397633136095</v>
          </cell>
          <cell r="Q1430">
            <v>15446</v>
          </cell>
        </row>
        <row r="1431">
          <cell r="I1431">
            <v>94.497727272727261</v>
          </cell>
          <cell r="K1431">
            <v>86.637802887093997</v>
          </cell>
          <cell r="L1431">
            <v>102.35765165836052</v>
          </cell>
          <cell r="Q1431">
            <v>15447</v>
          </cell>
        </row>
        <row r="1432">
          <cell r="I1432">
            <v>16.887142857142859</v>
          </cell>
          <cell r="K1432">
            <v>16.465918367346941</v>
          </cell>
          <cell r="L1432">
            <v>17.308367346938777</v>
          </cell>
          <cell r="Q1432">
            <v>15448</v>
          </cell>
        </row>
        <row r="1433">
          <cell r="I1433">
            <v>34.33</v>
          </cell>
          <cell r="K1433">
            <v>27.918571428571429</v>
          </cell>
          <cell r="L1433">
            <v>40.741428571428564</v>
          </cell>
          <cell r="Q1433">
            <v>15449</v>
          </cell>
        </row>
        <row r="1434">
          <cell r="I1434">
            <v>60.289999999999978</v>
          </cell>
          <cell r="K1434">
            <v>55.989478737997217</v>
          </cell>
          <cell r="L1434">
            <v>64.590521262002738</v>
          </cell>
          <cell r="Q1434">
            <v>15450</v>
          </cell>
        </row>
        <row r="1435">
          <cell r="I1435">
            <v>19.965</v>
          </cell>
          <cell r="K1435">
            <v>19.481666666666666</v>
          </cell>
          <cell r="L1435">
            <v>20.448333333333334</v>
          </cell>
          <cell r="Q1435">
            <v>15451</v>
          </cell>
        </row>
        <row r="1436">
          <cell r="I1436">
            <v>69.277037037037033</v>
          </cell>
          <cell r="K1436">
            <v>24.917366255144039</v>
          </cell>
          <cell r="L1436">
            <v>113.63670781893003</v>
          </cell>
          <cell r="Q1436">
            <v>15452</v>
          </cell>
        </row>
        <row r="1437">
          <cell r="I1437">
            <v>90.195714285714288</v>
          </cell>
          <cell r="K1437">
            <v>39.561339285714283</v>
          </cell>
          <cell r="L1437">
            <v>140.83008928571428</v>
          </cell>
          <cell r="Q1437">
            <v>15453</v>
          </cell>
        </row>
        <row r="1438">
          <cell r="I1438">
            <v>35.234999999999992</v>
          </cell>
          <cell r="K1438">
            <v>34.751666666666658</v>
          </cell>
          <cell r="L1438">
            <v>35.718333333333327</v>
          </cell>
          <cell r="Q1438">
            <v>15454</v>
          </cell>
        </row>
        <row r="1439">
          <cell r="I1439">
            <v>20.754999999999999</v>
          </cell>
          <cell r="K1439">
            <v>20.271666666666665</v>
          </cell>
          <cell r="L1439">
            <v>21.238333333333333</v>
          </cell>
          <cell r="Q1439">
            <v>15455</v>
          </cell>
        </row>
        <row r="1440">
          <cell r="I1440">
            <v>0</v>
          </cell>
          <cell r="K1440">
            <v>0</v>
          </cell>
          <cell r="L1440">
            <v>0</v>
          </cell>
          <cell r="Q1440">
            <v>15456</v>
          </cell>
        </row>
        <row r="1441">
          <cell r="I1441">
            <v>42.08192307692309</v>
          </cell>
          <cell r="K1441">
            <v>34.11591715976332</v>
          </cell>
          <cell r="L1441">
            <v>50.047928994082859</v>
          </cell>
          <cell r="Q1441">
            <v>15457</v>
          </cell>
        </row>
        <row r="1442">
          <cell r="I1442">
            <v>30.591666666666669</v>
          </cell>
          <cell r="K1442">
            <v>30.150000000000002</v>
          </cell>
          <cell r="L1442">
            <v>31.033333333333335</v>
          </cell>
          <cell r="Q1442">
            <v>15458</v>
          </cell>
        </row>
        <row r="1443">
          <cell r="I1443">
            <v>41.875714285714288</v>
          </cell>
          <cell r="K1443">
            <v>22.740401785714287</v>
          </cell>
          <cell r="L1443">
            <v>61.011026785714293</v>
          </cell>
          <cell r="Q1443">
            <v>15459</v>
          </cell>
        </row>
        <row r="1444">
          <cell r="I1444">
            <v>101.28999999999999</v>
          </cell>
          <cell r="K1444">
            <v>63.570555555555551</v>
          </cell>
          <cell r="L1444">
            <v>139.00944444444443</v>
          </cell>
          <cell r="Q1444">
            <v>15460</v>
          </cell>
        </row>
        <row r="1445">
          <cell r="I1445">
            <v>0</v>
          </cell>
          <cell r="K1445">
            <v>0</v>
          </cell>
          <cell r="L1445">
            <v>0</v>
          </cell>
          <cell r="Q1445">
            <v>15463</v>
          </cell>
        </row>
        <row r="1446">
          <cell r="I1446">
            <v>13.855000000000002</v>
          </cell>
          <cell r="K1446">
            <v>9.5337755102040838</v>
          </cell>
          <cell r="L1446">
            <v>18.176224489795921</v>
          </cell>
          <cell r="Q1446">
            <v>15464</v>
          </cell>
        </row>
        <row r="1447">
          <cell r="I1447">
            <v>15</v>
          </cell>
          <cell r="K1447">
            <v>15</v>
          </cell>
          <cell r="L1447">
            <v>15</v>
          </cell>
          <cell r="Q1447">
            <v>15465</v>
          </cell>
        </row>
        <row r="1448">
          <cell r="I1448">
            <v>73.58</v>
          </cell>
          <cell r="K1448">
            <v>43.077777777777783</v>
          </cell>
          <cell r="L1448">
            <v>104.08222222222221</v>
          </cell>
          <cell r="Q1448">
            <v>15466</v>
          </cell>
        </row>
        <row r="1449">
          <cell r="I1449">
            <v>48.785000000000004</v>
          </cell>
          <cell r="K1449">
            <v>48.301666666666669</v>
          </cell>
          <cell r="L1449">
            <v>49.268333333333338</v>
          </cell>
          <cell r="Q1449">
            <v>15467</v>
          </cell>
        </row>
        <row r="1450">
          <cell r="I1450">
            <v>72.081538461538443</v>
          </cell>
          <cell r="K1450">
            <v>71.631360946745531</v>
          </cell>
          <cell r="L1450">
            <v>72.531715976331355</v>
          </cell>
          <cell r="Q1450">
            <v>15468</v>
          </cell>
        </row>
        <row r="1451">
          <cell r="I1451">
            <v>36.23346153846154</v>
          </cell>
          <cell r="K1451">
            <v>34.359704142011836</v>
          </cell>
          <cell r="L1451">
            <v>38.107218934911245</v>
          </cell>
          <cell r="Q1451">
            <v>15469</v>
          </cell>
        </row>
        <row r="1452">
          <cell r="I1452">
            <v>91.329615384615394</v>
          </cell>
          <cell r="K1452">
            <v>58.524841722063954</v>
          </cell>
          <cell r="L1452">
            <v>124.13438904716683</v>
          </cell>
          <cell r="Q1452">
            <v>15471</v>
          </cell>
        </row>
        <row r="1453">
          <cell r="I1453">
            <v>29.25</v>
          </cell>
          <cell r="K1453">
            <v>28.823333333333334</v>
          </cell>
          <cell r="L1453">
            <v>29.676666666666666</v>
          </cell>
          <cell r="Q1453">
            <v>15472</v>
          </cell>
        </row>
        <row r="1454">
          <cell r="I1454">
            <v>70.576153846153858</v>
          </cell>
          <cell r="K1454">
            <v>69.955739644970436</v>
          </cell>
          <cell r="L1454">
            <v>71.19656804733728</v>
          </cell>
          <cell r="Q1454">
            <v>15473</v>
          </cell>
        </row>
        <row r="1455">
          <cell r="I1455">
            <v>124.40230769230769</v>
          </cell>
          <cell r="K1455">
            <v>93.599317294502455</v>
          </cell>
          <cell r="L1455">
            <v>155.2052980901129</v>
          </cell>
          <cell r="Q1455">
            <v>15474</v>
          </cell>
        </row>
        <row r="1456">
          <cell r="I1456">
            <v>105.39615384615389</v>
          </cell>
          <cell r="K1456">
            <v>70.137633437990615</v>
          </cell>
          <cell r="L1456">
            <v>140.65467425431717</v>
          </cell>
          <cell r="Q1456">
            <v>15475</v>
          </cell>
        </row>
        <row r="1457">
          <cell r="I1457">
            <v>32.88666666666667</v>
          </cell>
          <cell r="K1457">
            <v>23.696054421768714</v>
          </cell>
          <cell r="L1457">
            <v>42.077278911564626</v>
          </cell>
          <cell r="Q1457">
            <v>15476</v>
          </cell>
        </row>
        <row r="1458">
          <cell r="I1458">
            <v>12.970000000000008</v>
          </cell>
          <cell r="K1458">
            <v>12.97</v>
          </cell>
          <cell r="L1458">
            <v>12.970000000000015</v>
          </cell>
          <cell r="Q1458">
            <v>15477</v>
          </cell>
        </row>
        <row r="1459">
          <cell r="I1459">
            <v>14.269999999999998</v>
          </cell>
          <cell r="K1459">
            <v>14.269999999999996</v>
          </cell>
          <cell r="L1459">
            <v>14.27</v>
          </cell>
          <cell r="Q1459">
            <v>15479</v>
          </cell>
        </row>
        <row r="1460">
          <cell r="I1460">
            <v>15.517307692307694</v>
          </cell>
          <cell r="K1460">
            <v>15.075887573964501</v>
          </cell>
          <cell r="L1460">
            <v>15.958727810650888</v>
          </cell>
          <cell r="Q1460">
            <v>15480</v>
          </cell>
        </row>
        <row r="1461">
          <cell r="I1461">
            <v>14.861153846153851</v>
          </cell>
          <cell r="K1461">
            <v>14.307603550295863</v>
          </cell>
          <cell r="L1461">
            <v>15.414704142011839</v>
          </cell>
          <cell r="Q1461">
            <v>15481</v>
          </cell>
        </row>
        <row r="1462">
          <cell r="I1462">
            <v>73.373076923076894</v>
          </cell>
          <cell r="K1462">
            <v>52.207810650887552</v>
          </cell>
          <cell r="L1462">
            <v>94.538343195266236</v>
          </cell>
          <cell r="Q1462">
            <v>15482</v>
          </cell>
        </row>
        <row r="1463">
          <cell r="I1463">
            <v>86.680370370370355</v>
          </cell>
          <cell r="K1463">
            <v>62.32796982167352</v>
          </cell>
          <cell r="L1463">
            <v>111.03277091906719</v>
          </cell>
          <cell r="Q1463">
            <v>15483</v>
          </cell>
        </row>
        <row r="1464">
          <cell r="I1464">
            <v>105.60269230769225</v>
          </cell>
          <cell r="K1464">
            <v>92.295266272189323</v>
          </cell>
          <cell r="L1464">
            <v>118.91011834319518</v>
          </cell>
          <cell r="Q1464">
            <v>15484</v>
          </cell>
        </row>
        <row r="1465">
          <cell r="I1465">
            <v>37.573200000000014</v>
          </cell>
          <cell r="K1465">
            <v>35.645008000000018</v>
          </cell>
          <cell r="L1465">
            <v>39.50139200000001</v>
          </cell>
          <cell r="Q1465">
            <v>15485</v>
          </cell>
        </row>
        <row r="1466">
          <cell r="I1466">
            <v>38.684285714285707</v>
          </cell>
          <cell r="K1466">
            <v>34.704693877551009</v>
          </cell>
          <cell r="L1466">
            <v>42.663877551020406</v>
          </cell>
          <cell r="Q1466">
            <v>15486</v>
          </cell>
        </row>
        <row r="1467">
          <cell r="I1467">
            <v>100.70769230769226</v>
          </cell>
          <cell r="K1467">
            <v>91.072958579881572</v>
          </cell>
          <cell r="L1467">
            <v>110.34242603550294</v>
          </cell>
          <cell r="Q1467">
            <v>15487</v>
          </cell>
        </row>
        <row r="1468">
          <cell r="I1468">
            <v>70.791111111111093</v>
          </cell>
          <cell r="K1468">
            <v>50.070946502057595</v>
          </cell>
          <cell r="L1468">
            <v>91.511275720164591</v>
          </cell>
          <cell r="Q1468">
            <v>15488</v>
          </cell>
        </row>
        <row r="1469">
          <cell r="I1469">
            <v>73.519259259259272</v>
          </cell>
          <cell r="K1469">
            <v>54.610993953136827</v>
          </cell>
          <cell r="L1469">
            <v>92.427524565381717</v>
          </cell>
          <cell r="Q1469">
            <v>15489</v>
          </cell>
        </row>
        <row r="1470">
          <cell r="I1470">
            <v>17.066666666666666</v>
          </cell>
          <cell r="K1470">
            <v>16.675555555555555</v>
          </cell>
          <cell r="L1470">
            <v>17.457777777777778</v>
          </cell>
          <cell r="Q1470">
            <v>15490</v>
          </cell>
        </row>
        <row r="1471">
          <cell r="I1471">
            <v>60.504999999999995</v>
          </cell>
          <cell r="K1471">
            <v>60.021666666666661</v>
          </cell>
          <cell r="L1471">
            <v>60.98833333333333</v>
          </cell>
          <cell r="Q1471">
            <v>15491</v>
          </cell>
        </row>
        <row r="1472">
          <cell r="I1472">
            <v>75.644230769230745</v>
          </cell>
          <cell r="K1472">
            <v>61.605710059171571</v>
          </cell>
          <cell r="L1472">
            <v>89.682751479289919</v>
          </cell>
          <cell r="Q1472">
            <v>15492</v>
          </cell>
        </row>
        <row r="1473">
          <cell r="I1473">
            <v>29.25</v>
          </cell>
          <cell r="K1473">
            <v>28.823333333333334</v>
          </cell>
          <cell r="L1473">
            <v>29.676666666666666</v>
          </cell>
          <cell r="Q1473">
            <v>15493</v>
          </cell>
        </row>
        <row r="1474">
          <cell r="I1474">
            <v>73.296153846153842</v>
          </cell>
          <cell r="K1474">
            <v>72.82112426035502</v>
          </cell>
          <cell r="L1474">
            <v>73.771183431952664</v>
          </cell>
          <cell r="Q1474">
            <v>15494</v>
          </cell>
        </row>
        <row r="1475">
          <cell r="I1475">
            <v>22.247727272727261</v>
          </cell>
          <cell r="K1475">
            <v>20.298010826602489</v>
          </cell>
          <cell r="L1475">
            <v>24.197443718852032</v>
          </cell>
          <cell r="Q1475">
            <v>15495</v>
          </cell>
        </row>
        <row r="1476">
          <cell r="I1476">
            <v>63.068000000000019</v>
          </cell>
          <cell r="K1476">
            <v>60.611360000000033</v>
          </cell>
          <cell r="L1476">
            <v>65.524640000000005</v>
          </cell>
          <cell r="Q1476">
            <v>15496</v>
          </cell>
        </row>
        <row r="1477">
          <cell r="I1477">
            <v>97.816153846153867</v>
          </cell>
          <cell r="K1477">
            <v>94.793905325443802</v>
          </cell>
          <cell r="L1477">
            <v>100.83840236686393</v>
          </cell>
          <cell r="Q1477">
            <v>15497</v>
          </cell>
        </row>
        <row r="1478">
          <cell r="I1478">
            <v>25.986250000000002</v>
          </cell>
          <cell r="K1478">
            <v>18.000000000000004</v>
          </cell>
          <cell r="L1478">
            <v>33.972499999999997</v>
          </cell>
          <cell r="Q1478">
            <v>15498</v>
          </cell>
        </row>
        <row r="1479">
          <cell r="I1479">
            <v>34.248461538461534</v>
          </cell>
          <cell r="K1479">
            <v>27.586804733727803</v>
          </cell>
          <cell r="L1479">
            <v>40.910118343195265</v>
          </cell>
          <cell r="Q1479">
            <v>15499</v>
          </cell>
        </row>
        <row r="1480">
          <cell r="I1480">
            <v>75.21846153846154</v>
          </cell>
          <cell r="K1480">
            <v>68.732071005917163</v>
          </cell>
          <cell r="L1480">
            <v>81.704852071005917</v>
          </cell>
          <cell r="Q1480">
            <v>15500</v>
          </cell>
        </row>
        <row r="1481">
          <cell r="I1481">
            <v>56.711874999999999</v>
          </cell>
          <cell r="K1481">
            <v>35.288899221453285</v>
          </cell>
          <cell r="L1481">
            <v>78.134850778546706</v>
          </cell>
          <cell r="Q1481">
            <v>15501</v>
          </cell>
        </row>
        <row r="1482">
          <cell r="I1482">
            <v>31.329999999999988</v>
          </cell>
          <cell r="K1482">
            <v>31.329999999999977</v>
          </cell>
          <cell r="L1482">
            <v>31.33</v>
          </cell>
          <cell r="Q1482">
            <v>15502</v>
          </cell>
        </row>
        <row r="1483">
          <cell r="I1483">
            <v>110.71333333333332</v>
          </cell>
          <cell r="K1483">
            <v>95.302222222222213</v>
          </cell>
          <cell r="L1483">
            <v>126.12444444444444</v>
          </cell>
          <cell r="Q1483">
            <v>15503</v>
          </cell>
        </row>
        <row r="1484">
          <cell r="I1484">
            <v>12.784615384615384</v>
          </cell>
          <cell r="K1484">
            <v>8.4504142011834311</v>
          </cell>
          <cell r="L1484">
            <v>17.118816568047336</v>
          </cell>
          <cell r="Q1484">
            <v>15504</v>
          </cell>
        </row>
        <row r="1485">
          <cell r="I1485">
            <v>20</v>
          </cell>
          <cell r="K1485">
            <v>20</v>
          </cell>
          <cell r="L1485">
            <v>20</v>
          </cell>
          <cell r="Q1485">
            <v>15505</v>
          </cell>
        </row>
        <row r="1486">
          <cell r="I1486">
            <v>118.74714285714286</v>
          </cell>
          <cell r="K1486">
            <v>59.724894336432818</v>
          </cell>
          <cell r="L1486">
            <v>177.76939137785291</v>
          </cell>
          <cell r="Q1486">
            <v>15506</v>
          </cell>
        </row>
        <row r="1487">
          <cell r="I1487">
            <v>45.715000000000003</v>
          </cell>
          <cell r="K1487">
            <v>45.231666666666669</v>
          </cell>
          <cell r="L1487">
            <v>46.198333333333338</v>
          </cell>
          <cell r="Q1487">
            <v>15507</v>
          </cell>
        </row>
        <row r="1488">
          <cell r="I1488">
            <v>20</v>
          </cell>
          <cell r="K1488">
            <v>10</v>
          </cell>
          <cell r="L1488">
            <v>30</v>
          </cell>
          <cell r="Q1488">
            <v>15508</v>
          </cell>
        </row>
        <row r="1489">
          <cell r="I1489">
            <v>20</v>
          </cell>
          <cell r="K1489">
            <v>20</v>
          </cell>
          <cell r="L1489">
            <v>20</v>
          </cell>
          <cell r="Q1489">
            <v>15509</v>
          </cell>
        </row>
        <row r="1490">
          <cell r="I1490">
            <v>53.717142857142861</v>
          </cell>
          <cell r="K1490">
            <v>53.295918367346943</v>
          </cell>
          <cell r="L1490">
            <v>54.138367346938779</v>
          </cell>
          <cell r="Q1490">
            <v>15510</v>
          </cell>
        </row>
        <row r="1491">
          <cell r="I1491">
            <v>35.501538461538459</v>
          </cell>
          <cell r="K1491">
            <v>35.051360946745561</v>
          </cell>
          <cell r="L1491">
            <v>35.951715976331357</v>
          </cell>
          <cell r="Q1491">
            <v>15511</v>
          </cell>
        </row>
        <row r="1492">
          <cell r="I1492">
            <v>20</v>
          </cell>
          <cell r="K1492">
            <v>15.102040816326529</v>
          </cell>
          <cell r="L1492">
            <v>24.897959183673471</v>
          </cell>
          <cell r="Q1492">
            <v>15512</v>
          </cell>
        </row>
        <row r="1493">
          <cell r="I1493">
            <v>343.17346153846154</v>
          </cell>
          <cell r="K1493">
            <v>282.98949704142012</v>
          </cell>
          <cell r="L1493">
            <v>403.35742603550295</v>
          </cell>
          <cell r="Q1493">
            <v>15513</v>
          </cell>
        </row>
        <row r="1494">
          <cell r="I1494">
            <v>61.213076923076905</v>
          </cell>
          <cell r="K1494">
            <v>59.352011834319519</v>
          </cell>
          <cell r="L1494">
            <v>63.07414201183429</v>
          </cell>
          <cell r="Q1494">
            <v>15514</v>
          </cell>
        </row>
        <row r="1495">
          <cell r="I1495">
            <v>81.486666666666665</v>
          </cell>
          <cell r="K1495">
            <v>60.184444444444438</v>
          </cell>
          <cell r="L1495">
            <v>102.78888888888889</v>
          </cell>
          <cell r="Q1495">
            <v>15515</v>
          </cell>
        </row>
        <row r="1496">
          <cell r="I1496">
            <v>38.407499999999999</v>
          </cell>
          <cell r="K1496">
            <v>21.337499999999999</v>
          </cell>
          <cell r="L1496">
            <v>55.477499999999999</v>
          </cell>
          <cell r="Q1496">
            <v>15516</v>
          </cell>
        </row>
        <row r="1497">
          <cell r="I1497">
            <v>85.637692307692291</v>
          </cell>
          <cell r="K1497">
            <v>58.162581196581158</v>
          </cell>
          <cell r="L1497">
            <v>113.11280341880342</v>
          </cell>
          <cell r="Q1497">
            <v>15517</v>
          </cell>
        </row>
        <row r="1498">
          <cell r="I1498">
            <v>32.652857142857144</v>
          </cell>
          <cell r="K1498">
            <v>28.589390476190477</v>
          </cell>
          <cell r="L1498">
            <v>36.716323809523807</v>
          </cell>
          <cell r="Q1498">
            <v>15518</v>
          </cell>
        </row>
        <row r="1499">
          <cell r="I1499">
            <v>26.625</v>
          </cell>
          <cell r="K1499">
            <v>26.141666666666666</v>
          </cell>
          <cell r="L1499">
            <v>27.108333333333334</v>
          </cell>
          <cell r="Q1499">
            <v>15519</v>
          </cell>
        </row>
        <row r="1500">
          <cell r="I1500">
            <v>344.05925925925936</v>
          </cell>
          <cell r="K1500">
            <v>266.72648090338009</v>
          </cell>
          <cell r="L1500">
            <v>421.39203761513863</v>
          </cell>
          <cell r="Q1500">
            <v>15520</v>
          </cell>
        </row>
        <row r="1501">
          <cell r="I1501">
            <v>5.9399999999999986</v>
          </cell>
          <cell r="K1501">
            <v>3.0582877526753869</v>
          </cell>
          <cell r="L1501">
            <v>8.8217122473246103</v>
          </cell>
          <cell r="Q1501">
            <v>15521</v>
          </cell>
        </row>
        <row r="1502">
          <cell r="I1502">
            <v>1018.5531034482754</v>
          </cell>
          <cell r="K1502">
            <v>673.89450969827499</v>
          </cell>
          <cell r="L1502">
            <v>1363.2116971982757</v>
          </cell>
          <cell r="Q1502">
            <v>15522</v>
          </cell>
        </row>
        <row r="1503">
          <cell r="I1503">
            <v>57.733333333333377</v>
          </cell>
          <cell r="K1503">
            <v>41.479764134582084</v>
          </cell>
          <cell r="L1503">
            <v>73.98690253208467</v>
          </cell>
          <cell r="Q1503">
            <v>15524</v>
          </cell>
        </row>
        <row r="1504">
          <cell r="I1504">
            <v>52.05730769230771</v>
          </cell>
          <cell r="K1504">
            <v>51.615887573964521</v>
          </cell>
          <cell r="L1504">
            <v>52.498727810650898</v>
          </cell>
          <cell r="Q1504">
            <v>15525</v>
          </cell>
        </row>
        <row r="1505">
          <cell r="I1505">
            <v>33.392857142857146</v>
          </cell>
          <cell r="K1505">
            <v>26.945510204081636</v>
          </cell>
          <cell r="L1505">
            <v>39.840204081632656</v>
          </cell>
          <cell r="Q1505">
            <v>15526</v>
          </cell>
        </row>
        <row r="1506">
          <cell r="I1506">
            <v>183.2269230769231</v>
          </cell>
          <cell r="K1506">
            <v>145.19065088757398</v>
          </cell>
          <cell r="L1506">
            <v>221.26319526627222</v>
          </cell>
          <cell r="Q1506">
            <v>15527</v>
          </cell>
        </row>
        <row r="1507">
          <cell r="I1507">
            <v>116.81666666666671</v>
          </cell>
          <cell r="K1507">
            <v>101.82888888888895</v>
          </cell>
          <cell r="L1507">
            <v>131.80444444444444</v>
          </cell>
          <cell r="Q1507">
            <v>15528</v>
          </cell>
        </row>
        <row r="1508">
          <cell r="I1508">
            <v>18.125384615384618</v>
          </cell>
          <cell r="K1508">
            <v>17.537455621301778</v>
          </cell>
          <cell r="L1508">
            <v>18.713313609467459</v>
          </cell>
          <cell r="Q1508">
            <v>15531</v>
          </cell>
        </row>
        <row r="1509">
          <cell r="I1509">
            <v>45.685599999999987</v>
          </cell>
          <cell r="K1509">
            <v>40.46583668639051</v>
          </cell>
          <cell r="L1509">
            <v>50.905363313609463</v>
          </cell>
          <cell r="Q1509">
            <v>15532</v>
          </cell>
        </row>
        <row r="1510">
          <cell r="I1510">
            <v>39.052857142857135</v>
          </cell>
          <cell r="K1510">
            <v>34.192946031746018</v>
          </cell>
          <cell r="L1510">
            <v>43.912768253968252</v>
          </cell>
          <cell r="Q1510">
            <v>15533</v>
          </cell>
        </row>
        <row r="1511">
          <cell r="I1511">
            <v>20.696363636363635</v>
          </cell>
          <cell r="K1511">
            <v>17.534419191919191</v>
          </cell>
          <cell r="L1511">
            <v>23.858308080808079</v>
          </cell>
          <cell r="Q1511">
            <v>15534</v>
          </cell>
        </row>
        <row r="1512">
          <cell r="I1512">
            <v>31.220000000000002</v>
          </cell>
          <cell r="K1512">
            <v>24.74923076923077</v>
          </cell>
          <cell r="L1512">
            <v>37.690769230769234</v>
          </cell>
          <cell r="Q1512">
            <v>15535</v>
          </cell>
        </row>
        <row r="1513">
          <cell r="I1513">
            <v>87.816153846153838</v>
          </cell>
          <cell r="K1513">
            <v>66.612603550295859</v>
          </cell>
          <cell r="L1513">
            <v>109.01970414201182</v>
          </cell>
          <cell r="Q1513">
            <v>15536</v>
          </cell>
        </row>
        <row r="1514">
          <cell r="I1514">
            <v>63.568846153846167</v>
          </cell>
          <cell r="K1514">
            <v>57.202344096232999</v>
          </cell>
          <cell r="L1514">
            <v>69.935348211459328</v>
          </cell>
          <cell r="Q1514">
            <v>15537</v>
          </cell>
        </row>
        <row r="1515">
          <cell r="I1515">
            <v>40.619999999999997</v>
          </cell>
          <cell r="K1515">
            <v>40.619999999999997</v>
          </cell>
          <cell r="L1515">
            <v>40.619999999999997</v>
          </cell>
          <cell r="Q1515">
            <v>15539</v>
          </cell>
        </row>
        <row r="1516">
          <cell r="I1516">
            <v>20.186521739130427</v>
          </cell>
          <cell r="K1516">
            <v>14.69350398765113</v>
          </cell>
          <cell r="L1516">
            <v>25.679539490609724</v>
          </cell>
          <cell r="Q1516">
            <v>15541</v>
          </cell>
        </row>
        <row r="1517">
          <cell r="I1517">
            <v>46.875294117647073</v>
          </cell>
          <cell r="K1517">
            <v>25.11309411764708</v>
          </cell>
          <cell r="L1517">
            <v>68.637494117647066</v>
          </cell>
          <cell r="Q1517">
            <v>15543</v>
          </cell>
        </row>
        <row r="1518">
          <cell r="I1518">
            <v>42.976956521739126</v>
          </cell>
          <cell r="K1518">
            <v>31.576246462567525</v>
          </cell>
          <cell r="L1518">
            <v>54.377666580910727</v>
          </cell>
          <cell r="Q1518">
            <v>15544</v>
          </cell>
        </row>
        <row r="1519">
          <cell r="I1519">
            <v>60.624230769230763</v>
          </cell>
          <cell r="K1519">
            <v>49.112751479289933</v>
          </cell>
          <cell r="L1519">
            <v>72.135710059171601</v>
          </cell>
          <cell r="Q1519">
            <v>15545</v>
          </cell>
        </row>
        <row r="1520">
          <cell r="I1520">
            <v>76.258076923076885</v>
          </cell>
          <cell r="K1520">
            <v>63.489148351648282</v>
          </cell>
          <cell r="L1520">
            <v>89.027005494505488</v>
          </cell>
          <cell r="Q1520">
            <v>15546</v>
          </cell>
        </row>
        <row r="1521">
          <cell r="I1521">
            <v>77.075769230769254</v>
          </cell>
          <cell r="K1521">
            <v>71.096345362456518</v>
          </cell>
          <cell r="L1521">
            <v>83.05519309908199</v>
          </cell>
          <cell r="Q1521">
            <v>15547</v>
          </cell>
        </row>
        <row r="1522">
          <cell r="I1522">
            <v>65.134615384615387</v>
          </cell>
          <cell r="K1522">
            <v>60.488524849635965</v>
          </cell>
          <cell r="L1522">
            <v>69.780705919594809</v>
          </cell>
          <cell r="Q1522">
            <v>15548</v>
          </cell>
        </row>
        <row r="1523">
          <cell r="I1523">
            <v>60.694615384615375</v>
          </cell>
          <cell r="K1523">
            <v>56.815325443786968</v>
          </cell>
          <cell r="L1523">
            <v>64.573905325443789</v>
          </cell>
          <cell r="Q1523">
            <v>15549</v>
          </cell>
        </row>
        <row r="1524">
          <cell r="I1524">
            <v>37.549166666666657</v>
          </cell>
          <cell r="K1524">
            <v>32.216740631163695</v>
          </cell>
          <cell r="L1524">
            <v>42.88159270216962</v>
          </cell>
          <cell r="Q1524">
            <v>15550</v>
          </cell>
        </row>
        <row r="1525">
          <cell r="I1525">
            <v>39.432499999999997</v>
          </cell>
          <cell r="K1525">
            <v>27.504999999999995</v>
          </cell>
          <cell r="L1525">
            <v>51.36</v>
          </cell>
          <cell r="Q1525">
            <v>15551</v>
          </cell>
        </row>
        <row r="1526">
          <cell r="I1526">
            <v>39.292941176470592</v>
          </cell>
          <cell r="K1526">
            <v>29.273241176470588</v>
          </cell>
          <cell r="L1526">
            <v>49.312641176470592</v>
          </cell>
          <cell r="Q1526">
            <v>15552</v>
          </cell>
        </row>
        <row r="1527">
          <cell r="I1527">
            <v>31.747391304347822</v>
          </cell>
          <cell r="K1527">
            <v>25.266414972986873</v>
          </cell>
          <cell r="L1527">
            <v>38.228367635708771</v>
          </cell>
          <cell r="Q1527">
            <v>15553</v>
          </cell>
        </row>
        <row r="1528">
          <cell r="I1528">
            <v>53.287999999999975</v>
          </cell>
          <cell r="K1528">
            <v>11.128532544378679</v>
          </cell>
          <cell r="L1528">
            <v>95.447467455621279</v>
          </cell>
          <cell r="Q1528">
            <v>15554</v>
          </cell>
        </row>
        <row r="1529">
          <cell r="I1529">
            <v>34.904117647058818</v>
          </cell>
          <cell r="K1529">
            <v>26.003567647058812</v>
          </cell>
          <cell r="L1529">
            <v>43.804667647058821</v>
          </cell>
          <cell r="Q1529">
            <v>15555</v>
          </cell>
        </row>
        <row r="1530">
          <cell r="I1530">
            <v>28.011666666666667</v>
          </cell>
          <cell r="K1530">
            <v>22.759066666666669</v>
          </cell>
          <cell r="L1530">
            <v>33.264266666666664</v>
          </cell>
          <cell r="Q1530">
            <v>15556</v>
          </cell>
        </row>
        <row r="1531">
          <cell r="I1531">
            <v>25</v>
          </cell>
          <cell r="K1531">
            <v>18.625</v>
          </cell>
          <cell r="L1531">
            <v>31.375</v>
          </cell>
          <cell r="Q1531">
            <v>15557</v>
          </cell>
        </row>
        <row r="1532">
          <cell r="I1532">
            <v>62.760769230769228</v>
          </cell>
          <cell r="K1532">
            <v>50.334340659340654</v>
          </cell>
          <cell r="L1532">
            <v>75.187197802197801</v>
          </cell>
          <cell r="Q1532">
            <v>15558</v>
          </cell>
        </row>
        <row r="1533">
          <cell r="I1533">
            <v>152.65615384615381</v>
          </cell>
          <cell r="K1533">
            <v>120.22054160125586</v>
          </cell>
          <cell r="L1533">
            <v>185.09176609105177</v>
          </cell>
          <cell r="Q1533">
            <v>15561</v>
          </cell>
        </row>
        <row r="1534">
          <cell r="I1534">
            <v>39.260769230769235</v>
          </cell>
          <cell r="K1534">
            <v>38.76786982248521</v>
          </cell>
          <cell r="L1534">
            <v>39.753668639053259</v>
          </cell>
          <cell r="Q1534">
            <v>15563</v>
          </cell>
        </row>
        <row r="1535">
          <cell r="I1535">
            <v>50.784615384615385</v>
          </cell>
          <cell r="K1535">
            <v>48.47408284023669</v>
          </cell>
          <cell r="L1535">
            <v>53.095147928994081</v>
          </cell>
          <cell r="Q1535">
            <v>15568</v>
          </cell>
        </row>
        <row r="1536">
          <cell r="I1536">
            <v>73.963636363636368</v>
          </cell>
          <cell r="K1536">
            <v>69.92074380165289</v>
          </cell>
          <cell r="L1536">
            <v>78.006528925619847</v>
          </cell>
          <cell r="Q1536">
            <v>15569</v>
          </cell>
        </row>
        <row r="1537">
          <cell r="I1537">
            <v>45.996000000000002</v>
          </cell>
          <cell r="K1537">
            <v>45.7164</v>
          </cell>
          <cell r="L1537">
            <v>46.275600000000004</v>
          </cell>
          <cell r="Q1537">
            <v>15570</v>
          </cell>
        </row>
        <row r="1538">
          <cell r="I1538">
            <v>29.510999999999996</v>
          </cell>
          <cell r="K1538">
            <v>17.697280991735532</v>
          </cell>
          <cell r="L1538">
            <v>41.324719008264459</v>
          </cell>
          <cell r="Q1538">
            <v>15571</v>
          </cell>
        </row>
        <row r="1539">
          <cell r="I1539">
            <v>156.72115384615387</v>
          </cell>
          <cell r="K1539">
            <v>138.81263313609469</v>
          </cell>
          <cell r="L1539">
            <v>174.62967455621305</v>
          </cell>
          <cell r="Q1539">
            <v>15573</v>
          </cell>
        </row>
        <row r="1540">
          <cell r="I1540">
            <v>212.56961538461539</v>
          </cell>
          <cell r="K1540">
            <v>195.48955621301775</v>
          </cell>
          <cell r="L1540">
            <v>229.64967455621303</v>
          </cell>
          <cell r="Q1540">
            <v>15574</v>
          </cell>
        </row>
        <row r="1541">
          <cell r="I1541">
            <v>194.01192307692307</v>
          </cell>
          <cell r="K1541">
            <v>188.09079881656805</v>
          </cell>
          <cell r="L1541">
            <v>199.93304733727808</v>
          </cell>
          <cell r="Q1541">
            <v>15583</v>
          </cell>
        </row>
        <row r="1542">
          <cell r="I1542">
            <v>143.96769230769229</v>
          </cell>
          <cell r="K1542">
            <v>124.86993720565148</v>
          </cell>
          <cell r="L1542">
            <v>163.06544740973311</v>
          </cell>
          <cell r="Q1542">
            <v>15584</v>
          </cell>
        </row>
        <row r="1543">
          <cell r="I1543">
            <v>166.41500000000002</v>
          </cell>
          <cell r="K1543">
            <v>92.077880658436243</v>
          </cell>
          <cell r="L1543">
            <v>240.7521193415638</v>
          </cell>
          <cell r="Q1543">
            <v>15589</v>
          </cell>
        </row>
        <row r="1544">
          <cell r="I1544">
            <v>47.027307692307673</v>
          </cell>
          <cell r="K1544">
            <v>46.58588757396447</v>
          </cell>
          <cell r="L1544">
            <v>47.468727810650876</v>
          </cell>
          <cell r="Q1544">
            <v>15611</v>
          </cell>
        </row>
        <row r="1545">
          <cell r="I1545">
            <v>10</v>
          </cell>
          <cell r="K1545">
            <v>5.5555555555555554</v>
          </cell>
          <cell r="L1545">
            <v>14.444444444444445</v>
          </cell>
          <cell r="Q1545">
            <v>15612</v>
          </cell>
        </row>
        <row r="1546">
          <cell r="I1546">
            <v>41.733076923076915</v>
          </cell>
          <cell r="K1546">
            <v>37.887041420118329</v>
          </cell>
          <cell r="L1546">
            <v>45.579112426035501</v>
          </cell>
          <cell r="Q1546">
            <v>15613</v>
          </cell>
        </row>
        <row r="1547">
          <cell r="I1547">
            <v>75.731538461538449</v>
          </cell>
          <cell r="K1547">
            <v>72.215680473372771</v>
          </cell>
          <cell r="L1547">
            <v>79.247396449704127</v>
          </cell>
          <cell r="Q1547">
            <v>15616</v>
          </cell>
        </row>
        <row r="1548">
          <cell r="I1548">
            <v>30.851923076923057</v>
          </cell>
          <cell r="K1548">
            <v>24.739970414201153</v>
          </cell>
          <cell r="L1548">
            <v>36.963875739644962</v>
          </cell>
          <cell r="Q1548">
            <v>15618</v>
          </cell>
        </row>
        <row r="1549">
          <cell r="I1549">
            <v>52.701538461538455</v>
          </cell>
          <cell r="K1549">
            <v>34.674753862162802</v>
          </cell>
          <cell r="L1549">
            <v>70.728323060914107</v>
          </cell>
          <cell r="Q1549">
            <v>15621</v>
          </cell>
        </row>
        <row r="1550">
          <cell r="I1550">
            <v>26.21846153846154</v>
          </cell>
          <cell r="K1550">
            <v>25.653254437869826</v>
          </cell>
          <cell r="L1550">
            <v>26.783668639053253</v>
          </cell>
          <cell r="Q1550">
            <v>15646</v>
          </cell>
        </row>
        <row r="1551">
          <cell r="I1551">
            <v>28.318461538461534</v>
          </cell>
          <cell r="K1551">
            <v>27.753254437869817</v>
          </cell>
          <cell r="L1551">
            <v>28.883668639053251</v>
          </cell>
          <cell r="Q1551">
            <v>15647</v>
          </cell>
        </row>
        <row r="1552">
          <cell r="I1552">
            <v>57.435384615384613</v>
          </cell>
          <cell r="K1552">
            <v>55.204852071005917</v>
          </cell>
          <cell r="L1552">
            <v>59.66591715976331</v>
          </cell>
          <cell r="Q1552">
            <v>15649</v>
          </cell>
        </row>
        <row r="1553">
          <cell r="I1553">
            <v>46.141153846153834</v>
          </cell>
          <cell r="K1553">
            <v>44.877337278106502</v>
          </cell>
          <cell r="L1553">
            <v>47.404970414201166</v>
          </cell>
          <cell r="Q1553">
            <v>15653</v>
          </cell>
        </row>
        <row r="1554">
          <cell r="I1554">
            <v>67.637142857142848</v>
          </cell>
          <cell r="K1554">
            <v>67.21591836734693</v>
          </cell>
          <cell r="L1554">
            <v>68.058367346938766</v>
          </cell>
          <cell r="Q1554">
            <v>15659</v>
          </cell>
        </row>
        <row r="1555">
          <cell r="I1555">
            <v>54.08153846153845</v>
          </cell>
          <cell r="K1555">
            <v>53.631360946745545</v>
          </cell>
          <cell r="L1555">
            <v>54.531715976331355</v>
          </cell>
          <cell r="Q1555">
            <v>15660</v>
          </cell>
        </row>
        <row r="1556">
          <cell r="I1556">
            <v>102.41416666666667</v>
          </cell>
          <cell r="K1556">
            <v>60.074027777777779</v>
          </cell>
          <cell r="L1556">
            <v>144.75430555555556</v>
          </cell>
          <cell r="Q1556">
            <v>15661</v>
          </cell>
        </row>
        <row r="1557">
          <cell r="I1557">
            <v>17.419230769230765</v>
          </cell>
          <cell r="K1557">
            <v>14.571065088757393</v>
          </cell>
          <cell r="L1557">
            <v>20.267396449704137</v>
          </cell>
          <cell r="Q1557">
            <v>15664</v>
          </cell>
        </row>
        <row r="1558">
          <cell r="I1558">
            <v>33.943703703703704</v>
          </cell>
          <cell r="K1558">
            <v>26.322825788751715</v>
          </cell>
          <cell r="L1558">
            <v>41.564581618655694</v>
          </cell>
          <cell r="Q1558">
            <v>15669</v>
          </cell>
        </row>
        <row r="1559">
          <cell r="I1559">
            <v>241.48518518518526</v>
          </cell>
          <cell r="K1559">
            <v>201.80392318244179</v>
          </cell>
          <cell r="L1559">
            <v>281.16644718792872</v>
          </cell>
          <cell r="Q1559">
            <v>15670</v>
          </cell>
        </row>
        <row r="1560">
          <cell r="I1560">
            <v>39.287307692307678</v>
          </cell>
          <cell r="K1560">
            <v>37.976508875739626</v>
          </cell>
          <cell r="L1560">
            <v>40.59810650887573</v>
          </cell>
          <cell r="Q1560">
            <v>15671</v>
          </cell>
        </row>
        <row r="1561">
          <cell r="I1561">
            <v>340.31499999999994</v>
          </cell>
          <cell r="K1561">
            <v>143.03556640624987</v>
          </cell>
          <cell r="L1561">
            <v>537.59443359374995</v>
          </cell>
          <cell r="Q1561">
            <v>15672</v>
          </cell>
        </row>
        <row r="1562">
          <cell r="I1562">
            <v>139.53615384615392</v>
          </cell>
          <cell r="K1562">
            <v>138.96266272189359</v>
          </cell>
          <cell r="L1562">
            <v>140.10964497041425</v>
          </cell>
          <cell r="Q1562">
            <v>15685</v>
          </cell>
        </row>
        <row r="1563">
          <cell r="I1563">
            <v>104.43615384615387</v>
          </cell>
          <cell r="K1563">
            <v>101.45301775147931</v>
          </cell>
          <cell r="L1563">
            <v>107.41928994082843</v>
          </cell>
          <cell r="Q1563">
            <v>15690</v>
          </cell>
        </row>
        <row r="1564">
          <cell r="I1564">
            <v>102.9825925925926</v>
          </cell>
          <cell r="K1564">
            <v>87.908216735253774</v>
          </cell>
          <cell r="L1564">
            <v>118.05696844993142</v>
          </cell>
          <cell r="Q1564">
            <v>15695</v>
          </cell>
        </row>
        <row r="1565">
          <cell r="I1565">
            <v>192.04769230769233</v>
          </cell>
          <cell r="K1565">
            <v>168.69473372781067</v>
          </cell>
          <cell r="L1565">
            <v>215.40065088757399</v>
          </cell>
          <cell r="Q1565">
            <v>15704</v>
          </cell>
        </row>
        <row r="1566">
          <cell r="I1566">
            <v>75.480769230769198</v>
          </cell>
          <cell r="K1566">
            <v>74.36029585798812</v>
          </cell>
          <cell r="L1566">
            <v>76.601242603550276</v>
          </cell>
          <cell r="Q1566">
            <v>15706</v>
          </cell>
        </row>
        <row r="1567">
          <cell r="I1567">
            <v>50.975999999999985</v>
          </cell>
          <cell r="K1567">
            <v>40.203679999999991</v>
          </cell>
          <cell r="L1567">
            <v>61.748319999999978</v>
          </cell>
          <cell r="Q1567">
            <v>15708</v>
          </cell>
        </row>
        <row r="1568">
          <cell r="I1568">
            <v>517.8850000000001</v>
          </cell>
          <cell r="K1568">
            <v>331.75805898491103</v>
          </cell>
          <cell r="L1568">
            <v>704.01194101508918</v>
          </cell>
          <cell r="Q1568">
            <v>15715</v>
          </cell>
        </row>
        <row r="1569">
          <cell r="I1569">
            <v>79.566153846153867</v>
          </cell>
          <cell r="K1569">
            <v>77.086568047337295</v>
          </cell>
          <cell r="L1569">
            <v>82.045739644970439</v>
          </cell>
          <cell r="Q1569">
            <v>15716</v>
          </cell>
        </row>
        <row r="1570">
          <cell r="I1570">
            <v>217.20846153846148</v>
          </cell>
          <cell r="K1570">
            <v>152.91361459968601</v>
          </cell>
          <cell r="L1570">
            <v>281.50330847723694</v>
          </cell>
          <cell r="Q1570">
            <v>15734</v>
          </cell>
        </row>
        <row r="1571">
          <cell r="I1571">
            <v>192</v>
          </cell>
          <cell r="K1571">
            <v>148.08570644718793</v>
          </cell>
          <cell r="L1571">
            <v>235.91429355281207</v>
          </cell>
          <cell r="Q1571">
            <v>15737</v>
          </cell>
        </row>
        <row r="1572">
          <cell r="I1572">
            <v>64.175384615384615</v>
          </cell>
          <cell r="K1572">
            <v>63.21739644970414</v>
          </cell>
          <cell r="L1572">
            <v>65.133372781065091</v>
          </cell>
          <cell r="Q1572">
            <v>15756</v>
          </cell>
        </row>
        <row r="1573">
          <cell r="I1573">
            <v>49.105384615384608</v>
          </cell>
          <cell r="K1573">
            <v>48.147396449704132</v>
          </cell>
          <cell r="L1573">
            <v>50.063372781065084</v>
          </cell>
          <cell r="Q1573">
            <v>15769</v>
          </cell>
        </row>
        <row r="1574">
          <cell r="I1574">
            <v>56.664615384615381</v>
          </cell>
          <cell r="K1574">
            <v>56.468757396449696</v>
          </cell>
          <cell r="L1574">
            <v>56.860473372781065</v>
          </cell>
          <cell r="Q1574">
            <v>15799</v>
          </cell>
        </row>
        <row r="1575">
          <cell r="I1575">
            <v>151.37</v>
          </cell>
          <cell r="K1575">
            <v>84.094444444444449</v>
          </cell>
          <cell r="L1575">
            <v>218.64555555555557</v>
          </cell>
          <cell r="Q1575">
            <v>15819</v>
          </cell>
        </row>
        <row r="1576">
          <cell r="I1576">
            <v>602.64249999999993</v>
          </cell>
          <cell r="K1576">
            <v>197.09690443213293</v>
          </cell>
          <cell r="L1576">
            <v>1008.1880955678669</v>
          </cell>
          <cell r="Q1576">
            <v>15832</v>
          </cell>
        </row>
        <row r="1577">
          <cell r="I1577">
            <v>23</v>
          </cell>
          <cell r="K1577">
            <v>12.777777777777779</v>
          </cell>
          <cell r="L1577">
            <v>33.222222222222221</v>
          </cell>
          <cell r="Q1577">
            <v>15837</v>
          </cell>
        </row>
        <row r="1578">
          <cell r="I1578">
            <v>49.505833333333335</v>
          </cell>
          <cell r="K1578">
            <v>48.621250000000003</v>
          </cell>
          <cell r="L1578">
            <v>50.390416666666667</v>
          </cell>
          <cell r="Q1578">
            <v>15840</v>
          </cell>
        </row>
        <row r="1579">
          <cell r="I1579">
            <v>142.06500000000003</v>
          </cell>
          <cell r="K1579">
            <v>106.81993333333337</v>
          </cell>
          <cell r="L1579">
            <v>177.31006666666667</v>
          </cell>
          <cell r="Q1579">
            <v>15848</v>
          </cell>
        </row>
        <row r="1580">
          <cell r="I1580">
            <v>143.86714285714288</v>
          </cell>
          <cell r="K1580">
            <v>106.01073660714289</v>
          </cell>
          <cell r="L1580">
            <v>181.72354910714287</v>
          </cell>
          <cell r="Q1580">
            <v>15849</v>
          </cell>
        </row>
        <row r="1581">
          <cell r="I1581">
            <v>58.531538461538467</v>
          </cell>
          <cell r="K1581">
            <v>58.081360946745569</v>
          </cell>
          <cell r="L1581">
            <v>58.981715976331365</v>
          </cell>
          <cell r="Q1581">
            <v>15852</v>
          </cell>
        </row>
        <row r="1582">
          <cell r="I1582">
            <v>97.329199999999986</v>
          </cell>
          <cell r="K1582">
            <v>70.235603061224452</v>
          </cell>
          <cell r="L1582">
            <v>124.42279693877552</v>
          </cell>
          <cell r="Q1582">
            <v>15854</v>
          </cell>
        </row>
        <row r="1583">
          <cell r="I1583">
            <v>75.285600000000017</v>
          </cell>
          <cell r="K1583">
            <v>59.786203566529522</v>
          </cell>
          <cell r="L1583">
            <v>90.784996433470511</v>
          </cell>
          <cell r="Q1583">
            <v>15855</v>
          </cell>
        </row>
        <row r="1584">
          <cell r="I1584">
            <v>97.385384615384652</v>
          </cell>
          <cell r="K1584">
            <v>96.295088757396499</v>
          </cell>
          <cell r="L1584">
            <v>98.475680473372805</v>
          </cell>
          <cell r="Q1584">
            <v>15862</v>
          </cell>
        </row>
        <row r="1585">
          <cell r="I1585">
            <v>48.366923076923072</v>
          </cell>
          <cell r="K1585">
            <v>46.452958579881653</v>
          </cell>
          <cell r="L1585">
            <v>50.280887573964492</v>
          </cell>
          <cell r="Q1585">
            <v>15876</v>
          </cell>
        </row>
        <row r="1586">
          <cell r="I1586">
            <v>83.016666666666708</v>
          </cell>
          <cell r="K1586">
            <v>74.428765432098771</v>
          </cell>
          <cell r="L1586">
            <v>91.604567901234645</v>
          </cell>
          <cell r="Q1586">
            <v>15883</v>
          </cell>
        </row>
        <row r="1587">
          <cell r="I1587">
            <v>41.796363636363637</v>
          </cell>
          <cell r="K1587">
            <v>29.7870145239376</v>
          </cell>
          <cell r="L1587">
            <v>53.805712748789674</v>
          </cell>
          <cell r="Q1587">
            <v>15908</v>
          </cell>
        </row>
        <row r="1588">
          <cell r="I1588">
            <v>178.636</v>
          </cell>
          <cell r="K1588">
            <v>64.48377777777776</v>
          </cell>
          <cell r="L1588">
            <v>292.7882222222222</v>
          </cell>
          <cell r="Q1588">
            <v>15910</v>
          </cell>
        </row>
        <row r="1589">
          <cell r="I1589">
            <v>39.409999999999997</v>
          </cell>
          <cell r="K1589">
            <v>21.894444444444442</v>
          </cell>
          <cell r="L1589">
            <v>56.925555555555547</v>
          </cell>
          <cell r="Q1589">
            <v>15912</v>
          </cell>
        </row>
        <row r="1590">
          <cell r="I1590">
            <v>65.832916666666662</v>
          </cell>
          <cell r="K1590">
            <v>53.518541666666671</v>
          </cell>
          <cell r="L1590">
            <v>78.147291666666661</v>
          </cell>
          <cell r="Q1590">
            <v>15919</v>
          </cell>
        </row>
        <row r="1591">
          <cell r="I1591">
            <v>35.255000000000003</v>
          </cell>
          <cell r="K1591">
            <v>17.845123456790127</v>
          </cell>
          <cell r="L1591">
            <v>52.664876543209878</v>
          </cell>
          <cell r="Q1591">
            <v>15922</v>
          </cell>
        </row>
        <row r="1592">
          <cell r="I1592">
            <v>72.842727272727288</v>
          </cell>
          <cell r="K1592">
            <v>51.22509413663262</v>
          </cell>
          <cell r="L1592">
            <v>94.460360408821956</v>
          </cell>
          <cell r="Q1592">
            <v>15927</v>
          </cell>
        </row>
        <row r="1593">
          <cell r="I1593">
            <v>95.541818181818158</v>
          </cell>
          <cell r="K1593">
            <v>65.116818181818161</v>
          </cell>
          <cell r="L1593">
            <v>125.96681818181816</v>
          </cell>
          <cell r="Q1593">
            <v>15931</v>
          </cell>
        </row>
        <row r="1594">
          <cell r="I1594">
            <v>58.328181818181811</v>
          </cell>
          <cell r="K1594">
            <v>43.142146315223229</v>
          </cell>
          <cell r="L1594">
            <v>73.514217321140393</v>
          </cell>
          <cell r="Q1594">
            <v>15932</v>
          </cell>
        </row>
        <row r="1595">
          <cell r="I1595">
            <v>130.22058823529412</v>
          </cell>
          <cell r="K1595">
            <v>128.11844290657439</v>
          </cell>
          <cell r="L1595">
            <v>132.32273356401384</v>
          </cell>
          <cell r="Q1595">
            <v>15946</v>
          </cell>
        </row>
        <row r="1596">
          <cell r="I1596">
            <v>131.32882352941178</v>
          </cell>
          <cell r="K1596">
            <v>118.931107266436</v>
          </cell>
          <cell r="L1596">
            <v>143.72653979238754</v>
          </cell>
          <cell r="Q1596">
            <v>15948</v>
          </cell>
        </row>
        <row r="1597">
          <cell r="I1597">
            <v>58.186470588235302</v>
          </cell>
          <cell r="K1597">
            <v>54.136643598615919</v>
          </cell>
          <cell r="L1597">
            <v>62.236297577854685</v>
          </cell>
          <cell r="Q1597">
            <v>15949</v>
          </cell>
        </row>
        <row r="1598">
          <cell r="I1598">
            <v>93.186470588235238</v>
          </cell>
          <cell r="K1598">
            <v>77.298569353667375</v>
          </cell>
          <cell r="L1598">
            <v>109.0743718228031</v>
          </cell>
          <cell r="Q1598">
            <v>15951</v>
          </cell>
        </row>
        <row r="1599">
          <cell r="I1599">
            <v>67.590476190476195</v>
          </cell>
          <cell r="K1599">
            <v>57.504308390022686</v>
          </cell>
          <cell r="L1599">
            <v>77.676643990929705</v>
          </cell>
          <cell r="Q1599">
            <v>15964</v>
          </cell>
        </row>
        <row r="1600">
          <cell r="I1600">
            <v>138.095</v>
          </cell>
          <cell r="K1600">
            <v>82.827999999999989</v>
          </cell>
          <cell r="L1600">
            <v>193.36200000000002</v>
          </cell>
          <cell r="Q1600">
            <v>15978</v>
          </cell>
        </row>
        <row r="1601">
          <cell r="I1601">
            <v>84.526999999999987</v>
          </cell>
          <cell r="K1601">
            <v>45.964600000000004</v>
          </cell>
          <cell r="L1601">
            <v>123.08939999999997</v>
          </cell>
          <cell r="Q1601">
            <v>15980</v>
          </cell>
        </row>
        <row r="1602">
          <cell r="I1602">
            <v>46.589411764705879</v>
          </cell>
          <cell r="K1602">
            <v>38.842145328719724</v>
          </cell>
          <cell r="L1602">
            <v>54.336678200692035</v>
          </cell>
          <cell r="Q1602">
            <v>15985</v>
          </cell>
        </row>
        <row r="1603">
          <cell r="I1603">
            <v>84.789411764705875</v>
          </cell>
          <cell r="K1603">
            <v>75.642992011619455</v>
          </cell>
          <cell r="L1603">
            <v>93.935831517792295</v>
          </cell>
          <cell r="Q1603">
            <v>15986</v>
          </cell>
        </row>
        <row r="1604">
          <cell r="I1604">
            <v>39.772499999999994</v>
          </cell>
          <cell r="K1604">
            <v>33.427187499999995</v>
          </cell>
          <cell r="L1604">
            <v>46.117812499999992</v>
          </cell>
          <cell r="Q1604">
            <v>15987</v>
          </cell>
        </row>
        <row r="1605">
          <cell r="I1605">
            <v>55.89250000000002</v>
          </cell>
          <cell r="K1605">
            <v>49.703711072664397</v>
          </cell>
          <cell r="L1605">
            <v>62.081288927335642</v>
          </cell>
          <cell r="Q1605">
            <v>15993</v>
          </cell>
        </row>
        <row r="1606">
          <cell r="I1606">
            <v>152.57777777777778</v>
          </cell>
          <cell r="K1606">
            <v>104.6153086419753</v>
          </cell>
          <cell r="L1606">
            <v>200.54024691358026</v>
          </cell>
          <cell r="Q1606">
            <v>15996</v>
          </cell>
        </row>
        <row r="1607">
          <cell r="I1607">
            <v>78.188235294117632</v>
          </cell>
          <cell r="K1607">
            <v>64.023044982698949</v>
          </cell>
          <cell r="L1607">
            <v>92.353425605536316</v>
          </cell>
          <cell r="Q1607">
            <v>16005</v>
          </cell>
        </row>
        <row r="1608">
          <cell r="I1608">
            <v>111.80846153846156</v>
          </cell>
          <cell r="K1608">
            <v>61.339326590364657</v>
          </cell>
          <cell r="L1608">
            <v>162.27759648655845</v>
          </cell>
          <cell r="Q1608">
            <v>16012</v>
          </cell>
        </row>
        <row r="1609">
          <cell r="I1609">
            <v>22.551176470588238</v>
          </cell>
          <cell r="K1609">
            <v>0</v>
          </cell>
          <cell r="L1609">
            <v>50.867508650519035</v>
          </cell>
          <cell r="Q1609">
            <v>16014</v>
          </cell>
        </row>
        <row r="1610">
          <cell r="I1610">
            <v>94.179333333333346</v>
          </cell>
          <cell r="K1610">
            <v>69.571955555555562</v>
          </cell>
          <cell r="L1610">
            <v>118.78671111111113</v>
          </cell>
          <cell r="Q1610">
            <v>16015</v>
          </cell>
        </row>
        <row r="1611">
          <cell r="I1611">
            <v>41.353333333333332</v>
          </cell>
          <cell r="K1611">
            <v>39.007555555555555</v>
          </cell>
          <cell r="L1611">
            <v>43.699111111111108</v>
          </cell>
          <cell r="Q1611">
            <v>16016</v>
          </cell>
        </row>
        <row r="1612">
          <cell r="I1612">
            <v>79.61</v>
          </cell>
          <cell r="K1612">
            <v>79.61</v>
          </cell>
          <cell r="L1612">
            <v>79.61</v>
          </cell>
          <cell r="Q1612">
            <v>16018</v>
          </cell>
        </row>
        <row r="1613">
          <cell r="I1613">
            <v>264.81133333333338</v>
          </cell>
          <cell r="K1613">
            <v>233.77875520833345</v>
          </cell>
          <cell r="L1613">
            <v>295.84391145833331</v>
          </cell>
          <cell r="Q1613">
            <v>16021</v>
          </cell>
        </row>
        <row r="1614">
          <cell r="I1614">
            <v>68.840909090909065</v>
          </cell>
          <cell r="K1614">
            <v>67.533471074380117</v>
          </cell>
          <cell r="L1614">
            <v>70.148347107438013</v>
          </cell>
          <cell r="Q1614">
            <v>16033</v>
          </cell>
        </row>
        <row r="1615">
          <cell r="I1615">
            <v>173.14499999999998</v>
          </cell>
          <cell r="K1615">
            <v>114.35472222222219</v>
          </cell>
          <cell r="L1615">
            <v>231.93527777777777</v>
          </cell>
          <cell r="Q1615">
            <v>16036</v>
          </cell>
        </row>
        <row r="1616">
          <cell r="I1616">
            <v>131.17599999999999</v>
          </cell>
          <cell r="K1616">
            <v>73.349333333333306</v>
          </cell>
          <cell r="L1616">
            <v>189.00266666666667</v>
          </cell>
          <cell r="Q1616">
            <v>16037</v>
          </cell>
        </row>
        <row r="1617">
          <cell r="I1617">
            <v>84.36999999999999</v>
          </cell>
          <cell r="K1617">
            <v>69.58</v>
          </cell>
          <cell r="L1617">
            <v>99.159999999999982</v>
          </cell>
          <cell r="Q1617">
            <v>16048</v>
          </cell>
        </row>
        <row r="1618">
          <cell r="I1618">
            <v>35.369999999999997</v>
          </cell>
          <cell r="K1618">
            <v>35.369999999999997</v>
          </cell>
          <cell r="L1618">
            <v>35.369999999999997</v>
          </cell>
          <cell r="Q1618">
            <v>16056</v>
          </cell>
        </row>
        <row r="1619">
          <cell r="I1619">
            <v>41.115000000000002</v>
          </cell>
          <cell r="K1619">
            <v>24.804917355371906</v>
          </cell>
          <cell r="L1619">
            <v>57.425082644628098</v>
          </cell>
          <cell r="Q1619">
            <v>16057</v>
          </cell>
        </row>
        <row r="1620">
          <cell r="I1620">
            <v>55.390000000000008</v>
          </cell>
          <cell r="K1620">
            <v>55.39</v>
          </cell>
          <cell r="L1620">
            <v>55.390000000000015</v>
          </cell>
          <cell r="Q1620">
            <v>16062</v>
          </cell>
        </row>
        <row r="1621">
          <cell r="Q1621">
            <v>16064</v>
          </cell>
        </row>
        <row r="1622">
          <cell r="Q1622">
            <v>16124</v>
          </cell>
        </row>
        <row r="1623">
          <cell r="Q1623">
            <v>16126</v>
          </cell>
        </row>
        <row r="1624">
          <cell r="Q1624">
            <v>16127</v>
          </cell>
        </row>
        <row r="1625">
          <cell r="Q1625">
            <v>16137</v>
          </cell>
        </row>
      </sheetData>
      <sheetData sheetId="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F374DD17-B976-4797-9E0C-48760873256E}" autoFormatId="16" applyNumberFormats="0" applyBorderFormats="0" applyFontFormats="0" applyPatternFormats="0" applyAlignmentFormats="0" applyWidthHeightFormats="0">
  <queryTableRefresh nextId="60">
    <queryTableFields count="45">
      <queryTableField id="1" name="cu_id" tableColumnId="1"/>
      <queryTableField id="2" name="Current Rt #" tableColumnId="2"/>
      <queryTableField id="3" name="Current Delivery Day" tableColumnId="3"/>
      <queryTableField id="4" name="Acct #" tableColumnId="4"/>
      <queryTableField id="5" name="Cust #" tableColumnId="5"/>
      <queryTableField id="6" name="Cust Name" tableColumnId="6"/>
      <queryTableField id="7" name="Street Address 1" tableColumnId="7"/>
      <queryTableField id="8" name="Street Address 2" tableColumnId="8"/>
      <queryTableField id="9" name="City" tableColumnId="9"/>
      <queryTableField id="10" name="State" tableColumnId="10"/>
      <queryTableField id="11" name="Zip" tableColumnId="11"/>
      <queryTableField id="12" name="Frequency" tableColumnId="12"/>
      <queryTableField id="13" name="StreetSync Frequency" tableColumnId="13"/>
      <queryTableField id="14" name="Call in Customer?" tableColumnId="14"/>
      <queryTableField id="38" name="Stop" tableColumnId="38"/>
      <queryTableField id="15" name="Mon Stop Seq" tableColumnId="15"/>
      <queryTableField id="16" name="Tue Stop Seq" tableColumnId="16"/>
      <queryTableField id="17" name="Wed Stop Seq" tableColumnId="17"/>
      <queryTableField id="18" name="Thu Stop Seq" tableColumnId="18"/>
      <queryTableField id="19" name="Fri Stop Seq" tableColumnId="19"/>
      <queryTableField id="20" name="# of Invoices" tableColumnId="20"/>
      <queryTableField id="24" name="Garment Inventory" tableColumnId="24"/>
      <queryTableField id="25" name="Average Weekly Garment Soil Scans" tableColumnId="25"/>
      <queryTableField id="40" dataBound="0" tableColumnId="39"/>
      <queryTableField id="26" name="# of Wearers" tableColumnId="26"/>
      <queryTableField id="27" name="# of Assigned Garments" tableColumnId="27"/>
      <queryTableField id="41" name="Q1 Revenue Low" tableColumnId="40"/>
      <queryTableField id="42" name="Q1 Revenue High" tableColumnId="41"/>
      <queryTableField id="43" name="Q2 Revenue Low" tableColumnId="42"/>
      <queryTableField id="44" name="Q2 Revenue High" tableColumnId="43"/>
      <queryTableField id="45" name="Q3 Revenue Low" tableColumnId="44"/>
      <queryTableField id="46" name="Q3 Revenue High" tableColumnId="45"/>
      <queryTableField id="47" name="Q4 Revenue Low" tableColumnId="46"/>
      <queryTableField id="48" name="Q4 Revenue high" tableColumnId="47"/>
      <queryTableField id="28" name="Q1 Revenue per Delivery" tableColumnId="28"/>
      <queryTableField id="29" name="Q2 Revenue per Delivery" tableColumnId="29"/>
      <queryTableField id="30" name="Q3 Revenue per Delivery" tableColumnId="30"/>
      <queryTableField id="31" name="Q4 Revenue per Delivery" tableColumnId="31"/>
      <queryTableField id="32" name="Earliest Time Window 1" tableColumnId="32"/>
      <queryTableField id="33" name="Latest Time Window 1" tableColumnId="33"/>
      <queryTableField id="34" name="Earliest Time Window 2" tableColumnId="34"/>
      <queryTableField id="35" name="Latest Time Window 2" tableColumnId="35"/>
      <queryTableField id="37" name="Available Delivery Days" tableColumnId="37"/>
      <queryTableField id="57" name="Notes" tableColumnId="48"/>
      <queryTableField id="36" name="Outside Hours Access (key/code stops)" tableColumnId="3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5" xr16:uid="{3867B56F-6E31-499C-B747-FADB6B72BF78}" autoFormatId="16" applyNumberFormats="0" applyBorderFormats="0" applyFontFormats="0" applyPatternFormats="0" applyAlignmentFormats="0" applyWidthHeightFormats="0">
  <queryTableRefresh nextId="31">
    <queryTableFields count="30">
      <queryTableField id="1" name="cu_id" tableColumnId="1"/>
      <queryTableField id="2" name="Old Rt #" tableColumnId="2"/>
      <queryTableField id="3" name="Old Delivery Day" tableColumnId="3"/>
      <queryTableField id="4" name="Acct #" tableColumnId="4"/>
      <queryTableField id="5" name="Cust #" tableColumnId="5"/>
      <queryTableField id="6" name="Cust Name" tableColumnId="6"/>
      <queryTableField id="7" name="Frequency" tableColumnId="7"/>
      <queryTableField id="8" name="Old Stop" tableColumnId="8"/>
      <queryTableField id="9" name="Garment Inventory" tableColumnId="9"/>
      <queryTableField id="10" name="# of Wearers" tableColumnId="10"/>
      <queryTableField id="11" name="Q1 Low Revenue Deviation" tableColumnId="11"/>
      <queryTableField id="12" name="Q1 High Revenue Deviation" tableColumnId="12"/>
      <queryTableField id="13" name="Q2 Low Revenue Deviation" tableColumnId="13"/>
      <queryTableField id="14" name="Q2 High Revenue Deviation" tableColumnId="14"/>
      <queryTableField id="15" name="Q3 Low Revenue Deviation" tableColumnId="15"/>
      <queryTableField id="16" name="Q3 High Revenue Deviation" tableColumnId="16"/>
      <queryTableField id="17" name="Q4 Low Revenue Deviation" tableColumnId="17"/>
      <queryTableField id="18" name="Q4 High Revenue Deviation" tableColumnId="18"/>
      <queryTableField id="19" name="Q1 Revenue per Delivery" tableColumnId="19"/>
      <queryTableField id="20" name="Q2 Revenue per Delivery" tableColumnId="20"/>
      <queryTableField id="21" name="Q3 Revenue per Delivery" tableColumnId="21"/>
      <queryTableField id="22" name="Q4 Revenue per Delivery" tableColumnId="22"/>
      <queryTableField id="23" name="Available Delivery Days" tableColumnId="23"/>
      <queryTableField id="24" name="Average Stop Time (In Minutes)" tableColumnId="24"/>
      <queryTableField id="25" name="Avg Garment Scans per Delivery" tableColumnId="25"/>
      <queryTableField id="26" name="% Garment Underwash" tableColumnId="26"/>
      <queryTableField id="27" name="Earliest Time - Window 1" tableColumnId="27"/>
      <queryTableField id="28" name="Latest Time - Window 1" tableColumnId="28"/>
      <queryTableField id="29" name="Earliest Time - Window 2" tableColumnId="29"/>
      <queryTableField id="30" name="Latest Time - Window 2" tableColumnId="3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4" connectionId="3" xr16:uid="{8E936CB6-5949-4F12-8C7D-7846B39B975A}" autoFormatId="16" applyNumberFormats="0" applyBorderFormats="0" applyFontFormats="0" applyPatternFormats="0" applyAlignmentFormats="0" applyWidthHeightFormats="0">
  <queryTableRefresh nextId="12">
    <queryTableFields count="11">
      <queryTableField id="1" name="Current.cu_id" tableColumnId="1"/>
      <queryTableField id="2" name="Current.Old Rt #" tableColumnId="2"/>
      <queryTableField id="3" name="Current.Old Delivery Day" tableColumnId="3"/>
      <queryTableField id="4" name="Current.Cust Name" tableColumnId="4"/>
      <queryTableField id="5" name="Current.Street Address 1" tableColumnId="5"/>
      <queryTableField id="6" name="Current.Frequency" tableColumnId="6"/>
      <queryTableField id="7" name="Freq Changes" tableColumnId="7"/>
      <queryTableField id="8" name="Addr Changes" tableColumnId="8"/>
      <queryTableField id="9" name="Name Changes" tableColumnId="9"/>
      <queryTableField id="10" name="Route Changes" tableColumnId="10"/>
      <queryTableField id="11" name="Day Changes" tableColumnId="1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rrent_Rt" xr10:uid="{58793F6B-526C-4890-9B64-62F812C3B002}" sourceName="Current Rt #">
  <extLst>
    <x:ext xmlns:x15="http://schemas.microsoft.com/office/spreadsheetml/2010/11/main" uri="{2F2917AC-EB37-4324-AD4E-5DD8C200BD13}">
      <x15:tableSlicerCache tableId="1"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rrent_Delivery_Day" xr10:uid="{D31C5D68-80B3-47F5-AECC-C52AD67918C9}" sourceName="Current Delivery Day">
  <extLst>
    <x:ext xmlns:x15="http://schemas.microsoft.com/office/spreadsheetml/2010/11/main" uri="{2F2917AC-EB37-4324-AD4E-5DD8C200BD13}">
      <x15:tableSlicerCache tableId="1"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rrent Rt #" xr10:uid="{2A792270-8023-4015-9C0C-0450496F4207}" cache="Slicer_Current_Rt" caption="Current Rt #" rowHeight="222250"/>
  <slicer name="Current Delivery Day" xr10:uid="{0E3A7DFD-1BA5-4636-B278-43B72B2F74D5}" cache="Slicer_Current_Delivery_Day" caption="Current Delivery Day" rowHeight="2222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53F8CF9-0729-4BDD-B463-333AECA21EF7}" name="Master" displayName="Master" ref="A1:AW1649" totalsRowShown="0" headerRowDxfId="61" dataDxfId="59" headerRowBorderDxfId="60" tableBorderDxfId="58" totalsRowBorderDxfId="57">
  <autoFilter ref="A1:AW1649" xr:uid="{154B8263-E41F-4735-AE47-45B624017230}"/>
  <tableColumns count="49">
    <tableColumn id="1" xr3:uid="{6FD012F9-285B-4740-A1FD-4FBEFC620126}" name="cu_id" dataDxfId="56"/>
    <tableColumn id="2" xr3:uid="{B5A16044-4C15-44D5-B47E-F69F92CD5723}" name="Current Rt #" dataDxfId="55"/>
    <tableColumn id="3" xr3:uid="{A6585B7B-159E-41D7-8737-75F1F1198F62}" name="Current Delivery Day" dataDxfId="54"/>
    <tableColumn id="4" xr3:uid="{B3C2945A-F1FA-4F19-B9BE-814AF17DBE20}" name="Acct #" dataDxfId="53"/>
    <tableColumn id="5" xr3:uid="{7C53D4FF-6997-409B-ADFA-39982143DCC3}" name="Cust #" dataDxfId="52"/>
    <tableColumn id="6" xr3:uid="{FB733B19-B4BC-4740-B77D-DB6F12708B60}" name="Cust Name" dataDxfId="51"/>
    <tableColumn id="7" xr3:uid="{7BB5CB44-2A2D-4DF6-A439-BB73A3CA99BD}" name="Street Address 1" dataDxfId="50"/>
    <tableColumn id="8" xr3:uid="{8E9BE933-BCFD-4EE1-A4F0-F1F752D7784E}" name="Street Address 2" dataDxfId="49"/>
    <tableColumn id="9" xr3:uid="{21B3CC08-9839-44AE-8C56-37FB5F3F1DC3}" name="City" dataDxfId="48"/>
    <tableColumn id="10" xr3:uid="{57E5B680-9A84-48F8-9574-43F14803F487}" name="State" dataDxfId="47"/>
    <tableColumn id="11" xr3:uid="{7EBF42A9-F8FB-4418-9919-23393AE4634F}" name="Zip" dataDxfId="46"/>
    <tableColumn id="37" xr3:uid="{D2A21521-3B50-4AFE-9DE3-EAB0FC04756E}" name="Frequency" dataDxfId="45"/>
    <tableColumn id="38" xr3:uid="{5645A042-A1B0-40D9-A091-9BA957959405}" name="StreetSync Frequency" dataDxfId="44"/>
    <tableColumn id="12" xr3:uid="{456E8032-D349-4B67-9FAA-80965B88DAA1}" name="Call in Customer?" dataDxfId="43"/>
    <tableColumn id="18" xr3:uid="{838F7BC4-13FF-4114-9633-6F27884AE169}" name="Stop #" dataDxfId="42"/>
    <tableColumn id="26" xr3:uid="{93BC838F-F68A-4E34-B595-ADDA81A7DB3F}" name="Mon Stop Seq" dataDxfId="41"/>
    <tableColumn id="13" xr3:uid="{2D930148-DD53-40EB-9939-BBF2CA5CE267}" name="Tue Stop Seq" dataDxfId="40"/>
    <tableColumn id="14" xr3:uid="{108035DD-00D1-4572-82E6-6B7BEFE88D88}" name="Wed Stop Seq" dataDxfId="39"/>
    <tableColumn id="15" xr3:uid="{BBF17A13-23D8-4B64-AF08-7167232A66C3}" name="Thu Stop Seq" dataDxfId="38"/>
    <tableColumn id="16" xr3:uid="{6E09C194-EA83-4672-B186-90247DE3B78A}" name="Fri Stop Seq" dataDxfId="37"/>
    <tableColumn id="17" xr3:uid="{22A37406-96C5-47D9-9A28-61C425E55685}" name="# of Invoices" dataDxfId="36"/>
    <tableColumn id="21" xr3:uid="{059FF564-2F8D-40FF-B6D9-A0A63513E625}" name="Garment Inventory" dataDxfId="35" dataCellStyle="Currency"/>
    <tableColumn id="22" xr3:uid="{1AC088D8-190A-4E4D-8230-38BA681AFE77}" name="Avg Garment Scans per Delivery" dataDxfId="34" dataCellStyle="Currency"/>
    <tableColumn id="46" xr3:uid="{529D8E83-3B9E-47A2-81C8-21BCAC80B648}" name=" " dataDxfId="33" dataCellStyle="Percent">
      <calculatedColumnFormula>IFERROR(1 -(Master[[#This Row],[Avg Garment Scans per Delivery]]/Master[[#This Row],[Garment Inventory]]), 0)</calculatedColumnFormula>
    </tableColumn>
    <tableColumn id="23" xr3:uid="{713D0BBE-4CB6-4846-81C3-5E71387F4732}" name="# of Wearers" dataDxfId="32" dataCellStyle="Currency"/>
    <tableColumn id="24" xr3:uid="{77EA76C3-6ED6-4AFE-BA40-FB00A6C39478}" name="# of Assigned Garments" dataDxfId="31" dataCellStyle="Currency"/>
    <tableColumn id="19" xr3:uid="{890E194A-BBC2-4080-8363-83D9B1F2C7A5}" name="Q1 Low Revenue Deviation" dataDxfId="30" dataCellStyle="Currency">
      <calculatedColumnFormula>_xlfn.XLOOKUP(Master[[#This Row],[cu_id]],[1]!Customer_Revenue[cuid],  [1]!Customer_Revenue[Q1 Min], "None")</calculatedColumnFormula>
    </tableColumn>
    <tableColumn id="20" xr3:uid="{E8289E8A-C699-4C94-8F31-2532543A60C8}" name="Q1 High Revenue Deviation" dataDxfId="29" dataCellStyle="Currency">
      <calculatedColumnFormula>_xlfn.XLOOKUP(Master[[#This Row],[cu_id]],[1]!Customer_Revenue[cuid],  [1]!Customer_Revenue[Q1 Max], "None")</calculatedColumnFormula>
    </tableColumn>
    <tableColumn id="27" xr3:uid="{07B14CDF-23B9-461C-97A8-F486028B60A6}" name="Q2 Low Revenue Deviation" dataDxfId="28" dataCellStyle="Currency">
      <calculatedColumnFormula>_xlfn.XLOOKUP(Master[[#This Row],[cu_id]],[1]!Customer_Revenue[cuid],  [1]!Customer_Revenue[Q2 Min], "None")</calculatedColumnFormula>
    </tableColumn>
    <tableColumn id="29" xr3:uid="{952087C9-23E1-4F2E-BE84-BC6590DF6DE1}" name="Q2 High Revenue Deviation" dataDxfId="27" dataCellStyle="Currency">
      <calculatedColumnFormula>_xlfn.XLOOKUP(Master[[#This Row],[cu_id]],[1]!Customer_Revenue[cuid],  [1]!Customer_Revenue[Q2 Max], "None")</calculatedColumnFormula>
    </tableColumn>
    <tableColumn id="30" xr3:uid="{45D8E352-AB1B-4CC5-81E5-F3946CAFA9E0}" name="Q3 Low Revenue Deviation" dataDxfId="26" dataCellStyle="Currency">
      <calculatedColumnFormula>_xlfn.XLOOKUP(Master[[#This Row],[cu_id]],[1]!Customer_Revenue[cuid],  [1]!Customer_Revenue[Q3 Min], "None")</calculatedColumnFormula>
    </tableColumn>
    <tableColumn id="31" xr3:uid="{0F81DE7C-35B5-4FD7-A481-ACC92E8C39E8}" name="Q3 High Revenue Deviation" dataDxfId="25" dataCellStyle="Currency">
      <calculatedColumnFormula>_xlfn.XLOOKUP(Master[[#This Row],[cu_id]],[1]!Customer_Revenue[cuid],  [1]!Customer_Revenue[Q3 Max], "None")</calculatedColumnFormula>
    </tableColumn>
    <tableColumn id="32" xr3:uid="{CFEADC2D-F466-41E2-A410-C82EFC2D0CC0}" name="Q4 Low Revenue Deviation" dataDxfId="24" dataCellStyle="Currency">
      <calculatedColumnFormula>_xlfn.XLOOKUP(Master[[#This Row],[cu_id]],[1]!Customer_Revenue[cuid],  [1]!Customer_Revenue[Q4 Min], "None")</calculatedColumnFormula>
    </tableColumn>
    <tableColumn id="33" xr3:uid="{C2006094-B4B1-429F-94B0-AA04A8EAE5C4}" name="Q4 High Revenue Deviation" dataDxfId="23" dataCellStyle="Currency">
      <calculatedColumnFormula>_xlfn.XLOOKUP(Master[[#This Row],[cu_id]],[1]!Customer_Revenue[cuid],  [1]!Customer_Revenue[Q4 Max], "None")</calculatedColumnFormula>
    </tableColumn>
    <tableColumn id="25" xr3:uid="{4AF9468A-4A29-4E87-A6D6-CC8C4B57E923}" name="Q1 Revenue per Delivery" dataDxfId="22" dataCellStyle="Currency">
      <calculatedColumnFormula>_xlfn.XLOOKUP(Master[[#This Row],[cu_id]],[1]!Customer_Revenue[cuid],  [1]!Customer_Revenue[Q1 Mean], "None")</calculatedColumnFormula>
    </tableColumn>
    <tableColumn id="39" xr3:uid="{FB425CCB-EDE3-4657-9886-76DEB90ECF18}" name="Q2 Revenue per Delivery" dataDxfId="21" dataCellStyle="Currency">
      <calculatedColumnFormula>_xlfn.XLOOKUP(Master[[#This Row],[cu_id]],[1]!Customer_Revenue[cuid],  [1]!Customer_Revenue[Q2 Mean], "None")</calculatedColumnFormula>
    </tableColumn>
    <tableColumn id="47" xr3:uid="{0DA86FD8-CC4B-4E29-8105-A0705EA40378}" name="Q3 Revenue per Delivery" dataDxfId="20" dataCellStyle="Currency">
      <calculatedColumnFormula>_xlfn.XLOOKUP(Master[[#This Row],[cu_id]],[1]!Customer_Revenue[cuid],  [1]!Customer_Revenue[Q3 Mean], "None")</calculatedColumnFormula>
    </tableColumn>
    <tableColumn id="40" xr3:uid="{35394DE7-1B0B-4F0E-997A-00D8EB907E33}" name="Q4 Revenue per Delivery" dataDxfId="19" dataCellStyle="Currency">
      <calculatedColumnFormula>_xlfn.XLOOKUP(Master[[#This Row],[cu_id]],[1]!Customer_Revenue[cuid],  [1]!Customer_Revenue[Q4 Mean], "None")</calculatedColumnFormula>
    </tableColumn>
    <tableColumn id="41" xr3:uid="{AD31106F-FABD-48B7-B750-3E427EB0F686}" name="Earliest Time - Window 1" dataDxfId="18" dataCellStyle="Percent"/>
    <tableColumn id="42" xr3:uid="{4E3AA84C-A59C-4454-B41F-A1A44AB85302}" name="Latest Time - Window 1" dataDxfId="17" dataCellStyle="Currency"/>
    <tableColumn id="43" xr3:uid="{8F33880D-81D5-40FA-9DF4-490AEB0FDA3E}" name="Earliest Time - Window 2" dataDxfId="16" dataCellStyle="Currency"/>
    <tableColumn id="44" xr3:uid="{34B96501-0BB6-40A9-B66D-4C208F4450C0}" name="Latest Time - Window 2" dataDxfId="15" dataCellStyle="Currency"/>
    <tableColumn id="28" xr3:uid="{34B8BC82-46A2-4865-B8D1-A14314569F40}" name="Available Delivery Days" dataDxfId="14"/>
    <tableColumn id="50" xr3:uid="{1938273B-9BB0-47BC-B0BA-2E20EE03E521}" name="Note" dataDxfId="13" dataCellStyle="Currency"/>
    <tableColumn id="49" xr3:uid="{12D059DF-BD42-45FB-AAF4-842B988EFCB2}" name="If Customer has a Key or code pease write the code in or the word Key" dataDxfId="12" dataCellStyle="Currency"/>
    <tableColumn id="34" xr3:uid="{B7207C07-1A21-4B82-8C55-7AE6E0E886DE}" name="Avg stop time helper" dataDxfId="11"/>
    <tableColumn id="36" xr3:uid="{2B8D98AF-271F-40D8-8344-DC15000DC0C4}" name="Average Stop Time (In Minutes)" dataDxfId="10">
      <calculatedColumnFormula>IF(Master[[#This Row],[RSP StopTime override]] &lt;&gt; "",Master[[#This Row],[RSP StopTime override]],IF(Master[[#This Row],[Avg stop time helper]] &lt;&gt; 0, Master[[#This Row],[Avg stop time helper]],Average_Stop_Time))</calculatedColumnFormula>
    </tableColumn>
    <tableColumn id="35" xr3:uid="{07303CE2-D452-4D12-A44F-2138A04547D4}" name="RSP StopTime override" dataDxfId="9"/>
    <tableColumn id="45" xr3:uid="{CF97CE4E-6EF0-4E66-8D3F-D97EDDCAA71B}" name="Column1" dataDxfId="8">
      <calculatedColumnFormula>Master[[#This Row],[RSP StopTime override]]-Master[[#This Row],[Avg stop time helper]]</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0286F17-9FF6-4F3A-8E7A-4792D275FC95}" name="Master_Adds" displayName="Master_Adds" ref="A1:AS5" tableType="queryTable" totalsRowShown="0">
  <autoFilter ref="A1:AS5" xr:uid="{80286F17-9FF6-4F3A-8E7A-4792D275FC95}"/>
  <tableColumns count="45">
    <tableColumn id="1" xr3:uid="{918FD6A8-BD45-4C3F-8D7C-67DB5E790D32}" uniqueName="1" name="cu_id" queryTableFieldId="1"/>
    <tableColumn id="2" xr3:uid="{6B35FFB4-31F9-4D7B-A9E1-620762E9F9A0}" uniqueName="2" name="Current Rt #" queryTableFieldId="2"/>
    <tableColumn id="3" xr3:uid="{5540498C-9BCE-492A-9DBE-ED3F659846D7}" uniqueName="3" name="Current Delivery Day" queryTableFieldId="3"/>
    <tableColumn id="4" xr3:uid="{2595F2F8-66F9-4AC4-947E-4B904C96E462}" uniqueName="4" name="Acct #" queryTableFieldId="4"/>
    <tableColumn id="5" xr3:uid="{5DACA95B-C07F-453B-92BF-3FADDFB2609F}" uniqueName="5" name="Cust #" queryTableFieldId="5"/>
    <tableColumn id="6" xr3:uid="{F2D84028-81EC-4486-BD86-421086C424F6}" uniqueName="6" name="Cust Name" queryTableFieldId="6"/>
    <tableColumn id="7" xr3:uid="{0D64082F-0F8D-4905-A39F-BE6302625EBF}" uniqueName="7" name="Street Address 1" queryTableFieldId="7"/>
    <tableColumn id="8" xr3:uid="{6091203C-52E6-47EF-838D-FFBAEFD2256F}" uniqueName="8" name="Street Address 2" queryTableFieldId="8"/>
    <tableColumn id="9" xr3:uid="{CF523695-5576-4A1F-BF56-0BAF6B5F0D0E}" uniqueName="9" name="City" queryTableFieldId="9"/>
    <tableColumn id="10" xr3:uid="{07343864-F619-4D6F-B53E-8D60ED321171}" uniqueName="10" name="State" queryTableFieldId="10"/>
    <tableColumn id="11" xr3:uid="{30195367-D647-4CDD-A5E3-BA390A7034E7}" uniqueName="11" name="Zip" queryTableFieldId="11"/>
    <tableColumn id="12" xr3:uid="{CE4AF952-0D81-45B8-89F5-608DE3364A32}" uniqueName="12" name="Frequency" queryTableFieldId="12"/>
    <tableColumn id="13" xr3:uid="{C9E14F57-F8C9-4FE7-AF72-8CB323576144}" uniqueName="13" name="StreetSync Frequency" queryTableFieldId="13"/>
    <tableColumn id="14" xr3:uid="{855DB6E3-FF5A-43F0-BDC7-41EADCB50083}" uniqueName="14" name="Call in Customer?" queryTableFieldId="14"/>
    <tableColumn id="38" xr3:uid="{8E5D0728-140C-4782-A268-F4FC026DC380}" uniqueName="38" name="Stop" queryTableFieldId="38"/>
    <tableColumn id="15" xr3:uid="{66E9E348-39B9-4E37-A395-8D256972E77D}" uniqueName="15" name="Mon Stop Seq" queryTableFieldId="15"/>
    <tableColumn id="16" xr3:uid="{65D09617-324C-421D-8E5F-0A8BC6952A38}" uniqueName="16" name="Tue Stop Seq" queryTableFieldId="16"/>
    <tableColumn id="17" xr3:uid="{9A18F747-4FC1-42DF-BC1F-7C19A2EB0F65}" uniqueName="17" name="Wed Stop Seq" queryTableFieldId="17"/>
    <tableColumn id="18" xr3:uid="{CC7F2532-D7D5-494C-BF1C-8F5C0C348B4D}" uniqueName="18" name="Thu Stop Seq" queryTableFieldId="18"/>
    <tableColumn id="19" xr3:uid="{24C8071B-2589-4726-B03D-081C843E87AB}" uniqueName="19" name="Fri Stop Seq" queryTableFieldId="19"/>
    <tableColumn id="20" xr3:uid="{D3E4DB97-9044-4E53-863A-407F0D4CAA65}" uniqueName="20" name="# of Invoices" queryTableFieldId="20"/>
    <tableColumn id="24" xr3:uid="{390300D2-E938-479F-AFD6-940C2E66A6AB}" uniqueName="24" name="Garment Inventory" queryTableFieldId="24"/>
    <tableColumn id="25" xr3:uid="{EBA3352E-DE36-4FBD-9264-4452BA98D580}" uniqueName="25" name="Average Weekly Garment Soil Scans" queryTableFieldId="25"/>
    <tableColumn id="39" xr3:uid="{E2ED49D1-0433-4A02-BBFC-2CC79B661757}" uniqueName="39" name="% Garment Underwash" queryTableFieldId="40" dataDxfId="7" dataCellStyle="Percent">
      <calculatedColumnFormula>IFERROR(1 -(Master[[#This Row],[Avg Garment Scans per Delivery]]/Master[[#This Row],[Garment Inventory]]), 0)</calculatedColumnFormula>
    </tableColumn>
    <tableColumn id="26" xr3:uid="{6E765BED-595F-4255-A4C6-D5BD12B6BB00}" uniqueName="26" name="# of Wearers" queryTableFieldId="26"/>
    <tableColumn id="27" xr3:uid="{17BA2BAB-8F1D-4728-932D-42954637BD4D}" uniqueName="27" name="# of Assigned Garments" queryTableFieldId="27"/>
    <tableColumn id="40" xr3:uid="{64931510-55C5-4542-93D7-5B0EA8F9ABF8}" uniqueName="40" name="Q1 Revenue Low" queryTableFieldId="41"/>
    <tableColumn id="41" xr3:uid="{41AFD1ED-7FFF-4CC3-9734-0A77C7FA45B9}" uniqueName="41" name="Q1 Revenue High" queryTableFieldId="42"/>
    <tableColumn id="42" xr3:uid="{AC69504B-5FC8-4988-98A4-49FFEBFCF755}" uniqueName="42" name="Q2 Revenue Low" queryTableFieldId="43"/>
    <tableColumn id="43" xr3:uid="{F7F0965E-C280-4335-8F22-18A15490428A}" uniqueName="43" name="Q2 Revenue High" queryTableFieldId="44"/>
    <tableColumn id="44" xr3:uid="{809A7D3F-5F14-4CA2-A181-E1C67BE7EB4B}" uniqueName="44" name="Q3 Revenue Low" queryTableFieldId="45"/>
    <tableColumn id="45" xr3:uid="{470DD3D4-AF6E-4FAB-9E2B-2EBC7BEC3C97}" uniqueName="45" name="Q3 Revenue High" queryTableFieldId="46"/>
    <tableColumn id="46" xr3:uid="{92CD3C71-C925-400C-B540-418D38AB898D}" uniqueName="46" name="Q4 Revenue Low" queryTableFieldId="47"/>
    <tableColumn id="47" xr3:uid="{B8EA7B96-810B-4A2F-854D-3D8D07705D1C}" uniqueName="47" name="Q4 Revenue high" queryTableFieldId="48"/>
    <tableColumn id="28" xr3:uid="{C9570E24-0EBA-4B4E-A0F6-2A5A55043CCB}" uniqueName="28" name="Q1 Revenue per Delivery" queryTableFieldId="28"/>
    <tableColumn id="29" xr3:uid="{3B9956CB-1F48-4A4C-A95B-554EDA1153CC}" uniqueName="29" name="Q2 Revenue per Delivery" queryTableFieldId="29"/>
    <tableColumn id="30" xr3:uid="{E32F4C2E-3B9A-460A-936C-9889DBE0DFEB}" uniqueName="30" name="Q3 Revenue per Delivery" queryTableFieldId="30"/>
    <tableColumn id="31" xr3:uid="{D2654819-F5C5-470A-9F96-CFD719798E08}" uniqueName="31" name="Q4 Revenue per Delivery" queryTableFieldId="31"/>
    <tableColumn id="32" xr3:uid="{BF4E68F6-E6FE-4E8A-82DD-3A57318D3614}" uniqueName="32" name="Earliest Time Window 1" queryTableFieldId="32"/>
    <tableColumn id="33" xr3:uid="{5C6F1900-103C-4E09-8E09-729EF00FACC5}" uniqueName="33" name="Latest Time Window 1" queryTableFieldId="33"/>
    <tableColumn id="34" xr3:uid="{50B19420-4556-4D8D-A180-C2A79AA58455}" uniqueName="34" name="Earliest Time Window 2" queryTableFieldId="34"/>
    <tableColumn id="35" xr3:uid="{8DE8E285-47CE-47B9-B347-008016A44524}" uniqueName="35" name="Latest Time Window 2" queryTableFieldId="35"/>
    <tableColumn id="37" xr3:uid="{616EB8F2-123E-4FB2-9482-F9C2AAE38362}" uniqueName="37" name="Available Delivery Days" queryTableFieldId="37"/>
    <tableColumn id="48" xr3:uid="{3A366537-637A-4E08-BD84-F0DB8048DE25}" uniqueName="48" name="Notes" queryTableFieldId="57"/>
    <tableColumn id="36" xr3:uid="{D30BF5AE-902C-479A-8FDD-B43474EC1245}" uniqueName="36" name="Outside Hours Access (key/code stops)" queryTableFieldId="3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8E76ACA-A6B7-4D5A-82E5-52688810886B}" name="Master_Quits" displayName="Master_Quits" ref="A1:AD12" tableType="queryTable" totalsRowShown="0">
  <autoFilter ref="A1:AD12" xr:uid="{D8E76ACA-A6B7-4D5A-82E5-52688810886B}"/>
  <tableColumns count="30">
    <tableColumn id="1" xr3:uid="{F39D03EB-54BA-4627-93F4-DD8A91F1C61A}" uniqueName="1" name="cu_id" queryTableFieldId="1"/>
    <tableColumn id="2" xr3:uid="{7CBA74CD-0D2B-4034-949B-8804A93E5BE6}" uniqueName="2" name="Old Rt #" queryTableFieldId="2"/>
    <tableColumn id="3" xr3:uid="{9FA22926-3962-4BA5-AE81-213EBE2421CF}" uniqueName="3" name="Old Delivery Day" queryTableFieldId="3"/>
    <tableColumn id="4" xr3:uid="{0B07F0A4-BA2C-4CFB-9479-2A27AF37A5C5}" uniqueName="4" name="Acct #" queryTableFieldId="4"/>
    <tableColumn id="5" xr3:uid="{FAAA485E-1E94-4490-AF71-3AD8F9D5686F}" uniqueName="5" name="Cust #" queryTableFieldId="5"/>
    <tableColumn id="6" xr3:uid="{AD062E00-BB83-478E-8461-87DC8761A1BB}" uniqueName="6" name="Cust Name" queryTableFieldId="6"/>
    <tableColumn id="7" xr3:uid="{12C454FB-E96F-4E25-9973-172292EF0477}" uniqueName="7" name="Frequency" queryTableFieldId="7"/>
    <tableColumn id="8" xr3:uid="{3BC08A7E-811F-4520-A4BE-CC18F2386B00}" uniqueName="8" name="Old Stop" queryTableFieldId="8"/>
    <tableColumn id="9" xr3:uid="{F6F6720E-771E-4742-A322-92D8677F596A}" uniqueName="9" name="Garment Inventory" queryTableFieldId="9"/>
    <tableColumn id="10" xr3:uid="{D92CF4D8-358B-4CBD-90D9-06A9913EFCAF}" uniqueName="10" name="# of Wearers" queryTableFieldId="10"/>
    <tableColumn id="11" xr3:uid="{5676A756-578F-4CDF-BA2E-1E8FB2414C99}" uniqueName="11" name="Q1 Low Revenue Deviation" queryTableFieldId="11"/>
    <tableColumn id="12" xr3:uid="{4F4C2ABF-06FC-4FE9-9773-67C406D003FF}" uniqueName="12" name="Q1 High Revenue Deviation" queryTableFieldId="12"/>
    <tableColumn id="13" xr3:uid="{D275F07F-0401-4AD3-A08A-8014DAC57015}" uniqueName="13" name="Q2 Low Revenue Deviation" queryTableFieldId="13"/>
    <tableColumn id="14" xr3:uid="{7A1943E3-89E9-4AF1-A82C-FBE53BDACF2A}" uniqueName="14" name="Q2 High Revenue Deviation" queryTableFieldId="14"/>
    <tableColumn id="15" xr3:uid="{CA78B791-77EF-4F6D-BE07-8C6B4ADC7873}" uniqueName="15" name="Q3 Low Revenue Deviation" queryTableFieldId="15"/>
    <tableColumn id="16" xr3:uid="{B9C9A8E3-E3F1-4E65-8FC6-CA48EAA889C8}" uniqueName="16" name="Q3 High Revenue Deviation" queryTableFieldId="16"/>
    <tableColumn id="17" xr3:uid="{B99EDA42-9B7A-4166-AEF8-9CCB773AC2FA}" uniqueName="17" name="Q4 Low Revenue Deviation" queryTableFieldId="17"/>
    <tableColumn id="18" xr3:uid="{AB2D8BB5-9E2D-47F7-ABC7-03A62BB0F01C}" uniqueName="18" name="Q4 High Revenue Deviation" queryTableFieldId="18"/>
    <tableColumn id="19" xr3:uid="{58909B07-92FE-418C-9C5D-414F325C2B71}" uniqueName="19" name="Q1 Revenue per Delivery" queryTableFieldId="19"/>
    <tableColumn id="20" xr3:uid="{2BE71ADE-1C44-4793-8649-2ACAADFE78BF}" uniqueName="20" name="Q2 Revenue per Delivery" queryTableFieldId="20"/>
    <tableColumn id="21" xr3:uid="{1F699F8A-DD26-44C4-87CE-10BF22A59F1C}" uniqueName="21" name="Q3 Revenue per Delivery" queryTableFieldId="21"/>
    <tableColumn id="22" xr3:uid="{EDEBC464-F1D2-46A5-A5C2-6D8944F3033F}" uniqueName="22" name="Q4 Revenue per Delivery" queryTableFieldId="22"/>
    <tableColumn id="23" xr3:uid="{DB828AEF-F1C2-4B5C-A882-BB7D391FA33B}" uniqueName="23" name="Available Delivery Days" queryTableFieldId="23"/>
    <tableColumn id="24" xr3:uid="{C9F76A6B-CD75-421F-B2E6-5D6E7F36AA03}" uniqueName="24" name="Average Stop Time (In Minutes)" queryTableFieldId="24"/>
    <tableColumn id="25" xr3:uid="{05A84F0A-A3E2-4F84-8170-535BFEF509BE}" uniqueName="25" name="Avg Garment Scans per Delivery" queryTableFieldId="25"/>
    <tableColumn id="26" xr3:uid="{CA5222DE-CE48-4EEB-894F-C8C8655F14B5}" uniqueName="26" name="% Garment Underwash" queryTableFieldId="26"/>
    <tableColumn id="27" xr3:uid="{CC548D7C-DAB4-40B6-A4F3-4C6EBD55282E}" uniqueName="27" name="Earliest Time - Window 1" queryTableFieldId="27"/>
    <tableColumn id="28" xr3:uid="{32E78A38-24E5-40E5-86BC-0A9F9C39016B}" uniqueName="28" name="Latest Time - Window 1" queryTableFieldId="28"/>
    <tableColumn id="29" xr3:uid="{9555CA48-FD5F-4348-90E7-20B3F5BFA0A7}" uniqueName="29" name="Earliest Time - Window 2" queryTableFieldId="29"/>
    <tableColumn id="30" xr3:uid="{14BD68AE-EA7D-4259-8DFE-41019D85E394}" uniqueName="30" name="Latest Time - Window 2" queryTableFieldId="3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D197D4E-7E4C-492F-9887-E4B7DF764844}" name="Master_Changes" displayName="Master_Changes" ref="A1:K1012" tableType="queryTable" totalsRowShown="0">
  <autoFilter ref="A1:K1012" xr:uid="{7D197D4E-7E4C-492F-9887-E4B7DF764844}">
    <filterColumn colId="6">
      <customFilters>
        <customFilter operator="notEqual" val=" "/>
      </customFilters>
    </filterColumn>
  </autoFilter>
  <tableColumns count="11">
    <tableColumn id="1" xr3:uid="{AEA8E3C6-340A-4111-859D-BDBAD9EAA03A}" uniqueName="1" name="Current.cu_id" queryTableFieldId="1" dataDxfId="5"/>
    <tableColumn id="2" xr3:uid="{2B5D9A7D-C1A4-4F90-ACA0-C2F53E442CEB}" uniqueName="2" name="Current.Old Rt #" queryTableFieldId="2" dataDxfId="4"/>
    <tableColumn id="3" xr3:uid="{9C4F60F7-9CEB-41BD-A550-ABD5A14F1379}" uniqueName="3" name="Current.Old Delivery Day" queryTableFieldId="3" dataDxfId="3"/>
    <tableColumn id="4" xr3:uid="{76EFC553-B3EE-46DD-BD5A-5A408E90358C}" uniqueName="4" name="Current.Cust Name" queryTableFieldId="4" dataDxfId="2"/>
    <tableColumn id="5" xr3:uid="{CF708841-348A-44EA-8D88-5622CEE8E4BB}" uniqueName="5" name="Current.Street Address 1" queryTableFieldId="5" dataDxfId="1"/>
    <tableColumn id="6" xr3:uid="{F17B776E-A035-43A0-A192-9975CAAD4D92}" uniqueName="6" name="Current.Frequency" queryTableFieldId="6" dataDxfId="0"/>
    <tableColumn id="7" xr3:uid="{9A694AA1-D16F-4FE4-8928-6A6AB3CB1D9D}" uniqueName="7" name="Freq Changes" queryTableFieldId="7"/>
    <tableColumn id="8" xr3:uid="{B125328C-4866-463C-8A13-FCF8E4A13B1C}" uniqueName="8" name="Addr Changes" queryTableFieldId="8"/>
    <tableColumn id="9" xr3:uid="{60AFCC44-3FC5-4DBA-9FAD-4B29CDAAE2BC}" uniqueName="9" name="Name Changes" queryTableFieldId="9"/>
    <tableColumn id="10" xr3:uid="{F0F80FD5-1207-478B-88A7-A399D940544E}" uniqueName="10" name="Route Changes" queryTableFieldId="10"/>
    <tableColumn id="11" xr3:uid="{FC87D676-88B6-454F-81D4-C9CF45E67E8C}" uniqueName="11" name="Day Changes" queryTableFieldId="1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9ED2C-FB13-4024-8743-017D2D56FC29}">
  <sheetPr codeName="Sheet1">
    <pageSetUpPr fitToPage="1"/>
  </sheetPr>
  <dimension ref="A1:BB1649"/>
  <sheetViews>
    <sheetView tabSelected="1" view="pageBreakPreview" zoomScale="104" zoomScaleNormal="117" zoomScaleSheetLayoutView="104" workbookViewId="0">
      <pane ySplit="1" topLeftCell="A1245" activePane="bottomLeft" state="frozen"/>
      <selection activeCell="A2" sqref="A2:AS7"/>
      <selection pane="bottomLeft" activeCell="AM1256" sqref="AM1256"/>
    </sheetView>
  </sheetViews>
  <sheetFormatPr defaultColWidth="8.88671875" defaultRowHeight="13.8" x14ac:dyDescent="0.3"/>
  <cols>
    <col min="1" max="1" width="10.77734375" style="9" customWidth="1"/>
    <col min="2" max="2" width="7.21875" style="1" customWidth="1"/>
    <col min="3" max="3" width="8.77734375" style="1" customWidth="1"/>
    <col min="4" max="4" width="7.6640625" style="8" customWidth="1"/>
    <col min="5" max="5" width="5.88671875" style="8" customWidth="1"/>
    <col min="6" max="6" width="31.33203125" customWidth="1"/>
    <col min="7" max="7" width="28.33203125" customWidth="1"/>
    <col min="8" max="8" width="21.6640625" customWidth="1"/>
    <col min="9" max="9" width="17" style="7" customWidth="1"/>
    <col min="10" max="10" width="7" style="7" customWidth="1"/>
    <col min="11" max="11" width="11.77734375" style="7" customWidth="1"/>
    <col min="12" max="12" width="11" style="7" customWidth="1"/>
    <col min="13" max="13" width="13.44140625" style="1" customWidth="1"/>
    <col min="14" max="15" width="8.109375" style="1" customWidth="1"/>
    <col min="16" max="16" width="5.88671875" style="1" customWidth="1"/>
    <col min="17" max="17" width="6" style="1" customWidth="1"/>
    <col min="18" max="18" width="6.5546875" style="1" customWidth="1"/>
    <col min="19" max="19" width="5.88671875" style="1" customWidth="1"/>
    <col min="20" max="20" width="5" style="1" customWidth="1"/>
    <col min="21" max="21" width="10.6640625" style="1" customWidth="1"/>
    <col min="22" max="22" width="17.6640625" style="5" customWidth="1"/>
    <col min="23" max="23" width="12" style="5" customWidth="1"/>
    <col min="24" max="24" width="12" style="6" customWidth="1"/>
    <col min="25" max="25" width="11.33203125" style="5" customWidth="1"/>
    <col min="26" max="26" width="10.44140625" style="5" customWidth="1"/>
    <col min="27" max="34" width="10.44140625" style="4" customWidth="1"/>
    <col min="35" max="38" width="17" style="4" customWidth="1"/>
    <col min="39" max="39" width="10" style="3" customWidth="1"/>
    <col min="40" max="40" width="9.6640625" style="2" customWidth="1"/>
    <col min="41" max="41" width="10.77734375" style="2" customWidth="1"/>
    <col min="42" max="42" width="10.6640625" style="2" customWidth="1"/>
    <col min="43" max="43" width="8.5546875" style="1" customWidth="1"/>
    <col min="44" max="44" width="12.33203125" style="1" customWidth="1"/>
    <col min="45" max="45" width="18.21875" style="1" customWidth="1"/>
    <col min="46" max="46" width="16" customWidth="1"/>
    <col min="47" max="47" width="11" customWidth="1"/>
    <col min="48" max="48" width="10.44140625" customWidth="1"/>
    <col min="49" max="49" width="8.88671875" customWidth="1"/>
    <col min="50" max="50" width="10" customWidth="1"/>
  </cols>
  <sheetData>
    <row r="1" spans="1:54" s="1" customFormat="1" ht="61.8" customHeight="1" x14ac:dyDescent="0.3">
      <c r="A1" s="151" t="s">
        <v>3558</v>
      </c>
      <c r="B1" s="90" t="s">
        <v>3557</v>
      </c>
      <c r="C1" s="90" t="s">
        <v>3556</v>
      </c>
      <c r="D1" s="90" t="s">
        <v>3555</v>
      </c>
      <c r="E1" s="90" t="s">
        <v>3554</v>
      </c>
      <c r="F1" s="90" t="s">
        <v>3553</v>
      </c>
      <c r="G1" s="90" t="s">
        <v>3552</v>
      </c>
      <c r="H1" s="90" t="s">
        <v>3551</v>
      </c>
      <c r="I1" s="90" t="s">
        <v>3550</v>
      </c>
      <c r="J1" s="90" t="s">
        <v>3549</v>
      </c>
      <c r="K1" s="90" t="s">
        <v>3548</v>
      </c>
      <c r="L1" s="90" t="s">
        <v>3547</v>
      </c>
      <c r="M1" s="90" t="s">
        <v>3546</v>
      </c>
      <c r="N1" s="90" t="s">
        <v>3545</v>
      </c>
      <c r="O1" s="90" t="s">
        <v>3544</v>
      </c>
      <c r="P1" s="90" t="s">
        <v>3543</v>
      </c>
      <c r="Q1" s="90" t="s">
        <v>3542</v>
      </c>
      <c r="R1" s="90" t="s">
        <v>3541</v>
      </c>
      <c r="S1" s="90" t="s">
        <v>3540</v>
      </c>
      <c r="T1" s="90" t="s">
        <v>3539</v>
      </c>
      <c r="U1" s="90" t="s">
        <v>3538</v>
      </c>
      <c r="V1" s="93" t="s">
        <v>3537</v>
      </c>
      <c r="W1" s="93" t="s">
        <v>3536</v>
      </c>
      <c r="X1" s="94" t="s">
        <v>1178</v>
      </c>
      <c r="Y1" s="93" t="s">
        <v>3534</v>
      </c>
      <c r="Z1" s="93" t="s">
        <v>3533</v>
      </c>
      <c r="AA1" s="92" t="s">
        <v>3532</v>
      </c>
      <c r="AB1" s="92" t="s">
        <v>3531</v>
      </c>
      <c r="AC1" s="92" t="s">
        <v>3530</v>
      </c>
      <c r="AD1" s="92" t="s">
        <v>3529</v>
      </c>
      <c r="AE1" s="92" t="s">
        <v>3528</v>
      </c>
      <c r="AF1" s="92" t="s">
        <v>3527</v>
      </c>
      <c r="AG1" s="92" t="s">
        <v>3526</v>
      </c>
      <c r="AH1" s="92" t="s">
        <v>3525</v>
      </c>
      <c r="AI1" s="92" t="s">
        <v>3524</v>
      </c>
      <c r="AJ1" s="92" t="s">
        <v>3523</v>
      </c>
      <c r="AK1" s="92" t="s">
        <v>3522</v>
      </c>
      <c r="AL1" s="92" t="s">
        <v>3521</v>
      </c>
      <c r="AM1" s="91" t="s">
        <v>3520</v>
      </c>
      <c r="AN1" s="91" t="s">
        <v>3519</v>
      </c>
      <c r="AO1" s="91" t="s">
        <v>3518</v>
      </c>
      <c r="AP1" s="91" t="s">
        <v>3517</v>
      </c>
      <c r="AQ1" s="90" t="s">
        <v>3516</v>
      </c>
      <c r="AR1" s="90" t="s">
        <v>3515</v>
      </c>
      <c r="AS1" s="90" t="s">
        <v>3514</v>
      </c>
      <c r="AT1" s="89" t="s">
        <v>3513</v>
      </c>
      <c r="AU1" s="89" t="s">
        <v>3512</v>
      </c>
      <c r="AV1" s="88" t="s">
        <v>3511</v>
      </c>
      <c r="AW1" s="87" t="s">
        <v>3510</v>
      </c>
      <c r="AX1" s="1" t="e">
        <f>AVERAGEIF(Master[Avg stop time helper],"&gt;0:01:00")</f>
        <v>#DIV/0!</v>
      </c>
      <c r="AZ1"/>
      <c r="BA1"/>
      <c r="BB1"/>
    </row>
    <row r="2" spans="1:54" x14ac:dyDescent="0.3">
      <c r="A2" s="66" t="s">
        <v>4144</v>
      </c>
      <c r="B2" s="58">
        <v>6</v>
      </c>
      <c r="C2" s="58" t="s">
        <v>24</v>
      </c>
      <c r="D2" s="65">
        <v>27828</v>
      </c>
      <c r="E2" s="65" t="s">
        <v>686</v>
      </c>
      <c r="F2" s="65" t="s">
        <v>3509</v>
      </c>
      <c r="G2" s="65" t="s">
        <v>3508</v>
      </c>
      <c r="H2" s="65" t="s">
        <v>32</v>
      </c>
      <c r="I2" s="65" t="s">
        <v>3224</v>
      </c>
      <c r="J2" s="65" t="s">
        <v>5</v>
      </c>
      <c r="K2" s="65" t="s">
        <v>3203</v>
      </c>
      <c r="L2" s="64" t="s">
        <v>67</v>
      </c>
      <c r="M2" s="58" t="s">
        <v>3</v>
      </c>
      <c r="N2" s="58" t="s">
        <v>2</v>
      </c>
      <c r="O2" s="58">
        <v>45</v>
      </c>
      <c r="P2" s="58">
        <v>45</v>
      </c>
      <c r="Q2" s="58">
        <v>0</v>
      </c>
      <c r="R2" s="58">
        <v>0</v>
      </c>
      <c r="S2" s="58">
        <v>0</v>
      </c>
      <c r="T2" s="58">
        <v>0</v>
      </c>
      <c r="U2" s="58">
        <v>52</v>
      </c>
      <c r="V2" s="62"/>
      <c r="W2" s="62"/>
      <c r="X2" s="63">
        <f>IFERROR(1 -(Master[[#This Row],[Avg Garment Scans per Delivery]]/Master[[#This Row],[Garment Inventory]]), 0)</f>
        <v>0</v>
      </c>
      <c r="Y2" s="62"/>
      <c r="Z2" s="62"/>
      <c r="AA2" s="53">
        <v>52.163609467455629</v>
      </c>
      <c r="AB2" s="53">
        <v>53.228698224852096</v>
      </c>
      <c r="AC2" s="53">
        <v>48.157514792899406</v>
      </c>
      <c r="AD2" s="53">
        <v>50.83633136094673</v>
      </c>
      <c r="AE2" s="53" t="str">
        <f>_xlfn.XLOOKUP(Master[[#This Row],[cu_id]],'[1]Customer Revenue'!$Q:$Q,'[1]Customer Revenue'!$K:$K, "None")</f>
        <v>None</v>
      </c>
      <c r="AF2" s="53" t="str">
        <f>_xlfn.XLOOKUP(Master[[#This Row],[cu_id]],'[1]Customer Revenue'!$Q:$Q,'[1]Customer Revenue'!$L:$L, "None")</f>
        <v>None</v>
      </c>
      <c r="AG2" s="53">
        <v>47.057328268439363</v>
      </c>
      <c r="AH2" s="53">
        <v>56.527287116175998</v>
      </c>
      <c r="AI2" s="53">
        <v>52.696153846153862</v>
      </c>
      <c r="AJ2" s="53">
        <v>49.496923076923068</v>
      </c>
      <c r="AK2" s="53" t="str">
        <f>_xlfn.XLOOKUP(Master[[#This Row],[cu_id]],'[1]Customer Revenue'!$Q:$Q,'[1]Customer Revenue'!$I:$I, "None")</f>
        <v>None</v>
      </c>
      <c r="AL2" s="53">
        <v>51.792307692307681</v>
      </c>
      <c r="AM2" s="61">
        <v>0.39583333333333331</v>
      </c>
      <c r="AN2" s="60">
        <v>0.33333333333333331</v>
      </c>
      <c r="AO2" s="60" t="s">
        <v>36</v>
      </c>
      <c r="AP2" s="60" t="s">
        <v>36</v>
      </c>
      <c r="AQ2" s="58" t="s">
        <v>0</v>
      </c>
      <c r="AR2" s="58"/>
      <c r="AS2" s="58"/>
      <c r="AT2" s="52">
        <v>0</v>
      </c>
      <c r="AU2" s="52" t="e">
        <f>IF(Master[[#This Row],[RSP StopTime override]] &lt;&gt; "",Master[[#This Row],[RSP StopTime override]],IF(Master[[#This Row],[Avg stop time helper]] &lt;&gt; 0, Master[[#This Row],[Avg stop time helper]],Average_Stop_Time))</f>
        <v>#DIV/0!</v>
      </c>
      <c r="AV2" s="21"/>
      <c r="AW2" s="20">
        <f>Master[[#This Row],[RSP StopTime override]]-Master[[#This Row],[Avg stop time helper]]</f>
        <v>0</v>
      </c>
    </row>
    <row r="3" spans="1:54" x14ac:dyDescent="0.3">
      <c r="A3" s="102" t="s">
        <v>4145</v>
      </c>
      <c r="B3" s="58">
        <v>6</v>
      </c>
      <c r="C3" s="58" t="s">
        <v>24</v>
      </c>
      <c r="D3" s="65">
        <v>99031</v>
      </c>
      <c r="E3" s="65" t="s">
        <v>1253</v>
      </c>
      <c r="F3" s="65" t="s">
        <v>3507</v>
      </c>
      <c r="G3" s="65" t="s">
        <v>3506</v>
      </c>
      <c r="H3" s="65" t="s">
        <v>1178</v>
      </c>
      <c r="I3" s="65" t="s">
        <v>39</v>
      </c>
      <c r="J3" s="65" t="s">
        <v>5</v>
      </c>
      <c r="K3" s="65" t="s">
        <v>3203</v>
      </c>
      <c r="L3" s="64" t="s">
        <v>67</v>
      </c>
      <c r="M3" s="58" t="s">
        <v>3</v>
      </c>
      <c r="N3" s="58" t="s">
        <v>2</v>
      </c>
      <c r="O3" s="58">
        <v>30</v>
      </c>
      <c r="P3" s="58">
        <v>30</v>
      </c>
      <c r="Q3" s="58">
        <v>0</v>
      </c>
      <c r="R3" s="58">
        <v>0</v>
      </c>
      <c r="S3" s="58">
        <v>0</v>
      </c>
      <c r="T3" s="58">
        <v>0</v>
      </c>
      <c r="U3" s="58">
        <v>53</v>
      </c>
      <c r="V3" s="62"/>
      <c r="W3" s="62"/>
      <c r="X3" s="63">
        <f>IFERROR(1 -(Master[[#This Row],[Avg Garment Scans per Delivery]]/Master[[#This Row],[Garment Inventory]]), 0)</f>
        <v>0</v>
      </c>
      <c r="Y3" s="62"/>
      <c r="Z3" s="62"/>
      <c r="AA3" s="53">
        <v>49.167346938775502</v>
      </c>
      <c r="AB3" s="53">
        <v>124.01122448979589</v>
      </c>
      <c r="AC3" s="53">
        <v>55.924795918367352</v>
      </c>
      <c r="AD3" s="53">
        <v>99.608061224489802</v>
      </c>
      <c r="AE3" s="53" t="str">
        <f>_xlfn.XLOOKUP(Master[[#This Row],[cu_id]],'[1]Customer Revenue'!$Q:$Q,'[1]Customer Revenue'!$K:$K, "None")</f>
        <v>None</v>
      </c>
      <c r="AF3" s="53" t="str">
        <f>_xlfn.XLOOKUP(Master[[#This Row],[cu_id]],'[1]Customer Revenue'!$Q:$Q,'[1]Customer Revenue'!$L:$L, "None")</f>
        <v>None</v>
      </c>
      <c r="AG3" s="53">
        <v>51.841289437585736</v>
      </c>
      <c r="AH3" s="53">
        <v>113.12019204389574</v>
      </c>
      <c r="AI3" s="53">
        <v>86.589285714285694</v>
      </c>
      <c r="AJ3" s="53">
        <v>77.766428571428577</v>
      </c>
      <c r="AK3" s="53" t="str">
        <f>_xlfn.XLOOKUP(Master[[#This Row],[cu_id]],'[1]Customer Revenue'!$Q:$Q,'[1]Customer Revenue'!$I:$I, "None")</f>
        <v>None</v>
      </c>
      <c r="AL3" s="53">
        <v>82.480740740740742</v>
      </c>
      <c r="AM3" s="61">
        <v>0.20833333333333334</v>
      </c>
      <c r="AN3" s="60">
        <v>0.91666666666666663</v>
      </c>
      <c r="AO3" s="60" t="s">
        <v>36</v>
      </c>
      <c r="AP3" s="60" t="s">
        <v>36</v>
      </c>
      <c r="AQ3" s="58" t="s">
        <v>0</v>
      </c>
      <c r="AR3" s="58"/>
      <c r="AS3" s="58"/>
      <c r="AT3" s="52">
        <v>0</v>
      </c>
      <c r="AU3" s="52" t="e">
        <f>IF(Master[[#This Row],[RSP StopTime override]] &lt;&gt; "",Master[[#This Row],[RSP StopTime override]],IF(Master[[#This Row],[Avg stop time helper]] &lt;&gt; 0, Master[[#This Row],[Avg stop time helper]],Average_Stop_Time))</f>
        <v>#DIV/0!</v>
      </c>
      <c r="AV3" s="21"/>
      <c r="AW3" s="20">
        <f>Master[[#This Row],[RSP StopTime override]]-Master[[#This Row],[Avg stop time helper]]</f>
        <v>0</v>
      </c>
    </row>
    <row r="4" spans="1:54" x14ac:dyDescent="0.3">
      <c r="A4" s="66" t="s">
        <v>4146</v>
      </c>
      <c r="B4" s="58">
        <v>6</v>
      </c>
      <c r="C4" s="58" t="s">
        <v>24</v>
      </c>
      <c r="D4" s="65">
        <v>99054</v>
      </c>
      <c r="E4" s="65" t="s">
        <v>803</v>
      </c>
      <c r="F4" s="65" t="s">
        <v>1462</v>
      </c>
      <c r="G4" s="65" t="s">
        <v>3505</v>
      </c>
      <c r="H4" s="65" t="s">
        <v>7</v>
      </c>
      <c r="I4" s="65" t="s">
        <v>39</v>
      </c>
      <c r="J4" s="65" t="s">
        <v>5</v>
      </c>
      <c r="K4" s="65" t="s">
        <v>3203</v>
      </c>
      <c r="L4" s="64" t="s">
        <v>77</v>
      </c>
      <c r="M4" s="58" t="s">
        <v>29</v>
      </c>
      <c r="N4" s="58" t="s">
        <v>2</v>
      </c>
      <c r="O4" s="58">
        <v>10</v>
      </c>
      <c r="P4" s="58">
        <v>10</v>
      </c>
      <c r="Q4" s="58">
        <v>0</v>
      </c>
      <c r="R4" s="58">
        <v>0</v>
      </c>
      <c r="S4" s="58">
        <v>0</v>
      </c>
      <c r="T4" s="58">
        <v>0</v>
      </c>
      <c r="U4" s="58">
        <v>26</v>
      </c>
      <c r="V4" s="62"/>
      <c r="W4" s="62"/>
      <c r="X4" s="63">
        <f>IFERROR(1 -(Master[[#This Row],[Avg Garment Scans per Delivery]]/Master[[#This Row],[Garment Inventory]]), 0)</f>
        <v>0</v>
      </c>
      <c r="Y4" s="62"/>
      <c r="Z4" s="62"/>
      <c r="AA4" s="53">
        <v>48.245000000000005</v>
      </c>
      <c r="AB4" s="53">
        <v>85.344999999999999</v>
      </c>
      <c r="AC4" s="53">
        <v>60.451020408163259</v>
      </c>
      <c r="AD4" s="53">
        <v>109.97755102040816</v>
      </c>
      <c r="AE4" s="53" t="str">
        <f>_xlfn.XLOOKUP(Master[[#This Row],[cu_id]],'[1]Customer Revenue'!$Q:$Q,'[1]Customer Revenue'!$K:$K, "None")</f>
        <v>None</v>
      </c>
      <c r="AF4" s="53" t="str">
        <f>_xlfn.XLOOKUP(Master[[#This Row],[cu_id]],'[1]Customer Revenue'!$Q:$Q,'[1]Customer Revenue'!$L:$L, "None")</f>
        <v>None</v>
      </c>
      <c r="AG4" s="53">
        <v>37.575029585798816</v>
      </c>
      <c r="AH4" s="53">
        <v>76.634201183431955</v>
      </c>
      <c r="AI4" s="53">
        <v>66.795000000000002</v>
      </c>
      <c r="AJ4" s="53">
        <v>85.214285714285708</v>
      </c>
      <c r="AK4" s="53" t="str">
        <f>_xlfn.XLOOKUP(Master[[#This Row],[cu_id]],'[1]Customer Revenue'!$Q:$Q,'[1]Customer Revenue'!$I:$I, "None")</f>
        <v>None</v>
      </c>
      <c r="AL4" s="53">
        <v>57.104615384615386</v>
      </c>
      <c r="AM4" s="61">
        <v>0.25</v>
      </c>
      <c r="AN4" s="60">
        <v>0.58333333333333337</v>
      </c>
      <c r="AO4" s="60" t="s">
        <v>36</v>
      </c>
      <c r="AP4" s="60" t="s">
        <v>36</v>
      </c>
      <c r="AQ4" s="58" t="s">
        <v>0</v>
      </c>
      <c r="AR4" s="58"/>
      <c r="AS4" s="58"/>
      <c r="AT4" s="52">
        <v>0</v>
      </c>
      <c r="AU4" s="52" t="e">
        <f>IF(Master[[#This Row],[RSP StopTime override]] &lt;&gt; "",Master[[#This Row],[RSP StopTime override]],IF(Master[[#This Row],[Avg stop time helper]] &lt;&gt; 0, Master[[#This Row],[Avg stop time helper]],Average_Stop_Time))</f>
        <v>#DIV/0!</v>
      </c>
      <c r="AV4" s="21"/>
      <c r="AW4" s="20">
        <f>Master[[#This Row],[RSP StopTime override]]-Master[[#This Row],[Avg stop time helper]]</f>
        <v>0</v>
      </c>
    </row>
    <row r="5" spans="1:54" x14ac:dyDescent="0.3">
      <c r="A5" s="66" t="s">
        <v>3803</v>
      </c>
      <c r="B5" s="58">
        <v>6</v>
      </c>
      <c r="C5" s="58" t="s">
        <v>24</v>
      </c>
      <c r="D5" s="65">
        <v>99061</v>
      </c>
      <c r="E5" s="65" t="s">
        <v>3504</v>
      </c>
      <c r="F5" s="65" t="s">
        <v>3561</v>
      </c>
      <c r="G5" s="65" t="s">
        <v>3498</v>
      </c>
      <c r="H5" s="65" t="s">
        <v>32</v>
      </c>
      <c r="I5" s="65" t="s">
        <v>39</v>
      </c>
      <c r="J5" s="65" t="s">
        <v>5</v>
      </c>
      <c r="K5" s="65" t="s">
        <v>3203</v>
      </c>
      <c r="L5" s="64" t="s">
        <v>67</v>
      </c>
      <c r="M5" s="58" t="s">
        <v>3</v>
      </c>
      <c r="N5" s="58" t="s">
        <v>2</v>
      </c>
      <c r="O5" s="58">
        <v>35</v>
      </c>
      <c r="P5" s="58">
        <v>35</v>
      </c>
      <c r="Q5" s="58">
        <v>0</v>
      </c>
      <c r="R5" s="58">
        <v>0</v>
      </c>
      <c r="S5" s="58">
        <v>0</v>
      </c>
      <c r="T5" s="58">
        <v>0</v>
      </c>
      <c r="U5" s="58">
        <v>52</v>
      </c>
      <c r="V5" s="62">
        <v>52</v>
      </c>
      <c r="W5" s="62">
        <v>12</v>
      </c>
      <c r="X5" s="63">
        <f>IFERROR(1 -(Master[[#This Row],[Avg Garment Scans per Delivery]]/Master[[#This Row],[Garment Inventory]]), 0)</f>
        <v>0.76923076923076916</v>
      </c>
      <c r="Y5" s="62">
        <v>2</v>
      </c>
      <c r="Z5" s="62">
        <v>66</v>
      </c>
      <c r="AA5" s="53">
        <v>20.344142011834322</v>
      </c>
      <c r="AB5" s="53">
        <v>36.548165680473375</v>
      </c>
      <c r="AC5" s="53">
        <v>23.453668639053255</v>
      </c>
      <c r="AD5" s="53">
        <v>39.421715976331363</v>
      </c>
      <c r="AE5" s="53" t="str">
        <f>_xlfn.XLOOKUP(Master[[#This Row],[cu_id]],'[1]Customer Revenue'!$Q:$Q,'[1]Customer Revenue'!$K:$K, "None")</f>
        <v>None</v>
      </c>
      <c r="AF5" s="53" t="str">
        <f>_xlfn.XLOOKUP(Master[[#This Row],[cu_id]],'[1]Customer Revenue'!$Q:$Q,'[1]Customer Revenue'!$L:$L, "None")</f>
        <v>None</v>
      </c>
      <c r="AG5" s="53">
        <v>21.057810650887575</v>
      </c>
      <c r="AH5" s="53">
        <v>33.311420118343193</v>
      </c>
      <c r="AI5" s="53">
        <v>28.446153846153848</v>
      </c>
      <c r="AJ5" s="53">
        <v>31.437692307692309</v>
      </c>
      <c r="AK5" s="53" t="str">
        <f>_xlfn.XLOOKUP(Master[[#This Row],[cu_id]],'[1]Customer Revenue'!$Q:$Q,'[1]Customer Revenue'!$I:$I, "None")</f>
        <v>None</v>
      </c>
      <c r="AL5" s="53">
        <v>27.184615384615384</v>
      </c>
      <c r="AM5" s="61">
        <v>0.25</v>
      </c>
      <c r="AN5" s="60">
        <v>0.5</v>
      </c>
      <c r="AO5" s="60" t="s">
        <v>36</v>
      </c>
      <c r="AP5" s="60" t="s">
        <v>36</v>
      </c>
      <c r="AQ5" s="58" t="s">
        <v>0</v>
      </c>
      <c r="AR5" s="58"/>
      <c r="AS5" s="58"/>
      <c r="AT5" s="52">
        <v>0</v>
      </c>
      <c r="AU5" s="52" t="e">
        <f>IF(Master[[#This Row],[RSP StopTime override]] &lt;&gt; "",Master[[#This Row],[RSP StopTime override]],IF(Master[[#This Row],[Avg stop time helper]] &lt;&gt; 0, Master[[#This Row],[Avg stop time helper]],Average_Stop_Time))</f>
        <v>#DIV/0!</v>
      </c>
      <c r="AV5" s="21"/>
      <c r="AW5" s="20">
        <f>Master[[#This Row],[RSP StopTime override]]-Master[[#This Row],[Avg stop time helper]]</f>
        <v>0</v>
      </c>
    </row>
    <row r="6" spans="1:54" x14ac:dyDescent="0.3">
      <c r="A6" s="66" t="s">
        <v>3807</v>
      </c>
      <c r="B6" s="58">
        <v>6</v>
      </c>
      <c r="C6" s="58" t="s">
        <v>24</v>
      </c>
      <c r="D6" s="65">
        <v>99061</v>
      </c>
      <c r="E6" s="65" t="s">
        <v>3494</v>
      </c>
      <c r="F6" s="65" t="s">
        <v>3562</v>
      </c>
      <c r="G6" s="65" t="s">
        <v>3498</v>
      </c>
      <c r="H6" s="65" t="s">
        <v>32</v>
      </c>
      <c r="I6" s="65" t="s">
        <v>39</v>
      </c>
      <c r="J6" s="65" t="s">
        <v>5</v>
      </c>
      <c r="K6" s="65" t="s">
        <v>3203</v>
      </c>
      <c r="L6" s="64" t="s">
        <v>67</v>
      </c>
      <c r="M6" s="58" t="s">
        <v>3</v>
      </c>
      <c r="N6" s="58" t="s">
        <v>2</v>
      </c>
      <c r="O6" s="58">
        <v>36</v>
      </c>
      <c r="P6" s="58">
        <v>36</v>
      </c>
      <c r="Q6" s="58">
        <v>0</v>
      </c>
      <c r="R6" s="58">
        <v>0</v>
      </c>
      <c r="S6" s="58">
        <v>0</v>
      </c>
      <c r="T6" s="58">
        <v>0</v>
      </c>
      <c r="U6" s="58">
        <v>53</v>
      </c>
      <c r="V6" s="62"/>
      <c r="W6" s="62"/>
      <c r="X6" s="63">
        <f>IFERROR(1 -(Master[[#This Row],[Avg Garment Scans per Delivery]]/Master[[#This Row],[Garment Inventory]]), 0)</f>
        <v>0</v>
      </c>
      <c r="Y6" s="62"/>
      <c r="Z6" s="62"/>
      <c r="AA6" s="53">
        <v>195.1966091051805</v>
      </c>
      <c r="AB6" s="53">
        <v>282.23416012558857</v>
      </c>
      <c r="AC6" s="53">
        <v>205.01479289940829</v>
      </c>
      <c r="AD6" s="53">
        <v>286.12982248520711</v>
      </c>
      <c r="AE6" s="53" t="str">
        <f>_xlfn.XLOOKUP(Master[[#This Row],[cu_id]],'[1]Customer Revenue'!$Q:$Q,'[1]Customer Revenue'!$K:$K, "None")</f>
        <v>None</v>
      </c>
      <c r="AF6" s="53" t="str">
        <f>_xlfn.XLOOKUP(Master[[#This Row],[cu_id]],'[1]Customer Revenue'!$Q:$Q,'[1]Customer Revenue'!$L:$L, "None")</f>
        <v>None</v>
      </c>
      <c r="AG6" s="53">
        <v>184.5648955365622</v>
      </c>
      <c r="AH6" s="53">
        <v>247.0127967711301</v>
      </c>
      <c r="AI6" s="53">
        <v>238.71538461538455</v>
      </c>
      <c r="AJ6" s="53">
        <v>245.5723076923077</v>
      </c>
      <c r="AK6" s="53" t="str">
        <f>_xlfn.XLOOKUP(Master[[#This Row],[cu_id]],'[1]Customer Revenue'!$Q:$Q,'[1]Customer Revenue'!$I:$I, "None")</f>
        <v>None</v>
      </c>
      <c r="AL6" s="53">
        <v>215.78884615384615</v>
      </c>
      <c r="AM6" s="61">
        <v>0.25</v>
      </c>
      <c r="AN6" s="60">
        <v>0.5</v>
      </c>
      <c r="AO6" s="60" t="s">
        <v>36</v>
      </c>
      <c r="AP6" s="60" t="s">
        <v>36</v>
      </c>
      <c r="AQ6" s="58" t="s">
        <v>0</v>
      </c>
      <c r="AR6" s="58"/>
      <c r="AS6" s="58"/>
      <c r="AT6" s="52">
        <v>0</v>
      </c>
      <c r="AU6" s="52" t="e">
        <f>IF(Master[[#This Row],[RSP StopTime override]] &lt;&gt; "",Master[[#This Row],[RSP StopTime override]],IF(Master[[#This Row],[Avg stop time helper]] &lt;&gt; 0, Master[[#This Row],[Avg stop time helper]],Average_Stop_Time))</f>
        <v>#DIV/0!</v>
      </c>
      <c r="AV6" s="21"/>
      <c r="AW6" s="20">
        <f>Master[[#This Row],[RSP StopTime override]]-Master[[#This Row],[Avg stop time helper]]</f>
        <v>0</v>
      </c>
    </row>
    <row r="7" spans="1:54" x14ac:dyDescent="0.3">
      <c r="A7" s="66" t="s">
        <v>4147</v>
      </c>
      <c r="B7" s="58">
        <v>6</v>
      </c>
      <c r="C7" s="58" t="s">
        <v>24</v>
      </c>
      <c r="D7" s="65">
        <v>99061</v>
      </c>
      <c r="E7" s="65" t="s">
        <v>2988</v>
      </c>
      <c r="F7" s="65" t="s">
        <v>3503</v>
      </c>
      <c r="G7" s="65" t="s">
        <v>3498</v>
      </c>
      <c r="H7" s="65" t="s">
        <v>32</v>
      </c>
      <c r="I7" s="65" t="s">
        <v>39</v>
      </c>
      <c r="J7" s="65" t="s">
        <v>5</v>
      </c>
      <c r="K7" s="65" t="s">
        <v>3203</v>
      </c>
      <c r="L7" s="64" t="s">
        <v>67</v>
      </c>
      <c r="M7" s="58" t="s">
        <v>3</v>
      </c>
      <c r="N7" s="58" t="s">
        <v>2</v>
      </c>
      <c r="O7" s="58">
        <v>55</v>
      </c>
      <c r="P7" s="58">
        <v>55</v>
      </c>
      <c r="Q7" s="58">
        <v>0</v>
      </c>
      <c r="R7" s="58">
        <v>0</v>
      </c>
      <c r="S7" s="58">
        <v>0</v>
      </c>
      <c r="T7" s="58">
        <v>0</v>
      </c>
      <c r="U7" s="58">
        <v>52</v>
      </c>
      <c r="V7" s="62"/>
      <c r="W7" s="62"/>
      <c r="X7" s="63">
        <f>IFERROR(1 -(Master[[#This Row],[Avg Garment Scans per Delivery]]/Master[[#This Row],[Garment Inventory]]), 0)</f>
        <v>0</v>
      </c>
      <c r="Y7" s="62"/>
      <c r="Z7" s="62"/>
      <c r="AA7" s="53">
        <v>21.562248520710064</v>
      </c>
      <c r="AB7" s="53">
        <v>23.554674556213023</v>
      </c>
      <c r="AC7" s="53">
        <v>27.528816568047336</v>
      </c>
      <c r="AD7" s="53">
        <v>31.937337278106508</v>
      </c>
      <c r="AE7" s="53" t="str">
        <f>_xlfn.XLOOKUP(Master[[#This Row],[cu_id]],'[1]Customer Revenue'!$Q:$Q,'[1]Customer Revenue'!$K:$K, "None")</f>
        <v>None</v>
      </c>
      <c r="AF7" s="53" t="str">
        <f>_xlfn.XLOOKUP(Master[[#This Row],[cu_id]],'[1]Customer Revenue'!$Q:$Q,'[1]Customer Revenue'!$L:$L, "None")</f>
        <v>None</v>
      </c>
      <c r="AG7" s="53">
        <v>19.44041420118343</v>
      </c>
      <c r="AH7" s="53">
        <v>22.828816568047337</v>
      </c>
      <c r="AI7" s="53">
        <v>22.558461538461543</v>
      </c>
      <c r="AJ7" s="53">
        <v>29.733076923076922</v>
      </c>
      <c r="AK7" s="53" t="str">
        <f>_xlfn.XLOOKUP(Master[[#This Row],[cu_id]],'[1]Customer Revenue'!$Q:$Q,'[1]Customer Revenue'!$I:$I, "None")</f>
        <v>None</v>
      </c>
      <c r="AL7" s="53">
        <v>21.134615384615383</v>
      </c>
      <c r="AM7" s="61">
        <v>0.25</v>
      </c>
      <c r="AN7" s="60">
        <v>0.5</v>
      </c>
      <c r="AO7" s="60" t="s">
        <v>36</v>
      </c>
      <c r="AP7" s="60" t="s">
        <v>36</v>
      </c>
      <c r="AQ7" s="58" t="s">
        <v>0</v>
      </c>
      <c r="AR7" s="58"/>
      <c r="AS7" s="58"/>
      <c r="AT7" s="52">
        <v>0</v>
      </c>
      <c r="AU7" s="52" t="e">
        <f>IF(Master[[#This Row],[RSP StopTime override]] &lt;&gt; "",Master[[#This Row],[RSP StopTime override]],IF(Master[[#This Row],[Avg stop time helper]] &lt;&gt; 0, Master[[#This Row],[Avg stop time helper]],Average_Stop_Time))</f>
        <v>#DIV/0!</v>
      </c>
      <c r="AV7" s="21"/>
      <c r="AW7" s="20">
        <f>Master[[#This Row],[RSP StopTime override]]-Master[[#This Row],[Avg stop time helper]]</f>
        <v>0</v>
      </c>
    </row>
    <row r="8" spans="1:54" x14ac:dyDescent="0.3">
      <c r="A8" s="66" t="s">
        <v>4148</v>
      </c>
      <c r="B8" s="58">
        <v>6</v>
      </c>
      <c r="C8" s="58" t="s">
        <v>24</v>
      </c>
      <c r="D8" s="65">
        <v>99063</v>
      </c>
      <c r="E8" s="65" t="s">
        <v>1520</v>
      </c>
      <c r="F8" s="65" t="s">
        <v>3502</v>
      </c>
      <c r="G8" s="65" t="s">
        <v>3501</v>
      </c>
      <c r="H8" s="65" t="s">
        <v>32</v>
      </c>
      <c r="I8" s="65" t="s">
        <v>1216</v>
      </c>
      <c r="J8" s="65" t="s">
        <v>5</v>
      </c>
      <c r="K8" s="65" t="s">
        <v>30</v>
      </c>
      <c r="L8" s="64" t="s">
        <v>91</v>
      </c>
      <c r="M8" s="58" t="s">
        <v>90</v>
      </c>
      <c r="N8" s="58" t="s">
        <v>2</v>
      </c>
      <c r="O8" s="58">
        <v>140</v>
      </c>
      <c r="P8" s="58">
        <v>140</v>
      </c>
      <c r="Q8" s="58">
        <v>0</v>
      </c>
      <c r="R8" s="58">
        <v>0</v>
      </c>
      <c r="S8" s="58">
        <v>0</v>
      </c>
      <c r="T8" s="58">
        <v>0</v>
      </c>
      <c r="U8" s="58">
        <v>26</v>
      </c>
      <c r="V8" s="62"/>
      <c r="W8" s="62"/>
      <c r="X8" s="63">
        <f>IFERROR(1 -(Master[[#This Row],[Avg Garment Scans per Delivery]]/Master[[#This Row],[Garment Inventory]]), 0)</f>
        <v>0</v>
      </c>
      <c r="Y8" s="62"/>
      <c r="Z8" s="62"/>
      <c r="AA8" s="53">
        <v>40.054489795918364</v>
      </c>
      <c r="AB8" s="53">
        <v>41.89122448979591</v>
      </c>
      <c r="AC8" s="53">
        <v>44.114444444444445</v>
      </c>
      <c r="AD8" s="53">
        <v>48.012222222222221</v>
      </c>
      <c r="AE8" s="53" t="str">
        <f>_xlfn.XLOOKUP(Master[[#This Row],[cu_id]],'[1]Customer Revenue'!$Q:$Q,'[1]Customer Revenue'!$K:$K, "None")</f>
        <v>None</v>
      </c>
      <c r="AF8" s="53" t="str">
        <f>_xlfn.XLOOKUP(Master[[#This Row],[cu_id]],'[1]Customer Revenue'!$Q:$Q,'[1]Customer Revenue'!$L:$L, "None")</f>
        <v>None</v>
      </c>
      <c r="AG8" s="53">
        <v>40.090355029585794</v>
      </c>
      <c r="AH8" s="53">
        <v>41.261952662721882</v>
      </c>
      <c r="AI8" s="53">
        <v>40.972857142857137</v>
      </c>
      <c r="AJ8" s="53">
        <v>46.063333333333333</v>
      </c>
      <c r="AK8" s="53" t="str">
        <f>_xlfn.XLOOKUP(Master[[#This Row],[cu_id]],'[1]Customer Revenue'!$Q:$Q,'[1]Customer Revenue'!$I:$I, "None")</f>
        <v>None</v>
      </c>
      <c r="AL8" s="53">
        <v>40.676153846153838</v>
      </c>
      <c r="AM8" s="61">
        <v>0.33333333333333331</v>
      </c>
      <c r="AN8" s="60">
        <v>0.66666666666666663</v>
      </c>
      <c r="AO8" s="60" t="s">
        <v>36</v>
      </c>
      <c r="AP8" s="60" t="s">
        <v>36</v>
      </c>
      <c r="AQ8" s="58" t="s">
        <v>0</v>
      </c>
      <c r="AR8" s="58"/>
      <c r="AS8" s="58"/>
      <c r="AT8" s="52">
        <v>0</v>
      </c>
      <c r="AU8" s="52" t="e">
        <f>IF(Master[[#This Row],[RSP StopTime override]] &lt;&gt; "",Master[[#This Row],[RSP StopTime override]],IF(Master[[#This Row],[Avg stop time helper]] &lt;&gt; 0, Master[[#This Row],[Avg stop time helper]],Average_Stop_Time))</f>
        <v>#DIV/0!</v>
      </c>
      <c r="AV8" s="21"/>
      <c r="AW8" s="20">
        <f>Master[[#This Row],[RSP StopTime override]]-Master[[#This Row],[Avg stop time helper]]</f>
        <v>0</v>
      </c>
    </row>
    <row r="9" spans="1:54" x14ac:dyDescent="0.3">
      <c r="A9" s="66" t="s">
        <v>4149</v>
      </c>
      <c r="B9" s="58">
        <v>6</v>
      </c>
      <c r="C9" s="58" t="s">
        <v>24</v>
      </c>
      <c r="D9" s="65">
        <v>99094</v>
      </c>
      <c r="E9" s="65" t="s">
        <v>805</v>
      </c>
      <c r="F9" s="65" t="s">
        <v>3500</v>
      </c>
      <c r="G9" s="65" t="s">
        <v>3499</v>
      </c>
      <c r="H9" s="65" t="s">
        <v>7</v>
      </c>
      <c r="I9" s="65" t="s">
        <v>39</v>
      </c>
      <c r="J9" s="65" t="s">
        <v>5</v>
      </c>
      <c r="K9" s="65" t="s">
        <v>38</v>
      </c>
      <c r="L9" s="64" t="s">
        <v>91</v>
      </c>
      <c r="M9" s="58" t="s">
        <v>90</v>
      </c>
      <c r="N9" s="58" t="s">
        <v>2</v>
      </c>
      <c r="O9" s="58">
        <v>67</v>
      </c>
      <c r="P9" s="58">
        <v>67</v>
      </c>
      <c r="Q9" s="58">
        <v>0</v>
      </c>
      <c r="R9" s="58">
        <v>0</v>
      </c>
      <c r="S9" s="58">
        <v>0</v>
      </c>
      <c r="T9" s="58">
        <v>0</v>
      </c>
      <c r="U9" s="58">
        <v>36</v>
      </c>
      <c r="V9" s="62"/>
      <c r="W9" s="62"/>
      <c r="X9" s="63">
        <f>IFERROR(1 -(Master[[#This Row],[Avg Garment Scans per Delivery]]/Master[[#This Row],[Garment Inventory]]), 0)</f>
        <v>0</v>
      </c>
      <c r="Y9" s="62"/>
      <c r="Z9" s="62"/>
      <c r="AA9" s="53">
        <v>19.992544378698224</v>
      </c>
      <c r="AB9" s="53">
        <v>20.035147928994082</v>
      </c>
      <c r="AC9" s="53">
        <v>11.144444444444444</v>
      </c>
      <c r="AD9" s="53">
        <v>28.975555555555552</v>
      </c>
      <c r="AE9" s="53" t="str">
        <f>_xlfn.XLOOKUP(Master[[#This Row],[cu_id]],'[1]Customer Revenue'!$Q:$Q,'[1]Customer Revenue'!$K:$K, "None")</f>
        <v>None</v>
      </c>
      <c r="AF9" s="53" t="str">
        <f>_xlfn.XLOOKUP(Master[[#This Row],[cu_id]],'[1]Customer Revenue'!$Q:$Q,'[1]Customer Revenue'!$L:$L, "None")</f>
        <v>None</v>
      </c>
      <c r="AG9" s="53">
        <v>19.994215500945181</v>
      </c>
      <c r="AH9" s="53">
        <v>20.021436672967866</v>
      </c>
      <c r="AI9" s="53">
        <v>20.013846153846153</v>
      </c>
      <c r="AJ9" s="53">
        <v>20.059999999999999</v>
      </c>
      <c r="AK9" s="53" t="str">
        <f>_xlfn.XLOOKUP(Master[[#This Row],[cu_id]],'[1]Customer Revenue'!$Q:$Q,'[1]Customer Revenue'!$I:$I, "None")</f>
        <v>None</v>
      </c>
      <c r="AL9" s="53">
        <v>20.007826086956523</v>
      </c>
      <c r="AM9" s="61">
        <v>0.375</v>
      </c>
      <c r="AN9" s="60">
        <v>0.70833333333333337</v>
      </c>
      <c r="AO9" s="60" t="s">
        <v>36</v>
      </c>
      <c r="AP9" s="60" t="s">
        <v>36</v>
      </c>
      <c r="AQ9" s="58" t="s">
        <v>0</v>
      </c>
      <c r="AR9" s="58"/>
      <c r="AS9" s="58"/>
      <c r="AT9" s="52">
        <v>0</v>
      </c>
      <c r="AU9" s="52" t="e">
        <f>IF(Master[[#This Row],[RSP StopTime override]] &lt;&gt; "",Master[[#This Row],[RSP StopTime override]],IF(Master[[#This Row],[Avg stop time helper]] &lt;&gt; 0, Master[[#This Row],[Avg stop time helper]],Average_Stop_Time))</f>
        <v>#DIV/0!</v>
      </c>
      <c r="AV9" s="21"/>
      <c r="AW9" s="20">
        <f>Master[[#This Row],[RSP StopTime override]]-Master[[#This Row],[Avg stop time helper]]</f>
        <v>0</v>
      </c>
    </row>
    <row r="10" spans="1:54" x14ac:dyDescent="0.3">
      <c r="A10" s="95" t="s">
        <v>3813</v>
      </c>
      <c r="B10" s="96">
        <v>6</v>
      </c>
      <c r="C10" s="96" t="s">
        <v>43</v>
      </c>
      <c r="D10" s="97">
        <v>531315</v>
      </c>
      <c r="E10" s="97" t="s">
        <v>42</v>
      </c>
      <c r="F10" s="97" t="s">
        <v>41</v>
      </c>
      <c r="G10" s="65" t="s">
        <v>40</v>
      </c>
      <c r="H10" s="65" t="s">
        <v>7</v>
      </c>
      <c r="I10" s="65" t="s">
        <v>39</v>
      </c>
      <c r="J10" s="65" t="s">
        <v>5</v>
      </c>
      <c r="K10" s="65" t="s">
        <v>38</v>
      </c>
      <c r="L10" s="64" t="s">
        <v>37</v>
      </c>
      <c r="M10" s="58" t="s">
        <v>3</v>
      </c>
      <c r="N10" s="58" t="s">
        <v>2</v>
      </c>
      <c r="O10" s="58">
        <v>90</v>
      </c>
      <c r="P10" s="58">
        <v>90</v>
      </c>
      <c r="Q10" s="58">
        <v>0</v>
      </c>
      <c r="R10" s="58">
        <v>0</v>
      </c>
      <c r="S10" s="58">
        <v>85</v>
      </c>
      <c r="T10" s="58">
        <v>0</v>
      </c>
      <c r="U10" s="58">
        <v>145</v>
      </c>
      <c r="V10" s="62">
        <v>204</v>
      </c>
      <c r="W10" s="62">
        <v>7</v>
      </c>
      <c r="X10" s="63">
        <v>0.96568627450980393</v>
      </c>
      <c r="Y10" s="62">
        <v>10</v>
      </c>
      <c r="Z10" s="62">
        <v>195</v>
      </c>
      <c r="AA10" s="53"/>
      <c r="AB10" s="53"/>
      <c r="AC10" s="53"/>
      <c r="AD10" s="53"/>
      <c r="AE10" s="53"/>
      <c r="AF10" s="53"/>
      <c r="AG10" s="53"/>
      <c r="AH10" s="53"/>
      <c r="AI10" s="53"/>
      <c r="AJ10" s="53">
        <v>1022.1176923076922</v>
      </c>
      <c r="AK10" s="53">
        <v>645.79999999999995</v>
      </c>
      <c r="AL10" s="53">
        <v>658.38461538461536</v>
      </c>
      <c r="AM10" s="61" t="s">
        <v>36</v>
      </c>
      <c r="AN10" s="60" t="s">
        <v>36</v>
      </c>
      <c r="AO10" s="60" t="s">
        <v>36</v>
      </c>
      <c r="AP10" s="60" t="s">
        <v>36</v>
      </c>
      <c r="AQ10" s="99" t="s">
        <v>0</v>
      </c>
      <c r="AR10" s="99"/>
      <c r="AS10" s="99"/>
      <c r="AT10" s="52">
        <v>0</v>
      </c>
      <c r="AU10" s="100"/>
      <c r="AV10" s="21">
        <v>0</v>
      </c>
    </row>
    <row r="11" spans="1:54" x14ac:dyDescent="0.3">
      <c r="A11" s="66" t="s">
        <v>3459</v>
      </c>
      <c r="B11" s="58">
        <v>6</v>
      </c>
      <c r="C11" s="58" t="s">
        <v>24</v>
      </c>
      <c r="D11" s="65">
        <v>531315</v>
      </c>
      <c r="E11" s="65" t="s">
        <v>42</v>
      </c>
      <c r="F11" s="65" t="s">
        <v>41</v>
      </c>
      <c r="G11" s="65" t="s">
        <v>40</v>
      </c>
      <c r="H11" s="65" t="s">
        <v>7</v>
      </c>
      <c r="I11" s="65" t="s">
        <v>39</v>
      </c>
      <c r="J11" s="65" t="s">
        <v>5</v>
      </c>
      <c r="K11" s="65" t="s">
        <v>38</v>
      </c>
      <c r="L11" s="64" t="s">
        <v>37</v>
      </c>
      <c r="M11" s="58" t="s">
        <v>3</v>
      </c>
      <c r="N11" s="58" t="s">
        <v>2</v>
      </c>
      <c r="O11" s="58">
        <v>90</v>
      </c>
      <c r="P11" s="58">
        <v>90</v>
      </c>
      <c r="Q11" s="58">
        <v>0</v>
      </c>
      <c r="R11" s="58">
        <v>0</v>
      </c>
      <c r="S11" s="58">
        <v>85</v>
      </c>
      <c r="T11" s="58">
        <v>0</v>
      </c>
      <c r="U11" s="58">
        <v>145</v>
      </c>
      <c r="V11" s="62">
        <v>204</v>
      </c>
      <c r="W11" s="62">
        <v>7</v>
      </c>
      <c r="X11" s="63">
        <f>IFERROR(1 -(Master[[#This Row],[Avg Garment Scans per Delivery]]/Master[[#This Row],[Garment Inventory]]), 0)</f>
        <v>0.96568627450980393</v>
      </c>
      <c r="Y11" s="62">
        <v>10</v>
      </c>
      <c r="Z11" s="62">
        <v>195</v>
      </c>
      <c r="AA11" s="53">
        <v>118.13591715976325</v>
      </c>
      <c r="AB11" s="53">
        <v>352.43792899408277</v>
      </c>
      <c r="AC11" s="53">
        <v>106.13686390532544</v>
      </c>
      <c r="AD11" s="53">
        <v>331.48621301775154</v>
      </c>
      <c r="AE11" s="53">
        <v>208.75</v>
      </c>
      <c r="AF11" s="53">
        <v>1082.8499999999999</v>
      </c>
      <c r="AG11" s="53">
        <v>86.041301775147943</v>
      </c>
      <c r="AH11" s="53">
        <v>304.89408284023676</v>
      </c>
      <c r="AI11" s="53">
        <v>235.28692307692302</v>
      </c>
      <c r="AJ11" s="53">
        <v>218.81153846153848</v>
      </c>
      <c r="AK11" s="53">
        <v>645.79999999999995</v>
      </c>
      <c r="AL11" s="53">
        <v>195.46769230769235</v>
      </c>
      <c r="AM11" s="61" t="s">
        <v>36</v>
      </c>
      <c r="AN11" s="60" t="s">
        <v>36</v>
      </c>
      <c r="AO11" s="60" t="s">
        <v>36</v>
      </c>
      <c r="AP11" s="60" t="s">
        <v>36</v>
      </c>
      <c r="AQ11" s="58" t="s">
        <v>0</v>
      </c>
      <c r="AR11" s="58"/>
      <c r="AS11" s="58"/>
      <c r="AT11" s="52">
        <v>0</v>
      </c>
      <c r="AU11" s="52" t="e">
        <f>IF(Master[[#This Row],[RSP StopTime override]] &lt;&gt; "",Master[[#This Row],[RSP StopTime override]],IF(Master[[#This Row],[Avg stop time helper]] &lt;&gt; 0, Master[[#This Row],[Avg stop time helper]],Average_Stop_Time))</f>
        <v>#DIV/0!</v>
      </c>
      <c r="AV11" s="21"/>
      <c r="AW11" s="20">
        <f>Master[[#This Row],[RSP StopTime override]]-Master[[#This Row],[Avg stop time helper]]</f>
        <v>0</v>
      </c>
    </row>
    <row r="12" spans="1:54" x14ac:dyDescent="0.3">
      <c r="A12" s="66" t="s">
        <v>4150</v>
      </c>
      <c r="B12" s="58">
        <v>6</v>
      </c>
      <c r="C12" s="58" t="s">
        <v>24</v>
      </c>
      <c r="D12" s="65">
        <v>99161</v>
      </c>
      <c r="E12" s="65" t="s">
        <v>3494</v>
      </c>
      <c r="F12" s="65" t="s">
        <v>3493</v>
      </c>
      <c r="G12" s="65" t="s">
        <v>3492</v>
      </c>
      <c r="H12" s="65" t="s">
        <v>7</v>
      </c>
      <c r="I12" s="65" t="s">
        <v>39</v>
      </c>
      <c r="J12" s="65" t="s">
        <v>5</v>
      </c>
      <c r="K12" s="65" t="s">
        <v>3203</v>
      </c>
      <c r="L12" s="64" t="s">
        <v>67</v>
      </c>
      <c r="M12" s="58" t="s">
        <v>3</v>
      </c>
      <c r="N12" s="58" t="s">
        <v>2</v>
      </c>
      <c r="O12" s="58">
        <v>1</v>
      </c>
      <c r="P12" s="58">
        <v>1</v>
      </c>
      <c r="Q12" s="58">
        <v>0</v>
      </c>
      <c r="R12" s="58">
        <v>0</v>
      </c>
      <c r="S12" s="58">
        <v>0</v>
      </c>
      <c r="T12" s="58">
        <v>0</v>
      </c>
      <c r="U12" s="58">
        <v>5</v>
      </c>
      <c r="V12" s="62"/>
      <c r="W12" s="62"/>
      <c r="X12" s="63">
        <f>IFERROR(1 -(Master[[#This Row],[Avg Garment Scans per Delivery]]/Master[[#This Row],[Garment Inventory]]), 0)</f>
        <v>0</v>
      </c>
      <c r="Y12" s="62"/>
      <c r="Z12" s="62"/>
      <c r="AA12" s="53">
        <v>223.24</v>
      </c>
      <c r="AB12" s="53">
        <v>223.24</v>
      </c>
      <c r="AC12" s="53">
        <v>257.94</v>
      </c>
      <c r="AD12" s="53">
        <v>257.94</v>
      </c>
      <c r="AE12" s="53" t="str">
        <f>_xlfn.XLOOKUP(Master[[#This Row],[cu_id]],'[1]Customer Revenue'!$Q:$Q,'[1]Customer Revenue'!$K:$K, "None")</f>
        <v>None</v>
      </c>
      <c r="AF12" s="53" t="str">
        <f>_xlfn.XLOOKUP(Master[[#This Row],[cu_id]],'[1]Customer Revenue'!$Q:$Q,'[1]Customer Revenue'!$L:$L, "None")</f>
        <v>None</v>
      </c>
      <c r="AG12" s="53">
        <v>223.24</v>
      </c>
      <c r="AH12" s="53">
        <v>223.24</v>
      </c>
      <c r="AI12" s="53">
        <v>223.24</v>
      </c>
      <c r="AJ12" s="53">
        <v>257.94</v>
      </c>
      <c r="AK12" s="53" t="str">
        <f>_xlfn.XLOOKUP(Master[[#This Row],[cu_id]],'[1]Customer Revenue'!$Q:$Q,'[1]Customer Revenue'!$I:$I, "None")</f>
        <v>None</v>
      </c>
      <c r="AL12" s="53">
        <v>223.24</v>
      </c>
      <c r="AM12" s="61">
        <v>0.25</v>
      </c>
      <c r="AN12" s="60">
        <v>0.5</v>
      </c>
      <c r="AO12" s="60" t="s">
        <v>36</v>
      </c>
      <c r="AP12" s="60" t="s">
        <v>36</v>
      </c>
      <c r="AQ12" s="58" t="s">
        <v>0</v>
      </c>
      <c r="AR12" s="58"/>
      <c r="AS12" s="58"/>
      <c r="AT12" s="52">
        <v>0</v>
      </c>
      <c r="AU12" s="52" t="e">
        <f>IF(Master[[#This Row],[RSP StopTime override]] &lt;&gt; "",Master[[#This Row],[RSP StopTime override]],IF(Master[[#This Row],[Avg stop time helper]] &lt;&gt; 0, Master[[#This Row],[Avg stop time helper]],Average_Stop_Time))</f>
        <v>#DIV/0!</v>
      </c>
      <c r="AV12" s="21"/>
      <c r="AW12" s="20">
        <f>Master[[#This Row],[RSP StopTime override]]-Master[[#This Row],[Avg stop time helper]]</f>
        <v>0</v>
      </c>
    </row>
    <row r="13" spans="1:54" x14ac:dyDescent="0.3">
      <c r="A13" s="66" t="s">
        <v>4151</v>
      </c>
      <c r="B13" s="58">
        <v>6</v>
      </c>
      <c r="C13" s="58" t="s">
        <v>24</v>
      </c>
      <c r="D13" s="65">
        <v>513658</v>
      </c>
      <c r="E13" s="65" t="s">
        <v>42</v>
      </c>
      <c r="F13" s="65" t="s">
        <v>3491</v>
      </c>
      <c r="G13" s="65" t="s">
        <v>3490</v>
      </c>
      <c r="H13" s="65" t="s">
        <v>32</v>
      </c>
      <c r="I13" s="65" t="s">
        <v>50</v>
      </c>
      <c r="J13" s="65" t="s">
        <v>5</v>
      </c>
      <c r="K13" s="65" t="s">
        <v>30</v>
      </c>
      <c r="L13" s="64" t="s">
        <v>77</v>
      </c>
      <c r="M13" s="58" t="s">
        <v>29</v>
      </c>
      <c r="N13" s="58" t="s">
        <v>2</v>
      </c>
      <c r="O13" s="58">
        <v>130</v>
      </c>
      <c r="P13" s="58">
        <v>130</v>
      </c>
      <c r="Q13" s="58">
        <v>0</v>
      </c>
      <c r="R13" s="58">
        <v>0</v>
      </c>
      <c r="S13" s="58">
        <v>0</v>
      </c>
      <c r="T13" s="58">
        <v>0</v>
      </c>
      <c r="U13" s="58">
        <v>26</v>
      </c>
      <c r="V13" s="62"/>
      <c r="W13" s="62"/>
      <c r="X13" s="63">
        <f>IFERROR(1 -(Master[[#This Row],[Avg Garment Scans per Delivery]]/Master[[#This Row],[Garment Inventory]]), 0)</f>
        <v>0</v>
      </c>
      <c r="Y13" s="62"/>
      <c r="Z13" s="62"/>
      <c r="AA13" s="53">
        <v>118.06</v>
      </c>
      <c r="AB13" s="53">
        <v>119.30999999999997</v>
      </c>
      <c r="AC13" s="53">
        <v>120.20489795918368</v>
      </c>
      <c r="AD13" s="53">
        <v>122.57224489795919</v>
      </c>
      <c r="AE13" s="53" t="str">
        <f>_xlfn.XLOOKUP(Master[[#This Row],[cu_id]],'[1]Customer Revenue'!$Q:$Q,'[1]Customer Revenue'!$K:$K, "None")</f>
        <v>None</v>
      </c>
      <c r="AF13" s="53" t="str">
        <f>_xlfn.XLOOKUP(Master[[#This Row],[cu_id]],'[1]Customer Revenue'!$Q:$Q,'[1]Customer Revenue'!$L:$L, "None")</f>
        <v>None</v>
      </c>
      <c r="AG13" s="53">
        <v>118.16355029585799</v>
      </c>
      <c r="AH13" s="53">
        <v>118.80260355029577</v>
      </c>
      <c r="AI13" s="53">
        <v>118.68499999999999</v>
      </c>
      <c r="AJ13" s="53">
        <v>121.38857142857144</v>
      </c>
      <c r="AK13" s="53" t="str">
        <f>_xlfn.XLOOKUP(Master[[#This Row],[cu_id]],'[1]Customer Revenue'!$Q:$Q,'[1]Customer Revenue'!$I:$I, "None")</f>
        <v>None</v>
      </c>
      <c r="AL13" s="53">
        <v>118.48307692307688</v>
      </c>
      <c r="AM13" s="61">
        <v>0.375</v>
      </c>
      <c r="AN13" s="60">
        <v>0.625</v>
      </c>
      <c r="AO13" s="60" t="s">
        <v>36</v>
      </c>
      <c r="AP13" s="60" t="s">
        <v>36</v>
      </c>
      <c r="AQ13" s="58" t="s">
        <v>0</v>
      </c>
      <c r="AR13" s="58"/>
      <c r="AS13" s="58"/>
      <c r="AT13" s="52">
        <v>0</v>
      </c>
      <c r="AU13" s="52" t="e">
        <f>IF(Master[[#This Row],[RSP StopTime override]] &lt;&gt; "",Master[[#This Row],[RSP StopTime override]],IF(Master[[#This Row],[Avg stop time helper]] &lt;&gt; 0, Master[[#This Row],[Avg stop time helper]],Average_Stop_Time))</f>
        <v>#DIV/0!</v>
      </c>
      <c r="AV13" s="21"/>
      <c r="AW13" s="20">
        <f>Master[[#This Row],[RSP StopTime override]]-Master[[#This Row],[Avg stop time helper]]</f>
        <v>0</v>
      </c>
    </row>
    <row r="14" spans="1:54" x14ac:dyDescent="0.3">
      <c r="A14" s="66" t="s">
        <v>4152</v>
      </c>
      <c r="B14" s="58">
        <v>6</v>
      </c>
      <c r="C14" s="58" t="s">
        <v>24</v>
      </c>
      <c r="D14" s="65">
        <v>515738</v>
      </c>
      <c r="E14" s="65" t="s">
        <v>42</v>
      </c>
      <c r="F14" s="65" t="s">
        <v>3489</v>
      </c>
      <c r="G14" s="65" t="s">
        <v>3488</v>
      </c>
      <c r="H14" s="65" t="s">
        <v>32</v>
      </c>
      <c r="I14" s="65" t="s">
        <v>1216</v>
      </c>
      <c r="J14" s="65" t="s">
        <v>5</v>
      </c>
      <c r="K14" s="65" t="s">
        <v>30</v>
      </c>
      <c r="L14" s="64" t="s">
        <v>67</v>
      </c>
      <c r="M14" s="58" t="s">
        <v>3</v>
      </c>
      <c r="N14" s="58" t="s">
        <v>2</v>
      </c>
      <c r="O14" s="58">
        <v>145</v>
      </c>
      <c r="P14" s="58">
        <v>145</v>
      </c>
      <c r="Q14" s="58">
        <v>0</v>
      </c>
      <c r="R14" s="58">
        <v>0</v>
      </c>
      <c r="S14" s="58">
        <v>0</v>
      </c>
      <c r="T14" s="58">
        <v>0</v>
      </c>
      <c r="U14" s="58">
        <v>48</v>
      </c>
      <c r="V14" s="62">
        <v>35</v>
      </c>
      <c r="W14" s="62">
        <v>8</v>
      </c>
      <c r="X14" s="63">
        <f>IFERROR(1 -(Master[[#This Row],[Avg Garment Scans per Delivery]]/Master[[#This Row],[Garment Inventory]]), 0)</f>
        <v>0.77142857142857146</v>
      </c>
      <c r="Y14" s="62">
        <v>2</v>
      </c>
      <c r="Z14" s="62">
        <v>37</v>
      </c>
      <c r="AA14" s="53">
        <v>35</v>
      </c>
      <c r="AB14" s="53">
        <v>35</v>
      </c>
      <c r="AC14" s="53">
        <v>34.695857988165677</v>
      </c>
      <c r="AD14" s="53">
        <v>36.88568047337278</v>
      </c>
      <c r="AE14" s="53" t="str">
        <f>_xlfn.XLOOKUP(Master[[#This Row],[cu_id]],'[1]Customer Revenue'!$Q:$Q,'[1]Customer Revenue'!$K:$K, "None")</f>
        <v>None</v>
      </c>
      <c r="AF14" s="53" t="str">
        <f>_xlfn.XLOOKUP(Master[[#This Row],[cu_id]],'[1]Customer Revenue'!$Q:$Q,'[1]Customer Revenue'!$L:$L, "None")</f>
        <v>None</v>
      </c>
      <c r="AG14" s="53">
        <v>29.652777777777786</v>
      </c>
      <c r="AH14" s="53">
        <v>40.347222222222214</v>
      </c>
      <c r="AI14" s="53">
        <v>35</v>
      </c>
      <c r="AJ14" s="53">
        <v>35.790769230769229</v>
      </c>
      <c r="AK14" s="53" t="str">
        <f>_xlfn.XLOOKUP(Master[[#This Row],[cu_id]],'[1]Customer Revenue'!$Q:$Q,'[1]Customer Revenue'!$I:$I, "None")</f>
        <v>None</v>
      </c>
      <c r="AL14" s="53">
        <v>35</v>
      </c>
      <c r="AM14" s="61">
        <v>0.33333333333333331</v>
      </c>
      <c r="AN14" s="60">
        <v>0.79166666666666663</v>
      </c>
      <c r="AO14" s="60" t="s">
        <v>36</v>
      </c>
      <c r="AP14" s="60" t="s">
        <v>36</v>
      </c>
      <c r="AQ14" s="58" t="s">
        <v>0</v>
      </c>
      <c r="AR14" s="58"/>
      <c r="AS14" s="58"/>
      <c r="AT14" s="52">
        <v>0</v>
      </c>
      <c r="AU14" s="52" t="e">
        <f>IF(Master[[#This Row],[RSP StopTime override]] &lt;&gt; "",Master[[#This Row],[RSP StopTime override]],IF(Master[[#This Row],[Avg stop time helper]] &lt;&gt; 0, Master[[#This Row],[Avg stop time helper]],Average_Stop_Time))</f>
        <v>#DIV/0!</v>
      </c>
      <c r="AV14" s="21"/>
      <c r="AW14" s="20">
        <f>Master[[#This Row],[RSP StopTime override]]-Master[[#This Row],[Avg stop time helper]]</f>
        <v>0</v>
      </c>
    </row>
    <row r="15" spans="1:54" x14ac:dyDescent="0.3">
      <c r="A15" s="66" t="s">
        <v>4153</v>
      </c>
      <c r="B15" s="58">
        <v>6</v>
      </c>
      <c r="C15" s="58" t="s">
        <v>24</v>
      </c>
      <c r="D15" s="65">
        <v>518352</v>
      </c>
      <c r="E15" s="65" t="s">
        <v>42</v>
      </c>
      <c r="F15" s="65" t="s">
        <v>3487</v>
      </c>
      <c r="G15" s="65" t="s">
        <v>3486</v>
      </c>
      <c r="H15" s="65" t="s">
        <v>32</v>
      </c>
      <c r="I15" s="65" t="s">
        <v>3224</v>
      </c>
      <c r="J15" s="65" t="s">
        <v>5</v>
      </c>
      <c r="K15" s="65" t="s">
        <v>3485</v>
      </c>
      <c r="L15" s="64" t="s">
        <v>67</v>
      </c>
      <c r="M15" s="58" t="s">
        <v>3</v>
      </c>
      <c r="N15" s="58" t="s">
        <v>2</v>
      </c>
      <c r="O15" s="58">
        <v>70</v>
      </c>
      <c r="P15" s="58">
        <v>70</v>
      </c>
      <c r="Q15" s="58">
        <v>0</v>
      </c>
      <c r="R15" s="58">
        <v>0</v>
      </c>
      <c r="S15" s="58">
        <v>0</v>
      </c>
      <c r="T15" s="58">
        <v>0</v>
      </c>
      <c r="U15" s="58">
        <v>52</v>
      </c>
      <c r="V15" s="62"/>
      <c r="W15" s="62"/>
      <c r="X15" s="63">
        <f>IFERROR(1 -(Master[[#This Row],[Avg Garment Scans per Delivery]]/Master[[#This Row],[Garment Inventory]]), 0)</f>
        <v>0</v>
      </c>
      <c r="Y15" s="62"/>
      <c r="Z15" s="62"/>
      <c r="AA15" s="53">
        <v>130.06408284023667</v>
      </c>
      <c r="AB15" s="53">
        <v>133.99284023668639</v>
      </c>
      <c r="AC15" s="53">
        <v>134.4779881656805</v>
      </c>
      <c r="AD15" s="53">
        <v>142.93431952662726</v>
      </c>
      <c r="AE15" s="53" t="str">
        <f>_xlfn.XLOOKUP(Master[[#This Row],[cu_id]],'[1]Customer Revenue'!$Q:$Q,'[1]Customer Revenue'!$K:$K, "None")</f>
        <v>None</v>
      </c>
      <c r="AF15" s="53" t="str">
        <f>_xlfn.XLOOKUP(Master[[#This Row],[cu_id]],'[1]Customer Revenue'!$Q:$Q,'[1]Customer Revenue'!$L:$L, "None")</f>
        <v>None</v>
      </c>
      <c r="AG15" s="53">
        <v>122.39745562130186</v>
      </c>
      <c r="AH15" s="53">
        <v>133.27946745562136</v>
      </c>
      <c r="AI15" s="53">
        <v>132.02846153846153</v>
      </c>
      <c r="AJ15" s="53">
        <v>138.70615384615388</v>
      </c>
      <c r="AK15" s="53" t="str">
        <f>_xlfn.XLOOKUP(Master[[#This Row],[cu_id]],'[1]Customer Revenue'!$Q:$Q,'[1]Customer Revenue'!$I:$I, "None")</f>
        <v>None</v>
      </c>
      <c r="AL15" s="53">
        <v>127.83846153846162</v>
      </c>
      <c r="AM15" s="61">
        <v>0.375</v>
      </c>
      <c r="AN15" s="60">
        <v>0.70833333333333337</v>
      </c>
      <c r="AO15" s="60" t="s">
        <v>36</v>
      </c>
      <c r="AP15" s="60" t="s">
        <v>36</v>
      </c>
      <c r="AQ15" s="58" t="s">
        <v>0</v>
      </c>
      <c r="AR15" s="58"/>
      <c r="AS15" s="58"/>
      <c r="AT15" s="52">
        <v>0</v>
      </c>
      <c r="AU15" s="52" t="e">
        <f>IF(Master[[#This Row],[RSP StopTime override]] &lt;&gt; "",Master[[#This Row],[RSP StopTime override]],IF(Master[[#This Row],[Avg stop time helper]] &lt;&gt; 0, Master[[#This Row],[Avg stop time helper]],Average_Stop_Time))</f>
        <v>#DIV/0!</v>
      </c>
      <c r="AV15" s="21"/>
      <c r="AW15" s="20">
        <f>Master[[#This Row],[RSP StopTime override]]-Master[[#This Row],[Avg stop time helper]]</f>
        <v>0</v>
      </c>
    </row>
    <row r="16" spans="1:54" x14ac:dyDescent="0.3">
      <c r="A16" s="66" t="s">
        <v>4154</v>
      </c>
      <c r="B16" s="58">
        <v>6</v>
      </c>
      <c r="C16" s="58" t="s">
        <v>24</v>
      </c>
      <c r="D16" s="65">
        <v>518392</v>
      </c>
      <c r="E16" s="65" t="s">
        <v>42</v>
      </c>
      <c r="F16" s="65" t="s">
        <v>3484</v>
      </c>
      <c r="G16" s="65" t="s">
        <v>3483</v>
      </c>
      <c r="H16" s="65" t="s">
        <v>32</v>
      </c>
      <c r="I16" s="65" t="s">
        <v>3224</v>
      </c>
      <c r="J16" s="65" t="s">
        <v>5</v>
      </c>
      <c r="K16" s="65" t="s">
        <v>38</v>
      </c>
      <c r="L16" s="64" t="s">
        <v>67</v>
      </c>
      <c r="M16" s="58" t="s">
        <v>3</v>
      </c>
      <c r="N16" s="58" t="s">
        <v>2</v>
      </c>
      <c r="O16" s="58">
        <v>15</v>
      </c>
      <c r="P16" s="58">
        <v>15</v>
      </c>
      <c r="Q16" s="58">
        <v>0</v>
      </c>
      <c r="R16" s="58">
        <v>0</v>
      </c>
      <c r="S16" s="58">
        <v>0</v>
      </c>
      <c r="T16" s="58">
        <v>0</v>
      </c>
      <c r="U16" s="58">
        <v>55</v>
      </c>
      <c r="V16" s="62">
        <v>66</v>
      </c>
      <c r="W16" s="62">
        <v>21</v>
      </c>
      <c r="X16" s="63">
        <f>IFERROR(1 -(Master[[#This Row],[Avg Garment Scans per Delivery]]/Master[[#This Row],[Garment Inventory]]), 0)</f>
        <v>0.68181818181818188</v>
      </c>
      <c r="Y16" s="62">
        <v>4</v>
      </c>
      <c r="Z16" s="62">
        <v>68</v>
      </c>
      <c r="AA16" s="53">
        <v>110.29059171597632</v>
      </c>
      <c r="AB16" s="53">
        <v>180.87402366863901</v>
      </c>
      <c r="AC16" s="53">
        <v>146.04011834319527</v>
      </c>
      <c r="AD16" s="53">
        <v>182.85218934911245</v>
      </c>
      <c r="AE16" s="53" t="str">
        <f>_xlfn.XLOOKUP(Master[[#This Row],[cu_id]],'[1]Customer Revenue'!$Q:$Q,'[1]Customer Revenue'!$K:$K, "None")</f>
        <v>None</v>
      </c>
      <c r="AF16" s="53" t="str">
        <f>_xlfn.XLOOKUP(Master[[#This Row],[cu_id]],'[1]Customer Revenue'!$Q:$Q,'[1]Customer Revenue'!$L:$L, "None")</f>
        <v>None</v>
      </c>
      <c r="AG16" s="53">
        <v>101.54499999999996</v>
      </c>
      <c r="AH16" s="53">
        <v>177.59428571428566</v>
      </c>
      <c r="AI16" s="53">
        <v>145.58230769230767</v>
      </c>
      <c r="AJ16" s="53">
        <v>164.44615384615386</v>
      </c>
      <c r="AK16" s="53" t="str">
        <f>_xlfn.XLOOKUP(Master[[#This Row],[cu_id]],'[1]Customer Revenue'!$Q:$Q,'[1]Customer Revenue'!$I:$I, "None")</f>
        <v>None</v>
      </c>
      <c r="AL16" s="53">
        <v>139.56964285714281</v>
      </c>
      <c r="AM16" s="61">
        <v>0.20833333333333334</v>
      </c>
      <c r="AN16" s="60">
        <v>0.79166666666666663</v>
      </c>
      <c r="AO16" s="60" t="s">
        <v>36</v>
      </c>
      <c r="AP16" s="60" t="s">
        <v>36</v>
      </c>
      <c r="AQ16" s="58" t="s">
        <v>0</v>
      </c>
      <c r="AR16" s="58"/>
      <c r="AS16" s="58"/>
      <c r="AT16" s="52">
        <v>0</v>
      </c>
      <c r="AU16" s="52" t="e">
        <f>IF(Master[[#This Row],[RSP StopTime override]] &lt;&gt; "",Master[[#This Row],[RSP StopTime override]],IF(Master[[#This Row],[Avg stop time helper]] &lt;&gt; 0, Master[[#This Row],[Avg stop time helper]],Average_Stop_Time))</f>
        <v>#DIV/0!</v>
      </c>
      <c r="AV16" s="21"/>
      <c r="AW16" s="20">
        <f>Master[[#This Row],[RSP StopTime override]]-Master[[#This Row],[Avg stop time helper]]</f>
        <v>0</v>
      </c>
    </row>
    <row r="17" spans="1:49" x14ac:dyDescent="0.3">
      <c r="A17" s="66" t="s">
        <v>4155</v>
      </c>
      <c r="B17" s="58">
        <v>6</v>
      </c>
      <c r="C17" s="58" t="s">
        <v>24</v>
      </c>
      <c r="D17" s="65">
        <v>521059</v>
      </c>
      <c r="E17" s="65" t="s">
        <v>42</v>
      </c>
      <c r="F17" s="65" t="s">
        <v>3482</v>
      </c>
      <c r="G17" s="65" t="s">
        <v>3481</v>
      </c>
      <c r="H17" s="65" t="s">
        <v>32</v>
      </c>
      <c r="I17" s="65" t="s">
        <v>3224</v>
      </c>
      <c r="J17" s="65" t="s">
        <v>5</v>
      </c>
      <c r="K17" s="65" t="s">
        <v>3203</v>
      </c>
      <c r="L17" s="64" t="s">
        <v>67</v>
      </c>
      <c r="M17" s="58" t="s">
        <v>3</v>
      </c>
      <c r="N17" s="58" t="s">
        <v>2</v>
      </c>
      <c r="O17" s="58">
        <v>25</v>
      </c>
      <c r="P17" s="58">
        <v>25</v>
      </c>
      <c r="Q17" s="58">
        <v>0</v>
      </c>
      <c r="R17" s="58">
        <v>0</v>
      </c>
      <c r="S17" s="58">
        <v>0</v>
      </c>
      <c r="T17" s="58">
        <v>0</v>
      </c>
      <c r="U17" s="58">
        <v>51</v>
      </c>
      <c r="V17" s="62"/>
      <c r="W17" s="62"/>
      <c r="X17" s="63">
        <f>IFERROR(1 -(Master[[#This Row],[Avg Garment Scans per Delivery]]/Master[[#This Row],[Garment Inventory]]), 0)</f>
        <v>0</v>
      </c>
      <c r="Y17" s="62"/>
      <c r="Z17" s="62"/>
      <c r="AA17" s="53">
        <v>129.35733727810648</v>
      </c>
      <c r="AB17" s="53">
        <v>134.69343195266273</v>
      </c>
      <c r="AC17" s="53">
        <v>142.30816568047339</v>
      </c>
      <c r="AD17" s="53">
        <v>147.83952662721896</v>
      </c>
      <c r="AE17" s="53" t="str">
        <f>_xlfn.XLOOKUP(Master[[#This Row],[cu_id]],'[1]Customer Revenue'!$Q:$Q,'[1]Customer Revenue'!$K:$K, "None")</f>
        <v>None</v>
      </c>
      <c r="AF17" s="53" t="str">
        <f>_xlfn.XLOOKUP(Master[[#This Row],[cu_id]],'[1]Customer Revenue'!$Q:$Q,'[1]Customer Revenue'!$L:$L, "None")</f>
        <v>None</v>
      </c>
      <c r="AG17" s="53">
        <v>122.01851242603544</v>
      </c>
      <c r="AH17" s="53">
        <v>141.51028757396449</v>
      </c>
      <c r="AI17" s="53">
        <v>132.02538461538461</v>
      </c>
      <c r="AJ17" s="53">
        <v>145.07384615384618</v>
      </c>
      <c r="AK17" s="53" t="str">
        <f>_xlfn.XLOOKUP(Master[[#This Row],[cu_id]],'[1]Customer Revenue'!$Q:$Q,'[1]Customer Revenue'!$I:$I, "None")</f>
        <v>None</v>
      </c>
      <c r="AL17" s="53">
        <v>131.76439999999997</v>
      </c>
      <c r="AM17" s="61">
        <v>0.29166666666666669</v>
      </c>
      <c r="AN17" s="60">
        <v>0.70833333333333337</v>
      </c>
      <c r="AO17" s="60" t="s">
        <v>36</v>
      </c>
      <c r="AP17" s="60" t="s">
        <v>36</v>
      </c>
      <c r="AQ17" s="58" t="s">
        <v>0</v>
      </c>
      <c r="AR17" s="58"/>
      <c r="AS17" s="58"/>
      <c r="AT17" s="52">
        <v>0</v>
      </c>
      <c r="AU17" s="52" t="e">
        <f>IF(Master[[#This Row],[RSP StopTime override]] &lt;&gt; "",Master[[#This Row],[RSP StopTime override]],IF(Master[[#This Row],[Avg stop time helper]] &lt;&gt; 0, Master[[#This Row],[Avg stop time helper]],Average_Stop_Time))</f>
        <v>#DIV/0!</v>
      </c>
      <c r="AV17" s="21"/>
      <c r="AW17" s="20">
        <f>Master[[#This Row],[RSP StopTime override]]-Master[[#This Row],[Avg stop time helper]]</f>
        <v>0</v>
      </c>
    </row>
    <row r="18" spans="1:49" x14ac:dyDescent="0.3">
      <c r="A18" s="66" t="s">
        <v>4156</v>
      </c>
      <c r="B18" s="58">
        <v>6</v>
      </c>
      <c r="C18" s="58" t="s">
        <v>24</v>
      </c>
      <c r="D18" s="65">
        <v>521344</v>
      </c>
      <c r="E18" s="65" t="s">
        <v>42</v>
      </c>
      <c r="F18" s="65" t="s">
        <v>3480</v>
      </c>
      <c r="G18" s="65" t="s">
        <v>3479</v>
      </c>
      <c r="H18" s="65" t="s">
        <v>32</v>
      </c>
      <c r="I18" s="65" t="s">
        <v>3224</v>
      </c>
      <c r="J18" s="65" t="s">
        <v>5</v>
      </c>
      <c r="K18" s="65" t="s">
        <v>3478</v>
      </c>
      <c r="L18" s="64" t="s">
        <v>67</v>
      </c>
      <c r="M18" s="58" t="s">
        <v>3</v>
      </c>
      <c r="N18" s="58" t="s">
        <v>2</v>
      </c>
      <c r="O18" s="58">
        <v>5</v>
      </c>
      <c r="P18" s="58">
        <v>5</v>
      </c>
      <c r="Q18" s="58">
        <v>0</v>
      </c>
      <c r="R18" s="58">
        <v>0</v>
      </c>
      <c r="S18" s="58">
        <v>0</v>
      </c>
      <c r="T18" s="58">
        <v>0</v>
      </c>
      <c r="U18" s="58">
        <v>53</v>
      </c>
      <c r="V18" s="62"/>
      <c r="W18" s="62"/>
      <c r="X18" s="63">
        <f>IFERROR(1 -(Master[[#This Row],[Avg Garment Scans per Delivery]]/Master[[#This Row],[Garment Inventory]]), 0)</f>
        <v>0</v>
      </c>
      <c r="Y18" s="62"/>
      <c r="Z18" s="62"/>
      <c r="AA18" s="53">
        <v>110.28571428571428</v>
      </c>
      <c r="AB18" s="53">
        <v>139.20571428571429</v>
      </c>
      <c r="AC18" s="53">
        <v>125.24775147928993</v>
      </c>
      <c r="AD18" s="53">
        <v>140.0337869822485</v>
      </c>
      <c r="AE18" s="53" t="str">
        <f>_xlfn.XLOOKUP(Master[[#This Row],[cu_id]],'[1]Customer Revenue'!$Q:$Q,'[1]Customer Revenue'!$K:$K, "None")</f>
        <v>None</v>
      </c>
      <c r="AF18" s="53" t="str">
        <f>_xlfn.XLOOKUP(Master[[#This Row],[cu_id]],'[1]Customer Revenue'!$Q:$Q,'[1]Customer Revenue'!$L:$L, "None")</f>
        <v>None</v>
      </c>
      <c r="AG18" s="53">
        <v>105.97302197560222</v>
      </c>
      <c r="AH18" s="53">
        <v>149.94771876513852</v>
      </c>
      <c r="AI18" s="53">
        <v>124.74571428571429</v>
      </c>
      <c r="AJ18" s="53">
        <v>132.64076923076922</v>
      </c>
      <c r="AK18" s="53" t="str">
        <f>_xlfn.XLOOKUP(Master[[#This Row],[cu_id]],'[1]Customer Revenue'!$Q:$Q,'[1]Customer Revenue'!$I:$I, "None")</f>
        <v>None</v>
      </c>
      <c r="AL18" s="53">
        <v>127.96037037037037</v>
      </c>
      <c r="AM18" s="61">
        <v>0.3125</v>
      </c>
      <c r="AN18" s="60">
        <v>0.66666666666666663</v>
      </c>
      <c r="AO18" s="60" t="s">
        <v>36</v>
      </c>
      <c r="AP18" s="60" t="s">
        <v>36</v>
      </c>
      <c r="AQ18" s="58" t="s">
        <v>0</v>
      </c>
      <c r="AR18" s="58"/>
      <c r="AS18" s="58"/>
      <c r="AT18" s="52">
        <v>0</v>
      </c>
      <c r="AU18" s="52" t="e">
        <f>IF(Master[[#This Row],[RSP StopTime override]] &lt;&gt; "",Master[[#This Row],[RSP StopTime override]],IF(Master[[#This Row],[Avg stop time helper]] &lt;&gt; 0, Master[[#This Row],[Avg stop time helper]],Average_Stop_Time))</f>
        <v>#DIV/0!</v>
      </c>
      <c r="AV18" s="21"/>
      <c r="AW18" s="20">
        <f>Master[[#This Row],[RSP StopTime override]]-Master[[#This Row],[Avg stop time helper]]</f>
        <v>0</v>
      </c>
    </row>
    <row r="19" spans="1:49" x14ac:dyDescent="0.3">
      <c r="A19" s="66" t="s">
        <v>4157</v>
      </c>
      <c r="B19" s="58">
        <v>6</v>
      </c>
      <c r="C19" s="58" t="s">
        <v>24</v>
      </c>
      <c r="D19" s="65">
        <v>521637</v>
      </c>
      <c r="E19" s="65" t="s">
        <v>42</v>
      </c>
      <c r="F19" s="65" t="s">
        <v>3563</v>
      </c>
      <c r="G19" s="65" t="s">
        <v>3477</v>
      </c>
      <c r="H19" s="65" t="s">
        <v>32</v>
      </c>
      <c r="I19" s="65" t="s">
        <v>3224</v>
      </c>
      <c r="J19" s="65" t="s">
        <v>5</v>
      </c>
      <c r="K19" s="65" t="s">
        <v>38</v>
      </c>
      <c r="L19" s="64" t="s">
        <v>91</v>
      </c>
      <c r="M19" s="58" t="s">
        <v>90</v>
      </c>
      <c r="N19" s="58" t="s">
        <v>2</v>
      </c>
      <c r="O19" s="58">
        <v>113</v>
      </c>
      <c r="P19" s="58">
        <v>113</v>
      </c>
      <c r="Q19" s="58">
        <v>0</v>
      </c>
      <c r="R19" s="58">
        <v>0</v>
      </c>
      <c r="S19" s="58">
        <v>0</v>
      </c>
      <c r="T19" s="58">
        <v>0</v>
      </c>
      <c r="U19" s="58">
        <v>30</v>
      </c>
      <c r="V19" s="62"/>
      <c r="W19" s="62"/>
      <c r="X19" s="63">
        <f>IFERROR(1 -(Master[[#This Row],[Avg Garment Scans per Delivery]]/Master[[#This Row],[Garment Inventory]]), 0)</f>
        <v>0</v>
      </c>
      <c r="Y19" s="62"/>
      <c r="Z19" s="62"/>
      <c r="AA19" s="53">
        <v>45.655714285714282</v>
      </c>
      <c r="AB19" s="53">
        <v>115.16428571428571</v>
      </c>
      <c r="AC19" s="53">
        <v>49.999999999999986</v>
      </c>
      <c r="AD19" s="53">
        <v>119.06666666666665</v>
      </c>
      <c r="AE19" s="53" t="str">
        <f>_xlfn.XLOOKUP(Master[[#This Row],[cu_id]],'[1]Customer Revenue'!$Q:$Q,'[1]Customer Revenue'!$K:$K, "None")</f>
        <v>None</v>
      </c>
      <c r="AF19" s="53" t="str">
        <f>_xlfn.XLOOKUP(Master[[#This Row],[cu_id]],'[1]Customer Revenue'!$Q:$Q,'[1]Customer Revenue'!$L:$L, "None")</f>
        <v>None</v>
      </c>
      <c r="AG19" s="53">
        <v>47.938402366863912</v>
      </c>
      <c r="AH19" s="53">
        <v>105.66313609467456</v>
      </c>
      <c r="AI19" s="53">
        <v>80.41</v>
      </c>
      <c r="AJ19" s="53">
        <v>84.533333333333317</v>
      </c>
      <c r="AK19" s="53" t="str">
        <f>_xlfn.XLOOKUP(Master[[#This Row],[cu_id]],'[1]Customer Revenue'!$Q:$Q,'[1]Customer Revenue'!$I:$I, "None")</f>
        <v>None</v>
      </c>
      <c r="AL19" s="53">
        <v>76.800769230769234</v>
      </c>
      <c r="AM19" s="61">
        <v>0.375</v>
      </c>
      <c r="AN19" s="60">
        <v>0.70833333333333337</v>
      </c>
      <c r="AO19" s="60" t="s">
        <v>36</v>
      </c>
      <c r="AP19" s="60" t="s">
        <v>36</v>
      </c>
      <c r="AQ19" s="58" t="s">
        <v>0</v>
      </c>
      <c r="AR19" s="58"/>
      <c r="AS19" s="58"/>
      <c r="AT19" s="52">
        <v>0</v>
      </c>
      <c r="AU19" s="52" t="e">
        <f>IF(Master[[#This Row],[RSP StopTime override]] &lt;&gt; "",Master[[#This Row],[RSP StopTime override]],IF(Master[[#This Row],[Avg stop time helper]] &lt;&gt; 0, Master[[#This Row],[Avg stop time helper]],Average_Stop_Time))</f>
        <v>#DIV/0!</v>
      </c>
      <c r="AV19" s="21"/>
      <c r="AW19" s="20">
        <f>Master[[#This Row],[RSP StopTime override]]-Master[[#This Row],[Avg stop time helper]]</f>
        <v>0</v>
      </c>
    </row>
    <row r="20" spans="1:49" x14ac:dyDescent="0.3">
      <c r="A20" s="66" t="s">
        <v>4158</v>
      </c>
      <c r="B20" s="58">
        <v>6</v>
      </c>
      <c r="C20" s="58" t="s">
        <v>24</v>
      </c>
      <c r="D20" s="65">
        <v>522456</v>
      </c>
      <c r="E20" s="65" t="s">
        <v>42</v>
      </c>
      <c r="F20" s="65" t="s">
        <v>3476</v>
      </c>
      <c r="G20" s="65" t="s">
        <v>3474</v>
      </c>
      <c r="H20" s="65" t="s">
        <v>32</v>
      </c>
      <c r="I20" s="65" t="s">
        <v>3224</v>
      </c>
      <c r="J20" s="65" t="s">
        <v>5</v>
      </c>
      <c r="K20" s="65" t="s">
        <v>38</v>
      </c>
      <c r="L20" s="64" t="s">
        <v>67</v>
      </c>
      <c r="M20" s="58" t="s">
        <v>3</v>
      </c>
      <c r="N20" s="58" t="s">
        <v>2</v>
      </c>
      <c r="O20" s="58">
        <v>100</v>
      </c>
      <c r="P20" s="58">
        <v>100</v>
      </c>
      <c r="Q20" s="58">
        <v>0</v>
      </c>
      <c r="R20" s="58">
        <v>0</v>
      </c>
      <c r="S20" s="58">
        <v>0</v>
      </c>
      <c r="T20" s="58">
        <v>0</v>
      </c>
      <c r="U20" s="58">
        <v>60</v>
      </c>
      <c r="V20" s="62"/>
      <c r="W20" s="62"/>
      <c r="X20" s="63">
        <f>IFERROR(1 -(Master[[#This Row],[Avg Garment Scans per Delivery]]/Master[[#This Row],[Garment Inventory]]), 0)</f>
        <v>0</v>
      </c>
      <c r="Y20" s="62"/>
      <c r="Z20" s="62"/>
      <c r="AA20" s="53">
        <v>658.80396190476188</v>
      </c>
      <c r="AB20" s="53">
        <v>1036.5788952380954</v>
      </c>
      <c r="AC20" s="53">
        <v>359.74395000000004</v>
      </c>
      <c r="AD20" s="53">
        <v>1041.7490500000001</v>
      </c>
      <c r="AE20" s="53" t="str">
        <f>_xlfn.XLOOKUP(Master[[#This Row],[cu_id]],'[1]Customer Revenue'!$Q:$Q,'[1]Customer Revenue'!$K:$K, "None")</f>
        <v>None</v>
      </c>
      <c r="AF20" s="53" t="str">
        <f>_xlfn.XLOOKUP(Master[[#This Row],[cu_id]],'[1]Customer Revenue'!$Q:$Q,'[1]Customer Revenue'!$L:$L, "None")</f>
        <v>None</v>
      </c>
      <c r="AG20" s="53">
        <v>727.41907429427044</v>
      </c>
      <c r="AH20" s="53">
        <v>1055.0816664464703</v>
      </c>
      <c r="AI20" s="53">
        <v>847.69142857142856</v>
      </c>
      <c r="AJ20" s="53">
        <v>700.74650000000008</v>
      </c>
      <c r="AK20" s="53" t="str">
        <f>_xlfn.XLOOKUP(Master[[#This Row],[cu_id]],'[1]Customer Revenue'!$Q:$Q,'[1]Customer Revenue'!$I:$I, "None")</f>
        <v>None</v>
      </c>
      <c r="AL20" s="53">
        <v>891.25037037037032</v>
      </c>
      <c r="AM20" s="61">
        <v>0.375</v>
      </c>
      <c r="AN20" s="60">
        <v>0.70833333333333337</v>
      </c>
      <c r="AO20" s="60" t="s">
        <v>36</v>
      </c>
      <c r="AP20" s="60" t="s">
        <v>36</v>
      </c>
      <c r="AQ20" s="58" t="s">
        <v>24</v>
      </c>
      <c r="AR20" s="58"/>
      <c r="AS20" s="58"/>
      <c r="AT20" s="52">
        <v>0</v>
      </c>
      <c r="AU20" s="52" t="e">
        <f>IF(Master[[#This Row],[RSP StopTime override]] &lt;&gt; "",Master[[#This Row],[RSP StopTime override]],IF(Master[[#This Row],[Avg stop time helper]] &lt;&gt; 0, Master[[#This Row],[Avg stop time helper]],Average_Stop_Time))</f>
        <v>#DIV/0!</v>
      </c>
      <c r="AV20" s="21"/>
      <c r="AW20" s="20">
        <f>Master[[#This Row],[RSP StopTime override]]-Master[[#This Row],[Avg stop time helper]]</f>
        <v>0</v>
      </c>
    </row>
    <row r="21" spans="1:49" x14ac:dyDescent="0.3">
      <c r="A21" s="66" t="s">
        <v>4159</v>
      </c>
      <c r="B21" s="58">
        <v>6</v>
      </c>
      <c r="C21" s="58" t="s">
        <v>24</v>
      </c>
      <c r="D21" s="65">
        <v>522456</v>
      </c>
      <c r="E21" s="65" t="s">
        <v>686</v>
      </c>
      <c r="F21" s="65" t="s">
        <v>3475</v>
      </c>
      <c r="G21" s="65" t="s">
        <v>3474</v>
      </c>
      <c r="H21" s="65" t="s">
        <v>32</v>
      </c>
      <c r="I21" s="65" t="s">
        <v>3224</v>
      </c>
      <c r="J21" s="65" t="s">
        <v>5</v>
      </c>
      <c r="K21" s="65" t="s">
        <v>38</v>
      </c>
      <c r="L21" s="64" t="s">
        <v>67</v>
      </c>
      <c r="M21" s="58" t="s">
        <v>3</v>
      </c>
      <c r="N21" s="58" t="s">
        <v>2</v>
      </c>
      <c r="O21" s="58">
        <v>100</v>
      </c>
      <c r="P21" s="58">
        <v>100</v>
      </c>
      <c r="Q21" s="58">
        <v>0</v>
      </c>
      <c r="R21" s="58">
        <v>0</v>
      </c>
      <c r="S21" s="58">
        <v>0</v>
      </c>
      <c r="T21" s="58">
        <v>0</v>
      </c>
      <c r="U21" s="58">
        <v>51</v>
      </c>
      <c r="V21" s="62"/>
      <c r="W21" s="62"/>
      <c r="X21" s="63">
        <f>IFERROR(1 -(Master[[#This Row],[Avg Garment Scans per Delivery]]/Master[[#This Row],[Garment Inventory]]), 0)</f>
        <v>0</v>
      </c>
      <c r="Y21" s="62"/>
      <c r="Z21" s="62"/>
      <c r="AA21" s="53">
        <v>20</v>
      </c>
      <c r="AB21" s="53">
        <v>20</v>
      </c>
      <c r="AC21" s="53">
        <v>20</v>
      </c>
      <c r="AD21" s="53">
        <v>20</v>
      </c>
      <c r="AE21" s="53" t="str">
        <f>_xlfn.XLOOKUP(Master[[#This Row],[cu_id]],'[1]Customer Revenue'!$Q:$Q,'[1]Customer Revenue'!$K:$K, "None")</f>
        <v>None</v>
      </c>
      <c r="AF21" s="53" t="str">
        <f>_xlfn.XLOOKUP(Master[[#This Row],[cu_id]],'[1]Customer Revenue'!$Q:$Q,'[1]Customer Revenue'!$L:$L, "None")</f>
        <v>None</v>
      </c>
      <c r="AG21" s="53">
        <v>20</v>
      </c>
      <c r="AH21" s="53">
        <v>20</v>
      </c>
      <c r="AI21" s="53">
        <v>20</v>
      </c>
      <c r="AJ21" s="53">
        <v>20</v>
      </c>
      <c r="AK21" s="53" t="str">
        <f>_xlfn.XLOOKUP(Master[[#This Row],[cu_id]],'[1]Customer Revenue'!$Q:$Q,'[1]Customer Revenue'!$I:$I, "None")</f>
        <v>None</v>
      </c>
      <c r="AL21" s="53">
        <v>20</v>
      </c>
      <c r="AM21" s="61">
        <v>0.375</v>
      </c>
      <c r="AN21" s="60">
        <v>0.70833333333333337</v>
      </c>
      <c r="AO21" s="60" t="s">
        <v>36</v>
      </c>
      <c r="AP21" s="60" t="s">
        <v>36</v>
      </c>
      <c r="AQ21" s="58" t="s">
        <v>24</v>
      </c>
      <c r="AR21" s="58"/>
      <c r="AS21" s="58"/>
      <c r="AT21" s="52">
        <v>0</v>
      </c>
      <c r="AU21" s="52" t="e">
        <f>IF(Master[[#This Row],[RSP StopTime override]] &lt;&gt; "",Master[[#This Row],[RSP StopTime override]],IF(Master[[#This Row],[Avg stop time helper]] &lt;&gt; 0, Master[[#This Row],[Avg stop time helper]],Average_Stop_Time))</f>
        <v>#DIV/0!</v>
      </c>
      <c r="AV21" s="21"/>
      <c r="AW21" s="20">
        <f>Master[[#This Row],[RSP StopTime override]]-Master[[#This Row],[Avg stop time helper]]</f>
        <v>0</v>
      </c>
    </row>
    <row r="22" spans="1:49" x14ac:dyDescent="0.3">
      <c r="A22" s="66" t="s">
        <v>4160</v>
      </c>
      <c r="B22" s="58">
        <v>6</v>
      </c>
      <c r="C22" s="58" t="s">
        <v>24</v>
      </c>
      <c r="D22" s="65">
        <v>523097</v>
      </c>
      <c r="E22" s="65" t="s">
        <v>42</v>
      </c>
      <c r="F22" s="65" t="s">
        <v>3471</v>
      </c>
      <c r="G22" s="65" t="s">
        <v>3470</v>
      </c>
      <c r="H22" s="65" t="s">
        <v>32</v>
      </c>
      <c r="I22" s="65" t="s">
        <v>50</v>
      </c>
      <c r="J22" s="65" t="s">
        <v>5</v>
      </c>
      <c r="K22" s="65" t="s">
        <v>30</v>
      </c>
      <c r="L22" s="64" t="s">
        <v>67</v>
      </c>
      <c r="M22" s="58" t="s">
        <v>3</v>
      </c>
      <c r="N22" s="58" t="s">
        <v>2</v>
      </c>
      <c r="O22" s="58">
        <v>120</v>
      </c>
      <c r="P22" s="58">
        <v>120</v>
      </c>
      <c r="Q22" s="58">
        <v>0</v>
      </c>
      <c r="R22" s="58">
        <v>0</v>
      </c>
      <c r="S22" s="58">
        <v>0</v>
      </c>
      <c r="T22" s="58">
        <v>0</v>
      </c>
      <c r="U22" s="58">
        <v>52</v>
      </c>
      <c r="V22" s="62"/>
      <c r="W22" s="62"/>
      <c r="X22" s="63">
        <f>IFERROR(1 -(Master[[#This Row],[Avg Garment Scans per Delivery]]/Master[[#This Row],[Garment Inventory]]), 0)</f>
        <v>0</v>
      </c>
      <c r="Y22" s="62"/>
      <c r="Z22" s="62"/>
      <c r="AA22" s="53">
        <v>29.580414201183437</v>
      </c>
      <c r="AB22" s="53">
        <v>31.178047337278123</v>
      </c>
      <c r="AC22" s="53">
        <v>31.778639053254437</v>
      </c>
      <c r="AD22" s="53">
        <v>34.164437869822478</v>
      </c>
      <c r="AE22" s="53" t="str">
        <f>_xlfn.XLOOKUP(Master[[#This Row],[cu_id]],'[1]Customer Revenue'!$Q:$Q,'[1]Customer Revenue'!$K:$K, "None")</f>
        <v>None</v>
      </c>
      <c r="AF22" s="53" t="str">
        <f>_xlfn.XLOOKUP(Master[[#This Row],[cu_id]],'[1]Customer Revenue'!$Q:$Q,'[1]Customer Revenue'!$L:$L, "None")</f>
        <v>None</v>
      </c>
      <c r="AG22" s="53">
        <v>29.660295857988167</v>
      </c>
      <c r="AH22" s="53">
        <v>30.578934911242619</v>
      </c>
      <c r="AI22" s="53">
        <v>30.37923076923078</v>
      </c>
      <c r="AJ22" s="53">
        <v>32.971538461538458</v>
      </c>
      <c r="AK22" s="53" t="str">
        <f>_xlfn.XLOOKUP(Master[[#This Row],[cu_id]],'[1]Customer Revenue'!$Q:$Q,'[1]Customer Revenue'!$I:$I, "None")</f>
        <v>None</v>
      </c>
      <c r="AL22" s="53">
        <v>30.119615384615393</v>
      </c>
      <c r="AM22" s="61">
        <v>0.33333333333333331</v>
      </c>
      <c r="AN22" s="60">
        <v>0.70833333333333337</v>
      </c>
      <c r="AO22" s="60" t="s">
        <v>36</v>
      </c>
      <c r="AP22" s="60" t="s">
        <v>36</v>
      </c>
      <c r="AQ22" s="58" t="s">
        <v>0</v>
      </c>
      <c r="AR22" s="58"/>
      <c r="AS22" s="58"/>
      <c r="AT22" s="52">
        <v>0</v>
      </c>
      <c r="AU22" s="52" t="e">
        <f>IF(Master[[#This Row],[RSP StopTime override]] &lt;&gt; "",Master[[#This Row],[RSP StopTime override]],IF(Master[[#This Row],[Avg stop time helper]] &lt;&gt; 0, Master[[#This Row],[Avg stop time helper]],Average_Stop_Time))</f>
        <v>#DIV/0!</v>
      </c>
      <c r="AV22" s="21"/>
      <c r="AW22" s="20">
        <f>Master[[#This Row],[RSP StopTime override]]-Master[[#This Row],[Avg stop time helper]]</f>
        <v>0</v>
      </c>
    </row>
    <row r="23" spans="1:49" x14ac:dyDescent="0.3">
      <c r="A23" s="66" t="s">
        <v>4161</v>
      </c>
      <c r="B23" s="58">
        <v>6</v>
      </c>
      <c r="C23" s="58" t="s">
        <v>24</v>
      </c>
      <c r="D23" s="65">
        <v>523291</v>
      </c>
      <c r="E23" s="65" t="s">
        <v>42</v>
      </c>
      <c r="F23" s="65" t="s">
        <v>3473</v>
      </c>
      <c r="G23" s="65" t="s">
        <v>3472</v>
      </c>
      <c r="H23" s="65" t="s">
        <v>32</v>
      </c>
      <c r="I23" s="65" t="s">
        <v>3224</v>
      </c>
      <c r="J23" s="65" t="s">
        <v>5</v>
      </c>
      <c r="K23" s="65" t="s">
        <v>1556</v>
      </c>
      <c r="L23" s="64" t="s">
        <v>67</v>
      </c>
      <c r="M23" s="58" t="s">
        <v>3</v>
      </c>
      <c r="N23" s="58" t="s">
        <v>2</v>
      </c>
      <c r="O23" s="58">
        <v>80</v>
      </c>
      <c r="P23" s="58">
        <v>80</v>
      </c>
      <c r="Q23" s="58">
        <v>0</v>
      </c>
      <c r="R23" s="58">
        <v>0</v>
      </c>
      <c r="S23" s="58">
        <v>0</v>
      </c>
      <c r="T23" s="58">
        <v>0</v>
      </c>
      <c r="U23" s="58">
        <v>53</v>
      </c>
      <c r="V23" s="62"/>
      <c r="W23" s="62"/>
      <c r="X23" s="63">
        <f>IFERROR(1 -(Master[[#This Row],[Avg Garment Scans per Delivery]]/Master[[#This Row],[Garment Inventory]]), 0)</f>
        <v>0</v>
      </c>
      <c r="Y23" s="62"/>
      <c r="Z23" s="62"/>
      <c r="AA23" s="53">
        <v>93.58041420118343</v>
      </c>
      <c r="AB23" s="53">
        <v>95.178047337278088</v>
      </c>
      <c r="AC23" s="53">
        <v>98.344023668639025</v>
      </c>
      <c r="AD23" s="53">
        <v>105.492899408284</v>
      </c>
      <c r="AE23" s="53" t="str">
        <f>_xlfn.XLOOKUP(Master[[#This Row],[cu_id]],'[1]Customer Revenue'!$Q:$Q,'[1]Customer Revenue'!$K:$K, "None")</f>
        <v>None</v>
      </c>
      <c r="AF23" s="53" t="str">
        <f>_xlfn.XLOOKUP(Master[[#This Row],[cu_id]],'[1]Customer Revenue'!$Q:$Q,'[1]Customer Revenue'!$L:$L, "None")</f>
        <v>None</v>
      </c>
      <c r="AG23" s="53">
        <v>93.66029585798816</v>
      </c>
      <c r="AH23" s="53">
        <v>94.578934911242584</v>
      </c>
      <c r="AI23" s="53">
        <v>94.379230769230759</v>
      </c>
      <c r="AJ23" s="53">
        <v>101.91846153846151</v>
      </c>
      <c r="AK23" s="53" t="str">
        <f>_xlfn.XLOOKUP(Master[[#This Row],[cu_id]],'[1]Customer Revenue'!$Q:$Q,'[1]Customer Revenue'!$I:$I, "None")</f>
        <v>None</v>
      </c>
      <c r="AL23" s="53">
        <v>94.119615384615372</v>
      </c>
      <c r="AM23" s="61">
        <v>0.25</v>
      </c>
      <c r="AN23" s="60">
        <v>0.70833333333333337</v>
      </c>
      <c r="AO23" s="60" t="s">
        <v>36</v>
      </c>
      <c r="AP23" s="60" t="s">
        <v>36</v>
      </c>
      <c r="AQ23" s="58" t="s">
        <v>0</v>
      </c>
      <c r="AR23" s="58"/>
      <c r="AS23" s="58"/>
      <c r="AT23" s="52">
        <v>0</v>
      </c>
      <c r="AU23" s="52" t="e">
        <f>IF(Master[[#This Row],[RSP StopTime override]] &lt;&gt; "",Master[[#This Row],[RSP StopTime override]],IF(Master[[#This Row],[Avg stop time helper]] &lt;&gt; 0, Master[[#This Row],[Avg stop time helper]],Average_Stop_Time))</f>
        <v>#DIV/0!</v>
      </c>
      <c r="AV23" s="21"/>
      <c r="AW23" s="20">
        <f>Master[[#This Row],[RSP StopTime override]]-Master[[#This Row],[Avg stop time helper]]</f>
        <v>0</v>
      </c>
    </row>
    <row r="24" spans="1:49" x14ac:dyDescent="0.3">
      <c r="A24" s="66" t="s">
        <v>4162</v>
      </c>
      <c r="B24" s="58">
        <v>6</v>
      </c>
      <c r="C24" s="58" t="s">
        <v>24</v>
      </c>
      <c r="D24" s="65">
        <v>523574</v>
      </c>
      <c r="E24" s="65" t="s">
        <v>42</v>
      </c>
      <c r="F24" s="65" t="s">
        <v>3471</v>
      </c>
      <c r="G24" s="65" t="s">
        <v>3470</v>
      </c>
      <c r="H24" s="65" t="s">
        <v>32</v>
      </c>
      <c r="I24" s="65" t="s">
        <v>50</v>
      </c>
      <c r="J24" s="65" t="s">
        <v>5</v>
      </c>
      <c r="K24" s="65" t="s">
        <v>30</v>
      </c>
      <c r="L24" s="64" t="s">
        <v>67</v>
      </c>
      <c r="M24" s="58" t="s">
        <v>3</v>
      </c>
      <c r="N24" s="58" t="s">
        <v>2</v>
      </c>
      <c r="O24" s="58">
        <v>125</v>
      </c>
      <c r="P24" s="58">
        <v>125</v>
      </c>
      <c r="Q24" s="58">
        <v>0</v>
      </c>
      <c r="R24" s="58">
        <v>0</v>
      </c>
      <c r="S24" s="58">
        <v>0</v>
      </c>
      <c r="T24" s="58">
        <v>0</v>
      </c>
      <c r="U24" s="58">
        <v>52</v>
      </c>
      <c r="V24" s="62">
        <v>25</v>
      </c>
      <c r="W24" s="62">
        <v>9</v>
      </c>
      <c r="X24" s="63">
        <f>IFERROR(1 -(Master[[#This Row],[Avg Garment Scans per Delivery]]/Master[[#This Row],[Garment Inventory]]), 0)</f>
        <v>0.64</v>
      </c>
      <c r="Y24" s="62">
        <v>1</v>
      </c>
      <c r="Z24" s="62">
        <v>29</v>
      </c>
      <c r="AA24" s="53">
        <v>19.579999999999984</v>
      </c>
      <c r="AB24" s="53">
        <v>19.579999999999998</v>
      </c>
      <c r="AC24" s="53">
        <v>19.579999999999984</v>
      </c>
      <c r="AD24" s="53">
        <v>19.579999999999998</v>
      </c>
      <c r="AE24" s="53" t="str">
        <f>_xlfn.XLOOKUP(Master[[#This Row],[cu_id]],'[1]Customer Revenue'!$Q:$Q,'[1]Customer Revenue'!$K:$K, "None")</f>
        <v>None</v>
      </c>
      <c r="AF24" s="53" t="str">
        <f>_xlfn.XLOOKUP(Master[[#This Row],[cu_id]],'[1]Customer Revenue'!$Q:$Q,'[1]Customer Revenue'!$L:$L, "None")</f>
        <v>None</v>
      </c>
      <c r="AG24" s="53">
        <v>17.994765748654629</v>
      </c>
      <c r="AH24" s="53">
        <v>22.333695789806896</v>
      </c>
      <c r="AI24" s="53">
        <v>19.579999999999991</v>
      </c>
      <c r="AJ24" s="53">
        <v>19.579999999999991</v>
      </c>
      <c r="AK24" s="53" t="str">
        <f>_xlfn.XLOOKUP(Master[[#This Row],[cu_id]],'[1]Customer Revenue'!$Q:$Q,'[1]Customer Revenue'!$I:$I, "None")</f>
        <v>None</v>
      </c>
      <c r="AL24" s="53">
        <v>20.164230769230763</v>
      </c>
      <c r="AM24" s="61">
        <v>0.33333333333333331</v>
      </c>
      <c r="AN24" s="60">
        <v>0.70833333333333337</v>
      </c>
      <c r="AO24" s="60" t="s">
        <v>36</v>
      </c>
      <c r="AP24" s="60" t="s">
        <v>36</v>
      </c>
      <c r="AQ24" s="58" t="s">
        <v>0</v>
      </c>
      <c r="AR24" s="58"/>
      <c r="AS24" s="58"/>
      <c r="AT24" s="52">
        <v>0</v>
      </c>
      <c r="AU24" s="52" t="e">
        <f>IF(Master[[#This Row],[RSP StopTime override]] &lt;&gt; "",Master[[#This Row],[RSP StopTime override]],IF(Master[[#This Row],[Avg stop time helper]] &lt;&gt; 0, Master[[#This Row],[Avg stop time helper]],Average_Stop_Time))</f>
        <v>#DIV/0!</v>
      </c>
      <c r="AV24" s="21"/>
      <c r="AW24" s="20">
        <f>Master[[#This Row],[RSP StopTime override]]-Master[[#This Row],[Avg stop time helper]]</f>
        <v>0</v>
      </c>
    </row>
    <row r="25" spans="1:49" x14ac:dyDescent="0.3">
      <c r="A25" s="66" t="s">
        <v>4163</v>
      </c>
      <c r="B25" s="58">
        <v>6</v>
      </c>
      <c r="C25" s="58" t="s">
        <v>24</v>
      </c>
      <c r="D25" s="65">
        <v>528158</v>
      </c>
      <c r="E25" s="65" t="s">
        <v>42</v>
      </c>
      <c r="F25" s="65" t="s">
        <v>3469</v>
      </c>
      <c r="G25" s="65" t="s">
        <v>3468</v>
      </c>
      <c r="H25" s="65" t="s">
        <v>32</v>
      </c>
      <c r="I25" s="65" t="s">
        <v>31</v>
      </c>
      <c r="J25" s="65" t="s">
        <v>5</v>
      </c>
      <c r="K25" s="65" t="s">
        <v>30</v>
      </c>
      <c r="L25" s="64" t="s">
        <v>67</v>
      </c>
      <c r="M25" s="58" t="s">
        <v>3</v>
      </c>
      <c r="N25" s="58" t="s">
        <v>2</v>
      </c>
      <c r="O25" s="58">
        <v>1</v>
      </c>
      <c r="P25" s="58">
        <v>1</v>
      </c>
      <c r="Q25" s="58">
        <v>0</v>
      </c>
      <c r="R25" s="58">
        <v>0</v>
      </c>
      <c r="S25" s="58">
        <v>0</v>
      </c>
      <c r="T25" s="58">
        <v>0</v>
      </c>
      <c r="U25" s="58">
        <v>56</v>
      </c>
      <c r="V25" s="62">
        <v>143</v>
      </c>
      <c r="W25" s="62">
        <v>45</v>
      </c>
      <c r="X25" s="63">
        <f>IFERROR(1 -(Master[[#This Row],[Avg Garment Scans per Delivery]]/Master[[#This Row],[Garment Inventory]]), 0)</f>
        <v>0.68531468531468531</v>
      </c>
      <c r="Y25" s="62">
        <v>8</v>
      </c>
      <c r="Z25" s="62">
        <v>159</v>
      </c>
      <c r="AA25" s="53">
        <v>267.11514792899408</v>
      </c>
      <c r="AB25" s="53">
        <v>430.41408284023663</v>
      </c>
      <c r="AC25" s="53">
        <v>294.69102040816335</v>
      </c>
      <c r="AD25" s="53">
        <v>522.20612244897961</v>
      </c>
      <c r="AE25" s="53" t="str">
        <f>_xlfn.XLOOKUP(Master[[#This Row],[cu_id]],'[1]Customer Revenue'!$Q:$Q,'[1]Customer Revenue'!$K:$K, "None")</f>
        <v>None</v>
      </c>
      <c r="AF25" s="53" t="str">
        <f>_xlfn.XLOOKUP(Master[[#This Row],[cu_id]],'[1]Customer Revenue'!$Q:$Q,'[1]Customer Revenue'!$L:$L, "None")</f>
        <v>None</v>
      </c>
      <c r="AG25" s="53">
        <v>280.42647462277091</v>
      </c>
      <c r="AH25" s="53">
        <v>508.24315500685873</v>
      </c>
      <c r="AI25" s="53">
        <v>348.76461538461535</v>
      </c>
      <c r="AJ25" s="53">
        <v>408.44857142857148</v>
      </c>
      <c r="AK25" s="53" t="str">
        <f>_xlfn.XLOOKUP(Master[[#This Row],[cu_id]],'[1]Customer Revenue'!$Q:$Q,'[1]Customer Revenue'!$I:$I, "None")</f>
        <v>None</v>
      </c>
      <c r="AL25" s="53">
        <v>394.33481481481482</v>
      </c>
      <c r="AM25" s="61">
        <v>0.25</v>
      </c>
      <c r="AN25" s="60">
        <v>0.58333333333333337</v>
      </c>
      <c r="AO25" s="60" t="s">
        <v>36</v>
      </c>
      <c r="AP25" s="60" t="s">
        <v>36</v>
      </c>
      <c r="AQ25" s="58" t="s">
        <v>0</v>
      </c>
      <c r="AR25" s="58"/>
      <c r="AS25" s="58"/>
      <c r="AT25" s="52">
        <v>0</v>
      </c>
      <c r="AU25" s="52" t="e">
        <f>IF(Master[[#This Row],[RSP StopTime override]] &lt;&gt; "",Master[[#This Row],[RSP StopTime override]],IF(Master[[#This Row],[Avg stop time helper]] &lt;&gt; 0, Master[[#This Row],[Avg stop time helper]],Average_Stop_Time))</f>
        <v>#DIV/0!</v>
      </c>
      <c r="AV25" s="21"/>
      <c r="AW25" s="20">
        <f>Master[[#This Row],[RSP StopTime override]]-Master[[#This Row],[Avg stop time helper]]</f>
        <v>0</v>
      </c>
    </row>
    <row r="26" spans="1:49" x14ac:dyDescent="0.3">
      <c r="A26" s="73" t="s">
        <v>4164</v>
      </c>
      <c r="B26" s="64">
        <v>6</v>
      </c>
      <c r="C26" s="64" t="s">
        <v>24</v>
      </c>
      <c r="D26" s="65">
        <v>528815</v>
      </c>
      <c r="E26" s="65" t="s">
        <v>42</v>
      </c>
      <c r="F26" s="65" t="s">
        <v>3467</v>
      </c>
      <c r="G26" s="65" t="s">
        <v>3466</v>
      </c>
      <c r="H26" s="65" t="s">
        <v>32</v>
      </c>
      <c r="I26" s="65" t="s">
        <v>50</v>
      </c>
      <c r="J26" s="65" t="s">
        <v>5</v>
      </c>
      <c r="K26" s="65" t="s">
        <v>30</v>
      </c>
      <c r="L26" s="64">
        <v>2</v>
      </c>
      <c r="M26" s="65" t="s">
        <v>123</v>
      </c>
      <c r="N26" s="65" t="s">
        <v>2</v>
      </c>
      <c r="O26" s="65">
        <v>150</v>
      </c>
      <c r="P26" s="65">
        <v>150</v>
      </c>
      <c r="Q26" s="65">
        <v>0</v>
      </c>
      <c r="R26" s="65">
        <v>0</v>
      </c>
      <c r="S26" s="65">
        <v>0</v>
      </c>
      <c r="T26" s="65">
        <v>0</v>
      </c>
      <c r="U26" s="65"/>
      <c r="V26" s="65"/>
      <c r="W26" s="65"/>
      <c r="X26" s="72">
        <f>IFERROR(1 -(Master[[#This Row],[Avg Garment Scans per Delivery]]/Master[[#This Row],[Garment Inventory]]), 0)</f>
        <v>0</v>
      </c>
      <c r="Y26" s="65"/>
      <c r="Z26" s="65"/>
      <c r="AA26" s="53">
        <v>119</v>
      </c>
      <c r="AB26" s="53">
        <v>119</v>
      </c>
      <c r="AC26" s="53">
        <v>119</v>
      </c>
      <c r="AD26" s="53">
        <v>119</v>
      </c>
      <c r="AE26" s="53" t="str">
        <f>_xlfn.XLOOKUP(Master[[#This Row],[cu_id]],'[1]Customer Revenue'!$Q:$Q,'[1]Customer Revenue'!$K:$K, "None")</f>
        <v>None</v>
      </c>
      <c r="AF26" s="53" t="str">
        <f>_xlfn.XLOOKUP(Master[[#This Row],[cu_id]],'[1]Customer Revenue'!$Q:$Q,'[1]Customer Revenue'!$L:$L, "None")</f>
        <v>None</v>
      </c>
      <c r="AG26" s="53">
        <v>119</v>
      </c>
      <c r="AH26" s="53">
        <v>119</v>
      </c>
      <c r="AI26" s="53">
        <v>119</v>
      </c>
      <c r="AJ26" s="53">
        <v>119</v>
      </c>
      <c r="AK26" s="53" t="str">
        <f>_xlfn.XLOOKUP(Master[[#This Row],[cu_id]],'[1]Customer Revenue'!$Q:$Q,'[1]Customer Revenue'!$I:$I, "None")</f>
        <v>None</v>
      </c>
      <c r="AL26" s="53">
        <v>119</v>
      </c>
      <c r="AM26" s="71" t="s">
        <v>1</v>
      </c>
      <c r="AN26" s="71" t="s">
        <v>2843</v>
      </c>
      <c r="AO26" s="71" t="s">
        <v>36</v>
      </c>
      <c r="AP26" s="71" t="s">
        <v>36</v>
      </c>
      <c r="AQ26" s="64" t="s">
        <v>0</v>
      </c>
      <c r="AR26" s="64"/>
      <c r="AS26" s="65"/>
      <c r="AT26" s="52">
        <v>0</v>
      </c>
      <c r="AU26" s="52" t="e">
        <f>IF(Master[[#This Row],[RSP StopTime override]] &lt;&gt; "",Master[[#This Row],[RSP StopTime override]],IF(Master[[#This Row],[Avg stop time helper]] &lt;&gt; 0, Master[[#This Row],[Avg stop time helper]],Average_Stop_Time))</f>
        <v>#DIV/0!</v>
      </c>
      <c r="AV26" s="21"/>
      <c r="AW26" s="20">
        <f>Master[[#This Row],[RSP StopTime override]]-Master[[#This Row],[Avg stop time helper]]</f>
        <v>0</v>
      </c>
    </row>
    <row r="27" spans="1:49" x14ac:dyDescent="0.3">
      <c r="A27" s="66" t="s">
        <v>4165</v>
      </c>
      <c r="B27" s="58">
        <v>6</v>
      </c>
      <c r="C27" s="58" t="s">
        <v>24</v>
      </c>
      <c r="D27" s="65">
        <v>529998</v>
      </c>
      <c r="E27" s="65" t="s">
        <v>42</v>
      </c>
      <c r="F27" s="65" t="s">
        <v>3465</v>
      </c>
      <c r="G27" s="65" t="s">
        <v>3464</v>
      </c>
      <c r="H27" s="65" t="s">
        <v>7</v>
      </c>
      <c r="I27" s="65" t="s">
        <v>1216</v>
      </c>
      <c r="J27" s="65" t="s">
        <v>5</v>
      </c>
      <c r="K27" s="65" t="s">
        <v>1215</v>
      </c>
      <c r="L27" s="64" t="s">
        <v>91</v>
      </c>
      <c r="M27" s="58" t="s">
        <v>90</v>
      </c>
      <c r="N27" s="58" t="s">
        <v>2</v>
      </c>
      <c r="O27" s="58">
        <v>160</v>
      </c>
      <c r="P27" s="58">
        <v>160</v>
      </c>
      <c r="Q27" s="58">
        <v>0</v>
      </c>
      <c r="R27" s="58">
        <v>0</v>
      </c>
      <c r="S27" s="58">
        <v>0</v>
      </c>
      <c r="T27" s="58">
        <v>0</v>
      </c>
      <c r="U27" s="58">
        <v>26</v>
      </c>
      <c r="V27" s="62"/>
      <c r="W27" s="62"/>
      <c r="X27" s="63">
        <f>IFERROR(1 -(Master[[#This Row],[Avg Garment Scans per Delivery]]/Master[[#This Row],[Garment Inventory]]), 0)</f>
        <v>0</v>
      </c>
      <c r="Y27" s="62"/>
      <c r="Z27" s="62"/>
      <c r="AA27" s="53">
        <v>55.106326530612243</v>
      </c>
      <c r="AB27" s="53">
        <v>56.330816326530616</v>
      </c>
      <c r="AC27" s="53">
        <v>56.621111111111112</v>
      </c>
      <c r="AD27" s="53">
        <v>57.972222222222236</v>
      </c>
      <c r="AE27" s="53" t="str">
        <f>_xlfn.XLOOKUP(Master[[#This Row],[cu_id]],'[1]Customer Revenue'!$Q:$Q,'[1]Customer Revenue'!$K:$K, "None")</f>
        <v>None</v>
      </c>
      <c r="AF27" s="53" t="str">
        <f>_xlfn.XLOOKUP(Master[[#This Row],[cu_id]],'[1]Customer Revenue'!$Q:$Q,'[1]Customer Revenue'!$L:$L, "None")</f>
        <v>None</v>
      </c>
      <c r="AG27" s="53">
        <v>55.130236686390532</v>
      </c>
      <c r="AH27" s="53">
        <v>55.911301775147933</v>
      </c>
      <c r="AI27" s="53">
        <v>55.71857142857143</v>
      </c>
      <c r="AJ27" s="53">
        <v>57.296666666666674</v>
      </c>
      <c r="AK27" s="53" t="str">
        <f>_xlfn.XLOOKUP(Master[[#This Row],[cu_id]],'[1]Customer Revenue'!$Q:$Q,'[1]Customer Revenue'!$I:$I, "None")</f>
        <v>None</v>
      </c>
      <c r="AL27" s="53">
        <v>55.520769230769233</v>
      </c>
      <c r="AM27" s="61">
        <v>0.33333333333333331</v>
      </c>
      <c r="AN27" s="60">
        <v>0.70833333333333337</v>
      </c>
      <c r="AO27" s="60" t="s">
        <v>36</v>
      </c>
      <c r="AP27" s="60" t="s">
        <v>36</v>
      </c>
      <c r="AQ27" s="58" t="s">
        <v>0</v>
      </c>
      <c r="AR27" s="58"/>
      <c r="AS27" s="58"/>
      <c r="AT27" s="52">
        <v>0</v>
      </c>
      <c r="AU27" s="52" t="e">
        <f>IF(Master[[#This Row],[RSP StopTime override]] &lt;&gt; "",Master[[#This Row],[RSP StopTime override]],IF(Master[[#This Row],[Avg stop time helper]] &lt;&gt; 0, Master[[#This Row],[Avg stop time helper]],Average_Stop_Time))</f>
        <v>#DIV/0!</v>
      </c>
      <c r="AV27" s="21"/>
      <c r="AW27" s="20">
        <f>Master[[#This Row],[RSP StopTime override]]-Master[[#This Row],[Avg stop time helper]]</f>
        <v>0</v>
      </c>
    </row>
    <row r="28" spans="1:49" x14ac:dyDescent="0.3">
      <c r="A28" s="66" t="s">
        <v>4166</v>
      </c>
      <c r="B28" s="58">
        <v>6</v>
      </c>
      <c r="C28" s="58" t="s">
        <v>24</v>
      </c>
      <c r="D28" s="65">
        <v>530605</v>
      </c>
      <c r="E28" s="65" t="s">
        <v>42</v>
      </c>
      <c r="F28" s="65" t="s">
        <v>3463</v>
      </c>
      <c r="G28" s="65" t="s">
        <v>3462</v>
      </c>
      <c r="H28" s="65" t="s">
        <v>7</v>
      </c>
      <c r="I28" s="65" t="s">
        <v>3226</v>
      </c>
      <c r="J28" s="65" t="s">
        <v>5</v>
      </c>
      <c r="K28" s="65" t="s">
        <v>38</v>
      </c>
      <c r="L28" s="64" t="s">
        <v>67</v>
      </c>
      <c r="M28" s="58" t="s">
        <v>3</v>
      </c>
      <c r="N28" s="58" t="s">
        <v>2</v>
      </c>
      <c r="O28" s="58">
        <v>105</v>
      </c>
      <c r="P28" s="58">
        <v>105</v>
      </c>
      <c r="Q28" s="58">
        <v>0</v>
      </c>
      <c r="R28" s="58">
        <v>0</v>
      </c>
      <c r="S28" s="58">
        <v>0</v>
      </c>
      <c r="T28" s="58">
        <v>0</v>
      </c>
      <c r="U28" s="58">
        <v>51</v>
      </c>
      <c r="V28" s="62"/>
      <c r="W28" s="62"/>
      <c r="X28" s="63">
        <f>IFERROR(1 -(Master[[#This Row],[Avg Garment Scans per Delivery]]/Master[[#This Row],[Garment Inventory]]), 0)</f>
        <v>0</v>
      </c>
      <c r="Y28" s="62"/>
      <c r="Z28" s="62"/>
      <c r="AA28" s="53">
        <v>45.870825602968452</v>
      </c>
      <c r="AB28" s="53">
        <v>92.447356215213361</v>
      </c>
      <c r="AC28" s="53">
        <v>57.869150080688541</v>
      </c>
      <c r="AD28" s="53">
        <v>98.609031737493268</v>
      </c>
      <c r="AE28" s="53" t="str">
        <f>_xlfn.XLOOKUP(Master[[#This Row],[cu_id]],'[1]Customer Revenue'!$Q:$Q,'[1]Customer Revenue'!$K:$K, "None")</f>
        <v>None</v>
      </c>
      <c r="AF28" s="53" t="str">
        <f>_xlfn.XLOOKUP(Master[[#This Row],[cu_id]],'[1]Customer Revenue'!$Q:$Q,'[1]Customer Revenue'!$L:$L, "None")</f>
        <v>None</v>
      </c>
      <c r="AG28" s="53">
        <v>55.509799382716018</v>
      </c>
      <c r="AH28" s="53">
        <v>82.837700617283957</v>
      </c>
      <c r="AI28" s="53">
        <v>69.159090909090907</v>
      </c>
      <c r="AJ28" s="53">
        <v>78.239090909090905</v>
      </c>
      <c r="AK28" s="53" t="str">
        <f>_xlfn.XLOOKUP(Master[[#This Row],[cu_id]],'[1]Customer Revenue'!$Q:$Q,'[1]Customer Revenue'!$I:$I, "None")</f>
        <v>None</v>
      </c>
      <c r="AL28" s="53">
        <v>69.173749999999984</v>
      </c>
      <c r="AM28" s="61">
        <v>0.41666666666666669</v>
      </c>
      <c r="AN28" s="60">
        <v>0.70833333333333337</v>
      </c>
      <c r="AO28" s="60" t="s">
        <v>36</v>
      </c>
      <c r="AP28" s="60" t="s">
        <v>36</v>
      </c>
      <c r="AQ28" s="58" t="s">
        <v>0</v>
      </c>
      <c r="AR28" s="58"/>
      <c r="AS28" s="58"/>
      <c r="AT28" s="52">
        <v>0</v>
      </c>
      <c r="AU28" s="52" t="e">
        <f>IF(Master[[#This Row],[RSP StopTime override]] &lt;&gt; "",Master[[#This Row],[RSP StopTime override]],IF(Master[[#This Row],[Avg stop time helper]] &lt;&gt; 0, Master[[#This Row],[Avg stop time helper]],Average_Stop_Time))</f>
        <v>#DIV/0!</v>
      </c>
      <c r="AV28" s="21"/>
      <c r="AW28" s="20">
        <f>Master[[#This Row],[RSP StopTime override]]-Master[[#This Row],[Avg stop time helper]]</f>
        <v>0</v>
      </c>
    </row>
    <row r="29" spans="1:49" x14ac:dyDescent="0.3">
      <c r="A29" s="66" t="s">
        <v>4167</v>
      </c>
      <c r="B29" s="58">
        <v>6</v>
      </c>
      <c r="C29" s="58" t="s">
        <v>24</v>
      </c>
      <c r="D29" s="65">
        <v>530608</v>
      </c>
      <c r="E29" s="65" t="s">
        <v>42</v>
      </c>
      <c r="F29" s="65" t="s">
        <v>3461</v>
      </c>
      <c r="G29" s="65" t="s">
        <v>3460</v>
      </c>
      <c r="H29" s="65" t="s">
        <v>1607</v>
      </c>
      <c r="I29" s="65" t="s">
        <v>39</v>
      </c>
      <c r="J29" s="65" t="s">
        <v>5</v>
      </c>
      <c r="K29" s="65" t="s">
        <v>38</v>
      </c>
      <c r="L29" s="64" t="s">
        <v>67</v>
      </c>
      <c r="M29" s="58" t="s">
        <v>3</v>
      </c>
      <c r="N29" s="58" t="s">
        <v>2</v>
      </c>
      <c r="O29" s="58">
        <v>85</v>
      </c>
      <c r="P29" s="58">
        <v>85</v>
      </c>
      <c r="Q29" s="58">
        <v>0</v>
      </c>
      <c r="R29" s="58">
        <v>0</v>
      </c>
      <c r="S29" s="58">
        <v>0</v>
      </c>
      <c r="T29" s="58">
        <v>0</v>
      </c>
      <c r="U29" s="58">
        <v>52</v>
      </c>
      <c r="V29" s="62"/>
      <c r="W29" s="62"/>
      <c r="X29" s="63">
        <f>IFERROR(1 -(Master[[#This Row],[Avg Garment Scans per Delivery]]/Master[[#This Row],[Garment Inventory]]), 0)</f>
        <v>0</v>
      </c>
      <c r="Y29" s="62"/>
      <c r="Z29" s="62"/>
      <c r="AA29" s="53">
        <v>42.130414201183427</v>
      </c>
      <c r="AB29" s="53">
        <v>43.728047337278085</v>
      </c>
      <c r="AC29" s="53">
        <v>40.827041420118341</v>
      </c>
      <c r="AD29" s="53">
        <v>53.334497041420128</v>
      </c>
      <c r="AE29" s="53" t="str">
        <f>_xlfn.XLOOKUP(Master[[#This Row],[cu_id]],'[1]Customer Revenue'!$Q:$Q,'[1]Customer Revenue'!$K:$K, "None")</f>
        <v>None</v>
      </c>
      <c r="AF29" s="53" t="str">
        <f>_xlfn.XLOOKUP(Master[[#This Row],[cu_id]],'[1]Customer Revenue'!$Q:$Q,'[1]Customer Revenue'!$L:$L, "None")</f>
        <v>None</v>
      </c>
      <c r="AG29" s="53">
        <v>42.210295857988157</v>
      </c>
      <c r="AH29" s="53">
        <v>43.128934911242581</v>
      </c>
      <c r="AI29" s="53">
        <v>42.929230769230756</v>
      </c>
      <c r="AJ29" s="53">
        <v>47.080769230769235</v>
      </c>
      <c r="AK29" s="53" t="str">
        <f>_xlfn.XLOOKUP(Master[[#This Row],[cu_id]],'[1]Customer Revenue'!$Q:$Q,'[1]Customer Revenue'!$I:$I, "None")</f>
        <v>None</v>
      </c>
      <c r="AL29" s="53">
        <v>42.669615384615369</v>
      </c>
      <c r="AM29" s="61" t="s">
        <v>36</v>
      </c>
      <c r="AN29" s="60" t="s">
        <v>36</v>
      </c>
      <c r="AO29" s="60" t="s">
        <v>36</v>
      </c>
      <c r="AP29" s="60" t="s">
        <v>36</v>
      </c>
      <c r="AQ29" s="58" t="s">
        <v>0</v>
      </c>
      <c r="AR29" s="58"/>
      <c r="AS29" s="58"/>
      <c r="AT29" s="52">
        <v>0</v>
      </c>
      <c r="AU29" s="52" t="e">
        <f>IF(Master[[#This Row],[RSP StopTime override]] &lt;&gt; "",Master[[#This Row],[RSP StopTime override]],IF(Master[[#This Row],[Avg stop time helper]] &lt;&gt; 0, Master[[#This Row],[Avg stop time helper]],Average_Stop_Time))</f>
        <v>#DIV/0!</v>
      </c>
      <c r="AV29" s="21"/>
      <c r="AW29" s="20">
        <f>Master[[#This Row],[RSP StopTime override]]-Master[[#This Row],[Avg stop time helper]]</f>
        <v>0</v>
      </c>
    </row>
    <row r="30" spans="1:49" x14ac:dyDescent="0.3">
      <c r="A30" s="66" t="s">
        <v>3264</v>
      </c>
      <c r="B30" s="58">
        <v>6</v>
      </c>
      <c r="C30" s="58" t="s">
        <v>43</v>
      </c>
      <c r="D30" s="65">
        <v>531315</v>
      </c>
      <c r="E30" s="65" t="s">
        <v>42</v>
      </c>
      <c r="F30" s="65" t="s">
        <v>41</v>
      </c>
      <c r="G30" s="65" t="s">
        <v>40</v>
      </c>
      <c r="H30" s="65" t="s">
        <v>7</v>
      </c>
      <c r="I30" s="65" t="s">
        <v>39</v>
      </c>
      <c r="J30" s="65" t="s">
        <v>5</v>
      </c>
      <c r="K30" s="65" t="s">
        <v>38</v>
      </c>
      <c r="L30" s="64" t="s">
        <v>37</v>
      </c>
      <c r="M30" s="58" t="s">
        <v>3</v>
      </c>
      <c r="N30" s="58" t="s">
        <v>2</v>
      </c>
      <c r="O30" s="58">
        <v>90</v>
      </c>
      <c r="P30" s="58">
        <v>90</v>
      </c>
      <c r="Q30" s="58">
        <v>0</v>
      </c>
      <c r="R30" s="58">
        <v>0</v>
      </c>
      <c r="S30" s="58">
        <v>85</v>
      </c>
      <c r="T30" s="58">
        <v>0</v>
      </c>
      <c r="U30" s="58">
        <v>145</v>
      </c>
      <c r="V30" s="62">
        <v>204</v>
      </c>
      <c r="W30" s="62">
        <v>7</v>
      </c>
      <c r="X30" s="63">
        <f>IFERROR(1 -(Master[[#This Row],[Avg Garment Scans per Delivery]]/Master[[#This Row],[Garment Inventory]]), 0)</f>
        <v>0.96568627450980393</v>
      </c>
      <c r="Y30" s="62">
        <v>10</v>
      </c>
      <c r="Z30" s="62">
        <v>195</v>
      </c>
      <c r="AA30" s="53">
        <v>502.83615384615393</v>
      </c>
      <c r="AB30" s="53">
        <v>708.18384615384628</v>
      </c>
      <c r="AC30" s="53">
        <v>690.05284023668628</v>
      </c>
      <c r="AD30" s="53">
        <v>1354.1825443786981</v>
      </c>
      <c r="AE30" s="53">
        <v>208.75</v>
      </c>
      <c r="AF30" s="53">
        <v>1082.8499999999999</v>
      </c>
      <c r="AG30" s="53">
        <v>441.24502958579882</v>
      </c>
      <c r="AH30" s="53">
        <v>875.52420118343184</v>
      </c>
      <c r="AI30" s="53">
        <v>605.5100000000001</v>
      </c>
      <c r="AJ30" s="53">
        <v>1022.1176923076922</v>
      </c>
      <c r="AK30" s="53">
        <v>645.79999999999995</v>
      </c>
      <c r="AL30" s="53">
        <v>658.38461538461536</v>
      </c>
      <c r="AM30" s="61" t="s">
        <v>36</v>
      </c>
      <c r="AN30" s="60" t="s">
        <v>36</v>
      </c>
      <c r="AO30" s="60" t="s">
        <v>36</v>
      </c>
      <c r="AP30" s="60" t="s">
        <v>36</v>
      </c>
      <c r="AQ30" s="58" t="s">
        <v>0</v>
      </c>
      <c r="AR30" s="58"/>
      <c r="AS30" s="58"/>
      <c r="AT30" s="52">
        <v>0</v>
      </c>
      <c r="AU30" s="52" t="e">
        <f>IF(Master[[#This Row],[RSP StopTime override]] &lt;&gt; "",Master[[#This Row],[RSP StopTime override]],IF(Master[[#This Row],[Avg stop time helper]] &lt;&gt; 0, Master[[#This Row],[Avg stop time helper]],Average_Stop_Time))</f>
        <v>#DIV/0!</v>
      </c>
      <c r="AV30" s="21"/>
      <c r="AW30" s="20">
        <f>Master[[#This Row],[RSP StopTime override]]-Master[[#This Row],[Avg stop time helper]]</f>
        <v>0</v>
      </c>
    </row>
    <row r="31" spans="1:49" x14ac:dyDescent="0.3">
      <c r="A31" s="66" t="s">
        <v>4168</v>
      </c>
      <c r="B31" s="58">
        <v>6</v>
      </c>
      <c r="C31" s="58" t="s">
        <v>24</v>
      </c>
      <c r="D31" s="65">
        <v>532647</v>
      </c>
      <c r="E31" s="65" t="s">
        <v>42</v>
      </c>
      <c r="F31" s="65" t="s">
        <v>3458</v>
      </c>
      <c r="G31" s="65" t="s">
        <v>3457</v>
      </c>
      <c r="H31" s="65" t="s">
        <v>7</v>
      </c>
      <c r="I31" s="65" t="s">
        <v>39</v>
      </c>
      <c r="J31" s="65" t="s">
        <v>5</v>
      </c>
      <c r="K31" s="65" t="s">
        <v>3203</v>
      </c>
      <c r="L31" s="64">
        <v>5</v>
      </c>
      <c r="M31" s="58" t="s">
        <v>3</v>
      </c>
      <c r="N31" s="58" t="s">
        <v>2</v>
      </c>
      <c r="O31" s="58">
        <v>41</v>
      </c>
      <c r="P31" s="58">
        <v>41</v>
      </c>
      <c r="Q31" s="58">
        <v>0</v>
      </c>
      <c r="R31" s="58">
        <v>0</v>
      </c>
      <c r="S31" s="58">
        <v>0</v>
      </c>
      <c r="T31" s="58">
        <v>0</v>
      </c>
      <c r="U31" s="58">
        <v>52</v>
      </c>
      <c r="V31" s="62"/>
      <c r="W31" s="62"/>
      <c r="X31" s="63">
        <f>IFERROR(1 -(Master[[#This Row],[Avg Garment Scans per Delivery]]/Master[[#This Row],[Garment Inventory]]), 0)</f>
        <v>0</v>
      </c>
      <c r="Y31" s="62"/>
      <c r="Z31" s="62"/>
      <c r="AA31" s="53">
        <v>74.468816568047345</v>
      </c>
      <c r="AB31" s="53">
        <v>93.243491124260316</v>
      </c>
      <c r="AC31" s="53">
        <v>82.659289940828401</v>
      </c>
      <c r="AD31" s="53">
        <v>105.39609467455621</v>
      </c>
      <c r="AE31" s="53" t="str">
        <f>_xlfn.XLOOKUP(Master[[#This Row],[cu_id]],'[1]Customer Revenue'!$Q:$Q,'[1]Customer Revenue'!$K:$K, "None")</f>
        <v>None</v>
      </c>
      <c r="AF31" s="53" t="str">
        <f>_xlfn.XLOOKUP(Master[[#This Row],[cu_id]],'[1]Customer Revenue'!$Q:$Q,'[1]Customer Revenue'!$L:$L, "None")</f>
        <v>None</v>
      </c>
      <c r="AG31" s="53">
        <v>72.805539727761953</v>
      </c>
      <c r="AH31" s="53">
        <v>97.271383349161198</v>
      </c>
      <c r="AI31" s="53">
        <v>83.856153846153831</v>
      </c>
      <c r="AJ31" s="53">
        <v>94.027692307692305</v>
      </c>
      <c r="AK31" s="53" t="str">
        <f>_xlfn.XLOOKUP(Master[[#This Row],[cu_id]],'[1]Customer Revenue'!$Q:$Q,'[1]Customer Revenue'!$I:$I, "None")</f>
        <v>None</v>
      </c>
      <c r="AL31" s="53">
        <v>85.038461538461576</v>
      </c>
      <c r="AM31" s="61" t="s">
        <v>36</v>
      </c>
      <c r="AN31" s="60" t="s">
        <v>36</v>
      </c>
      <c r="AO31" s="60" t="s">
        <v>36</v>
      </c>
      <c r="AP31" s="60" t="s">
        <v>36</v>
      </c>
      <c r="AQ31" s="58" t="s">
        <v>0</v>
      </c>
      <c r="AR31" s="58"/>
      <c r="AS31" s="58"/>
      <c r="AT31" s="52">
        <v>0</v>
      </c>
      <c r="AU31" s="52" t="e">
        <f>IF(Master[[#This Row],[RSP StopTime override]] &lt;&gt; "",Master[[#This Row],[RSP StopTime override]],IF(Master[[#This Row],[Avg stop time helper]] &lt;&gt; 0, Master[[#This Row],[Avg stop time helper]],Average_Stop_Time))</f>
        <v>#DIV/0!</v>
      </c>
      <c r="AV31" s="21"/>
      <c r="AW31" s="20">
        <f>Master[[#This Row],[RSP StopTime override]]-Master[[#This Row],[Avg stop time helper]]</f>
        <v>0</v>
      </c>
    </row>
    <row r="32" spans="1:49" x14ac:dyDescent="0.3">
      <c r="A32" s="66" t="s">
        <v>4169</v>
      </c>
      <c r="B32" s="58">
        <v>6</v>
      </c>
      <c r="C32" s="58" t="s">
        <v>24</v>
      </c>
      <c r="D32" s="65">
        <v>532665</v>
      </c>
      <c r="E32" s="65" t="s">
        <v>42</v>
      </c>
      <c r="F32" s="65" t="s">
        <v>3456</v>
      </c>
      <c r="G32" s="65" t="s">
        <v>3455</v>
      </c>
      <c r="H32" s="65" t="s">
        <v>7</v>
      </c>
      <c r="I32" s="65" t="s">
        <v>39</v>
      </c>
      <c r="J32" s="65" t="s">
        <v>5</v>
      </c>
      <c r="K32" s="65" t="s">
        <v>38</v>
      </c>
      <c r="L32" s="64" t="s">
        <v>67</v>
      </c>
      <c r="M32" s="58" t="s">
        <v>3</v>
      </c>
      <c r="N32" s="58" t="s">
        <v>2</v>
      </c>
      <c r="O32" s="58">
        <v>69</v>
      </c>
      <c r="P32" s="58">
        <v>69</v>
      </c>
      <c r="Q32" s="58">
        <v>0</v>
      </c>
      <c r="R32" s="58">
        <v>0</v>
      </c>
      <c r="S32" s="58">
        <v>0</v>
      </c>
      <c r="T32" s="58">
        <v>0</v>
      </c>
      <c r="U32" s="58">
        <v>52</v>
      </c>
      <c r="V32" s="62"/>
      <c r="W32" s="62"/>
      <c r="X32" s="63">
        <f>IFERROR(1 -(Master[[#This Row],[Avg Garment Scans per Delivery]]/Master[[#This Row],[Garment Inventory]]), 0)</f>
        <v>0</v>
      </c>
      <c r="Y32" s="62"/>
      <c r="Z32" s="62"/>
      <c r="AA32" s="53">
        <v>56.420769230769231</v>
      </c>
      <c r="AB32" s="53">
        <v>58.35923076923077</v>
      </c>
      <c r="AC32" s="53">
        <v>58.575147928994085</v>
      </c>
      <c r="AD32" s="53">
        <v>65.237159763313599</v>
      </c>
      <c r="AE32" s="53" t="str">
        <f>_xlfn.XLOOKUP(Master[[#This Row],[cu_id]],'[1]Customer Revenue'!$Q:$Q,'[1]Customer Revenue'!$K:$K, "None")</f>
        <v>None</v>
      </c>
      <c r="AF32" s="53" t="str">
        <f>_xlfn.XLOOKUP(Master[[#This Row],[cu_id]],'[1]Customer Revenue'!$Q:$Q,'[1]Customer Revenue'!$L:$L, "None")</f>
        <v>None</v>
      </c>
      <c r="AG32" s="53">
        <v>56.565502958579891</v>
      </c>
      <c r="AH32" s="53">
        <v>60.657573964497054</v>
      </c>
      <c r="AI32" s="53">
        <v>57.39</v>
      </c>
      <c r="AJ32" s="53">
        <v>61.906153846153842</v>
      </c>
      <c r="AK32" s="53" t="str">
        <f>_xlfn.XLOOKUP(Master[[#This Row],[cu_id]],'[1]Customer Revenue'!$Q:$Q,'[1]Customer Revenue'!$I:$I, "None")</f>
        <v>None</v>
      </c>
      <c r="AL32" s="53">
        <v>58.611538461538473</v>
      </c>
      <c r="AM32" s="61">
        <v>0.375</v>
      </c>
      <c r="AN32" s="60">
        <v>0.79166666666666663</v>
      </c>
      <c r="AO32" s="60" t="s">
        <v>36</v>
      </c>
      <c r="AP32" s="60" t="s">
        <v>36</v>
      </c>
      <c r="AQ32" s="58" t="s">
        <v>0</v>
      </c>
      <c r="AR32" s="58"/>
      <c r="AS32" s="58"/>
      <c r="AT32" s="52">
        <v>0</v>
      </c>
      <c r="AU32" s="52" t="e">
        <f>IF(Master[[#This Row],[RSP StopTime override]] &lt;&gt; "",Master[[#This Row],[RSP StopTime override]],IF(Master[[#This Row],[Avg stop time helper]] &lt;&gt; 0, Master[[#This Row],[Avg stop time helper]],Average_Stop_Time))</f>
        <v>#DIV/0!</v>
      </c>
      <c r="AV32" s="21"/>
      <c r="AW32" s="20">
        <f>Master[[#This Row],[RSP StopTime override]]-Master[[#This Row],[Avg stop time helper]]</f>
        <v>0</v>
      </c>
    </row>
    <row r="33" spans="1:49" x14ac:dyDescent="0.3">
      <c r="A33" s="66" t="s">
        <v>4170</v>
      </c>
      <c r="B33" s="58">
        <v>6</v>
      </c>
      <c r="C33" s="58" t="s">
        <v>35</v>
      </c>
      <c r="D33" s="65">
        <v>99051</v>
      </c>
      <c r="E33" s="65" t="s">
        <v>1831</v>
      </c>
      <c r="F33" s="65" t="s">
        <v>3454</v>
      </c>
      <c r="G33" s="65" t="s">
        <v>3453</v>
      </c>
      <c r="H33" s="65" t="s">
        <v>32</v>
      </c>
      <c r="I33" s="65" t="s">
        <v>3415</v>
      </c>
      <c r="J33" s="65" t="s">
        <v>5</v>
      </c>
      <c r="K33" s="65" t="s">
        <v>1636</v>
      </c>
      <c r="L33" s="64" t="s">
        <v>67</v>
      </c>
      <c r="M33" s="58" t="s">
        <v>3</v>
      </c>
      <c r="N33" s="58" t="s">
        <v>2</v>
      </c>
      <c r="O33" s="58">
        <v>110</v>
      </c>
      <c r="P33" s="58">
        <v>0</v>
      </c>
      <c r="Q33" s="58">
        <v>110</v>
      </c>
      <c r="R33" s="58">
        <v>0</v>
      </c>
      <c r="S33" s="58">
        <v>0</v>
      </c>
      <c r="T33" s="58">
        <v>0</v>
      </c>
      <c r="U33" s="58">
        <v>53</v>
      </c>
      <c r="V33" s="62"/>
      <c r="W33" s="62"/>
      <c r="X33" s="63">
        <f>IFERROR(1 -(Master[[#This Row],[Avg Garment Scans per Delivery]]/Master[[#This Row],[Garment Inventory]]), 0)</f>
        <v>0</v>
      </c>
      <c r="Y33" s="62"/>
      <c r="Z33" s="62"/>
      <c r="AA33" s="53">
        <v>33.063076923076935</v>
      </c>
      <c r="AB33" s="53">
        <v>68.93692307692308</v>
      </c>
      <c r="AC33" s="53">
        <v>38.989171597633153</v>
      </c>
      <c r="AD33" s="53">
        <v>77.209289940828427</v>
      </c>
      <c r="AE33" s="53" t="str">
        <f>_xlfn.XLOOKUP(Master[[#This Row],[cu_id]],'[1]Customer Revenue'!$Q:$Q,'[1]Customer Revenue'!$K:$K, "None")</f>
        <v>None</v>
      </c>
      <c r="AF33" s="53" t="str">
        <f>_xlfn.XLOOKUP(Master[[#This Row],[cu_id]],'[1]Customer Revenue'!$Q:$Q,'[1]Customer Revenue'!$L:$L, "None")</f>
        <v>None</v>
      </c>
      <c r="AG33" s="53">
        <v>35.094408284023658</v>
      </c>
      <c r="AH33" s="53">
        <v>69.940207100591692</v>
      </c>
      <c r="AI33" s="53">
        <v>51.000000000000007</v>
      </c>
      <c r="AJ33" s="53">
        <v>58.099230769230786</v>
      </c>
      <c r="AK33" s="53" t="str">
        <f>_xlfn.XLOOKUP(Master[[#This Row],[cu_id]],'[1]Customer Revenue'!$Q:$Q,'[1]Customer Revenue'!$I:$I, "None")</f>
        <v>None</v>
      </c>
      <c r="AL33" s="53">
        <v>52.517307692307675</v>
      </c>
      <c r="AM33" s="61">
        <v>0.375</v>
      </c>
      <c r="AN33" s="60">
        <v>0.70833333333333337</v>
      </c>
      <c r="AO33" s="60" t="s">
        <v>36</v>
      </c>
      <c r="AP33" s="60" t="s">
        <v>36</v>
      </c>
      <c r="AQ33" s="58" t="s">
        <v>0</v>
      </c>
      <c r="AR33" s="58"/>
      <c r="AS33" s="58"/>
      <c r="AT33" s="52">
        <v>0</v>
      </c>
      <c r="AU33" s="52" t="e">
        <f>IF(Master[[#This Row],[RSP StopTime override]] &lt;&gt; "",Master[[#This Row],[RSP StopTime override]],IF(Master[[#This Row],[Avg stop time helper]] &lt;&gt; 0, Master[[#This Row],[Avg stop time helper]],Average_Stop_Time))</f>
        <v>#DIV/0!</v>
      </c>
      <c r="AV33" s="21"/>
      <c r="AW33" s="20">
        <f>Master[[#This Row],[RSP StopTime override]]-Master[[#This Row],[Avg stop time helper]]</f>
        <v>0</v>
      </c>
    </row>
    <row r="34" spans="1:49" x14ac:dyDescent="0.3">
      <c r="A34" s="66" t="s">
        <v>4171</v>
      </c>
      <c r="B34" s="58">
        <v>6</v>
      </c>
      <c r="C34" s="58" t="s">
        <v>35</v>
      </c>
      <c r="D34" s="65">
        <v>99051</v>
      </c>
      <c r="E34" s="65" t="s">
        <v>1264</v>
      </c>
      <c r="F34" s="65" t="s">
        <v>3452</v>
      </c>
      <c r="G34" s="65" t="s">
        <v>3451</v>
      </c>
      <c r="H34" s="65" t="s">
        <v>32</v>
      </c>
      <c r="I34" s="65" t="s">
        <v>3412</v>
      </c>
      <c r="J34" s="65" t="s">
        <v>5</v>
      </c>
      <c r="K34" s="65" t="s">
        <v>2393</v>
      </c>
      <c r="L34" s="64" t="s">
        <v>67</v>
      </c>
      <c r="M34" s="58" t="s">
        <v>3</v>
      </c>
      <c r="N34" s="58" t="s">
        <v>2</v>
      </c>
      <c r="O34" s="58">
        <v>145</v>
      </c>
      <c r="P34" s="58">
        <v>0</v>
      </c>
      <c r="Q34" s="58">
        <v>145</v>
      </c>
      <c r="R34" s="58">
        <v>0</v>
      </c>
      <c r="S34" s="58">
        <v>0</v>
      </c>
      <c r="T34" s="58">
        <v>0</v>
      </c>
      <c r="U34" s="58">
        <v>54</v>
      </c>
      <c r="V34" s="62"/>
      <c r="W34" s="62"/>
      <c r="X34" s="63">
        <f>IFERROR(1 -(Master[[#This Row],[Avg Garment Scans per Delivery]]/Master[[#This Row],[Garment Inventory]]), 0)</f>
        <v>0</v>
      </c>
      <c r="Y34" s="62"/>
      <c r="Z34" s="62"/>
      <c r="AA34" s="53">
        <v>83.223668639053244</v>
      </c>
      <c r="AB34" s="53">
        <v>112.73017751479287</v>
      </c>
      <c r="AC34" s="53">
        <v>89.440059171597639</v>
      </c>
      <c r="AD34" s="53">
        <v>130.88763313609468</v>
      </c>
      <c r="AE34" s="53" t="str">
        <f>_xlfn.XLOOKUP(Master[[#This Row],[cu_id]],'[1]Customer Revenue'!$Q:$Q,'[1]Customer Revenue'!$K:$K, "None")</f>
        <v>None</v>
      </c>
      <c r="AF34" s="53" t="str">
        <f>_xlfn.XLOOKUP(Master[[#This Row],[cu_id]],'[1]Customer Revenue'!$Q:$Q,'[1]Customer Revenue'!$L:$L, "None")</f>
        <v>None</v>
      </c>
      <c r="AG34" s="53">
        <v>81.478786982248522</v>
      </c>
      <c r="AH34" s="53">
        <v>107.76352071005917</v>
      </c>
      <c r="AI34" s="53">
        <v>97.976923076923057</v>
      </c>
      <c r="AJ34" s="53">
        <v>110.16384615384615</v>
      </c>
      <c r="AK34" s="53" t="str">
        <f>_xlfn.XLOOKUP(Master[[#This Row],[cu_id]],'[1]Customer Revenue'!$Q:$Q,'[1]Customer Revenue'!$I:$I, "None")</f>
        <v>None</v>
      </c>
      <c r="AL34" s="53">
        <v>94.621153846153845</v>
      </c>
      <c r="AM34" s="61">
        <v>0.375</v>
      </c>
      <c r="AN34" s="60">
        <v>0.70833333333333337</v>
      </c>
      <c r="AO34" s="60" t="s">
        <v>36</v>
      </c>
      <c r="AP34" s="60" t="s">
        <v>36</v>
      </c>
      <c r="AQ34" s="58" t="s">
        <v>0</v>
      </c>
      <c r="AR34" s="58"/>
      <c r="AS34" s="58"/>
      <c r="AT34" s="52">
        <v>0</v>
      </c>
      <c r="AU34" s="52" t="e">
        <f>IF(Master[[#This Row],[RSP StopTime override]] &lt;&gt; "",Master[[#This Row],[RSP StopTime override]],IF(Master[[#This Row],[Avg stop time helper]] &lt;&gt; 0, Master[[#This Row],[Avg stop time helper]],Average_Stop_Time))</f>
        <v>#DIV/0!</v>
      </c>
      <c r="AV34" s="21"/>
      <c r="AW34" s="20">
        <f>Master[[#This Row],[RSP StopTime override]]-Master[[#This Row],[Avg stop time helper]]</f>
        <v>0</v>
      </c>
    </row>
    <row r="35" spans="1:49" x14ac:dyDescent="0.3">
      <c r="A35" s="66" t="s">
        <v>4172</v>
      </c>
      <c r="B35" s="58">
        <v>6</v>
      </c>
      <c r="C35" s="58" t="s">
        <v>35</v>
      </c>
      <c r="D35" s="65">
        <v>99059</v>
      </c>
      <c r="E35" s="65" t="s">
        <v>1455</v>
      </c>
      <c r="F35" s="65" t="s">
        <v>3564</v>
      </c>
      <c r="G35" s="65" t="s">
        <v>3450</v>
      </c>
      <c r="H35" s="65" t="s">
        <v>32</v>
      </c>
      <c r="I35" s="65" t="s">
        <v>3415</v>
      </c>
      <c r="J35" s="65" t="s">
        <v>5</v>
      </c>
      <c r="K35" s="65" t="s">
        <v>1636</v>
      </c>
      <c r="L35" s="64" t="s">
        <v>67</v>
      </c>
      <c r="M35" s="58" t="s">
        <v>3</v>
      </c>
      <c r="N35" s="58" t="s">
        <v>2</v>
      </c>
      <c r="O35" s="58">
        <v>30</v>
      </c>
      <c r="P35" s="58">
        <v>0</v>
      </c>
      <c r="Q35" s="58">
        <v>30</v>
      </c>
      <c r="R35" s="58">
        <v>0</v>
      </c>
      <c r="S35" s="58">
        <v>0</v>
      </c>
      <c r="T35" s="58">
        <v>0</v>
      </c>
      <c r="U35" s="58">
        <v>52</v>
      </c>
      <c r="V35" s="62">
        <v>150</v>
      </c>
      <c r="W35" s="62">
        <v>19</v>
      </c>
      <c r="X35" s="63">
        <f>IFERROR(1 -(Master[[#This Row],[Avg Garment Scans per Delivery]]/Master[[#This Row],[Garment Inventory]]), 0)</f>
        <v>0.87333333333333329</v>
      </c>
      <c r="Y35" s="62">
        <v>15</v>
      </c>
      <c r="Z35" s="62">
        <v>154</v>
      </c>
      <c r="AA35" s="53">
        <v>223.78775147928997</v>
      </c>
      <c r="AB35" s="53">
        <v>230.02917159763325</v>
      </c>
      <c r="AC35" s="53">
        <v>229.0851479289941</v>
      </c>
      <c r="AD35" s="53">
        <v>248.50408284023678</v>
      </c>
      <c r="AE35" s="53" t="str">
        <f>_xlfn.XLOOKUP(Master[[#This Row],[cu_id]],'[1]Customer Revenue'!$Q:$Q,'[1]Customer Revenue'!$K:$K, "None")</f>
        <v>None</v>
      </c>
      <c r="AF35" s="53" t="str">
        <f>_xlfn.XLOOKUP(Master[[#This Row],[cu_id]],'[1]Customer Revenue'!$Q:$Q,'[1]Customer Revenue'!$L:$L, "None")</f>
        <v>None</v>
      </c>
      <c r="AG35" s="53">
        <v>212.53431952662729</v>
      </c>
      <c r="AH35" s="53">
        <v>228.40414201183435</v>
      </c>
      <c r="AI35" s="53">
        <v>226.90846153846161</v>
      </c>
      <c r="AJ35" s="53">
        <v>238.79461538461544</v>
      </c>
      <c r="AK35" s="53" t="str">
        <f>_xlfn.XLOOKUP(Master[[#This Row],[cu_id]],'[1]Customer Revenue'!$Q:$Q,'[1]Customer Revenue'!$I:$I, "None")</f>
        <v>None</v>
      </c>
      <c r="AL35" s="53">
        <v>220.46923076923082</v>
      </c>
      <c r="AM35" s="61">
        <v>0.20833333333333334</v>
      </c>
      <c r="AN35" s="60">
        <v>0.70833333333333337</v>
      </c>
      <c r="AO35" s="60" t="s">
        <v>36</v>
      </c>
      <c r="AP35" s="60" t="s">
        <v>36</v>
      </c>
      <c r="AQ35" s="58" t="s">
        <v>0</v>
      </c>
      <c r="AR35" s="58"/>
      <c r="AS35" s="58"/>
      <c r="AT35" s="52">
        <v>0</v>
      </c>
      <c r="AU35" s="52" t="e">
        <f>IF(Master[[#This Row],[RSP StopTime override]] &lt;&gt; "",Master[[#This Row],[RSP StopTime override]],IF(Master[[#This Row],[Avg stop time helper]] &lt;&gt; 0, Master[[#This Row],[Avg stop time helper]],Average_Stop_Time))</f>
        <v>#DIV/0!</v>
      </c>
      <c r="AV35" s="21"/>
      <c r="AW35" s="20">
        <f>Master[[#This Row],[RSP StopTime override]]-Master[[#This Row],[Avg stop time helper]]</f>
        <v>0</v>
      </c>
    </row>
    <row r="36" spans="1:49" x14ac:dyDescent="0.3">
      <c r="A36" s="66" t="s">
        <v>3814</v>
      </c>
      <c r="B36" s="58">
        <v>6</v>
      </c>
      <c r="C36" s="58" t="s">
        <v>35</v>
      </c>
      <c r="D36" s="65">
        <v>99061</v>
      </c>
      <c r="E36" s="65" t="s">
        <v>3432</v>
      </c>
      <c r="F36" s="65" t="s">
        <v>3565</v>
      </c>
      <c r="G36" s="65" t="s">
        <v>3431</v>
      </c>
      <c r="H36" s="65" t="s">
        <v>32</v>
      </c>
      <c r="I36" s="65" t="s">
        <v>2412</v>
      </c>
      <c r="J36" s="65" t="s">
        <v>5</v>
      </c>
      <c r="K36" s="65" t="s">
        <v>1636</v>
      </c>
      <c r="L36" s="64" t="s">
        <v>67</v>
      </c>
      <c r="M36" s="58" t="s">
        <v>3</v>
      </c>
      <c r="N36" s="58" t="s">
        <v>2</v>
      </c>
      <c r="O36" s="58">
        <v>55</v>
      </c>
      <c r="P36" s="58">
        <v>0</v>
      </c>
      <c r="Q36" s="58">
        <v>55</v>
      </c>
      <c r="R36" s="58">
        <v>0</v>
      </c>
      <c r="S36" s="58">
        <v>0</v>
      </c>
      <c r="T36" s="58">
        <v>0</v>
      </c>
      <c r="U36" s="58">
        <v>52</v>
      </c>
      <c r="V36" s="62"/>
      <c r="W36" s="62"/>
      <c r="X36" s="63">
        <f>IFERROR(1 -(Master[[#This Row],[Avg Garment Scans per Delivery]]/Master[[#This Row],[Garment Inventory]]), 0)</f>
        <v>0</v>
      </c>
      <c r="Y36" s="62"/>
      <c r="Z36" s="62"/>
      <c r="AA36" s="53">
        <v>63.066094674556211</v>
      </c>
      <c r="AB36" s="53">
        <v>72.20621301775148</v>
      </c>
      <c r="AC36" s="53">
        <v>44.030236686390509</v>
      </c>
      <c r="AD36" s="53">
        <v>77.675917159763301</v>
      </c>
      <c r="AE36" s="53" t="str">
        <f>_xlfn.XLOOKUP(Master[[#This Row],[cu_id]],'[1]Customer Revenue'!$Q:$Q,'[1]Customer Revenue'!$K:$K, "None")</f>
        <v>None</v>
      </c>
      <c r="AF36" s="53" t="str">
        <f>_xlfn.XLOOKUP(Master[[#This Row],[cu_id]],'[1]Customer Revenue'!$Q:$Q,'[1]Customer Revenue'!$L:$L, "None")</f>
        <v>None</v>
      </c>
      <c r="AG36" s="53">
        <v>50.445384615384604</v>
      </c>
      <c r="AH36" s="53">
        <v>68.05692307692307</v>
      </c>
      <c r="AI36" s="53">
        <v>67.636153846153846</v>
      </c>
      <c r="AJ36" s="53">
        <v>60.853076923076905</v>
      </c>
      <c r="AK36" s="53" t="str">
        <f>_xlfn.XLOOKUP(Master[[#This Row],[cu_id]],'[1]Customer Revenue'!$Q:$Q,'[1]Customer Revenue'!$I:$I, "None")</f>
        <v>None</v>
      </c>
      <c r="AL36" s="53">
        <v>59.251153846153834</v>
      </c>
      <c r="AM36" s="61">
        <v>0.25</v>
      </c>
      <c r="AN36" s="60">
        <v>0.5</v>
      </c>
      <c r="AO36" s="60" t="s">
        <v>36</v>
      </c>
      <c r="AP36" s="60" t="s">
        <v>36</v>
      </c>
      <c r="AQ36" s="58" t="s">
        <v>0</v>
      </c>
      <c r="AR36" s="58"/>
      <c r="AS36" s="58"/>
      <c r="AT36" s="52">
        <v>0</v>
      </c>
      <c r="AU36" s="52" t="e">
        <f>IF(Master[[#This Row],[RSP StopTime override]] &lt;&gt; "",Master[[#This Row],[RSP StopTime override]],IF(Master[[#This Row],[Avg stop time helper]] &lt;&gt; 0, Master[[#This Row],[Avg stop time helper]],Average_Stop_Time))</f>
        <v>#DIV/0!</v>
      </c>
      <c r="AV36" s="21"/>
      <c r="AW36" s="20">
        <f>Master[[#This Row],[RSP StopTime override]]-Master[[#This Row],[Avg stop time helper]]</f>
        <v>0</v>
      </c>
    </row>
    <row r="37" spans="1:49" x14ac:dyDescent="0.3">
      <c r="A37" s="66" t="s">
        <v>3816</v>
      </c>
      <c r="B37" s="58">
        <v>6</v>
      </c>
      <c r="C37" s="58" t="s">
        <v>35</v>
      </c>
      <c r="D37" s="65">
        <v>99061</v>
      </c>
      <c r="E37" s="65" t="s">
        <v>3449</v>
      </c>
      <c r="F37" s="65" t="s">
        <v>3566</v>
      </c>
      <c r="G37" s="65" t="s">
        <v>3431</v>
      </c>
      <c r="H37" s="65" t="s">
        <v>32</v>
      </c>
      <c r="I37" s="65" t="s">
        <v>2412</v>
      </c>
      <c r="J37" s="65" t="s">
        <v>5</v>
      </c>
      <c r="K37" s="65" t="s">
        <v>1636</v>
      </c>
      <c r="L37" s="64" t="s">
        <v>67</v>
      </c>
      <c r="M37" s="58" t="s">
        <v>3</v>
      </c>
      <c r="N37" s="58" t="s">
        <v>2</v>
      </c>
      <c r="O37" s="58">
        <v>35</v>
      </c>
      <c r="P37" s="58">
        <v>0</v>
      </c>
      <c r="Q37" s="58">
        <v>35</v>
      </c>
      <c r="R37" s="58">
        <v>0</v>
      </c>
      <c r="S37" s="58">
        <v>0</v>
      </c>
      <c r="T37" s="58">
        <v>0</v>
      </c>
      <c r="U37" s="58">
        <v>52</v>
      </c>
      <c r="V37" s="62">
        <v>44</v>
      </c>
      <c r="W37" s="62">
        <v>6</v>
      </c>
      <c r="X37" s="63">
        <f>IFERROR(1 -(Master[[#This Row],[Avg Garment Scans per Delivery]]/Master[[#This Row],[Garment Inventory]]), 0)</f>
        <v>0.86363636363636365</v>
      </c>
      <c r="Y37" s="62">
        <v>2</v>
      </c>
      <c r="Z37" s="62">
        <v>48</v>
      </c>
      <c r="AA37" s="53">
        <v>15.596568047337279</v>
      </c>
      <c r="AB37" s="53">
        <v>29.717278106508871</v>
      </c>
      <c r="AC37" s="53">
        <v>18.932011834319525</v>
      </c>
      <c r="AD37" s="53">
        <v>34.940295857988161</v>
      </c>
      <c r="AE37" s="53" t="str">
        <f>_xlfn.XLOOKUP(Master[[#This Row],[cu_id]],'[1]Customer Revenue'!$Q:$Q,'[1]Customer Revenue'!$K:$K, "None")</f>
        <v>None</v>
      </c>
      <c r="AF37" s="53" t="str">
        <f>_xlfn.XLOOKUP(Master[[#This Row],[cu_id]],'[1]Customer Revenue'!$Q:$Q,'[1]Customer Revenue'!$L:$L, "None")</f>
        <v>None</v>
      </c>
      <c r="AG37" s="53">
        <v>16.857189349112424</v>
      </c>
      <c r="AH37" s="53">
        <v>29.757426035502952</v>
      </c>
      <c r="AI37" s="53">
        <v>22.656923076923075</v>
      </c>
      <c r="AJ37" s="53">
        <v>26.936153846153843</v>
      </c>
      <c r="AK37" s="53" t="str">
        <f>_xlfn.XLOOKUP(Master[[#This Row],[cu_id]],'[1]Customer Revenue'!$Q:$Q,'[1]Customer Revenue'!$I:$I, "None")</f>
        <v>None</v>
      </c>
      <c r="AL37" s="53">
        <v>23.307307692307688</v>
      </c>
      <c r="AM37" s="61">
        <v>0.25</v>
      </c>
      <c r="AN37" s="60">
        <v>0.5</v>
      </c>
      <c r="AO37" s="60" t="s">
        <v>36</v>
      </c>
      <c r="AP37" s="60" t="s">
        <v>36</v>
      </c>
      <c r="AQ37" s="58" t="s">
        <v>0</v>
      </c>
      <c r="AR37" s="58"/>
      <c r="AS37" s="58"/>
      <c r="AT37" s="52">
        <v>0</v>
      </c>
      <c r="AU37" s="52" t="e">
        <f>IF(Master[[#This Row],[RSP StopTime override]] &lt;&gt; "",Master[[#This Row],[RSP StopTime override]],IF(Master[[#This Row],[Avg stop time helper]] &lt;&gt; 0, Master[[#This Row],[Avg stop time helper]],Average_Stop_Time))</f>
        <v>#DIV/0!</v>
      </c>
      <c r="AV37" s="21"/>
      <c r="AW37" s="20">
        <f>Master[[#This Row],[RSP StopTime override]]-Master[[#This Row],[Avg stop time helper]]</f>
        <v>0</v>
      </c>
    </row>
    <row r="38" spans="1:49" x14ac:dyDescent="0.3">
      <c r="A38" s="66" t="s">
        <v>3818</v>
      </c>
      <c r="B38" s="58">
        <v>6</v>
      </c>
      <c r="C38" s="58" t="s">
        <v>35</v>
      </c>
      <c r="D38" s="65">
        <v>99061</v>
      </c>
      <c r="E38" s="65" t="s">
        <v>3448</v>
      </c>
      <c r="F38" s="65" t="s">
        <v>3567</v>
      </c>
      <c r="G38" s="65" t="s">
        <v>3431</v>
      </c>
      <c r="H38" s="65" t="s">
        <v>32</v>
      </c>
      <c r="I38" s="65" t="s">
        <v>2412</v>
      </c>
      <c r="J38" s="65" t="s">
        <v>5</v>
      </c>
      <c r="K38" s="65" t="s">
        <v>1636</v>
      </c>
      <c r="L38" s="64" t="s">
        <v>67</v>
      </c>
      <c r="M38" s="58" t="s">
        <v>3</v>
      </c>
      <c r="N38" s="58" t="s">
        <v>2</v>
      </c>
      <c r="O38" s="58">
        <v>45</v>
      </c>
      <c r="P38" s="58">
        <v>0</v>
      </c>
      <c r="Q38" s="58">
        <v>45</v>
      </c>
      <c r="R38" s="58">
        <v>0</v>
      </c>
      <c r="S38" s="58">
        <v>0</v>
      </c>
      <c r="T38" s="58">
        <v>0</v>
      </c>
      <c r="U38" s="58">
        <v>53</v>
      </c>
      <c r="V38" s="62"/>
      <c r="W38" s="62"/>
      <c r="X38" s="63">
        <f>IFERROR(1 -(Master[[#This Row],[Avg Garment Scans per Delivery]]/Master[[#This Row],[Garment Inventory]]), 0)</f>
        <v>0</v>
      </c>
      <c r="Y38" s="62"/>
      <c r="Z38" s="62"/>
      <c r="AA38" s="53">
        <v>30.349822485207103</v>
      </c>
      <c r="AB38" s="53">
        <v>35.924023668639066</v>
      </c>
      <c r="AC38" s="53">
        <v>40.320650887573962</v>
      </c>
      <c r="AD38" s="53">
        <v>46.822426035502957</v>
      </c>
      <c r="AE38" s="53" t="str">
        <f>_xlfn.XLOOKUP(Master[[#This Row],[cu_id]],'[1]Customer Revenue'!$Q:$Q,'[1]Customer Revenue'!$K:$K, "None")</f>
        <v>None</v>
      </c>
      <c r="AF38" s="53" t="str">
        <f>_xlfn.XLOOKUP(Master[[#This Row],[cu_id]],'[1]Customer Revenue'!$Q:$Q,'[1]Customer Revenue'!$L:$L, "None")</f>
        <v>None</v>
      </c>
      <c r="AG38" s="53">
        <v>30.367189349112426</v>
      </c>
      <c r="AH38" s="53">
        <v>33.521272189349119</v>
      </c>
      <c r="AI38" s="53">
        <v>33.136923076923082</v>
      </c>
      <c r="AJ38" s="53">
        <v>43.571538461538459</v>
      </c>
      <c r="AK38" s="53" t="str">
        <f>_xlfn.XLOOKUP(Master[[#This Row],[cu_id]],'[1]Customer Revenue'!$Q:$Q,'[1]Customer Revenue'!$I:$I, "None")</f>
        <v>None</v>
      </c>
      <c r="AL38" s="53">
        <v>31.944230769230771</v>
      </c>
      <c r="AM38" s="61">
        <v>0.25</v>
      </c>
      <c r="AN38" s="60">
        <v>0.5</v>
      </c>
      <c r="AO38" s="60" t="s">
        <v>36</v>
      </c>
      <c r="AP38" s="60" t="s">
        <v>36</v>
      </c>
      <c r="AQ38" s="58" t="s">
        <v>0</v>
      </c>
      <c r="AR38" s="58"/>
      <c r="AS38" s="58"/>
      <c r="AT38" s="52">
        <v>0</v>
      </c>
      <c r="AU38" s="52" t="e">
        <f>IF(Master[[#This Row],[RSP StopTime override]] &lt;&gt; "",Master[[#This Row],[RSP StopTime override]],IF(Master[[#This Row],[Avg stop time helper]] &lt;&gt; 0, Master[[#This Row],[Avg stop time helper]],Average_Stop_Time))</f>
        <v>#DIV/0!</v>
      </c>
      <c r="AV38" s="21"/>
      <c r="AW38" s="20">
        <f>Master[[#This Row],[RSP StopTime override]]-Master[[#This Row],[Avg stop time helper]]</f>
        <v>0</v>
      </c>
    </row>
    <row r="39" spans="1:49" x14ac:dyDescent="0.3">
      <c r="A39" s="66" t="s">
        <v>3824</v>
      </c>
      <c r="B39" s="58">
        <v>6</v>
      </c>
      <c r="C39" s="58" t="s">
        <v>35</v>
      </c>
      <c r="D39" s="65">
        <v>99061</v>
      </c>
      <c r="E39" s="65" t="s">
        <v>3447</v>
      </c>
      <c r="F39" s="65" t="s">
        <v>3568</v>
      </c>
      <c r="G39" s="65" t="s">
        <v>3431</v>
      </c>
      <c r="H39" s="65" t="s">
        <v>32</v>
      </c>
      <c r="I39" s="65" t="s">
        <v>2412</v>
      </c>
      <c r="J39" s="65" t="s">
        <v>5</v>
      </c>
      <c r="K39" s="65" t="s">
        <v>1636</v>
      </c>
      <c r="L39" s="64" t="s">
        <v>67</v>
      </c>
      <c r="M39" s="58" t="s">
        <v>3</v>
      </c>
      <c r="N39" s="58" t="s">
        <v>2</v>
      </c>
      <c r="O39" s="58">
        <v>50</v>
      </c>
      <c r="P39" s="58">
        <v>0</v>
      </c>
      <c r="Q39" s="58">
        <v>50</v>
      </c>
      <c r="R39" s="58">
        <v>0</v>
      </c>
      <c r="S39" s="58">
        <v>0</v>
      </c>
      <c r="T39" s="58">
        <v>0</v>
      </c>
      <c r="U39" s="58">
        <v>52</v>
      </c>
      <c r="V39" s="62"/>
      <c r="W39" s="62"/>
      <c r="X39" s="63">
        <f>IFERROR(1 -(Master[[#This Row],[Avg Garment Scans per Delivery]]/Master[[#This Row],[Garment Inventory]]), 0)</f>
        <v>0</v>
      </c>
      <c r="Y39" s="62"/>
      <c r="Z39" s="62"/>
      <c r="AA39" s="53">
        <v>30.398224852071007</v>
      </c>
      <c r="AB39" s="53">
        <v>35.980236686390533</v>
      </c>
      <c r="AC39" s="53">
        <v>33.890946745562125</v>
      </c>
      <c r="AD39" s="53">
        <v>52.999822485207098</v>
      </c>
      <c r="AE39" s="53" t="str">
        <f>_xlfn.XLOOKUP(Master[[#This Row],[cu_id]],'[1]Customer Revenue'!$Q:$Q,'[1]Customer Revenue'!$K:$K, "None")</f>
        <v>None</v>
      </c>
      <c r="AF39" s="53" t="str">
        <f>_xlfn.XLOOKUP(Master[[#This Row],[cu_id]],'[1]Customer Revenue'!$Q:$Q,'[1]Customer Revenue'!$L:$L, "None")</f>
        <v>None</v>
      </c>
      <c r="AG39" s="53">
        <v>30.407337278106507</v>
      </c>
      <c r="AH39" s="53">
        <v>33.568047337278095</v>
      </c>
      <c r="AI39" s="53">
        <v>33.189230769230768</v>
      </c>
      <c r="AJ39" s="53">
        <v>43.445384615384611</v>
      </c>
      <c r="AK39" s="53" t="str">
        <f>_xlfn.XLOOKUP(Master[[#This Row],[cu_id]],'[1]Customer Revenue'!$Q:$Q,'[1]Customer Revenue'!$I:$I, "None")</f>
        <v>None</v>
      </c>
      <c r="AL39" s="53">
        <v>31.987692307692303</v>
      </c>
      <c r="AM39" s="61">
        <v>0.25</v>
      </c>
      <c r="AN39" s="60">
        <v>0.5</v>
      </c>
      <c r="AO39" s="60" t="s">
        <v>36</v>
      </c>
      <c r="AP39" s="60" t="s">
        <v>36</v>
      </c>
      <c r="AQ39" s="58" t="s">
        <v>0</v>
      </c>
      <c r="AR39" s="58"/>
      <c r="AS39" s="58"/>
      <c r="AT39" s="52">
        <v>0</v>
      </c>
      <c r="AU39" s="52" t="e">
        <f>IF(Master[[#This Row],[RSP StopTime override]] &lt;&gt; "",Master[[#This Row],[RSP StopTime override]],IF(Master[[#This Row],[Avg stop time helper]] &lt;&gt; 0, Master[[#This Row],[Avg stop time helper]],Average_Stop_Time))</f>
        <v>#DIV/0!</v>
      </c>
      <c r="AV39" s="21"/>
      <c r="AW39" s="20">
        <f>Master[[#This Row],[RSP StopTime override]]-Master[[#This Row],[Avg stop time helper]]</f>
        <v>0</v>
      </c>
    </row>
    <row r="40" spans="1:49" x14ac:dyDescent="0.3">
      <c r="A40" s="66" t="s">
        <v>3826</v>
      </c>
      <c r="B40" s="58">
        <v>6</v>
      </c>
      <c r="C40" s="58" t="s">
        <v>35</v>
      </c>
      <c r="D40" s="65">
        <v>99061</v>
      </c>
      <c r="E40" s="65" t="s">
        <v>3446</v>
      </c>
      <c r="F40" s="65" t="s">
        <v>3569</v>
      </c>
      <c r="G40" s="65" t="s">
        <v>3431</v>
      </c>
      <c r="H40" s="65" t="s">
        <v>32</v>
      </c>
      <c r="I40" s="65" t="s">
        <v>2412</v>
      </c>
      <c r="J40" s="65" t="s">
        <v>5</v>
      </c>
      <c r="K40" s="65" t="s">
        <v>1636</v>
      </c>
      <c r="L40" s="64" t="s">
        <v>67</v>
      </c>
      <c r="M40" s="58" t="s">
        <v>3</v>
      </c>
      <c r="N40" s="58" t="s">
        <v>2</v>
      </c>
      <c r="O40" s="58">
        <v>40</v>
      </c>
      <c r="P40" s="58">
        <v>0</v>
      </c>
      <c r="Q40" s="58">
        <v>40</v>
      </c>
      <c r="R40" s="58">
        <v>0</v>
      </c>
      <c r="S40" s="58">
        <v>0</v>
      </c>
      <c r="T40" s="58">
        <v>0</v>
      </c>
      <c r="U40" s="58">
        <v>52</v>
      </c>
      <c r="V40" s="62"/>
      <c r="W40" s="62"/>
      <c r="X40" s="63">
        <f>IFERROR(1 -(Master[[#This Row],[Avg Garment Scans per Delivery]]/Master[[#This Row],[Garment Inventory]]), 0)</f>
        <v>0</v>
      </c>
      <c r="Y40" s="62"/>
      <c r="Z40" s="62"/>
      <c r="AA40" s="53">
        <v>12.773431952662722</v>
      </c>
      <c r="AB40" s="53">
        <v>15.738875739644968</v>
      </c>
      <c r="AC40" s="53">
        <v>14.910295857988167</v>
      </c>
      <c r="AD40" s="53">
        <v>18.240473372781068</v>
      </c>
      <c r="AE40" s="53" t="str">
        <f>_xlfn.XLOOKUP(Master[[#This Row],[cu_id]],'[1]Customer Revenue'!$Q:$Q,'[1]Customer Revenue'!$K:$K, "None")</f>
        <v>None</v>
      </c>
      <c r="AF40" s="53" t="str">
        <f>_xlfn.XLOOKUP(Master[[#This Row],[cu_id]],'[1]Customer Revenue'!$Q:$Q,'[1]Customer Revenue'!$L:$L, "None")</f>
        <v>None</v>
      </c>
      <c r="AG40" s="53">
        <v>12.671360946745562</v>
      </c>
      <c r="AH40" s="53">
        <v>15.157100591715974</v>
      </c>
      <c r="AI40" s="53">
        <v>14.256153846153845</v>
      </c>
      <c r="AJ40" s="53">
        <v>16.575384615384618</v>
      </c>
      <c r="AK40" s="53" t="str">
        <f>_xlfn.XLOOKUP(Master[[#This Row],[cu_id]],'[1]Customer Revenue'!$Q:$Q,'[1]Customer Revenue'!$I:$I, "None")</f>
        <v>None</v>
      </c>
      <c r="AL40" s="53">
        <v>13.914230769230768</v>
      </c>
      <c r="AM40" s="61">
        <v>0.25</v>
      </c>
      <c r="AN40" s="60">
        <v>0.5</v>
      </c>
      <c r="AO40" s="60" t="s">
        <v>36</v>
      </c>
      <c r="AP40" s="60" t="s">
        <v>36</v>
      </c>
      <c r="AQ40" s="58" t="s">
        <v>0</v>
      </c>
      <c r="AR40" s="58"/>
      <c r="AS40" s="58"/>
      <c r="AT40" s="52">
        <v>0</v>
      </c>
      <c r="AU40" s="52" t="e">
        <f>IF(Master[[#This Row],[RSP StopTime override]] &lt;&gt; "",Master[[#This Row],[RSP StopTime override]],IF(Master[[#This Row],[Avg stop time helper]] &lt;&gt; 0, Master[[#This Row],[Avg stop time helper]],Average_Stop_Time))</f>
        <v>#DIV/0!</v>
      </c>
      <c r="AV40" s="21"/>
      <c r="AW40" s="20">
        <f>Master[[#This Row],[RSP StopTime override]]-Master[[#This Row],[Avg stop time helper]]</f>
        <v>0</v>
      </c>
    </row>
    <row r="41" spans="1:49" x14ac:dyDescent="0.3">
      <c r="A41" s="66" t="s">
        <v>3831</v>
      </c>
      <c r="B41" s="58">
        <v>6</v>
      </c>
      <c r="C41" s="58" t="s">
        <v>35</v>
      </c>
      <c r="D41" s="65">
        <v>99061</v>
      </c>
      <c r="E41" s="65" t="s">
        <v>3434</v>
      </c>
      <c r="F41" s="65" t="s">
        <v>3570</v>
      </c>
      <c r="G41" s="65" t="s">
        <v>3433</v>
      </c>
      <c r="H41" s="65" t="s">
        <v>32</v>
      </c>
      <c r="I41" s="65" t="s">
        <v>2394</v>
      </c>
      <c r="J41" s="65" t="s">
        <v>5</v>
      </c>
      <c r="K41" s="65" t="s">
        <v>2393</v>
      </c>
      <c r="L41" s="64" t="s">
        <v>67</v>
      </c>
      <c r="M41" s="58" t="s">
        <v>3</v>
      </c>
      <c r="N41" s="58" t="s">
        <v>2</v>
      </c>
      <c r="O41" s="58">
        <v>118</v>
      </c>
      <c r="P41" s="58">
        <v>0</v>
      </c>
      <c r="Q41" s="58">
        <v>118</v>
      </c>
      <c r="R41" s="58">
        <v>0</v>
      </c>
      <c r="S41" s="58">
        <v>0</v>
      </c>
      <c r="T41" s="58">
        <v>0</v>
      </c>
      <c r="U41" s="58">
        <v>52</v>
      </c>
      <c r="V41" s="62">
        <v>53</v>
      </c>
      <c r="W41" s="62">
        <v>11</v>
      </c>
      <c r="X41" s="63">
        <f>IFERROR(1 -(Master[[#This Row],[Avg Garment Scans per Delivery]]/Master[[#This Row],[Garment Inventory]]), 0)</f>
        <v>0.79245283018867929</v>
      </c>
      <c r="Y41" s="62">
        <v>2</v>
      </c>
      <c r="Z41" s="62">
        <v>65</v>
      </c>
      <c r="AA41" s="53">
        <v>40.077573964497049</v>
      </c>
      <c r="AB41" s="53">
        <v>54.865502958579896</v>
      </c>
      <c r="AC41" s="53">
        <v>54.924201183431947</v>
      </c>
      <c r="AD41" s="53">
        <v>67.465029585798817</v>
      </c>
      <c r="AE41" s="53" t="str">
        <f>_xlfn.XLOOKUP(Master[[#This Row],[cu_id]],'[1]Customer Revenue'!$Q:$Q,'[1]Customer Revenue'!$K:$K, "None")</f>
        <v>None</v>
      </c>
      <c r="AF41" s="53" t="str">
        <f>_xlfn.XLOOKUP(Master[[#This Row],[cu_id]],'[1]Customer Revenue'!$Q:$Q,'[1]Customer Revenue'!$L:$L, "None")</f>
        <v>None</v>
      </c>
      <c r="AG41" s="53">
        <v>41.654497041420107</v>
      </c>
      <c r="AH41" s="53">
        <v>57.023964497041412</v>
      </c>
      <c r="AI41" s="53">
        <v>47.471538461538472</v>
      </c>
      <c r="AJ41" s="53">
        <v>61.194615384615382</v>
      </c>
      <c r="AK41" s="53" t="str">
        <f>_xlfn.XLOOKUP(Master[[#This Row],[cu_id]],'[1]Customer Revenue'!$Q:$Q,'[1]Customer Revenue'!$I:$I, "None")</f>
        <v>None</v>
      </c>
      <c r="AL41" s="53">
        <v>49.33923076923076</v>
      </c>
      <c r="AM41" s="61">
        <v>0.25</v>
      </c>
      <c r="AN41" s="60">
        <v>0.5</v>
      </c>
      <c r="AO41" s="60" t="s">
        <v>36</v>
      </c>
      <c r="AP41" s="60" t="s">
        <v>36</v>
      </c>
      <c r="AQ41" s="58" t="s">
        <v>0</v>
      </c>
      <c r="AR41" s="58"/>
      <c r="AS41" s="58"/>
      <c r="AT41" s="52">
        <v>0</v>
      </c>
      <c r="AU41" s="52" t="e">
        <f>IF(Master[[#This Row],[RSP StopTime override]] &lt;&gt; "",Master[[#This Row],[RSP StopTime override]],IF(Master[[#This Row],[Avg stop time helper]] &lt;&gt; 0, Master[[#This Row],[Avg stop time helper]],Average_Stop_Time))</f>
        <v>#DIV/0!</v>
      </c>
      <c r="AV41" s="21"/>
      <c r="AW41" s="20">
        <f>Master[[#This Row],[RSP StopTime override]]-Master[[#This Row],[Avg stop time helper]]</f>
        <v>0</v>
      </c>
    </row>
    <row r="42" spans="1:49" x14ac:dyDescent="0.3">
      <c r="A42" s="66" t="s">
        <v>3833</v>
      </c>
      <c r="B42" s="58">
        <v>6</v>
      </c>
      <c r="C42" s="58" t="s">
        <v>35</v>
      </c>
      <c r="D42" s="65">
        <v>99061</v>
      </c>
      <c r="E42" s="65" t="s">
        <v>3445</v>
      </c>
      <c r="F42" s="65" t="s">
        <v>3571</v>
      </c>
      <c r="G42" s="65" t="s">
        <v>3433</v>
      </c>
      <c r="H42" s="65" t="s">
        <v>32</v>
      </c>
      <c r="I42" s="65" t="s">
        <v>2394</v>
      </c>
      <c r="J42" s="65" t="s">
        <v>5</v>
      </c>
      <c r="K42" s="65" t="s">
        <v>2393</v>
      </c>
      <c r="L42" s="64" t="s">
        <v>67</v>
      </c>
      <c r="M42" s="58" t="s">
        <v>3</v>
      </c>
      <c r="N42" s="58" t="s">
        <v>2</v>
      </c>
      <c r="O42" s="58">
        <v>120</v>
      </c>
      <c r="P42" s="58">
        <v>0</v>
      </c>
      <c r="Q42" s="58">
        <v>120</v>
      </c>
      <c r="R42" s="58">
        <v>0</v>
      </c>
      <c r="S42" s="58">
        <v>0</v>
      </c>
      <c r="T42" s="58">
        <v>0</v>
      </c>
      <c r="U42" s="58">
        <v>52</v>
      </c>
      <c r="V42" s="62"/>
      <c r="W42" s="62"/>
      <c r="X42" s="63">
        <f>IFERROR(1 -(Master[[#This Row],[Avg Garment Scans per Delivery]]/Master[[#This Row],[Garment Inventory]]), 0)</f>
        <v>0</v>
      </c>
      <c r="Y42" s="62"/>
      <c r="Z42" s="62"/>
      <c r="AA42" s="53">
        <v>29.934378698224847</v>
      </c>
      <c r="AB42" s="53">
        <v>37.784082840236678</v>
      </c>
      <c r="AC42" s="53">
        <v>32.880000000000003</v>
      </c>
      <c r="AD42" s="53">
        <v>43.6</v>
      </c>
      <c r="AE42" s="53" t="str">
        <f>_xlfn.XLOOKUP(Master[[#This Row],[cu_id]],'[1]Customer Revenue'!$Q:$Q,'[1]Customer Revenue'!$K:$K, "None")</f>
        <v>None</v>
      </c>
      <c r="AF42" s="53" t="str">
        <f>_xlfn.XLOOKUP(Master[[#This Row],[cu_id]],'[1]Customer Revenue'!$Q:$Q,'[1]Customer Revenue'!$L:$L, "None")</f>
        <v>None</v>
      </c>
      <c r="AG42" s="53">
        <v>30.123875739644969</v>
      </c>
      <c r="AH42" s="53">
        <v>34.521508875739634</v>
      </c>
      <c r="AI42" s="53">
        <v>33.859230769230763</v>
      </c>
      <c r="AJ42" s="53">
        <v>38.24</v>
      </c>
      <c r="AK42" s="53" t="str">
        <f>_xlfn.XLOOKUP(Master[[#This Row],[cu_id]],'[1]Customer Revenue'!$Q:$Q,'[1]Customer Revenue'!$I:$I, "None")</f>
        <v>None</v>
      </c>
      <c r="AL42" s="53">
        <v>32.3226923076923</v>
      </c>
      <c r="AM42" s="61">
        <v>0.25</v>
      </c>
      <c r="AN42" s="60">
        <v>0.5</v>
      </c>
      <c r="AO42" s="60" t="s">
        <v>36</v>
      </c>
      <c r="AP42" s="60" t="s">
        <v>36</v>
      </c>
      <c r="AQ42" s="58" t="s">
        <v>0</v>
      </c>
      <c r="AR42" s="58"/>
      <c r="AS42" s="58"/>
      <c r="AT42" s="52">
        <v>0</v>
      </c>
      <c r="AU42" s="52" t="e">
        <f>IF(Master[[#This Row],[RSP StopTime override]] &lt;&gt; "",Master[[#This Row],[RSP StopTime override]],IF(Master[[#This Row],[Avg stop time helper]] &lt;&gt; 0, Master[[#This Row],[Avg stop time helper]],Average_Stop_Time))</f>
        <v>#DIV/0!</v>
      </c>
      <c r="AV42" s="21"/>
      <c r="AW42" s="20">
        <f>Master[[#This Row],[RSP StopTime override]]-Master[[#This Row],[Avg stop time helper]]</f>
        <v>0</v>
      </c>
    </row>
    <row r="43" spans="1:49" x14ac:dyDescent="0.3">
      <c r="A43" s="66" t="s">
        <v>3835</v>
      </c>
      <c r="B43" s="58">
        <v>6</v>
      </c>
      <c r="C43" s="58" t="s">
        <v>35</v>
      </c>
      <c r="D43" s="65">
        <v>99061</v>
      </c>
      <c r="E43" s="65" t="s">
        <v>3444</v>
      </c>
      <c r="F43" s="65" t="s">
        <v>3572</v>
      </c>
      <c r="G43" s="65" t="s">
        <v>3433</v>
      </c>
      <c r="H43" s="65" t="s">
        <v>32</v>
      </c>
      <c r="I43" s="65" t="s">
        <v>2394</v>
      </c>
      <c r="J43" s="65" t="s">
        <v>5</v>
      </c>
      <c r="K43" s="65" t="s">
        <v>2393</v>
      </c>
      <c r="L43" s="64" t="s">
        <v>67</v>
      </c>
      <c r="M43" s="58" t="s">
        <v>3</v>
      </c>
      <c r="N43" s="58" t="s">
        <v>2</v>
      </c>
      <c r="O43" s="58">
        <v>130</v>
      </c>
      <c r="P43" s="58">
        <v>0</v>
      </c>
      <c r="Q43" s="58">
        <v>130</v>
      </c>
      <c r="R43" s="58">
        <v>0</v>
      </c>
      <c r="S43" s="58">
        <v>0</v>
      </c>
      <c r="T43" s="58">
        <v>0</v>
      </c>
      <c r="U43" s="58">
        <v>52</v>
      </c>
      <c r="V43" s="62"/>
      <c r="W43" s="62"/>
      <c r="X43" s="63">
        <f>IFERROR(1 -(Master[[#This Row],[Avg Garment Scans per Delivery]]/Master[[#This Row],[Garment Inventory]]), 0)</f>
        <v>0</v>
      </c>
      <c r="Y43" s="62"/>
      <c r="Z43" s="62"/>
      <c r="AA43" s="53">
        <v>71.629112426035519</v>
      </c>
      <c r="AB43" s="53">
        <v>89.493964497041432</v>
      </c>
      <c r="AC43" s="53">
        <v>78.616035502958567</v>
      </c>
      <c r="AD43" s="53">
        <v>114.6808875739645</v>
      </c>
      <c r="AE43" s="53" t="str">
        <f>_xlfn.XLOOKUP(Master[[#This Row],[cu_id]],'[1]Customer Revenue'!$Q:$Q,'[1]Customer Revenue'!$K:$K, "None")</f>
        <v>None</v>
      </c>
      <c r="AF43" s="53" t="str">
        <f>_xlfn.XLOOKUP(Master[[#This Row],[cu_id]],'[1]Customer Revenue'!$Q:$Q,'[1]Customer Revenue'!$L:$L, "None")</f>
        <v>None</v>
      </c>
      <c r="AG43" s="53">
        <v>67.37686390532545</v>
      </c>
      <c r="AH43" s="53">
        <v>82.668520710059198</v>
      </c>
      <c r="AI43" s="53">
        <v>80.561538461538476</v>
      </c>
      <c r="AJ43" s="53">
        <v>96.648461538461532</v>
      </c>
      <c r="AK43" s="53" t="str">
        <f>_xlfn.XLOOKUP(Master[[#This Row],[cu_id]],'[1]Customer Revenue'!$Q:$Q,'[1]Customer Revenue'!$I:$I, "None")</f>
        <v>None</v>
      </c>
      <c r="AL43" s="53">
        <v>75.022692307692324</v>
      </c>
      <c r="AM43" s="61">
        <v>0.25</v>
      </c>
      <c r="AN43" s="60">
        <v>0.5</v>
      </c>
      <c r="AO43" s="60" t="s">
        <v>36</v>
      </c>
      <c r="AP43" s="60" t="s">
        <v>36</v>
      </c>
      <c r="AQ43" s="58" t="s">
        <v>0</v>
      </c>
      <c r="AR43" s="58"/>
      <c r="AS43" s="58"/>
      <c r="AT43" s="52">
        <v>0</v>
      </c>
      <c r="AU43" s="52" t="e">
        <f>IF(Master[[#This Row],[RSP StopTime override]] &lt;&gt; "",Master[[#This Row],[RSP StopTime override]],IF(Master[[#This Row],[Avg stop time helper]] &lt;&gt; 0, Master[[#This Row],[Avg stop time helper]],Average_Stop_Time))</f>
        <v>#DIV/0!</v>
      </c>
      <c r="AV43" s="21"/>
      <c r="AW43" s="20">
        <f>Master[[#This Row],[RSP StopTime override]]-Master[[#This Row],[Avg stop time helper]]</f>
        <v>0</v>
      </c>
    </row>
    <row r="44" spans="1:49" x14ac:dyDescent="0.3">
      <c r="A44" s="66" t="s">
        <v>3841</v>
      </c>
      <c r="B44" s="58">
        <v>6</v>
      </c>
      <c r="C44" s="58" t="s">
        <v>35</v>
      </c>
      <c r="D44" s="65">
        <v>99061</v>
      </c>
      <c r="E44" s="65" t="s">
        <v>3443</v>
      </c>
      <c r="F44" s="65" t="s">
        <v>3573</v>
      </c>
      <c r="G44" s="65" t="s">
        <v>3433</v>
      </c>
      <c r="H44" s="65" t="s">
        <v>32</v>
      </c>
      <c r="I44" s="65" t="s">
        <v>2394</v>
      </c>
      <c r="J44" s="65" t="s">
        <v>5</v>
      </c>
      <c r="K44" s="65" t="s">
        <v>2393</v>
      </c>
      <c r="L44" s="64" t="s">
        <v>67</v>
      </c>
      <c r="M44" s="58" t="s">
        <v>3</v>
      </c>
      <c r="N44" s="58" t="s">
        <v>2</v>
      </c>
      <c r="O44" s="58">
        <v>125</v>
      </c>
      <c r="P44" s="58">
        <v>0</v>
      </c>
      <c r="Q44" s="58">
        <v>125</v>
      </c>
      <c r="R44" s="58">
        <v>0</v>
      </c>
      <c r="S44" s="58">
        <v>0</v>
      </c>
      <c r="T44" s="58">
        <v>0</v>
      </c>
      <c r="U44" s="58">
        <v>52</v>
      </c>
      <c r="V44" s="62"/>
      <c r="W44" s="62"/>
      <c r="X44" s="63">
        <f>IFERROR(1 -(Master[[#This Row],[Avg Garment Scans per Delivery]]/Master[[#This Row],[Garment Inventory]]), 0)</f>
        <v>0</v>
      </c>
      <c r="Y44" s="62"/>
      <c r="Z44" s="62"/>
      <c r="AA44" s="53">
        <v>56.562544378698227</v>
      </c>
      <c r="AB44" s="53">
        <v>61.700532544378696</v>
      </c>
      <c r="AC44" s="53">
        <v>61.664852071005917</v>
      </c>
      <c r="AD44" s="53">
        <v>80.408994082840238</v>
      </c>
      <c r="AE44" s="53" t="str">
        <f>_xlfn.XLOOKUP(Master[[#This Row],[cu_id]],'[1]Customer Revenue'!$Q:$Q,'[1]Customer Revenue'!$K:$K, "None")</f>
        <v>None</v>
      </c>
      <c r="AF44" s="53" t="str">
        <f>_xlfn.XLOOKUP(Master[[#This Row],[cu_id]],'[1]Customer Revenue'!$Q:$Q,'[1]Customer Revenue'!$L:$L, "None")</f>
        <v>None</v>
      </c>
      <c r="AG44" s="53">
        <v>56.364615384615384</v>
      </c>
      <c r="AH44" s="53">
        <v>59.145384615384621</v>
      </c>
      <c r="AI44" s="53">
        <v>59.131538461538462</v>
      </c>
      <c r="AJ44" s="53">
        <v>71.036923076923074</v>
      </c>
      <c r="AK44" s="53" t="str">
        <f>_xlfn.XLOOKUP(Master[[#This Row],[cu_id]],'[1]Customer Revenue'!$Q:$Q,'[1]Customer Revenue'!$I:$I, "None")</f>
        <v>None</v>
      </c>
      <c r="AL44" s="53">
        <v>57.755000000000003</v>
      </c>
      <c r="AM44" s="61">
        <v>0.25</v>
      </c>
      <c r="AN44" s="60">
        <v>0.5</v>
      </c>
      <c r="AO44" s="60" t="s">
        <v>36</v>
      </c>
      <c r="AP44" s="60" t="s">
        <v>36</v>
      </c>
      <c r="AQ44" s="58" t="s">
        <v>0</v>
      </c>
      <c r="AR44" s="58"/>
      <c r="AS44" s="58"/>
      <c r="AT44" s="52">
        <v>0</v>
      </c>
      <c r="AU44" s="52" t="e">
        <f>IF(Master[[#This Row],[RSP StopTime override]] &lt;&gt; "",Master[[#This Row],[RSP StopTime override]],IF(Master[[#This Row],[Avg stop time helper]] &lt;&gt; 0, Master[[#This Row],[Avg stop time helper]],Average_Stop_Time))</f>
        <v>#DIV/0!</v>
      </c>
      <c r="AV44" s="21"/>
      <c r="AW44" s="20">
        <f>Master[[#This Row],[RSP StopTime override]]-Master[[#This Row],[Avg stop time helper]]</f>
        <v>0</v>
      </c>
    </row>
    <row r="45" spans="1:49" x14ac:dyDescent="0.3">
      <c r="A45" s="66" t="s">
        <v>4173</v>
      </c>
      <c r="B45" s="58">
        <v>6</v>
      </c>
      <c r="C45" s="58" t="s">
        <v>35</v>
      </c>
      <c r="D45" s="65">
        <v>99061</v>
      </c>
      <c r="E45" s="65" t="s">
        <v>3148</v>
      </c>
      <c r="F45" s="65" t="s">
        <v>3442</v>
      </c>
      <c r="G45" s="65" t="s">
        <v>3429</v>
      </c>
      <c r="H45" s="65" t="s">
        <v>32</v>
      </c>
      <c r="I45" s="65" t="s">
        <v>2394</v>
      </c>
      <c r="J45" s="65" t="s">
        <v>5</v>
      </c>
      <c r="K45" s="65" t="s">
        <v>2393</v>
      </c>
      <c r="L45" s="64" t="s">
        <v>67</v>
      </c>
      <c r="M45" s="58" t="s">
        <v>3</v>
      </c>
      <c r="N45" s="58" t="s">
        <v>2</v>
      </c>
      <c r="O45" s="58">
        <v>115</v>
      </c>
      <c r="P45" s="58">
        <v>0</v>
      </c>
      <c r="Q45" s="58">
        <v>115</v>
      </c>
      <c r="R45" s="58">
        <v>0</v>
      </c>
      <c r="S45" s="58">
        <v>0</v>
      </c>
      <c r="T45" s="58">
        <v>0</v>
      </c>
      <c r="U45" s="58">
        <v>52</v>
      </c>
      <c r="V45" s="62"/>
      <c r="W45" s="62"/>
      <c r="X45" s="63">
        <f>IFERROR(1 -(Master[[#This Row],[Avg Garment Scans per Delivery]]/Master[[#This Row],[Garment Inventory]]), 0)</f>
        <v>0</v>
      </c>
      <c r="Y45" s="62"/>
      <c r="Z45" s="62"/>
      <c r="AA45" s="53">
        <v>24.296091051805334</v>
      </c>
      <c r="AB45" s="53">
        <v>33.171601255886969</v>
      </c>
      <c r="AC45" s="53">
        <v>26.584201183431954</v>
      </c>
      <c r="AD45" s="53">
        <v>32.528106508875744</v>
      </c>
      <c r="AE45" s="53" t="str">
        <f>_xlfn.XLOOKUP(Master[[#This Row],[cu_id]],'[1]Customer Revenue'!$Q:$Q,'[1]Customer Revenue'!$K:$K, "None")</f>
        <v>None</v>
      </c>
      <c r="AF45" s="53" t="str">
        <f>_xlfn.XLOOKUP(Master[[#This Row],[cu_id]],'[1]Customer Revenue'!$Q:$Q,'[1]Customer Revenue'!$L:$L, "None")</f>
        <v>None</v>
      </c>
      <c r="AG45" s="53">
        <v>24.851542154690282</v>
      </c>
      <c r="AH45" s="53">
        <v>31.856919383771231</v>
      </c>
      <c r="AI45" s="53">
        <v>28.733846153846152</v>
      </c>
      <c r="AJ45" s="53">
        <v>29.556153846153848</v>
      </c>
      <c r="AK45" s="53" t="str">
        <f>_xlfn.XLOOKUP(Master[[#This Row],[cu_id]],'[1]Customer Revenue'!$Q:$Q,'[1]Customer Revenue'!$I:$I, "None")</f>
        <v>None</v>
      </c>
      <c r="AL45" s="53">
        <v>28.354230769230757</v>
      </c>
      <c r="AM45" s="61">
        <v>0.25</v>
      </c>
      <c r="AN45" s="60">
        <v>0.5</v>
      </c>
      <c r="AO45" s="60" t="s">
        <v>36</v>
      </c>
      <c r="AP45" s="60" t="s">
        <v>36</v>
      </c>
      <c r="AQ45" s="58" t="s">
        <v>0</v>
      </c>
      <c r="AR45" s="58"/>
      <c r="AS45" s="58"/>
      <c r="AT45" s="52">
        <v>0</v>
      </c>
      <c r="AU45" s="52" t="e">
        <f>IF(Master[[#This Row],[RSP StopTime override]] &lt;&gt; "",Master[[#This Row],[RSP StopTime override]],IF(Master[[#This Row],[Avg stop time helper]] &lt;&gt; 0, Master[[#This Row],[Avg stop time helper]],Average_Stop_Time))</f>
        <v>#DIV/0!</v>
      </c>
      <c r="AV45" s="21"/>
      <c r="AW45" s="20">
        <f>Master[[#This Row],[RSP StopTime override]]-Master[[#This Row],[Avg stop time helper]]</f>
        <v>0</v>
      </c>
    </row>
    <row r="46" spans="1:49" x14ac:dyDescent="0.3">
      <c r="A46" s="66" t="s">
        <v>3846</v>
      </c>
      <c r="B46" s="58">
        <v>6</v>
      </c>
      <c r="C46" s="58" t="s">
        <v>35</v>
      </c>
      <c r="D46" s="65">
        <v>99061</v>
      </c>
      <c r="E46" s="65" t="s">
        <v>2353</v>
      </c>
      <c r="F46" s="65" t="s">
        <v>3574</v>
      </c>
      <c r="G46" s="65" t="s">
        <v>3435</v>
      </c>
      <c r="H46" s="65" t="s">
        <v>32</v>
      </c>
      <c r="I46" s="65" t="s">
        <v>1655</v>
      </c>
      <c r="J46" s="65" t="s">
        <v>5</v>
      </c>
      <c r="K46" s="65" t="s">
        <v>1654</v>
      </c>
      <c r="L46" s="64" t="s">
        <v>67</v>
      </c>
      <c r="M46" s="58" t="s">
        <v>3</v>
      </c>
      <c r="N46" s="58" t="s">
        <v>2</v>
      </c>
      <c r="O46" s="58">
        <v>85</v>
      </c>
      <c r="P46" s="58">
        <v>0</v>
      </c>
      <c r="Q46" s="58">
        <v>85</v>
      </c>
      <c r="R46" s="58">
        <v>0</v>
      </c>
      <c r="S46" s="58">
        <v>0</v>
      </c>
      <c r="T46" s="58">
        <v>0</v>
      </c>
      <c r="U46" s="58">
        <v>52</v>
      </c>
      <c r="V46" s="62">
        <v>13</v>
      </c>
      <c r="W46" s="62">
        <v>2</v>
      </c>
      <c r="X46" s="63">
        <f>IFERROR(1 -(Master[[#This Row],[Avg Garment Scans per Delivery]]/Master[[#This Row],[Garment Inventory]]), 0)</f>
        <v>0.84615384615384615</v>
      </c>
      <c r="Y46" s="62">
        <v>1</v>
      </c>
      <c r="Z46" s="62">
        <v>13</v>
      </c>
      <c r="AA46" s="53">
        <v>34.993372781065084</v>
      </c>
      <c r="AB46" s="53">
        <v>48.717396449704133</v>
      </c>
      <c r="AC46" s="53">
        <v>43.6821301775148</v>
      </c>
      <c r="AD46" s="53">
        <v>56.336331360946751</v>
      </c>
      <c r="AE46" s="53" t="str">
        <f>_xlfn.XLOOKUP(Master[[#This Row],[cu_id]],'[1]Customer Revenue'!$Q:$Q,'[1]Customer Revenue'!$K:$K, "None")</f>
        <v>None</v>
      </c>
      <c r="AF46" s="53" t="str">
        <f>_xlfn.XLOOKUP(Master[[#This Row],[cu_id]],'[1]Customer Revenue'!$Q:$Q,'[1]Customer Revenue'!$L:$L, "None")</f>
        <v>None</v>
      </c>
      <c r="AG46" s="53">
        <v>34.120828402366861</v>
      </c>
      <c r="AH46" s="53">
        <v>44.932248520710054</v>
      </c>
      <c r="AI46" s="53">
        <v>41.855384615384608</v>
      </c>
      <c r="AJ46" s="53">
        <v>50.009230769230776</v>
      </c>
      <c r="AK46" s="53" t="str">
        <f>_xlfn.XLOOKUP(Master[[#This Row],[cu_id]],'[1]Customer Revenue'!$Q:$Q,'[1]Customer Revenue'!$I:$I, "None")</f>
        <v>None</v>
      </c>
      <c r="AL46" s="53">
        <v>39.526538461538458</v>
      </c>
      <c r="AM46" s="61">
        <v>0.25</v>
      </c>
      <c r="AN46" s="60">
        <v>0.70833333333333337</v>
      </c>
      <c r="AO46" s="60" t="s">
        <v>36</v>
      </c>
      <c r="AP46" s="60" t="s">
        <v>36</v>
      </c>
      <c r="AQ46" s="58" t="s">
        <v>0</v>
      </c>
      <c r="AR46" s="58"/>
      <c r="AS46" s="58"/>
      <c r="AT46" s="52">
        <v>0</v>
      </c>
      <c r="AU46" s="52" t="e">
        <f>IF(Master[[#This Row],[RSP StopTime override]] &lt;&gt; "",Master[[#This Row],[RSP StopTime override]],IF(Master[[#This Row],[Avg stop time helper]] &lt;&gt; 0, Master[[#This Row],[Avg stop time helper]],Average_Stop_Time))</f>
        <v>#DIV/0!</v>
      </c>
      <c r="AV46" s="21"/>
      <c r="AW46" s="20">
        <f>Master[[#This Row],[RSP StopTime override]]-Master[[#This Row],[Avg stop time helper]]</f>
        <v>0</v>
      </c>
    </row>
    <row r="47" spans="1:49" x14ac:dyDescent="0.3">
      <c r="A47" s="66" t="s">
        <v>4174</v>
      </c>
      <c r="B47" s="58">
        <v>6</v>
      </c>
      <c r="C47" s="58" t="s">
        <v>35</v>
      </c>
      <c r="D47" s="65">
        <v>99061</v>
      </c>
      <c r="E47" s="65" t="s">
        <v>1181</v>
      </c>
      <c r="F47" s="65" t="s">
        <v>3441</v>
      </c>
      <c r="G47" s="65" t="s">
        <v>3435</v>
      </c>
      <c r="H47" s="65" t="s">
        <v>32</v>
      </c>
      <c r="I47" s="65" t="s">
        <v>1655</v>
      </c>
      <c r="J47" s="65" t="s">
        <v>5</v>
      </c>
      <c r="K47" s="65" t="s">
        <v>1654</v>
      </c>
      <c r="L47" s="64" t="s">
        <v>67</v>
      </c>
      <c r="M47" s="58" t="s">
        <v>3</v>
      </c>
      <c r="N47" s="58" t="s">
        <v>2</v>
      </c>
      <c r="O47" s="58">
        <v>80</v>
      </c>
      <c r="P47" s="58">
        <v>0</v>
      </c>
      <c r="Q47" s="58">
        <v>80</v>
      </c>
      <c r="R47" s="58">
        <v>0</v>
      </c>
      <c r="S47" s="58">
        <v>0</v>
      </c>
      <c r="T47" s="58">
        <v>0</v>
      </c>
      <c r="U47" s="58">
        <v>52</v>
      </c>
      <c r="V47" s="62"/>
      <c r="W47" s="62"/>
      <c r="X47" s="63">
        <f>IFERROR(1 -(Master[[#This Row],[Avg Garment Scans per Delivery]]/Master[[#This Row],[Garment Inventory]]), 0)</f>
        <v>0</v>
      </c>
      <c r="Y47" s="62"/>
      <c r="Z47" s="62"/>
      <c r="AA47" s="53">
        <v>45.989171597633117</v>
      </c>
      <c r="AB47" s="53">
        <v>47.526213017751473</v>
      </c>
      <c r="AC47" s="53">
        <v>19.667218934911247</v>
      </c>
      <c r="AD47" s="53">
        <v>129.40970414201183</v>
      </c>
      <c r="AE47" s="53" t="str">
        <f>_xlfn.XLOOKUP(Master[[#This Row],[cu_id]],'[1]Customer Revenue'!$Q:$Q,'[1]Customer Revenue'!$K:$K, "None")</f>
        <v>None</v>
      </c>
      <c r="AF47" s="53" t="str">
        <f>_xlfn.XLOOKUP(Master[[#This Row],[cu_id]],'[1]Customer Revenue'!$Q:$Q,'[1]Customer Revenue'!$L:$L, "None")</f>
        <v>None</v>
      </c>
      <c r="AG47" s="53">
        <v>31.144556213017736</v>
      </c>
      <c r="AH47" s="53">
        <v>48.070059171597634</v>
      </c>
      <c r="AI47" s="53">
        <v>46.757692307692295</v>
      </c>
      <c r="AJ47" s="53">
        <v>74.538461538461547</v>
      </c>
      <c r="AK47" s="53" t="str">
        <f>_xlfn.XLOOKUP(Master[[#This Row],[cu_id]],'[1]Customer Revenue'!$Q:$Q,'[1]Customer Revenue'!$I:$I, "None")</f>
        <v>None</v>
      </c>
      <c r="AL47" s="53">
        <v>39.607307692307685</v>
      </c>
      <c r="AM47" s="61">
        <v>0.25</v>
      </c>
      <c r="AN47" s="60">
        <v>0.5</v>
      </c>
      <c r="AO47" s="60" t="s">
        <v>36</v>
      </c>
      <c r="AP47" s="60" t="s">
        <v>36</v>
      </c>
      <c r="AQ47" s="58" t="s">
        <v>0</v>
      </c>
      <c r="AR47" s="58"/>
      <c r="AS47" s="58"/>
      <c r="AT47" s="52">
        <v>0</v>
      </c>
      <c r="AU47" s="52" t="e">
        <f>IF(Master[[#This Row],[RSP StopTime override]] &lt;&gt; "",Master[[#This Row],[RSP StopTime override]],IF(Master[[#This Row],[Avg stop time helper]] &lt;&gt; 0, Master[[#This Row],[Avg stop time helper]],Average_Stop_Time))</f>
        <v>#DIV/0!</v>
      </c>
      <c r="AV47" s="21"/>
      <c r="AW47" s="20">
        <f>Master[[#This Row],[RSP StopTime override]]-Master[[#This Row],[Avg stop time helper]]</f>
        <v>0</v>
      </c>
    </row>
    <row r="48" spans="1:49" x14ac:dyDescent="0.3">
      <c r="A48" s="66" t="s">
        <v>3848</v>
      </c>
      <c r="B48" s="58">
        <v>6</v>
      </c>
      <c r="C48" s="58" t="s">
        <v>35</v>
      </c>
      <c r="D48" s="65">
        <v>99061</v>
      </c>
      <c r="E48" s="65" t="s">
        <v>3386</v>
      </c>
      <c r="F48" s="65" t="s">
        <v>3575</v>
      </c>
      <c r="G48" s="65" t="s">
        <v>3430</v>
      </c>
      <c r="H48" s="65" t="s">
        <v>7</v>
      </c>
      <c r="I48" s="65" t="s">
        <v>1655</v>
      </c>
      <c r="J48" s="65" t="s">
        <v>5</v>
      </c>
      <c r="K48" s="65" t="s">
        <v>1654</v>
      </c>
      <c r="L48" s="64" t="s">
        <v>67</v>
      </c>
      <c r="M48" s="58" t="s">
        <v>3</v>
      </c>
      <c r="N48" s="58" t="s">
        <v>2</v>
      </c>
      <c r="O48" s="58">
        <v>60</v>
      </c>
      <c r="P48" s="58">
        <v>0</v>
      </c>
      <c r="Q48" s="58">
        <v>60</v>
      </c>
      <c r="R48" s="58">
        <v>0</v>
      </c>
      <c r="S48" s="58">
        <v>0</v>
      </c>
      <c r="T48" s="58">
        <v>0</v>
      </c>
      <c r="U48" s="58">
        <v>52</v>
      </c>
      <c r="V48" s="62"/>
      <c r="W48" s="62"/>
      <c r="X48" s="63">
        <f>IFERROR(1 -(Master[[#This Row],[Avg Garment Scans per Delivery]]/Master[[#This Row],[Garment Inventory]]), 0)</f>
        <v>0</v>
      </c>
      <c r="Y48" s="62"/>
      <c r="Z48" s="62"/>
      <c r="AA48" s="53">
        <v>14.302366863905325</v>
      </c>
      <c r="AB48" s="53">
        <v>17.713017751479288</v>
      </c>
      <c r="AC48" s="53">
        <v>18.159822485207105</v>
      </c>
      <c r="AD48" s="53">
        <v>22.964792899408291</v>
      </c>
      <c r="AE48" s="53" t="str">
        <f>_xlfn.XLOOKUP(Master[[#This Row],[cu_id]],'[1]Customer Revenue'!$Q:$Q,'[1]Customer Revenue'!$K:$K, "None")</f>
        <v>None</v>
      </c>
      <c r="AF48" s="53" t="str">
        <f>_xlfn.XLOOKUP(Master[[#This Row],[cu_id]],'[1]Customer Revenue'!$Q:$Q,'[1]Customer Revenue'!$L:$L, "None")</f>
        <v>None</v>
      </c>
      <c r="AG48" s="53">
        <v>14.559467455621302</v>
      </c>
      <c r="AH48" s="53">
        <v>16.585917159763312</v>
      </c>
      <c r="AI48" s="53">
        <v>16.007692307692306</v>
      </c>
      <c r="AJ48" s="53">
        <v>20.562307692307698</v>
      </c>
      <c r="AK48" s="53" t="str">
        <f>_xlfn.XLOOKUP(Master[[#This Row],[cu_id]],'[1]Customer Revenue'!$Q:$Q,'[1]Customer Revenue'!$I:$I, "None")</f>
        <v>None</v>
      </c>
      <c r="AL48" s="53">
        <v>15.572692307692307</v>
      </c>
      <c r="AM48" s="61">
        <v>0.25</v>
      </c>
      <c r="AN48" s="60">
        <v>0.5</v>
      </c>
      <c r="AO48" s="60" t="s">
        <v>36</v>
      </c>
      <c r="AP48" s="60" t="s">
        <v>36</v>
      </c>
      <c r="AQ48" s="58" t="s">
        <v>0</v>
      </c>
      <c r="AR48" s="58"/>
      <c r="AS48" s="58"/>
      <c r="AT48" s="52">
        <v>0</v>
      </c>
      <c r="AU48" s="52" t="e">
        <f>IF(Master[[#This Row],[RSP StopTime override]] &lt;&gt; "",Master[[#This Row],[RSP StopTime override]],IF(Master[[#This Row],[Avg stop time helper]] &lt;&gt; 0, Master[[#This Row],[Avg stop time helper]],Average_Stop_Time))</f>
        <v>#DIV/0!</v>
      </c>
      <c r="AV48" s="21"/>
      <c r="AW48" s="20">
        <f>Master[[#This Row],[RSP StopTime override]]-Master[[#This Row],[Avg stop time helper]]</f>
        <v>0</v>
      </c>
    </row>
    <row r="49" spans="1:49" x14ac:dyDescent="0.3">
      <c r="A49" s="66" t="s">
        <v>4175</v>
      </c>
      <c r="B49" s="58">
        <v>6</v>
      </c>
      <c r="C49" s="58" t="s">
        <v>35</v>
      </c>
      <c r="D49" s="65">
        <v>99094</v>
      </c>
      <c r="E49" s="65" t="s">
        <v>1467</v>
      </c>
      <c r="F49" s="65" t="s">
        <v>3440</v>
      </c>
      <c r="G49" s="65" t="s">
        <v>3439</v>
      </c>
      <c r="H49" s="65" t="s">
        <v>7</v>
      </c>
      <c r="I49" s="65" t="s">
        <v>2394</v>
      </c>
      <c r="J49" s="65" t="s">
        <v>5</v>
      </c>
      <c r="K49" s="65" t="s">
        <v>2393</v>
      </c>
      <c r="L49" s="64" t="s">
        <v>91</v>
      </c>
      <c r="M49" s="58" t="s">
        <v>90</v>
      </c>
      <c r="N49" s="58" t="s">
        <v>2</v>
      </c>
      <c r="O49" s="58">
        <v>183</v>
      </c>
      <c r="P49" s="58">
        <v>0</v>
      </c>
      <c r="Q49" s="58">
        <v>183</v>
      </c>
      <c r="R49" s="58">
        <v>0</v>
      </c>
      <c r="S49" s="58">
        <v>0</v>
      </c>
      <c r="T49" s="58">
        <v>0</v>
      </c>
      <c r="U49" s="58">
        <v>37</v>
      </c>
      <c r="V49" s="62"/>
      <c r="W49" s="62"/>
      <c r="X49" s="63">
        <f>IFERROR(1 -(Master[[#This Row],[Avg Garment Scans per Delivery]]/Master[[#This Row],[Garment Inventory]]), 0)</f>
        <v>0</v>
      </c>
      <c r="Y49" s="62"/>
      <c r="Z49" s="62"/>
      <c r="AA49" s="53">
        <v>20</v>
      </c>
      <c r="AB49" s="53">
        <v>20</v>
      </c>
      <c r="AC49" s="53">
        <v>11.111111111111112</v>
      </c>
      <c r="AD49" s="53">
        <v>28.888888888888886</v>
      </c>
      <c r="AE49" s="53" t="str">
        <f>_xlfn.XLOOKUP(Master[[#This Row],[cu_id]],'[1]Customer Revenue'!$Q:$Q,'[1]Customer Revenue'!$K:$K, "None")</f>
        <v>None</v>
      </c>
      <c r="AF49" s="53" t="str">
        <f>_xlfn.XLOOKUP(Master[[#This Row],[cu_id]],'[1]Customer Revenue'!$Q:$Q,'[1]Customer Revenue'!$L:$L, "None")</f>
        <v>None</v>
      </c>
      <c r="AG49" s="53">
        <v>20</v>
      </c>
      <c r="AH49" s="53">
        <v>20</v>
      </c>
      <c r="AI49" s="53">
        <v>20</v>
      </c>
      <c r="AJ49" s="53">
        <v>20</v>
      </c>
      <c r="AK49" s="53" t="str">
        <f>_xlfn.XLOOKUP(Master[[#This Row],[cu_id]],'[1]Customer Revenue'!$Q:$Q,'[1]Customer Revenue'!$I:$I, "None")</f>
        <v>None</v>
      </c>
      <c r="AL49" s="53">
        <v>20</v>
      </c>
      <c r="AM49" s="61">
        <v>0.25</v>
      </c>
      <c r="AN49" s="60">
        <v>0.5</v>
      </c>
      <c r="AO49" s="60" t="s">
        <v>36</v>
      </c>
      <c r="AP49" s="60" t="s">
        <v>36</v>
      </c>
      <c r="AQ49" s="58" t="s">
        <v>0</v>
      </c>
      <c r="AR49" s="58"/>
      <c r="AS49" s="58"/>
      <c r="AT49" s="52">
        <v>0</v>
      </c>
      <c r="AU49" s="52" t="e">
        <f>IF(Master[[#This Row],[RSP StopTime override]] &lt;&gt; "",Master[[#This Row],[RSP StopTime override]],IF(Master[[#This Row],[Avg stop time helper]] &lt;&gt; 0, Master[[#This Row],[Avg stop time helper]],Average_Stop_Time))</f>
        <v>#DIV/0!</v>
      </c>
      <c r="AV49" s="21"/>
      <c r="AW49" s="20">
        <f>Master[[#This Row],[RSP StopTime override]]-Master[[#This Row],[Avg stop time helper]]</f>
        <v>0</v>
      </c>
    </row>
    <row r="50" spans="1:49" x14ac:dyDescent="0.3">
      <c r="A50" s="66" t="s">
        <v>4176</v>
      </c>
      <c r="B50" s="58">
        <v>6</v>
      </c>
      <c r="C50" s="58" t="s">
        <v>35</v>
      </c>
      <c r="D50" s="65">
        <v>99100</v>
      </c>
      <c r="E50" s="65" t="s">
        <v>686</v>
      </c>
      <c r="F50" s="65" t="s">
        <v>3438</v>
      </c>
      <c r="G50" s="65" t="s">
        <v>3437</v>
      </c>
      <c r="H50" s="65" t="s">
        <v>7</v>
      </c>
      <c r="I50" s="65" t="s">
        <v>2394</v>
      </c>
      <c r="J50" s="65" t="s">
        <v>5</v>
      </c>
      <c r="K50" s="65" t="s">
        <v>2393</v>
      </c>
      <c r="L50" s="64" t="s">
        <v>91</v>
      </c>
      <c r="M50" s="58" t="s">
        <v>90</v>
      </c>
      <c r="N50" s="58" t="s">
        <v>2</v>
      </c>
      <c r="O50" s="58">
        <v>182</v>
      </c>
      <c r="P50" s="58">
        <v>0</v>
      </c>
      <c r="Q50" s="58">
        <v>182</v>
      </c>
      <c r="R50" s="58">
        <v>0</v>
      </c>
      <c r="S50" s="58">
        <v>0</v>
      </c>
      <c r="T50" s="58">
        <v>0</v>
      </c>
      <c r="U50" s="58">
        <v>26</v>
      </c>
      <c r="V50" s="62"/>
      <c r="W50" s="62"/>
      <c r="X50" s="63">
        <f>IFERROR(1 -(Master[[#This Row],[Avg Garment Scans per Delivery]]/Master[[#This Row],[Garment Inventory]]), 0)</f>
        <v>0</v>
      </c>
      <c r="Y50" s="62"/>
      <c r="Z50" s="62"/>
      <c r="AA50" s="53">
        <v>27.884489795918366</v>
      </c>
      <c r="AB50" s="53">
        <v>29.721224489795919</v>
      </c>
      <c r="AC50" s="53">
        <v>32.58111111111112</v>
      </c>
      <c r="AD50" s="53">
        <v>34.652222222222228</v>
      </c>
      <c r="AE50" s="53" t="str">
        <f>_xlfn.XLOOKUP(Master[[#This Row],[cu_id]],'[1]Customer Revenue'!$Q:$Q,'[1]Customer Revenue'!$K:$K, "None")</f>
        <v>None</v>
      </c>
      <c r="AF50" s="53" t="str">
        <f>_xlfn.XLOOKUP(Master[[#This Row],[cu_id]],'[1]Customer Revenue'!$Q:$Q,'[1]Customer Revenue'!$L:$L, "None")</f>
        <v>None</v>
      </c>
      <c r="AG50" s="53">
        <v>24.724725274725287</v>
      </c>
      <c r="AH50" s="53">
        <v>32.287582417582421</v>
      </c>
      <c r="AI50" s="53">
        <v>28.802857142857142</v>
      </c>
      <c r="AJ50" s="53">
        <v>33.616666666666674</v>
      </c>
      <c r="AK50" s="53" t="str">
        <f>_xlfn.XLOOKUP(Master[[#This Row],[cu_id]],'[1]Customer Revenue'!$Q:$Q,'[1]Customer Revenue'!$I:$I, "None")</f>
        <v>None</v>
      </c>
      <c r="AL50" s="53">
        <v>28.506153846153854</v>
      </c>
      <c r="AM50" s="61">
        <v>0.375</v>
      </c>
      <c r="AN50" s="60">
        <v>0.5</v>
      </c>
      <c r="AO50" s="60" t="s">
        <v>36</v>
      </c>
      <c r="AP50" s="60" t="s">
        <v>36</v>
      </c>
      <c r="AQ50" s="58" t="s">
        <v>0</v>
      </c>
      <c r="AR50" s="58"/>
      <c r="AS50" s="58"/>
      <c r="AT50" s="52">
        <v>0</v>
      </c>
      <c r="AU50" s="52" t="e">
        <f>IF(Master[[#This Row],[RSP StopTime override]] &lt;&gt; "",Master[[#This Row],[RSP StopTime override]],IF(Master[[#This Row],[Avg stop time helper]] &lt;&gt; 0, Master[[#This Row],[Avg stop time helper]],Average_Stop_Time))</f>
        <v>#DIV/0!</v>
      </c>
      <c r="AV50" s="21"/>
      <c r="AW50" s="20">
        <f>Master[[#This Row],[RSP StopTime override]]-Master[[#This Row],[Avg stop time helper]]</f>
        <v>0</v>
      </c>
    </row>
    <row r="51" spans="1:49" x14ac:dyDescent="0.3">
      <c r="A51" s="66" t="s">
        <v>4177</v>
      </c>
      <c r="B51" s="58">
        <v>6</v>
      </c>
      <c r="C51" s="58" t="s">
        <v>35</v>
      </c>
      <c r="D51" s="65">
        <v>99117</v>
      </c>
      <c r="E51" s="65" t="s">
        <v>1536</v>
      </c>
      <c r="F51" s="65" t="s">
        <v>3576</v>
      </c>
      <c r="G51" s="65" t="s">
        <v>3436</v>
      </c>
      <c r="H51" s="65" t="s">
        <v>7</v>
      </c>
      <c r="I51" s="65" t="s">
        <v>2412</v>
      </c>
      <c r="J51" s="65" t="s">
        <v>5</v>
      </c>
      <c r="K51" s="65" t="s">
        <v>1636</v>
      </c>
      <c r="L51" s="64" t="s">
        <v>67</v>
      </c>
      <c r="M51" s="58" t="s">
        <v>3</v>
      </c>
      <c r="N51" s="58" t="s">
        <v>2</v>
      </c>
      <c r="O51" s="58">
        <v>107</v>
      </c>
      <c r="P51" s="58">
        <v>0</v>
      </c>
      <c r="Q51" s="58">
        <v>107</v>
      </c>
      <c r="R51" s="58">
        <v>0</v>
      </c>
      <c r="S51" s="58">
        <v>0</v>
      </c>
      <c r="T51" s="58">
        <v>0</v>
      </c>
      <c r="U51" s="58">
        <v>25</v>
      </c>
      <c r="V51" s="62"/>
      <c r="W51" s="62"/>
      <c r="X51" s="63">
        <f>IFERROR(1 -(Master[[#This Row],[Avg Garment Scans per Delivery]]/Master[[#This Row],[Garment Inventory]]), 0)</f>
        <v>0</v>
      </c>
      <c r="Y51" s="62"/>
      <c r="Z51" s="62"/>
      <c r="AA51" s="53">
        <v>136.3936094674556</v>
      </c>
      <c r="AB51" s="53">
        <v>137.45869822485204</v>
      </c>
      <c r="AC51" s="53">
        <v>138.48266272189349</v>
      </c>
      <c r="AD51" s="53">
        <v>139.77118343195266</v>
      </c>
      <c r="AE51" s="53" t="str">
        <f>_xlfn.XLOOKUP(Master[[#This Row],[cu_id]],'[1]Customer Revenue'!$Q:$Q,'[1]Customer Revenue'!$K:$K, "None")</f>
        <v>None</v>
      </c>
      <c r="AF51" s="53" t="str">
        <f>_xlfn.XLOOKUP(Master[[#This Row],[cu_id]],'[1]Customer Revenue'!$Q:$Q,'[1]Customer Revenue'!$L:$L, "None")</f>
        <v>None</v>
      </c>
      <c r="AG51" s="53">
        <v>133.19372800000002</v>
      </c>
      <c r="AH51" s="53">
        <v>147.12947199999991</v>
      </c>
      <c r="AI51" s="53">
        <v>136.92615384615382</v>
      </c>
      <c r="AJ51" s="53">
        <v>139.12692307692308</v>
      </c>
      <c r="AK51" s="53" t="str">
        <f>_xlfn.XLOOKUP(Master[[#This Row],[cu_id]],'[1]Customer Revenue'!$Q:$Q,'[1]Customer Revenue'!$I:$I, "None")</f>
        <v>None</v>
      </c>
      <c r="AL51" s="53">
        <v>140.16159999999996</v>
      </c>
      <c r="AM51" s="61">
        <v>0.20833333333333334</v>
      </c>
      <c r="AN51" s="60">
        <v>0.5</v>
      </c>
      <c r="AO51" s="60" t="s">
        <v>36</v>
      </c>
      <c r="AP51" s="60" t="s">
        <v>36</v>
      </c>
      <c r="AQ51" s="58" t="s">
        <v>0</v>
      </c>
      <c r="AR51" s="58"/>
      <c r="AS51" s="58"/>
      <c r="AT51" s="52">
        <v>0</v>
      </c>
      <c r="AU51" s="52" t="e">
        <f>IF(Master[[#This Row],[RSP StopTime override]] &lt;&gt; "",Master[[#This Row],[RSP StopTime override]],IF(Master[[#This Row],[Avg stop time helper]] &lt;&gt; 0, Master[[#This Row],[Avg stop time helper]],Average_Stop_Time))</f>
        <v>#DIV/0!</v>
      </c>
      <c r="AV51" s="21"/>
      <c r="AW51" s="20">
        <f>Master[[#This Row],[RSP StopTime override]]-Master[[#This Row],[Avg stop time helper]]</f>
        <v>0</v>
      </c>
    </row>
    <row r="52" spans="1:49" x14ac:dyDescent="0.3">
      <c r="A52" s="66" t="s">
        <v>3850</v>
      </c>
      <c r="B52" s="58">
        <v>6</v>
      </c>
      <c r="C52" s="58" t="s">
        <v>35</v>
      </c>
      <c r="D52" s="65">
        <v>99161</v>
      </c>
      <c r="E52" s="65" t="s">
        <v>2353</v>
      </c>
      <c r="F52" s="65" t="s">
        <v>3577</v>
      </c>
      <c r="G52" s="65" t="s">
        <v>3435</v>
      </c>
      <c r="H52" s="65" t="s">
        <v>7</v>
      </c>
      <c r="I52" s="65" t="s">
        <v>1655</v>
      </c>
      <c r="J52" s="65" t="s">
        <v>5</v>
      </c>
      <c r="K52" s="65" t="s">
        <v>1654</v>
      </c>
      <c r="L52" s="64" t="s">
        <v>67</v>
      </c>
      <c r="M52" s="58" t="s">
        <v>3</v>
      </c>
      <c r="N52" s="58" t="s">
        <v>2</v>
      </c>
      <c r="O52" s="58">
        <v>86</v>
      </c>
      <c r="P52" s="58">
        <v>0</v>
      </c>
      <c r="Q52" s="58">
        <v>86</v>
      </c>
      <c r="R52" s="58">
        <v>0</v>
      </c>
      <c r="S52" s="58">
        <v>0</v>
      </c>
      <c r="T52" s="58">
        <v>0</v>
      </c>
      <c r="U52" s="58">
        <v>2</v>
      </c>
      <c r="V52" s="62"/>
      <c r="W52" s="62"/>
      <c r="X52" s="63">
        <f>IFERROR(1 -(Master[[#This Row],[Avg Garment Scans per Delivery]]/Master[[#This Row],[Garment Inventory]]), 0)</f>
        <v>0</v>
      </c>
      <c r="Y52" s="62"/>
      <c r="Z52" s="62"/>
      <c r="AA52" s="53">
        <v>40.72</v>
      </c>
      <c r="AB52" s="53">
        <v>40.72</v>
      </c>
      <c r="AC52" s="53">
        <v>65.069999999999993</v>
      </c>
      <c r="AD52" s="53">
        <v>65.069999999999993</v>
      </c>
      <c r="AE52" s="53" t="str">
        <f>_xlfn.XLOOKUP(Master[[#This Row],[cu_id]],'[1]Customer Revenue'!$Q:$Q,'[1]Customer Revenue'!$K:$K, "None")</f>
        <v>None</v>
      </c>
      <c r="AF52" s="53" t="str">
        <f>_xlfn.XLOOKUP(Master[[#This Row],[cu_id]],'[1]Customer Revenue'!$Q:$Q,'[1]Customer Revenue'!$L:$L, "None")</f>
        <v>None</v>
      </c>
      <c r="AG52" s="53">
        <v>40.72</v>
      </c>
      <c r="AH52" s="53">
        <v>40.72</v>
      </c>
      <c r="AI52" s="53">
        <v>40.72</v>
      </c>
      <c r="AJ52" s="53">
        <v>65.069999999999993</v>
      </c>
      <c r="AK52" s="53" t="str">
        <f>_xlfn.XLOOKUP(Master[[#This Row],[cu_id]],'[1]Customer Revenue'!$Q:$Q,'[1]Customer Revenue'!$I:$I, "None")</f>
        <v>None</v>
      </c>
      <c r="AL52" s="53">
        <v>40.72</v>
      </c>
      <c r="AM52" s="61">
        <v>0.25</v>
      </c>
      <c r="AN52" s="60">
        <v>0.5</v>
      </c>
      <c r="AO52" s="60" t="s">
        <v>36</v>
      </c>
      <c r="AP52" s="60" t="s">
        <v>36</v>
      </c>
      <c r="AQ52" s="58" t="s">
        <v>0</v>
      </c>
      <c r="AR52" s="58"/>
      <c r="AS52" s="58"/>
      <c r="AT52" s="52">
        <v>0</v>
      </c>
      <c r="AU52" s="52" t="e">
        <f>IF(Master[[#This Row],[RSP StopTime override]] &lt;&gt; "",Master[[#This Row],[RSP StopTime override]],IF(Master[[#This Row],[Avg stop time helper]] &lt;&gt; 0, Master[[#This Row],[Avg stop time helper]],Average_Stop_Time))</f>
        <v>#DIV/0!</v>
      </c>
      <c r="AV52" s="21"/>
      <c r="AW52" s="20">
        <f>Master[[#This Row],[RSP StopTime override]]-Master[[#This Row],[Avg stop time helper]]</f>
        <v>0</v>
      </c>
    </row>
    <row r="53" spans="1:49" x14ac:dyDescent="0.3">
      <c r="A53" s="66" t="s">
        <v>3852</v>
      </c>
      <c r="B53" s="58">
        <v>6</v>
      </c>
      <c r="C53" s="58" t="s">
        <v>35</v>
      </c>
      <c r="D53" s="65">
        <v>99161</v>
      </c>
      <c r="E53" s="65" t="s">
        <v>3434</v>
      </c>
      <c r="F53" s="65" t="s">
        <v>3578</v>
      </c>
      <c r="G53" s="65" t="s">
        <v>3433</v>
      </c>
      <c r="H53" s="65" t="s">
        <v>7</v>
      </c>
      <c r="I53" s="65" t="s">
        <v>2394</v>
      </c>
      <c r="J53" s="65" t="s">
        <v>5</v>
      </c>
      <c r="K53" s="65" t="s">
        <v>2393</v>
      </c>
      <c r="L53" s="64" t="s">
        <v>67</v>
      </c>
      <c r="M53" s="58" t="s">
        <v>3</v>
      </c>
      <c r="N53" s="58" t="s">
        <v>2</v>
      </c>
      <c r="O53" s="58">
        <v>1</v>
      </c>
      <c r="P53" s="58">
        <v>0</v>
      </c>
      <c r="Q53" s="58">
        <v>1</v>
      </c>
      <c r="R53" s="58">
        <v>0</v>
      </c>
      <c r="S53" s="58">
        <v>0</v>
      </c>
      <c r="T53" s="58">
        <v>0</v>
      </c>
      <c r="U53" s="58">
        <v>4</v>
      </c>
      <c r="V53" s="62"/>
      <c r="W53" s="62"/>
      <c r="X53" s="63">
        <f>IFERROR(1 -(Master[[#This Row],[Avg Garment Scans per Delivery]]/Master[[#This Row],[Garment Inventory]]), 0)</f>
        <v>0</v>
      </c>
      <c r="Y53" s="62"/>
      <c r="Z53" s="62"/>
      <c r="AA53" s="53">
        <v>575.77</v>
      </c>
      <c r="AB53" s="53">
        <v>575.77</v>
      </c>
      <c r="AC53" s="53"/>
      <c r="AD53" s="53"/>
      <c r="AE53" s="53" t="str">
        <f>_xlfn.XLOOKUP(Master[[#This Row],[cu_id]],'[1]Customer Revenue'!$Q:$Q,'[1]Customer Revenue'!$K:$K, "None")</f>
        <v>None</v>
      </c>
      <c r="AF53" s="53" t="str">
        <f>_xlfn.XLOOKUP(Master[[#This Row],[cu_id]],'[1]Customer Revenue'!$Q:$Q,'[1]Customer Revenue'!$L:$L, "None")</f>
        <v>None</v>
      </c>
      <c r="AG53" s="53">
        <v>575.77</v>
      </c>
      <c r="AH53" s="53">
        <v>575.77</v>
      </c>
      <c r="AI53" s="53">
        <v>575.77</v>
      </c>
      <c r="AJ53" s="53"/>
      <c r="AK53" s="53" t="str">
        <f>_xlfn.XLOOKUP(Master[[#This Row],[cu_id]],'[1]Customer Revenue'!$Q:$Q,'[1]Customer Revenue'!$I:$I, "None")</f>
        <v>None</v>
      </c>
      <c r="AL53" s="53">
        <v>575.77</v>
      </c>
      <c r="AM53" s="61">
        <v>0.25</v>
      </c>
      <c r="AN53" s="60">
        <v>0.5</v>
      </c>
      <c r="AO53" s="60" t="s">
        <v>36</v>
      </c>
      <c r="AP53" s="60" t="s">
        <v>36</v>
      </c>
      <c r="AQ53" s="58" t="s">
        <v>0</v>
      </c>
      <c r="AR53" s="58"/>
      <c r="AS53" s="58"/>
      <c r="AT53" s="52">
        <v>0</v>
      </c>
      <c r="AU53" s="52" t="e">
        <f>IF(Master[[#This Row],[RSP StopTime override]] &lt;&gt; "",Master[[#This Row],[RSP StopTime override]],IF(Master[[#This Row],[Avg stop time helper]] &lt;&gt; 0, Master[[#This Row],[Avg stop time helper]],Average_Stop_Time))</f>
        <v>#DIV/0!</v>
      </c>
      <c r="AV53" s="21"/>
      <c r="AW53" s="20">
        <f>Master[[#This Row],[RSP StopTime override]]-Master[[#This Row],[Avg stop time helper]]</f>
        <v>0</v>
      </c>
    </row>
    <row r="54" spans="1:49" x14ac:dyDescent="0.3">
      <c r="A54" s="66" t="s">
        <v>3854</v>
      </c>
      <c r="B54" s="58">
        <v>6</v>
      </c>
      <c r="C54" s="58" t="s">
        <v>35</v>
      </c>
      <c r="D54" s="65">
        <v>99161</v>
      </c>
      <c r="E54" s="65" t="s">
        <v>3432</v>
      </c>
      <c r="F54" s="65" t="s">
        <v>3579</v>
      </c>
      <c r="G54" s="65" t="s">
        <v>3431</v>
      </c>
      <c r="H54" s="65" t="s">
        <v>7</v>
      </c>
      <c r="I54" s="65" t="s">
        <v>2412</v>
      </c>
      <c r="J54" s="65" t="s">
        <v>5</v>
      </c>
      <c r="K54" s="65" t="s">
        <v>1636</v>
      </c>
      <c r="L54" s="64" t="s">
        <v>67</v>
      </c>
      <c r="M54" s="58" t="s">
        <v>3</v>
      </c>
      <c r="N54" s="58" t="s">
        <v>2</v>
      </c>
      <c r="O54" s="58">
        <v>1</v>
      </c>
      <c r="P54" s="58">
        <v>0</v>
      </c>
      <c r="Q54" s="58">
        <v>1</v>
      </c>
      <c r="R54" s="58">
        <v>0</v>
      </c>
      <c r="S54" s="58">
        <v>0</v>
      </c>
      <c r="T54" s="58">
        <v>0</v>
      </c>
      <c r="U54" s="58">
        <v>6</v>
      </c>
      <c r="V54" s="62"/>
      <c r="W54" s="62"/>
      <c r="X54" s="63">
        <f>IFERROR(1 -(Master[[#This Row],[Avg Garment Scans per Delivery]]/Master[[#This Row],[Garment Inventory]]), 0)</f>
        <v>0</v>
      </c>
      <c r="Y54" s="62"/>
      <c r="Z54" s="62"/>
      <c r="AA54" s="53">
        <v>22.010000000000005</v>
      </c>
      <c r="AB54" s="53">
        <v>60.53</v>
      </c>
      <c r="AC54" s="53">
        <v>6.5999999999999988</v>
      </c>
      <c r="AD54" s="53">
        <v>16.510000000000002</v>
      </c>
      <c r="AE54" s="53" t="str">
        <f>_xlfn.XLOOKUP(Master[[#This Row],[cu_id]],'[1]Customer Revenue'!$Q:$Q,'[1]Customer Revenue'!$K:$K, "None")</f>
        <v>None</v>
      </c>
      <c r="AF54" s="53" t="str">
        <f>_xlfn.XLOOKUP(Master[[#This Row],[cu_id]],'[1]Customer Revenue'!$Q:$Q,'[1]Customer Revenue'!$L:$L, "None")</f>
        <v>None</v>
      </c>
      <c r="AG54" s="53">
        <v>35.513750000000002</v>
      </c>
      <c r="AH54" s="53">
        <v>62.521249999999995</v>
      </c>
      <c r="AI54" s="53">
        <v>41.27</v>
      </c>
      <c r="AJ54" s="53">
        <v>11.555</v>
      </c>
      <c r="AK54" s="53" t="str">
        <f>_xlfn.XLOOKUP(Master[[#This Row],[cu_id]],'[1]Customer Revenue'!$Q:$Q,'[1]Customer Revenue'!$I:$I, "None")</f>
        <v>None</v>
      </c>
      <c r="AL54" s="53">
        <v>49.017499999999998</v>
      </c>
      <c r="AM54" s="61">
        <v>0.25</v>
      </c>
      <c r="AN54" s="60">
        <v>0.5</v>
      </c>
      <c r="AO54" s="60" t="s">
        <v>36</v>
      </c>
      <c r="AP54" s="60" t="s">
        <v>36</v>
      </c>
      <c r="AQ54" s="58" t="s">
        <v>0</v>
      </c>
      <c r="AR54" s="58"/>
      <c r="AS54" s="58"/>
      <c r="AT54" s="52">
        <v>0</v>
      </c>
      <c r="AU54" s="52" t="e">
        <f>IF(Master[[#This Row],[RSP StopTime override]] &lt;&gt; "",Master[[#This Row],[RSP StopTime override]],IF(Master[[#This Row],[Avg stop time helper]] &lt;&gt; 0, Master[[#This Row],[Avg stop time helper]],Average_Stop_Time))</f>
        <v>#DIV/0!</v>
      </c>
      <c r="AV54" s="21"/>
      <c r="AW54" s="20">
        <f>Master[[#This Row],[RSP StopTime override]]-Master[[#This Row],[Avg stop time helper]]</f>
        <v>0</v>
      </c>
    </row>
    <row r="55" spans="1:49" x14ac:dyDescent="0.3">
      <c r="A55" s="66" t="s">
        <v>3856</v>
      </c>
      <c r="B55" s="58">
        <v>6</v>
      </c>
      <c r="C55" s="58" t="s">
        <v>35</v>
      </c>
      <c r="D55" s="65">
        <v>99161</v>
      </c>
      <c r="E55" s="65" t="s">
        <v>3386</v>
      </c>
      <c r="F55" s="65" t="s">
        <v>3580</v>
      </c>
      <c r="G55" s="65" t="s">
        <v>3430</v>
      </c>
      <c r="H55" s="65" t="s">
        <v>7</v>
      </c>
      <c r="I55" s="65" t="s">
        <v>1655</v>
      </c>
      <c r="J55" s="65" t="s">
        <v>5</v>
      </c>
      <c r="K55" s="65" t="s">
        <v>1654</v>
      </c>
      <c r="L55" s="64" t="s">
        <v>67</v>
      </c>
      <c r="M55" s="58" t="s">
        <v>3</v>
      </c>
      <c r="N55" s="58" t="s">
        <v>2</v>
      </c>
      <c r="O55" s="58">
        <v>1</v>
      </c>
      <c r="P55" s="58">
        <v>0</v>
      </c>
      <c r="Q55" s="58">
        <v>1</v>
      </c>
      <c r="R55" s="58">
        <v>0</v>
      </c>
      <c r="S55" s="58">
        <v>0</v>
      </c>
      <c r="T55" s="58">
        <v>0</v>
      </c>
      <c r="U55" s="58">
        <v>1</v>
      </c>
      <c r="V55" s="62"/>
      <c r="W55" s="62"/>
      <c r="X55" s="63">
        <f>IFERROR(1 -(Master[[#This Row],[Avg Garment Scans per Delivery]]/Master[[#This Row],[Garment Inventory]]), 0)</f>
        <v>0</v>
      </c>
      <c r="Y55" s="62"/>
      <c r="Z55" s="62"/>
      <c r="AA55" s="53"/>
      <c r="AB55" s="53"/>
      <c r="AC55" s="53"/>
      <c r="AD55" s="53"/>
      <c r="AE55" s="53" t="str">
        <f>_xlfn.XLOOKUP(Master[[#This Row],[cu_id]],'[1]Customer Revenue'!$Q:$Q,'[1]Customer Revenue'!$K:$K, "None")</f>
        <v>None</v>
      </c>
      <c r="AF55" s="53" t="str">
        <f>_xlfn.XLOOKUP(Master[[#This Row],[cu_id]],'[1]Customer Revenue'!$Q:$Q,'[1]Customer Revenue'!$L:$L, "None")</f>
        <v>None</v>
      </c>
      <c r="AG55" s="53"/>
      <c r="AH55" s="53"/>
      <c r="AI55" s="53"/>
      <c r="AJ55" s="53"/>
      <c r="AK55" s="53" t="str">
        <f>_xlfn.XLOOKUP(Master[[#This Row],[cu_id]],'[1]Customer Revenue'!$Q:$Q,'[1]Customer Revenue'!$I:$I, "None")</f>
        <v>None</v>
      </c>
      <c r="AL55" s="53"/>
      <c r="AM55" s="61">
        <v>0.25</v>
      </c>
      <c r="AN55" s="60">
        <v>0.5</v>
      </c>
      <c r="AO55" s="60" t="s">
        <v>36</v>
      </c>
      <c r="AP55" s="60" t="s">
        <v>36</v>
      </c>
      <c r="AQ55" s="58" t="s">
        <v>0</v>
      </c>
      <c r="AR55" s="58"/>
      <c r="AS55" s="58"/>
      <c r="AT55" s="52">
        <v>0</v>
      </c>
      <c r="AU55" s="52" t="e">
        <f>IF(Master[[#This Row],[RSP StopTime override]] &lt;&gt; "",Master[[#This Row],[RSP StopTime override]],IF(Master[[#This Row],[Avg stop time helper]] &lt;&gt; 0, Master[[#This Row],[Avg stop time helper]],Average_Stop_Time))</f>
        <v>#DIV/0!</v>
      </c>
      <c r="AV55" s="21"/>
      <c r="AW55" s="20">
        <f>Master[[#This Row],[RSP StopTime override]]-Master[[#This Row],[Avg stop time helper]]</f>
        <v>0</v>
      </c>
    </row>
    <row r="56" spans="1:49" x14ac:dyDescent="0.3">
      <c r="A56" s="66" t="s">
        <v>4178</v>
      </c>
      <c r="B56" s="58">
        <v>6</v>
      </c>
      <c r="C56" s="58" t="s">
        <v>35</v>
      </c>
      <c r="D56" s="65">
        <v>512008</v>
      </c>
      <c r="E56" s="65" t="s">
        <v>42</v>
      </c>
      <c r="F56" s="65" t="s">
        <v>3428</v>
      </c>
      <c r="G56" s="65" t="s">
        <v>3427</v>
      </c>
      <c r="H56" s="65" t="s">
        <v>32</v>
      </c>
      <c r="I56" s="65" t="s">
        <v>3415</v>
      </c>
      <c r="J56" s="65" t="s">
        <v>5</v>
      </c>
      <c r="K56" s="65" t="s">
        <v>1636</v>
      </c>
      <c r="L56" s="64" t="s">
        <v>67</v>
      </c>
      <c r="M56" s="58" t="s">
        <v>3</v>
      </c>
      <c r="N56" s="58" t="s">
        <v>2</v>
      </c>
      <c r="O56" s="58">
        <v>75</v>
      </c>
      <c r="P56" s="58">
        <v>0</v>
      </c>
      <c r="Q56" s="58">
        <v>75</v>
      </c>
      <c r="R56" s="58">
        <v>0</v>
      </c>
      <c r="S56" s="58">
        <v>0</v>
      </c>
      <c r="T56" s="58">
        <v>0</v>
      </c>
      <c r="U56" s="58">
        <v>51</v>
      </c>
      <c r="V56" s="62"/>
      <c r="W56" s="62"/>
      <c r="X56" s="63">
        <f>IFERROR(1 -(Master[[#This Row],[Avg Garment Scans per Delivery]]/Master[[#This Row],[Garment Inventory]]), 0)</f>
        <v>0</v>
      </c>
      <c r="Y56" s="62"/>
      <c r="Z56" s="62"/>
      <c r="AA56" s="53">
        <v>44.067633136094678</v>
      </c>
      <c r="AB56" s="53">
        <v>47.186213017751477</v>
      </c>
      <c r="AC56" s="53">
        <v>48.043372781065088</v>
      </c>
      <c r="AD56" s="53">
        <v>50.395088757396451</v>
      </c>
      <c r="AE56" s="53" t="str">
        <f>_xlfn.XLOOKUP(Master[[#This Row],[cu_id]],'[1]Customer Revenue'!$Q:$Q,'[1]Customer Revenue'!$K:$K, "None")</f>
        <v>None</v>
      </c>
      <c r="AF56" s="53" t="str">
        <f>_xlfn.XLOOKUP(Master[[#This Row],[cu_id]],'[1]Customer Revenue'!$Q:$Q,'[1]Customer Revenue'!$L:$L, "None")</f>
        <v>None</v>
      </c>
      <c r="AG56" s="53">
        <v>43.970177514792901</v>
      </c>
      <c r="AH56" s="53">
        <v>46.016745562130176</v>
      </c>
      <c r="AI56" s="53">
        <v>45.626923076923077</v>
      </c>
      <c r="AJ56" s="53">
        <v>49.219230769230769</v>
      </c>
      <c r="AK56" s="53" t="str">
        <f>_xlfn.XLOOKUP(Master[[#This Row],[cu_id]],'[1]Customer Revenue'!$Q:$Q,'[1]Customer Revenue'!$I:$I, "None")</f>
        <v>None</v>
      </c>
      <c r="AL56" s="53">
        <v>44.993461538461538</v>
      </c>
      <c r="AM56" s="61">
        <v>0.33333333333333331</v>
      </c>
      <c r="AN56" s="60">
        <v>0.70833333333333337</v>
      </c>
      <c r="AO56" s="60" t="s">
        <v>36</v>
      </c>
      <c r="AP56" s="60" t="s">
        <v>36</v>
      </c>
      <c r="AQ56" s="58" t="s">
        <v>0</v>
      </c>
      <c r="AR56" s="58"/>
      <c r="AS56" s="58"/>
      <c r="AT56" s="52">
        <v>0</v>
      </c>
      <c r="AU56" s="52" t="e">
        <f>IF(Master[[#This Row],[RSP StopTime override]] &lt;&gt; "",Master[[#This Row],[RSP StopTime override]],IF(Master[[#This Row],[Avg stop time helper]] &lt;&gt; 0, Master[[#This Row],[Avg stop time helper]],Average_Stop_Time))</f>
        <v>#DIV/0!</v>
      </c>
      <c r="AV56" s="21"/>
      <c r="AW56" s="20">
        <f>Master[[#This Row],[RSP StopTime override]]-Master[[#This Row],[Avg stop time helper]]</f>
        <v>0</v>
      </c>
    </row>
    <row r="57" spans="1:49" x14ac:dyDescent="0.3">
      <c r="A57" s="66" t="s">
        <v>4179</v>
      </c>
      <c r="B57" s="58">
        <v>6</v>
      </c>
      <c r="C57" s="58" t="s">
        <v>35</v>
      </c>
      <c r="D57" s="65">
        <v>521551</v>
      </c>
      <c r="E57" s="65" t="s">
        <v>42</v>
      </c>
      <c r="F57" s="65" t="s">
        <v>3426</v>
      </c>
      <c r="G57" s="65" t="s">
        <v>3425</v>
      </c>
      <c r="H57" s="65" t="s">
        <v>32</v>
      </c>
      <c r="I57" s="65" t="s">
        <v>3412</v>
      </c>
      <c r="J57" s="65" t="s">
        <v>5</v>
      </c>
      <c r="K57" s="65" t="s">
        <v>2393</v>
      </c>
      <c r="L57" s="64" t="s">
        <v>77</v>
      </c>
      <c r="M57" s="58" t="s">
        <v>29</v>
      </c>
      <c r="N57" s="58" t="s">
        <v>2</v>
      </c>
      <c r="O57" s="58">
        <v>180</v>
      </c>
      <c r="P57" s="58">
        <v>0</v>
      </c>
      <c r="Q57" s="58">
        <v>180</v>
      </c>
      <c r="R57" s="58">
        <v>0</v>
      </c>
      <c r="S57" s="58">
        <v>0</v>
      </c>
      <c r="T57" s="58">
        <v>0</v>
      </c>
      <c r="U57" s="58">
        <v>26</v>
      </c>
      <c r="V57" s="62"/>
      <c r="W57" s="62"/>
      <c r="X57" s="63">
        <f>IFERROR(1 -(Master[[#This Row],[Avg Garment Scans per Delivery]]/Master[[#This Row],[Garment Inventory]]), 0)</f>
        <v>0</v>
      </c>
      <c r="Y57" s="62"/>
      <c r="Z57" s="62"/>
      <c r="AA57" s="53">
        <v>37.869999999999997</v>
      </c>
      <c r="AB57" s="53">
        <v>39.119999999999997</v>
      </c>
      <c r="AC57" s="53">
        <v>39.99285714285714</v>
      </c>
      <c r="AD57" s="53">
        <v>42.50714285714286</v>
      </c>
      <c r="AE57" s="53" t="str">
        <f>_xlfn.XLOOKUP(Master[[#This Row],[cu_id]],'[1]Customer Revenue'!$Q:$Q,'[1]Customer Revenue'!$K:$K, "None")</f>
        <v>None</v>
      </c>
      <c r="AF57" s="53" t="str">
        <f>_xlfn.XLOOKUP(Master[[#This Row],[cu_id]],'[1]Customer Revenue'!$Q:$Q,'[1]Customer Revenue'!$L:$L, "None")</f>
        <v>None</v>
      </c>
      <c r="AG57" s="53">
        <v>36.890118343195269</v>
      </c>
      <c r="AH57" s="53">
        <v>38.557573964497038</v>
      </c>
      <c r="AI57" s="53">
        <v>38.494999999999997</v>
      </c>
      <c r="AJ57" s="53">
        <v>41.25</v>
      </c>
      <c r="AK57" s="53" t="str">
        <f>_xlfn.XLOOKUP(Master[[#This Row],[cu_id]],'[1]Customer Revenue'!$Q:$Q,'[1]Customer Revenue'!$I:$I, "None")</f>
        <v>None</v>
      </c>
      <c r="AL57" s="53">
        <v>37.723846153846154</v>
      </c>
      <c r="AM57" s="61">
        <v>0.33333333333333331</v>
      </c>
      <c r="AN57" s="60">
        <v>0.66666666666666663</v>
      </c>
      <c r="AO57" s="60" t="s">
        <v>36</v>
      </c>
      <c r="AP57" s="60" t="s">
        <v>36</v>
      </c>
      <c r="AQ57" s="58" t="s">
        <v>0</v>
      </c>
      <c r="AR57" s="58"/>
      <c r="AS57" s="58"/>
      <c r="AT57" s="52">
        <v>0</v>
      </c>
      <c r="AU57" s="52" t="e">
        <f>IF(Master[[#This Row],[RSP StopTime override]] &lt;&gt; "",Master[[#This Row],[RSP StopTime override]],IF(Master[[#This Row],[Avg stop time helper]] &lt;&gt; 0, Master[[#This Row],[Avg stop time helper]],Average_Stop_Time))</f>
        <v>#DIV/0!</v>
      </c>
      <c r="AV57" s="21"/>
      <c r="AW57" s="20">
        <f>Master[[#This Row],[RSP StopTime override]]-Master[[#This Row],[Avg stop time helper]]</f>
        <v>0</v>
      </c>
    </row>
    <row r="58" spans="1:49" x14ac:dyDescent="0.3">
      <c r="A58" s="66" t="s">
        <v>3858</v>
      </c>
      <c r="B58" s="58">
        <v>12</v>
      </c>
      <c r="C58" s="58" t="s">
        <v>35</v>
      </c>
      <c r="D58" s="65">
        <v>526639</v>
      </c>
      <c r="E58" s="65" t="s">
        <v>42</v>
      </c>
      <c r="F58" s="65" t="s">
        <v>3424</v>
      </c>
      <c r="G58" s="65" t="s">
        <v>3423</v>
      </c>
      <c r="H58" s="65" t="s">
        <v>32</v>
      </c>
      <c r="I58" s="65" t="s">
        <v>3422</v>
      </c>
      <c r="J58" s="65" t="s">
        <v>5</v>
      </c>
      <c r="K58" s="65">
        <v>49548</v>
      </c>
      <c r="L58" s="64" t="s">
        <v>145</v>
      </c>
      <c r="M58" s="58" t="s">
        <v>123</v>
      </c>
      <c r="N58" s="58" t="s">
        <v>144</v>
      </c>
      <c r="O58" s="58">
        <v>1</v>
      </c>
      <c r="P58" s="58">
        <v>0</v>
      </c>
      <c r="Q58" s="58">
        <v>1</v>
      </c>
      <c r="R58" s="58">
        <v>0</v>
      </c>
      <c r="S58" s="58">
        <v>0</v>
      </c>
      <c r="T58" s="58">
        <v>0</v>
      </c>
      <c r="U58" s="58">
        <v>2</v>
      </c>
      <c r="V58" s="62"/>
      <c r="W58" s="62"/>
      <c r="X58" s="63">
        <f>IFERROR(1 -(Master[[#This Row],[Avg Garment Scans per Delivery]]/Master[[#This Row],[Garment Inventory]]), 0)</f>
        <v>0</v>
      </c>
      <c r="Y58" s="62"/>
      <c r="Z58" s="62"/>
      <c r="AA58" s="53">
        <v>259.22000000000003</v>
      </c>
      <c r="AB58" s="53">
        <v>259.22000000000003</v>
      </c>
      <c r="AC58" s="53">
        <v>427.22</v>
      </c>
      <c r="AD58" s="53">
        <v>427.22</v>
      </c>
      <c r="AE58" s="53" t="str">
        <f>_xlfn.XLOOKUP(Master[[#This Row],[cu_id]],'[1]Customer Revenue'!$Q:$Q,'[1]Customer Revenue'!$K:$K, "None")</f>
        <v>None</v>
      </c>
      <c r="AF58" s="53" t="str">
        <f>_xlfn.XLOOKUP(Master[[#This Row],[cu_id]],'[1]Customer Revenue'!$Q:$Q,'[1]Customer Revenue'!$L:$L, "None")</f>
        <v>None</v>
      </c>
      <c r="AG58" s="53">
        <v>259.22000000000003</v>
      </c>
      <c r="AH58" s="53">
        <v>259.22000000000003</v>
      </c>
      <c r="AI58" s="53">
        <v>259.22000000000003</v>
      </c>
      <c r="AJ58" s="53">
        <v>427.22</v>
      </c>
      <c r="AK58" s="53" t="str">
        <f>_xlfn.XLOOKUP(Master[[#This Row],[cu_id]],'[1]Customer Revenue'!$Q:$Q,'[1]Customer Revenue'!$I:$I, "None")</f>
        <v>None</v>
      </c>
      <c r="AL58" s="53">
        <v>259.22000000000003</v>
      </c>
      <c r="AM58" s="61" t="s">
        <v>36</v>
      </c>
      <c r="AN58" s="60" t="s">
        <v>36</v>
      </c>
      <c r="AO58" s="60" t="s">
        <v>36</v>
      </c>
      <c r="AP58" s="60" t="s">
        <v>36</v>
      </c>
      <c r="AQ58" s="58" t="s">
        <v>0</v>
      </c>
      <c r="AR58" s="58"/>
      <c r="AS58" s="58"/>
      <c r="AT58" s="52">
        <v>0</v>
      </c>
      <c r="AU58" s="52" t="e">
        <f>IF(Master[[#This Row],[RSP StopTime override]] &lt;&gt; "",Master[[#This Row],[RSP StopTime override]],IF(Master[[#This Row],[Avg stop time helper]] &lt;&gt; 0, Master[[#This Row],[Avg stop time helper]],Average_Stop_Time))</f>
        <v>#DIV/0!</v>
      </c>
      <c r="AV58" s="21"/>
      <c r="AW58" s="20">
        <f>Master[[#This Row],[RSP StopTime override]]-Master[[#This Row],[Avg stop time helper]]</f>
        <v>0</v>
      </c>
    </row>
    <row r="59" spans="1:49" x14ac:dyDescent="0.3">
      <c r="A59" s="66" t="s">
        <v>4180</v>
      </c>
      <c r="B59" s="58">
        <v>6</v>
      </c>
      <c r="C59" s="58" t="s">
        <v>35</v>
      </c>
      <c r="D59" s="65">
        <v>528081</v>
      </c>
      <c r="E59" s="65" t="s">
        <v>42</v>
      </c>
      <c r="F59" s="65" t="s">
        <v>3421</v>
      </c>
      <c r="G59" s="65" t="s">
        <v>3420</v>
      </c>
      <c r="H59" s="65" t="s">
        <v>32</v>
      </c>
      <c r="I59" s="65" t="s">
        <v>3412</v>
      </c>
      <c r="J59" s="65" t="s">
        <v>5</v>
      </c>
      <c r="K59" s="65" t="s">
        <v>2393</v>
      </c>
      <c r="L59" s="64" t="s">
        <v>77</v>
      </c>
      <c r="M59" s="58" t="s">
        <v>29</v>
      </c>
      <c r="N59" s="58" t="s">
        <v>2</v>
      </c>
      <c r="O59" s="58">
        <v>165</v>
      </c>
      <c r="P59" s="58">
        <v>0</v>
      </c>
      <c r="Q59" s="58">
        <v>165</v>
      </c>
      <c r="R59" s="58">
        <v>0</v>
      </c>
      <c r="S59" s="58">
        <v>0</v>
      </c>
      <c r="T59" s="58">
        <v>0</v>
      </c>
      <c r="U59" s="58">
        <v>25</v>
      </c>
      <c r="V59" s="62"/>
      <c r="W59" s="62"/>
      <c r="X59" s="63">
        <f>IFERROR(1 -(Master[[#This Row],[Avg Garment Scans per Delivery]]/Master[[#This Row],[Garment Inventory]]), 0)</f>
        <v>0</v>
      </c>
      <c r="Y59" s="62"/>
      <c r="Z59" s="62"/>
      <c r="AA59" s="53">
        <v>35.92</v>
      </c>
      <c r="AB59" s="53">
        <v>37.170000000000016</v>
      </c>
      <c r="AC59" s="53">
        <v>38.056326530612246</v>
      </c>
      <c r="AD59" s="53">
        <v>40.480816326530608</v>
      </c>
      <c r="AE59" s="53" t="str">
        <f>_xlfn.XLOOKUP(Master[[#This Row],[cu_id]],'[1]Customer Revenue'!$Q:$Q,'[1]Customer Revenue'!$K:$K, "None")</f>
        <v>None</v>
      </c>
      <c r="AF59" s="53" t="str">
        <f>_xlfn.XLOOKUP(Master[[#This Row],[cu_id]],'[1]Customer Revenue'!$Q:$Q,'[1]Customer Revenue'!$L:$L, "None")</f>
        <v>None</v>
      </c>
      <c r="AG59" s="53">
        <v>36.023550295857994</v>
      </c>
      <c r="AH59" s="53">
        <v>36.662603550295877</v>
      </c>
      <c r="AI59" s="53">
        <v>36.545000000000009</v>
      </c>
      <c r="AJ59" s="53">
        <v>39.268571428571427</v>
      </c>
      <c r="AK59" s="53" t="str">
        <f>_xlfn.XLOOKUP(Master[[#This Row],[cu_id]],'[1]Customer Revenue'!$Q:$Q,'[1]Customer Revenue'!$I:$I, "None")</f>
        <v>None</v>
      </c>
      <c r="AL59" s="53">
        <v>36.343076923076936</v>
      </c>
      <c r="AM59" s="61">
        <v>0.375</v>
      </c>
      <c r="AN59" s="60">
        <v>0.79166666666666663</v>
      </c>
      <c r="AO59" s="60" t="s">
        <v>36</v>
      </c>
      <c r="AP59" s="60" t="s">
        <v>36</v>
      </c>
      <c r="AQ59" s="58" t="s">
        <v>0</v>
      </c>
      <c r="AR59" s="58"/>
      <c r="AS59" s="58"/>
      <c r="AT59" s="52">
        <v>0</v>
      </c>
      <c r="AU59" s="52" t="e">
        <f>IF(Master[[#This Row],[RSP StopTime override]] &lt;&gt; "",Master[[#This Row],[RSP StopTime override]],IF(Master[[#This Row],[Avg stop time helper]] &lt;&gt; 0, Master[[#This Row],[Avg stop time helper]],Average_Stop_Time))</f>
        <v>#DIV/0!</v>
      </c>
      <c r="AV59" s="21"/>
      <c r="AW59" s="20">
        <f>Master[[#This Row],[RSP StopTime override]]-Master[[#This Row],[Avg stop time helper]]</f>
        <v>0</v>
      </c>
    </row>
    <row r="60" spans="1:49" x14ac:dyDescent="0.3">
      <c r="A60" s="66" t="s">
        <v>4181</v>
      </c>
      <c r="B60" s="58">
        <v>6</v>
      </c>
      <c r="C60" s="58" t="s">
        <v>35</v>
      </c>
      <c r="D60" s="65">
        <v>528200</v>
      </c>
      <c r="E60" s="65" t="s">
        <v>42</v>
      </c>
      <c r="F60" s="65" t="s">
        <v>3419</v>
      </c>
      <c r="G60" s="65" t="s">
        <v>3418</v>
      </c>
      <c r="H60" s="65" t="s">
        <v>32</v>
      </c>
      <c r="I60" s="65" t="s">
        <v>1690</v>
      </c>
      <c r="J60" s="65" t="s">
        <v>5</v>
      </c>
      <c r="K60" s="65" t="s">
        <v>1654</v>
      </c>
      <c r="L60" s="64">
        <v>3</v>
      </c>
      <c r="M60" s="58" t="s">
        <v>140</v>
      </c>
      <c r="N60" s="58" t="s">
        <v>2</v>
      </c>
      <c r="O60" s="58">
        <v>102</v>
      </c>
      <c r="P60" s="58">
        <v>0</v>
      </c>
      <c r="Q60" s="58">
        <v>102</v>
      </c>
      <c r="R60" s="58">
        <v>0</v>
      </c>
      <c r="S60" s="58">
        <v>0</v>
      </c>
      <c r="T60" s="58">
        <v>0</v>
      </c>
      <c r="U60" s="58">
        <v>13</v>
      </c>
      <c r="V60" s="62"/>
      <c r="W60" s="62"/>
      <c r="X60" s="63">
        <f>IFERROR(1 -(Master[[#This Row],[Avg Garment Scans per Delivery]]/Master[[#This Row],[Garment Inventory]]), 0)</f>
        <v>0</v>
      </c>
      <c r="Y60" s="62"/>
      <c r="Z60" s="62"/>
      <c r="AA60" s="53">
        <v>172.07000000000002</v>
      </c>
      <c r="AB60" s="53">
        <v>174.07000000000002</v>
      </c>
      <c r="AC60" s="53">
        <v>174.19888888888886</v>
      </c>
      <c r="AD60" s="53">
        <v>177.16777777777776</v>
      </c>
      <c r="AE60" s="53" t="str">
        <f>_xlfn.XLOOKUP(Master[[#This Row],[cu_id]],'[1]Customer Revenue'!$Q:$Q,'[1]Customer Revenue'!$K:$K, "None")</f>
        <v>None</v>
      </c>
      <c r="AF60" s="53" t="str">
        <f>_xlfn.XLOOKUP(Master[[#This Row],[cu_id]],'[1]Customer Revenue'!$Q:$Q,'[1]Customer Revenue'!$L:$L, "None")</f>
        <v>None</v>
      </c>
      <c r="AG60" s="53">
        <v>164.83530612244897</v>
      </c>
      <c r="AH60" s="53">
        <v>173.41897959183672</v>
      </c>
      <c r="AI60" s="53">
        <v>173.07000000000002</v>
      </c>
      <c r="AJ60" s="53">
        <v>175.68333333333331</v>
      </c>
      <c r="AK60" s="53" t="str">
        <f>_xlfn.XLOOKUP(Master[[#This Row],[cu_id]],'[1]Customer Revenue'!$Q:$Q,'[1]Customer Revenue'!$I:$I, "None")</f>
        <v>None</v>
      </c>
      <c r="AL60" s="53">
        <v>169.12714285714284</v>
      </c>
      <c r="AM60" s="61">
        <v>0.375</v>
      </c>
      <c r="AN60" s="60">
        <v>0.625</v>
      </c>
      <c r="AO60" s="60" t="s">
        <v>36</v>
      </c>
      <c r="AP60" s="60" t="s">
        <v>36</v>
      </c>
      <c r="AQ60" s="58" t="s">
        <v>0</v>
      </c>
      <c r="AR60" s="58"/>
      <c r="AS60" s="58"/>
      <c r="AT60" s="52">
        <v>0</v>
      </c>
      <c r="AU60" s="52" t="e">
        <f>IF(Master[[#This Row],[RSP StopTime override]] &lt;&gt; "",Master[[#This Row],[RSP StopTime override]],IF(Master[[#This Row],[Avg stop time helper]] &lt;&gt; 0, Master[[#This Row],[Avg stop time helper]],Average_Stop_Time))</f>
        <v>#DIV/0!</v>
      </c>
      <c r="AV60" s="21"/>
      <c r="AW60" s="20">
        <f>Master[[#This Row],[RSP StopTime override]]-Master[[#This Row],[Avg stop time helper]]</f>
        <v>0</v>
      </c>
    </row>
    <row r="61" spans="1:49" x14ac:dyDescent="0.3">
      <c r="A61" s="66" t="s">
        <v>4182</v>
      </c>
      <c r="B61" s="58">
        <v>6</v>
      </c>
      <c r="C61" s="58" t="s">
        <v>35</v>
      </c>
      <c r="D61" s="65">
        <v>528348</v>
      </c>
      <c r="E61" s="65" t="s">
        <v>42</v>
      </c>
      <c r="F61" s="65" t="s">
        <v>3417</v>
      </c>
      <c r="G61" s="65" t="s">
        <v>3416</v>
      </c>
      <c r="H61" s="65" t="s">
        <v>32</v>
      </c>
      <c r="I61" s="65" t="s">
        <v>3415</v>
      </c>
      <c r="J61" s="65" t="s">
        <v>5</v>
      </c>
      <c r="K61" s="65" t="s">
        <v>1636</v>
      </c>
      <c r="L61" s="64" t="s">
        <v>67</v>
      </c>
      <c r="M61" s="58" t="s">
        <v>3</v>
      </c>
      <c r="N61" s="58" t="s">
        <v>2</v>
      </c>
      <c r="O61" s="58">
        <v>205</v>
      </c>
      <c r="P61" s="58">
        <v>0</v>
      </c>
      <c r="Q61" s="58">
        <v>205</v>
      </c>
      <c r="R61" s="58">
        <v>0</v>
      </c>
      <c r="S61" s="58">
        <v>0</v>
      </c>
      <c r="T61" s="58">
        <v>0</v>
      </c>
      <c r="U61" s="58">
        <v>51</v>
      </c>
      <c r="V61" s="62">
        <v>50</v>
      </c>
      <c r="W61" s="62">
        <v>18</v>
      </c>
      <c r="X61" s="63">
        <f>IFERROR(1 -(Master[[#This Row],[Avg Garment Scans per Delivery]]/Master[[#This Row],[Garment Inventory]]), 0)</f>
        <v>0.64</v>
      </c>
      <c r="Y61" s="62">
        <v>1</v>
      </c>
      <c r="Z61" s="62">
        <v>54</v>
      </c>
      <c r="AA61" s="53">
        <v>53.946568047337273</v>
      </c>
      <c r="AB61" s="53">
        <v>86.362662721893486</v>
      </c>
      <c r="AC61" s="53">
        <v>62.625857988165677</v>
      </c>
      <c r="AD61" s="53">
        <v>105.68644970414201</v>
      </c>
      <c r="AE61" s="53" t="str">
        <f>_xlfn.XLOOKUP(Master[[#This Row],[cu_id]],'[1]Customer Revenue'!$Q:$Q,'[1]Customer Revenue'!$K:$K, "None")</f>
        <v>None</v>
      </c>
      <c r="AF61" s="53" t="str">
        <f>_xlfn.XLOOKUP(Master[[#This Row],[cu_id]],'[1]Customer Revenue'!$Q:$Q,'[1]Customer Revenue'!$L:$L, "None")</f>
        <v>None</v>
      </c>
      <c r="AG61" s="53">
        <v>53.119260355029581</v>
      </c>
      <c r="AH61" s="53">
        <v>88.719970414201185</v>
      </c>
      <c r="AI61" s="53">
        <v>70.154615384615383</v>
      </c>
      <c r="AJ61" s="53">
        <v>84.156153846153842</v>
      </c>
      <c r="AK61" s="53" t="str">
        <f>_xlfn.XLOOKUP(Master[[#This Row],[cu_id]],'[1]Customer Revenue'!$Q:$Q,'[1]Customer Revenue'!$I:$I, "None")</f>
        <v>None</v>
      </c>
      <c r="AL61" s="53">
        <v>70.919615384615383</v>
      </c>
      <c r="AM61" s="61">
        <v>0.375</v>
      </c>
      <c r="AN61" s="60">
        <v>0.75</v>
      </c>
      <c r="AO61" s="60" t="s">
        <v>36</v>
      </c>
      <c r="AP61" s="60" t="s">
        <v>36</v>
      </c>
      <c r="AQ61" s="58" t="s">
        <v>0</v>
      </c>
      <c r="AR61" s="58"/>
      <c r="AS61" s="58"/>
      <c r="AT61" s="52">
        <v>0</v>
      </c>
      <c r="AU61" s="52" t="e">
        <f>IF(Master[[#This Row],[RSP StopTime override]] &lt;&gt; "",Master[[#This Row],[RSP StopTime override]],IF(Master[[#This Row],[Avg stop time helper]] &lt;&gt; 0, Master[[#This Row],[Avg stop time helper]],Average_Stop_Time))</f>
        <v>#DIV/0!</v>
      </c>
      <c r="AV61" s="21"/>
      <c r="AW61" s="20">
        <f>Master[[#This Row],[RSP StopTime override]]-Master[[#This Row],[Avg stop time helper]]</f>
        <v>0</v>
      </c>
    </row>
    <row r="62" spans="1:49" x14ac:dyDescent="0.3">
      <c r="A62" s="66" t="s">
        <v>4183</v>
      </c>
      <c r="B62" s="58">
        <v>6</v>
      </c>
      <c r="C62" s="58" t="s">
        <v>35</v>
      </c>
      <c r="D62" s="65">
        <v>528745</v>
      </c>
      <c r="E62" s="65" t="s">
        <v>42</v>
      </c>
      <c r="F62" s="65" t="s">
        <v>3414</v>
      </c>
      <c r="G62" s="65" t="s">
        <v>3413</v>
      </c>
      <c r="H62" s="65" t="s">
        <v>32</v>
      </c>
      <c r="I62" s="65" t="s">
        <v>3412</v>
      </c>
      <c r="J62" s="65" t="s">
        <v>5</v>
      </c>
      <c r="K62" s="65" t="s">
        <v>2393</v>
      </c>
      <c r="L62" s="64" t="s">
        <v>124</v>
      </c>
      <c r="M62" s="58" t="s">
        <v>123</v>
      </c>
      <c r="N62" s="58" t="s">
        <v>2</v>
      </c>
      <c r="O62" s="58">
        <v>140</v>
      </c>
      <c r="P62" s="58">
        <v>0</v>
      </c>
      <c r="Q62" s="58">
        <v>140</v>
      </c>
      <c r="R62" s="58">
        <v>0</v>
      </c>
      <c r="S62" s="58">
        <v>0</v>
      </c>
      <c r="T62" s="58">
        <v>0</v>
      </c>
      <c r="U62" s="58">
        <v>13</v>
      </c>
      <c r="V62" s="62"/>
      <c r="W62" s="62"/>
      <c r="X62" s="63">
        <f>IFERROR(1 -(Master[[#This Row],[Avg Garment Scans per Delivery]]/Master[[#This Row],[Garment Inventory]]), 0)</f>
        <v>0</v>
      </c>
      <c r="Y62" s="62"/>
      <c r="Z62" s="62"/>
      <c r="AA62" s="53">
        <v>43.32</v>
      </c>
      <c r="AB62" s="53">
        <v>45.32</v>
      </c>
      <c r="AC62" s="53">
        <v>37.729999999999997</v>
      </c>
      <c r="AD62" s="53">
        <v>48.65</v>
      </c>
      <c r="AE62" s="53" t="str">
        <f>_xlfn.XLOOKUP(Master[[#This Row],[cu_id]],'[1]Customer Revenue'!$Q:$Q,'[1]Customer Revenue'!$K:$K, "None")</f>
        <v>None</v>
      </c>
      <c r="AF62" s="53" t="str">
        <f>_xlfn.XLOOKUP(Master[[#This Row],[cu_id]],'[1]Customer Revenue'!$Q:$Q,'[1]Customer Revenue'!$L:$L, "None")</f>
        <v>None</v>
      </c>
      <c r="AG62" s="53">
        <v>42.895555555555553</v>
      </c>
      <c r="AH62" s="53">
        <v>44.357777777777777</v>
      </c>
      <c r="AI62" s="53">
        <v>44.32</v>
      </c>
      <c r="AJ62" s="53">
        <v>43.19</v>
      </c>
      <c r="AK62" s="53" t="str">
        <f>_xlfn.XLOOKUP(Master[[#This Row],[cu_id]],'[1]Customer Revenue'!$Q:$Q,'[1]Customer Revenue'!$I:$I, "None")</f>
        <v>None</v>
      </c>
      <c r="AL62" s="53">
        <v>43.626666666666665</v>
      </c>
      <c r="AM62" s="61">
        <v>0.41666666666666669</v>
      </c>
      <c r="AN62" s="60">
        <v>0.75</v>
      </c>
      <c r="AO62" s="60" t="s">
        <v>36</v>
      </c>
      <c r="AP62" s="60" t="s">
        <v>36</v>
      </c>
      <c r="AQ62" s="58" t="s">
        <v>0</v>
      </c>
      <c r="AR62" s="58"/>
      <c r="AS62" s="58"/>
      <c r="AT62" s="52">
        <v>0</v>
      </c>
      <c r="AU62" s="52" t="e">
        <f>IF(Master[[#This Row],[RSP StopTime override]] &lt;&gt; "",Master[[#This Row],[RSP StopTime override]],IF(Master[[#This Row],[Avg stop time helper]] &lt;&gt; 0, Master[[#This Row],[Avg stop time helper]],Average_Stop_Time))</f>
        <v>#DIV/0!</v>
      </c>
      <c r="AV62" s="21"/>
      <c r="AW62" s="20">
        <f>Master[[#This Row],[RSP StopTime override]]-Master[[#This Row],[Avg stop time helper]]</f>
        <v>0</v>
      </c>
    </row>
    <row r="63" spans="1:49" x14ac:dyDescent="0.3">
      <c r="A63" s="66" t="s">
        <v>4184</v>
      </c>
      <c r="B63" s="58">
        <v>6</v>
      </c>
      <c r="C63" s="58" t="s">
        <v>35</v>
      </c>
      <c r="D63" s="65">
        <v>529793</v>
      </c>
      <c r="E63" s="65" t="s">
        <v>42</v>
      </c>
      <c r="F63" s="65" t="s">
        <v>3411</v>
      </c>
      <c r="G63" s="65" t="s">
        <v>3410</v>
      </c>
      <c r="H63" s="65" t="s">
        <v>7</v>
      </c>
      <c r="I63" s="65" t="s">
        <v>1655</v>
      </c>
      <c r="J63" s="65" t="s">
        <v>5</v>
      </c>
      <c r="K63" s="65" t="s">
        <v>1654</v>
      </c>
      <c r="L63" s="64" t="s">
        <v>67</v>
      </c>
      <c r="M63" s="58" t="s">
        <v>3</v>
      </c>
      <c r="N63" s="58" t="s">
        <v>2</v>
      </c>
      <c r="O63" s="58">
        <v>210</v>
      </c>
      <c r="P63" s="58">
        <v>0</v>
      </c>
      <c r="Q63" s="58">
        <v>210</v>
      </c>
      <c r="R63" s="58">
        <v>0</v>
      </c>
      <c r="S63" s="58">
        <v>0</v>
      </c>
      <c r="T63" s="58">
        <v>0</v>
      </c>
      <c r="U63" s="58">
        <v>52</v>
      </c>
      <c r="V63" s="62"/>
      <c r="W63" s="62"/>
      <c r="X63" s="63">
        <f>IFERROR(1 -(Master[[#This Row],[Avg Garment Scans per Delivery]]/Master[[#This Row],[Garment Inventory]]), 0)</f>
        <v>0</v>
      </c>
      <c r="Y63" s="62"/>
      <c r="Z63" s="62"/>
      <c r="AA63" s="53">
        <v>43.041834319526629</v>
      </c>
      <c r="AB63" s="53">
        <v>46.648934911242605</v>
      </c>
      <c r="AC63" s="53">
        <v>47.465384615384615</v>
      </c>
      <c r="AD63" s="53">
        <v>48.794615384615376</v>
      </c>
      <c r="AE63" s="53" t="str">
        <f>_xlfn.XLOOKUP(Master[[#This Row],[cu_id]],'[1]Customer Revenue'!$Q:$Q,'[1]Customer Revenue'!$K:$K, "None")</f>
        <v>None</v>
      </c>
      <c r="AF63" s="53" t="str">
        <f>_xlfn.XLOOKUP(Master[[#This Row],[cu_id]],'[1]Customer Revenue'!$Q:$Q,'[1]Customer Revenue'!$L:$L, "None")</f>
        <v>None</v>
      </c>
      <c r="AG63" s="53">
        <v>42.929112426035509</v>
      </c>
      <c r="AH63" s="53">
        <v>45.296272189349132</v>
      </c>
      <c r="AI63" s="53">
        <v>44.845384615384617</v>
      </c>
      <c r="AJ63" s="53">
        <v>48.129999999999995</v>
      </c>
      <c r="AK63" s="53" t="str">
        <f>_xlfn.XLOOKUP(Master[[#This Row],[cu_id]],'[1]Customer Revenue'!$Q:$Q,'[1]Customer Revenue'!$I:$I, "None")</f>
        <v>None</v>
      </c>
      <c r="AL63" s="53">
        <v>44.112692307692321</v>
      </c>
      <c r="AM63" s="61">
        <v>0.33333333333333331</v>
      </c>
      <c r="AN63" s="60">
        <v>0.70833333333333337</v>
      </c>
      <c r="AO63" s="60" t="s">
        <v>36</v>
      </c>
      <c r="AP63" s="60" t="s">
        <v>36</v>
      </c>
      <c r="AQ63" s="58" t="s">
        <v>0</v>
      </c>
      <c r="AR63" s="58"/>
      <c r="AS63" s="58"/>
      <c r="AT63" s="52">
        <v>0</v>
      </c>
      <c r="AU63" s="52" t="e">
        <f>IF(Master[[#This Row],[RSP StopTime override]] &lt;&gt; "",Master[[#This Row],[RSP StopTime override]],IF(Master[[#This Row],[Avg stop time helper]] &lt;&gt; 0, Master[[#This Row],[Avg stop time helper]],Average_Stop_Time))</f>
        <v>#DIV/0!</v>
      </c>
      <c r="AV63" s="21"/>
      <c r="AW63" s="20">
        <f>Master[[#This Row],[RSP StopTime override]]-Master[[#This Row],[Avg stop time helper]]</f>
        <v>0</v>
      </c>
    </row>
    <row r="64" spans="1:49" x14ac:dyDescent="0.3">
      <c r="A64" s="66" t="s">
        <v>4185</v>
      </c>
      <c r="B64" s="58">
        <v>6</v>
      </c>
      <c r="C64" s="58" t="s">
        <v>35</v>
      </c>
      <c r="D64" s="65">
        <v>530405</v>
      </c>
      <c r="E64" s="65" t="s">
        <v>686</v>
      </c>
      <c r="F64" s="65" t="s">
        <v>3409</v>
      </c>
      <c r="G64" s="65" t="s">
        <v>3408</v>
      </c>
      <c r="H64" s="65" t="s">
        <v>7</v>
      </c>
      <c r="I64" s="65" t="s">
        <v>2412</v>
      </c>
      <c r="J64" s="65" t="s">
        <v>5</v>
      </c>
      <c r="K64" s="65" t="s">
        <v>1636</v>
      </c>
      <c r="L64" s="64" t="s">
        <v>67</v>
      </c>
      <c r="M64" s="58" t="s">
        <v>3</v>
      </c>
      <c r="N64" s="58" t="s">
        <v>2</v>
      </c>
      <c r="O64" s="58">
        <v>105</v>
      </c>
      <c r="P64" s="58">
        <v>0</v>
      </c>
      <c r="Q64" s="58">
        <v>105</v>
      </c>
      <c r="R64" s="58">
        <v>0</v>
      </c>
      <c r="S64" s="58">
        <v>0</v>
      </c>
      <c r="T64" s="58">
        <v>0</v>
      </c>
      <c r="U64" s="58">
        <v>53</v>
      </c>
      <c r="V64" s="62"/>
      <c r="W64" s="62"/>
      <c r="X64" s="63">
        <f>IFERROR(1 -(Master[[#This Row],[Avg Garment Scans per Delivery]]/Master[[#This Row],[Garment Inventory]]), 0)</f>
        <v>0</v>
      </c>
      <c r="Y64" s="62"/>
      <c r="Z64" s="62"/>
      <c r="AA64" s="53">
        <v>83.7355029585799</v>
      </c>
      <c r="AB64" s="53">
        <v>89.827573964497049</v>
      </c>
      <c r="AC64" s="53">
        <v>65.897278106508878</v>
      </c>
      <c r="AD64" s="53">
        <v>80.231952662721881</v>
      </c>
      <c r="AE64" s="53" t="str">
        <f>_xlfn.XLOOKUP(Master[[#This Row],[cu_id]],'[1]Customer Revenue'!$Q:$Q,'[1]Customer Revenue'!$K:$K, "None")</f>
        <v>None</v>
      </c>
      <c r="AF64" s="53" t="str">
        <f>_xlfn.XLOOKUP(Master[[#This Row],[cu_id]],'[1]Customer Revenue'!$Q:$Q,'[1]Customer Revenue'!$L:$L, "None")</f>
        <v>None</v>
      </c>
      <c r="AG64" s="53">
        <v>83.228461538461502</v>
      </c>
      <c r="AH64" s="53">
        <v>89.126923076923035</v>
      </c>
      <c r="AI64" s="53">
        <v>86.781538461538474</v>
      </c>
      <c r="AJ64" s="53">
        <v>73.064615384615379</v>
      </c>
      <c r="AK64" s="53" t="str">
        <f>_xlfn.XLOOKUP(Master[[#This Row],[cu_id]],'[1]Customer Revenue'!$Q:$Q,'[1]Customer Revenue'!$I:$I, "None")</f>
        <v>None</v>
      </c>
      <c r="AL64" s="53">
        <v>86.177692307692269</v>
      </c>
      <c r="AM64" s="61">
        <v>0.39583333333333331</v>
      </c>
      <c r="AN64" s="60">
        <v>0.75</v>
      </c>
      <c r="AO64" s="60" t="s">
        <v>36</v>
      </c>
      <c r="AP64" s="60" t="s">
        <v>36</v>
      </c>
      <c r="AQ64" s="58" t="s">
        <v>0</v>
      </c>
      <c r="AR64" s="58"/>
      <c r="AS64" s="58"/>
      <c r="AT64" s="52">
        <v>0</v>
      </c>
      <c r="AU64" s="52" t="e">
        <f>IF(Master[[#This Row],[RSP StopTime override]] &lt;&gt; "",Master[[#This Row],[RSP StopTime override]],IF(Master[[#This Row],[Avg stop time helper]] &lt;&gt; 0, Master[[#This Row],[Avg stop time helper]],Average_Stop_Time))</f>
        <v>#DIV/0!</v>
      </c>
      <c r="AV64" s="21"/>
      <c r="AW64" s="20">
        <f>Master[[#This Row],[RSP StopTime override]]-Master[[#This Row],[Avg stop time helper]]</f>
        <v>0</v>
      </c>
    </row>
    <row r="65" spans="1:49" x14ac:dyDescent="0.3">
      <c r="A65" s="66" t="s">
        <v>4186</v>
      </c>
      <c r="B65" s="58">
        <v>6</v>
      </c>
      <c r="C65" s="58" t="s">
        <v>35</v>
      </c>
      <c r="D65" s="65">
        <v>530650</v>
      </c>
      <c r="E65" s="65" t="s">
        <v>42</v>
      </c>
      <c r="F65" s="65" t="s">
        <v>3407</v>
      </c>
      <c r="G65" s="65" t="s">
        <v>3406</v>
      </c>
      <c r="H65" s="65" t="s">
        <v>7</v>
      </c>
      <c r="I65" s="65" t="s">
        <v>1655</v>
      </c>
      <c r="J65" s="65" t="s">
        <v>5</v>
      </c>
      <c r="K65" s="65" t="s">
        <v>1654</v>
      </c>
      <c r="L65" s="64" t="s">
        <v>67</v>
      </c>
      <c r="M65" s="58" t="s">
        <v>3</v>
      </c>
      <c r="N65" s="58" t="s">
        <v>2</v>
      </c>
      <c r="O65" s="58">
        <v>70</v>
      </c>
      <c r="P65" s="58">
        <v>0</v>
      </c>
      <c r="Q65" s="58">
        <v>70</v>
      </c>
      <c r="R65" s="58">
        <v>0</v>
      </c>
      <c r="S65" s="58">
        <v>0</v>
      </c>
      <c r="T65" s="58">
        <v>0</v>
      </c>
      <c r="U65" s="58">
        <v>52</v>
      </c>
      <c r="V65" s="62">
        <v>165</v>
      </c>
      <c r="W65" s="62">
        <v>2</v>
      </c>
      <c r="X65" s="63">
        <f>IFERROR(1 -(Master[[#This Row],[Avg Garment Scans per Delivery]]/Master[[#This Row],[Garment Inventory]]), 0)</f>
        <v>0.98787878787878791</v>
      </c>
      <c r="Y65" s="62">
        <v>10</v>
      </c>
      <c r="Z65" s="62">
        <v>163</v>
      </c>
      <c r="AA65" s="53">
        <v>92.735401709401742</v>
      </c>
      <c r="AB65" s="53">
        <v>236.07229059829064</v>
      </c>
      <c r="AC65" s="53">
        <v>108.81869822485208</v>
      </c>
      <c r="AD65" s="53">
        <v>193.84899408284025</v>
      </c>
      <c r="AE65" s="53" t="str">
        <f>_xlfn.XLOOKUP(Master[[#This Row],[cu_id]],'[1]Customer Revenue'!$Q:$Q,'[1]Customer Revenue'!$K:$K, "None")</f>
        <v>None</v>
      </c>
      <c r="AF65" s="53" t="str">
        <f>_xlfn.XLOOKUP(Master[[#This Row],[cu_id]],'[1]Customer Revenue'!$Q:$Q,'[1]Customer Revenue'!$L:$L, "None")</f>
        <v>None</v>
      </c>
      <c r="AG65" s="53">
        <v>94.279967986828837</v>
      </c>
      <c r="AH65" s="53">
        <v>219.99849355163261</v>
      </c>
      <c r="AI65" s="53">
        <v>164.40384615384619</v>
      </c>
      <c r="AJ65" s="53">
        <v>151.33384615384617</v>
      </c>
      <c r="AK65" s="53" t="str">
        <f>_xlfn.XLOOKUP(Master[[#This Row],[cu_id]],'[1]Customer Revenue'!$Q:$Q,'[1]Customer Revenue'!$I:$I, "None")</f>
        <v>None</v>
      </c>
      <c r="AL65" s="53">
        <v>157.13923076923072</v>
      </c>
      <c r="AM65" s="61">
        <v>0.35416666666666669</v>
      </c>
      <c r="AN65" s="60">
        <v>0.70833333333333337</v>
      </c>
      <c r="AO65" s="60" t="s">
        <v>36</v>
      </c>
      <c r="AP65" s="60" t="s">
        <v>36</v>
      </c>
      <c r="AQ65" s="58" t="s">
        <v>0</v>
      </c>
      <c r="AR65" s="58"/>
      <c r="AS65" s="58"/>
      <c r="AT65" s="52">
        <v>0</v>
      </c>
      <c r="AU65" s="52" t="e">
        <f>IF(Master[[#This Row],[RSP StopTime override]] &lt;&gt; "",Master[[#This Row],[RSP StopTime override]],IF(Master[[#This Row],[Avg stop time helper]] &lt;&gt; 0, Master[[#This Row],[Avg stop time helper]],Average_Stop_Time))</f>
        <v>#DIV/0!</v>
      </c>
      <c r="AV65" s="21"/>
      <c r="AW65" s="20">
        <f>Master[[#This Row],[RSP StopTime override]]-Master[[#This Row],[Avg stop time helper]]</f>
        <v>0</v>
      </c>
    </row>
    <row r="66" spans="1:49" x14ac:dyDescent="0.3">
      <c r="A66" s="66" t="s">
        <v>4187</v>
      </c>
      <c r="B66" s="58">
        <v>6</v>
      </c>
      <c r="C66" s="58" t="s">
        <v>35</v>
      </c>
      <c r="D66" s="65">
        <v>530825</v>
      </c>
      <c r="E66" s="65" t="s">
        <v>42</v>
      </c>
      <c r="F66" s="65" t="s">
        <v>3405</v>
      </c>
      <c r="G66" s="65" t="s">
        <v>3404</v>
      </c>
      <c r="H66" s="65" t="s">
        <v>7</v>
      </c>
      <c r="I66" s="65" t="s">
        <v>2394</v>
      </c>
      <c r="J66" s="65" t="s">
        <v>5</v>
      </c>
      <c r="K66" s="65" t="s">
        <v>2393</v>
      </c>
      <c r="L66" s="64" t="s">
        <v>67</v>
      </c>
      <c r="M66" s="58" t="s">
        <v>3</v>
      </c>
      <c r="N66" s="58" t="s">
        <v>2</v>
      </c>
      <c r="O66" s="58">
        <v>155</v>
      </c>
      <c r="P66" s="58">
        <v>0</v>
      </c>
      <c r="Q66" s="58">
        <v>155</v>
      </c>
      <c r="R66" s="58">
        <v>0</v>
      </c>
      <c r="S66" s="58">
        <v>0</v>
      </c>
      <c r="T66" s="58">
        <v>0</v>
      </c>
      <c r="U66" s="58">
        <v>52</v>
      </c>
      <c r="V66" s="62"/>
      <c r="W66" s="62"/>
      <c r="X66" s="63">
        <f>IFERROR(1 -(Master[[#This Row],[Avg Garment Scans per Delivery]]/Master[[#This Row],[Garment Inventory]]), 0)</f>
        <v>0</v>
      </c>
      <c r="Y66" s="62"/>
      <c r="Z66" s="62"/>
      <c r="AA66" s="53">
        <v>67.803254437869825</v>
      </c>
      <c r="AB66" s="53">
        <v>78.072130177514808</v>
      </c>
      <c r="AC66" s="53">
        <v>78.822721893491121</v>
      </c>
      <c r="AD66" s="53">
        <v>82.371124260355032</v>
      </c>
      <c r="AE66" s="53" t="str">
        <f>_xlfn.XLOOKUP(Master[[#This Row],[cu_id]],'[1]Customer Revenue'!$Q:$Q,'[1]Customer Revenue'!$K:$K, "None")</f>
        <v>None</v>
      </c>
      <c r="AF66" s="53" t="str">
        <f>_xlfn.XLOOKUP(Master[[#This Row],[cu_id]],'[1]Customer Revenue'!$Q:$Q,'[1]Customer Revenue'!$L:$L, "None")</f>
        <v>None</v>
      </c>
      <c r="AG66" s="53">
        <v>66.886390532544382</v>
      </c>
      <c r="AH66" s="53">
        <v>74.221301775147921</v>
      </c>
      <c r="AI66" s="53">
        <v>72.937692307692316</v>
      </c>
      <c r="AJ66" s="53">
        <v>80.596923076923076</v>
      </c>
      <c r="AK66" s="53" t="str">
        <f>_xlfn.XLOOKUP(Master[[#This Row],[cu_id]],'[1]Customer Revenue'!$Q:$Q,'[1]Customer Revenue'!$I:$I, "None")</f>
        <v>None</v>
      </c>
      <c r="AL66" s="53">
        <v>70.553846153846152</v>
      </c>
      <c r="AM66" s="61">
        <v>0.25</v>
      </c>
      <c r="AN66" s="60">
        <v>0.70833333333333337</v>
      </c>
      <c r="AO66" s="60" t="s">
        <v>36</v>
      </c>
      <c r="AP66" s="60" t="s">
        <v>36</v>
      </c>
      <c r="AQ66" s="58" t="s">
        <v>0</v>
      </c>
      <c r="AR66" s="58"/>
      <c r="AS66" s="58"/>
      <c r="AT66" s="52">
        <v>0</v>
      </c>
      <c r="AU66" s="52" t="e">
        <f>IF(Master[[#This Row],[RSP StopTime override]] &lt;&gt; "",Master[[#This Row],[RSP StopTime override]],IF(Master[[#This Row],[Avg stop time helper]] &lt;&gt; 0, Master[[#This Row],[Avg stop time helper]],Average_Stop_Time))</f>
        <v>#DIV/0!</v>
      </c>
      <c r="AV66" s="21"/>
      <c r="AW66" s="20">
        <f>Master[[#This Row],[RSP StopTime override]]-Master[[#This Row],[Avg stop time helper]]</f>
        <v>0</v>
      </c>
    </row>
    <row r="67" spans="1:49" x14ac:dyDescent="0.3">
      <c r="A67" s="66" t="s">
        <v>4188</v>
      </c>
      <c r="B67" s="58">
        <v>6</v>
      </c>
      <c r="C67" s="58" t="s">
        <v>35</v>
      </c>
      <c r="D67" s="65">
        <v>531428</v>
      </c>
      <c r="E67" s="65" t="s">
        <v>42</v>
      </c>
      <c r="F67" s="65" t="s">
        <v>3403</v>
      </c>
      <c r="G67" s="65" t="s">
        <v>3402</v>
      </c>
      <c r="H67" s="65" t="s">
        <v>3157</v>
      </c>
      <c r="I67" s="65" t="s">
        <v>2412</v>
      </c>
      <c r="J67" s="65" t="s">
        <v>5</v>
      </c>
      <c r="K67" s="65" t="s">
        <v>1211</v>
      </c>
      <c r="L67" s="64" t="s">
        <v>206</v>
      </c>
      <c r="M67" s="58" t="s">
        <v>205</v>
      </c>
      <c r="N67" s="58" t="s">
        <v>2</v>
      </c>
      <c r="O67" s="58">
        <v>112</v>
      </c>
      <c r="P67" s="58">
        <v>0</v>
      </c>
      <c r="Q67" s="58">
        <v>112</v>
      </c>
      <c r="R67" s="58">
        <v>0</v>
      </c>
      <c r="S67" s="58">
        <v>0</v>
      </c>
      <c r="T67" s="58">
        <v>0</v>
      </c>
      <c r="U67" s="58">
        <v>10</v>
      </c>
      <c r="V67" s="62"/>
      <c r="W67" s="62"/>
      <c r="X67" s="63">
        <f>IFERROR(1 -(Master[[#This Row],[Avg Garment Scans per Delivery]]/Master[[#This Row],[Garment Inventory]]), 0)</f>
        <v>0</v>
      </c>
      <c r="Y67" s="62"/>
      <c r="Z67" s="62"/>
      <c r="AA67" s="53">
        <v>15.43888888888889</v>
      </c>
      <c r="AB67" s="53">
        <v>40.141111111111108</v>
      </c>
      <c r="AC67" s="53">
        <v>29.66</v>
      </c>
      <c r="AD67" s="53">
        <v>31.7</v>
      </c>
      <c r="AE67" s="53" t="str">
        <f>_xlfn.XLOOKUP(Master[[#This Row],[cu_id]],'[1]Customer Revenue'!$Q:$Q,'[1]Customer Revenue'!$K:$K, "None")</f>
        <v>None</v>
      </c>
      <c r="AF67" s="53" t="str">
        <f>_xlfn.XLOOKUP(Master[[#This Row],[cu_id]],'[1]Customer Revenue'!$Q:$Q,'[1]Customer Revenue'!$L:$L, "None")</f>
        <v>None</v>
      </c>
      <c r="AG67" s="53">
        <v>13.895000000000005</v>
      </c>
      <c r="AH67" s="53">
        <v>41.685000000000002</v>
      </c>
      <c r="AI67" s="53">
        <v>27.79</v>
      </c>
      <c r="AJ67" s="53">
        <v>30.68</v>
      </c>
      <c r="AK67" s="53" t="str">
        <f>_xlfn.XLOOKUP(Master[[#This Row],[cu_id]],'[1]Customer Revenue'!$Q:$Q,'[1]Customer Revenue'!$I:$I, "None")</f>
        <v>None</v>
      </c>
      <c r="AL67" s="53">
        <v>27.790000000000003</v>
      </c>
      <c r="AM67" s="61">
        <v>0.33333333333333331</v>
      </c>
      <c r="AN67" s="60">
        <v>0.70833333333333337</v>
      </c>
      <c r="AO67" s="60" t="s">
        <v>36</v>
      </c>
      <c r="AP67" s="60" t="s">
        <v>36</v>
      </c>
      <c r="AQ67" s="58" t="s">
        <v>0</v>
      </c>
      <c r="AR67" s="58"/>
      <c r="AS67" s="58"/>
      <c r="AT67" s="52">
        <v>0</v>
      </c>
      <c r="AU67" s="52" t="e">
        <f>IF(Master[[#This Row],[RSP StopTime override]] &lt;&gt; "",Master[[#This Row],[RSP StopTime override]],IF(Master[[#This Row],[Avg stop time helper]] &lt;&gt; 0, Master[[#This Row],[Avg stop time helper]],Average_Stop_Time))</f>
        <v>#DIV/0!</v>
      </c>
      <c r="AV67" s="21"/>
      <c r="AW67" s="20">
        <f>Master[[#This Row],[RSP StopTime override]]-Master[[#This Row],[Avg stop time helper]]</f>
        <v>0</v>
      </c>
    </row>
    <row r="68" spans="1:49" x14ac:dyDescent="0.3">
      <c r="A68" s="66" t="s">
        <v>4189</v>
      </c>
      <c r="B68" s="58">
        <v>6</v>
      </c>
      <c r="C68" s="58" t="s">
        <v>35</v>
      </c>
      <c r="D68" s="65">
        <v>531599</v>
      </c>
      <c r="E68" s="65" t="s">
        <v>42</v>
      </c>
      <c r="F68" s="65" t="s">
        <v>3401</v>
      </c>
      <c r="G68" s="65" t="s">
        <v>3400</v>
      </c>
      <c r="H68" s="65" t="s">
        <v>7</v>
      </c>
      <c r="I68" s="65" t="s">
        <v>1655</v>
      </c>
      <c r="J68" s="65" t="s">
        <v>5</v>
      </c>
      <c r="K68" s="65" t="s">
        <v>1654</v>
      </c>
      <c r="L68" s="64" t="s">
        <v>77</v>
      </c>
      <c r="M68" s="58" t="s">
        <v>29</v>
      </c>
      <c r="N68" s="58" t="s">
        <v>2</v>
      </c>
      <c r="O68" s="58">
        <v>215</v>
      </c>
      <c r="P68" s="58">
        <v>0</v>
      </c>
      <c r="Q68" s="58">
        <v>215</v>
      </c>
      <c r="R68" s="58">
        <v>0</v>
      </c>
      <c r="S68" s="58">
        <v>0</v>
      </c>
      <c r="T68" s="58">
        <v>0</v>
      </c>
      <c r="U68" s="58">
        <v>26</v>
      </c>
      <c r="V68" s="62">
        <v>11</v>
      </c>
      <c r="W68" s="62">
        <v>6</v>
      </c>
      <c r="X68" s="63">
        <f>IFERROR(1 -(Master[[#This Row],[Avg Garment Scans per Delivery]]/Master[[#This Row],[Garment Inventory]]), 0)</f>
        <v>0.45454545454545459</v>
      </c>
      <c r="Y68" s="62">
        <v>1</v>
      </c>
      <c r="Z68" s="62">
        <v>11</v>
      </c>
      <c r="AA68" s="53">
        <v>94.14</v>
      </c>
      <c r="AB68" s="53">
        <v>95.39</v>
      </c>
      <c r="AC68" s="53">
        <v>73.354387755102039</v>
      </c>
      <c r="AD68" s="53">
        <v>120.93561224489795</v>
      </c>
      <c r="AE68" s="53" t="str">
        <f>_xlfn.XLOOKUP(Master[[#This Row],[cu_id]],'[1]Customer Revenue'!$Q:$Q,'[1]Customer Revenue'!$K:$K, "None")</f>
        <v>None</v>
      </c>
      <c r="AF68" s="53" t="str">
        <f>_xlfn.XLOOKUP(Master[[#This Row],[cu_id]],'[1]Customer Revenue'!$Q:$Q,'[1]Customer Revenue'!$L:$L, "None")</f>
        <v>None</v>
      </c>
      <c r="AG68" s="53">
        <v>88.82639053254438</v>
      </c>
      <c r="AH68" s="53">
        <v>94.527455621301769</v>
      </c>
      <c r="AI68" s="53">
        <v>94.765000000000001</v>
      </c>
      <c r="AJ68" s="53">
        <v>97.144999999999996</v>
      </c>
      <c r="AK68" s="53" t="str">
        <f>_xlfn.XLOOKUP(Master[[#This Row],[cu_id]],'[1]Customer Revenue'!$Q:$Q,'[1]Customer Revenue'!$I:$I, "None")</f>
        <v>None</v>
      </c>
      <c r="AL68" s="53">
        <v>91.676923076923075</v>
      </c>
      <c r="AM68" s="61">
        <v>0.33333333333333331</v>
      </c>
      <c r="AN68" s="60">
        <v>0.66666666666666663</v>
      </c>
      <c r="AO68" s="60" t="s">
        <v>36</v>
      </c>
      <c r="AP68" s="60" t="s">
        <v>36</v>
      </c>
      <c r="AQ68" s="58" t="s">
        <v>0</v>
      </c>
      <c r="AR68" s="58"/>
      <c r="AS68" s="58"/>
      <c r="AT68" s="52">
        <v>0</v>
      </c>
      <c r="AU68" s="52" t="e">
        <f>IF(Master[[#This Row],[RSP StopTime override]] &lt;&gt; "",Master[[#This Row],[RSP StopTime override]],IF(Master[[#This Row],[Avg stop time helper]] &lt;&gt; 0, Master[[#This Row],[Avg stop time helper]],Average_Stop_Time))</f>
        <v>#DIV/0!</v>
      </c>
      <c r="AV68" s="21"/>
      <c r="AW68" s="20">
        <f>Master[[#This Row],[RSP StopTime override]]-Master[[#This Row],[Avg stop time helper]]</f>
        <v>0</v>
      </c>
    </row>
    <row r="69" spans="1:49" x14ac:dyDescent="0.3">
      <c r="A69" s="66" t="s">
        <v>4190</v>
      </c>
      <c r="B69" s="58">
        <v>6</v>
      </c>
      <c r="C69" s="58" t="s">
        <v>35</v>
      </c>
      <c r="D69" s="65">
        <v>532222</v>
      </c>
      <c r="E69" s="65" t="s">
        <v>42</v>
      </c>
      <c r="F69" s="65" t="s">
        <v>3399</v>
      </c>
      <c r="G69" s="65" t="s">
        <v>3398</v>
      </c>
      <c r="H69" s="65" t="s">
        <v>7</v>
      </c>
      <c r="I69" s="65" t="s">
        <v>2412</v>
      </c>
      <c r="J69" s="65" t="s">
        <v>5</v>
      </c>
      <c r="K69" s="65" t="s">
        <v>1636</v>
      </c>
      <c r="L69" s="64" t="s">
        <v>91</v>
      </c>
      <c r="M69" s="58" t="s">
        <v>90</v>
      </c>
      <c r="N69" s="58" t="s">
        <v>2</v>
      </c>
      <c r="O69" s="58">
        <v>28</v>
      </c>
      <c r="P69" s="58">
        <v>0</v>
      </c>
      <c r="Q69" s="58">
        <v>28</v>
      </c>
      <c r="R69" s="58">
        <v>0</v>
      </c>
      <c r="S69" s="58">
        <v>0</v>
      </c>
      <c r="T69" s="58">
        <v>0</v>
      </c>
      <c r="U69" s="58">
        <v>25</v>
      </c>
      <c r="V69" s="62"/>
      <c r="W69" s="62"/>
      <c r="X69" s="63">
        <f>IFERROR(1 -(Master[[#This Row],[Avg Garment Scans per Delivery]]/Master[[#This Row],[Garment Inventory]]), 0)</f>
        <v>0</v>
      </c>
      <c r="Y69" s="62"/>
      <c r="Z69" s="62"/>
      <c r="AA69" s="53">
        <v>51.833979591836723</v>
      </c>
      <c r="AB69" s="53">
        <v>85.456020408163269</v>
      </c>
      <c r="AC69" s="53">
        <v>70.198888888888888</v>
      </c>
      <c r="AD69" s="53">
        <v>72.767777777777781</v>
      </c>
      <c r="AE69" s="53" t="str">
        <f>_xlfn.XLOOKUP(Master[[#This Row],[cu_id]],'[1]Customer Revenue'!$Q:$Q,'[1]Customer Revenue'!$K:$K, "None")</f>
        <v>None</v>
      </c>
      <c r="AF69" s="53" t="str">
        <f>_xlfn.XLOOKUP(Master[[#This Row],[cu_id]],'[1]Customer Revenue'!$Q:$Q,'[1]Customer Revenue'!$L:$L, "None")</f>
        <v>None</v>
      </c>
      <c r="AG69" s="53">
        <v>54.13404832347139</v>
      </c>
      <c r="AH69" s="53">
        <v>77.654285009861937</v>
      </c>
      <c r="AI69" s="53">
        <v>68.644999999999996</v>
      </c>
      <c r="AJ69" s="53">
        <v>71.483333333333334</v>
      </c>
      <c r="AK69" s="53" t="str">
        <f>_xlfn.XLOOKUP(Master[[#This Row],[cu_id]],'[1]Customer Revenue'!$Q:$Q,'[1]Customer Revenue'!$I:$I, "None")</f>
        <v>None</v>
      </c>
      <c r="AL69" s="53">
        <v>65.894166666666663</v>
      </c>
      <c r="AM69" s="61" t="s">
        <v>36</v>
      </c>
      <c r="AN69" s="60" t="s">
        <v>36</v>
      </c>
      <c r="AO69" s="60" t="s">
        <v>36</v>
      </c>
      <c r="AP69" s="60" t="s">
        <v>36</v>
      </c>
      <c r="AQ69" s="58" t="s">
        <v>0</v>
      </c>
      <c r="AR69" s="58"/>
      <c r="AS69" s="58"/>
      <c r="AT69" s="52">
        <v>0</v>
      </c>
      <c r="AU69" s="52" t="e">
        <f>IF(Master[[#This Row],[RSP StopTime override]] &lt;&gt; "",Master[[#This Row],[RSP StopTime override]],IF(Master[[#This Row],[Avg stop time helper]] &lt;&gt; 0, Master[[#This Row],[Avg stop time helper]],Average_Stop_Time))</f>
        <v>#DIV/0!</v>
      </c>
      <c r="AV69" s="21"/>
      <c r="AW69" s="20">
        <f>Master[[#This Row],[RSP StopTime override]]-Master[[#This Row],[Avg stop time helper]]</f>
        <v>0</v>
      </c>
    </row>
    <row r="70" spans="1:49" x14ac:dyDescent="0.3">
      <c r="A70" s="66" t="s">
        <v>4191</v>
      </c>
      <c r="B70" s="58">
        <v>6</v>
      </c>
      <c r="C70" s="58" t="s">
        <v>35</v>
      </c>
      <c r="D70" s="65">
        <v>532224</v>
      </c>
      <c r="E70" s="65" t="s">
        <v>686</v>
      </c>
      <c r="F70" s="65" t="s">
        <v>2616</v>
      </c>
      <c r="G70" s="65" t="s">
        <v>3397</v>
      </c>
      <c r="H70" s="65" t="s">
        <v>347</v>
      </c>
      <c r="I70" s="65" t="s">
        <v>1655</v>
      </c>
      <c r="J70" s="65" t="s">
        <v>5</v>
      </c>
      <c r="K70" s="65" t="s">
        <v>1654</v>
      </c>
      <c r="L70" s="64" t="s">
        <v>67</v>
      </c>
      <c r="M70" s="58" t="s">
        <v>3</v>
      </c>
      <c r="N70" s="58" t="s">
        <v>2</v>
      </c>
      <c r="O70" s="58">
        <v>90</v>
      </c>
      <c r="P70" s="58">
        <v>0</v>
      </c>
      <c r="Q70" s="58">
        <v>90</v>
      </c>
      <c r="R70" s="58">
        <v>0</v>
      </c>
      <c r="S70" s="58">
        <v>0</v>
      </c>
      <c r="T70" s="58">
        <v>0</v>
      </c>
      <c r="U70" s="58">
        <v>56</v>
      </c>
      <c r="V70" s="62"/>
      <c r="W70" s="62"/>
      <c r="X70" s="63">
        <f>IFERROR(1 -(Master[[#This Row],[Avg Garment Scans per Delivery]]/Master[[#This Row],[Garment Inventory]]), 0)</f>
        <v>0</v>
      </c>
      <c r="Y70" s="62"/>
      <c r="Z70" s="62"/>
      <c r="AA70" s="53">
        <v>118.0882103610675</v>
      </c>
      <c r="AB70" s="53">
        <v>172.87025117739407</v>
      </c>
      <c r="AC70" s="53">
        <v>110.09556213017751</v>
      </c>
      <c r="AD70" s="53">
        <v>128.97982248520708</v>
      </c>
      <c r="AE70" s="53" t="str">
        <f>_xlfn.XLOOKUP(Master[[#This Row],[cu_id]],'[1]Customer Revenue'!$Q:$Q,'[1]Customer Revenue'!$K:$K, "None")</f>
        <v>None</v>
      </c>
      <c r="AF70" s="53" t="str">
        <f>_xlfn.XLOOKUP(Master[[#This Row],[cu_id]],'[1]Customer Revenue'!$Q:$Q,'[1]Customer Revenue'!$L:$L, "None")</f>
        <v>None</v>
      </c>
      <c r="AG70" s="53">
        <v>97.780998959417275</v>
      </c>
      <c r="AH70" s="53">
        <v>165.53900104058272</v>
      </c>
      <c r="AI70" s="53">
        <v>145.47923076923078</v>
      </c>
      <c r="AJ70" s="53">
        <v>119.5376923076923</v>
      </c>
      <c r="AK70" s="53" t="str">
        <f>_xlfn.XLOOKUP(Master[[#This Row],[cu_id]],'[1]Customer Revenue'!$Q:$Q,'[1]Customer Revenue'!$I:$I, "None")</f>
        <v>None</v>
      </c>
      <c r="AL70" s="53">
        <v>131.66</v>
      </c>
      <c r="AM70" s="61">
        <v>0.33333333333333331</v>
      </c>
      <c r="AN70" s="60">
        <v>0.66666666666666663</v>
      </c>
      <c r="AO70" s="60" t="s">
        <v>36</v>
      </c>
      <c r="AP70" s="60" t="s">
        <v>36</v>
      </c>
      <c r="AQ70" s="58" t="s">
        <v>0</v>
      </c>
      <c r="AR70" s="58"/>
      <c r="AS70" s="58"/>
      <c r="AT70" s="52">
        <v>0</v>
      </c>
      <c r="AU70" s="52" t="e">
        <f>IF(Master[[#This Row],[RSP StopTime override]] &lt;&gt; "",Master[[#This Row],[RSP StopTime override]],IF(Master[[#This Row],[Avg stop time helper]] &lt;&gt; 0, Master[[#This Row],[Avg stop time helper]],Average_Stop_Time))</f>
        <v>#DIV/0!</v>
      </c>
      <c r="AV70" s="21"/>
      <c r="AW70" s="20">
        <f>Master[[#This Row],[RSP StopTime override]]-Master[[#This Row],[Avg stop time helper]]</f>
        <v>0</v>
      </c>
    </row>
    <row r="71" spans="1:49" x14ac:dyDescent="0.3">
      <c r="A71" s="66" t="s">
        <v>4192</v>
      </c>
      <c r="B71" s="58">
        <v>6</v>
      </c>
      <c r="C71" s="58" t="s">
        <v>35</v>
      </c>
      <c r="D71" s="65">
        <v>532665</v>
      </c>
      <c r="E71" s="65" t="s">
        <v>1996</v>
      </c>
      <c r="F71" s="65" t="s">
        <v>3396</v>
      </c>
      <c r="G71" s="65" t="s">
        <v>3395</v>
      </c>
      <c r="H71" s="65" t="s">
        <v>7</v>
      </c>
      <c r="I71" s="65" t="s">
        <v>1655</v>
      </c>
      <c r="J71" s="65" t="s">
        <v>5</v>
      </c>
      <c r="K71" s="65" t="s">
        <v>1654</v>
      </c>
      <c r="L71" s="64" t="s">
        <v>67</v>
      </c>
      <c r="M71" s="58" t="s">
        <v>3</v>
      </c>
      <c r="N71" s="58" t="s">
        <v>2</v>
      </c>
      <c r="O71" s="58">
        <v>100</v>
      </c>
      <c r="P71" s="58">
        <v>0</v>
      </c>
      <c r="Q71" s="58">
        <v>100</v>
      </c>
      <c r="R71" s="58">
        <v>0</v>
      </c>
      <c r="S71" s="58">
        <v>0</v>
      </c>
      <c r="T71" s="58">
        <v>0</v>
      </c>
      <c r="U71" s="58">
        <v>52</v>
      </c>
      <c r="V71" s="62"/>
      <c r="W71" s="62"/>
      <c r="X71" s="63">
        <f>IFERROR(1 -(Master[[#This Row],[Avg Garment Scans per Delivery]]/Master[[#This Row],[Garment Inventory]]), 0)</f>
        <v>0</v>
      </c>
      <c r="Y71" s="62"/>
      <c r="Z71" s="62"/>
      <c r="AA71" s="53">
        <v>79.274260355029597</v>
      </c>
      <c r="AB71" s="53">
        <v>80.484201183431978</v>
      </c>
      <c r="AC71" s="53">
        <v>80.915443786982252</v>
      </c>
      <c r="AD71" s="53">
        <v>82.892248520710069</v>
      </c>
      <c r="AE71" s="53" t="str">
        <f>_xlfn.XLOOKUP(Master[[#This Row],[cu_id]],'[1]Customer Revenue'!$Q:$Q,'[1]Customer Revenue'!$K:$K, "None")</f>
        <v>None</v>
      </c>
      <c r="AF71" s="53" t="str">
        <f>_xlfn.XLOOKUP(Master[[#This Row],[cu_id]],'[1]Customer Revenue'!$Q:$Q,'[1]Customer Revenue'!$L:$L, "None")</f>
        <v>None</v>
      </c>
      <c r="AG71" s="53">
        <v>79.558757396449707</v>
      </c>
      <c r="AH71" s="53">
        <v>80.170473372781075</v>
      </c>
      <c r="AI71" s="53">
        <v>79.879230769230787</v>
      </c>
      <c r="AJ71" s="53">
        <v>81.90384615384616</v>
      </c>
      <c r="AK71" s="53" t="str">
        <f>_xlfn.XLOOKUP(Master[[#This Row],[cu_id]],'[1]Customer Revenue'!$Q:$Q,'[1]Customer Revenue'!$I:$I, "None")</f>
        <v>None</v>
      </c>
      <c r="AL71" s="53">
        <v>79.864615384615391</v>
      </c>
      <c r="AM71" s="61">
        <v>0.375</v>
      </c>
      <c r="AN71" s="60">
        <v>0.70833333333333337</v>
      </c>
      <c r="AO71" s="60" t="s">
        <v>36</v>
      </c>
      <c r="AP71" s="60" t="s">
        <v>36</v>
      </c>
      <c r="AQ71" s="58" t="s">
        <v>0</v>
      </c>
      <c r="AR71" s="58"/>
      <c r="AS71" s="58"/>
      <c r="AT71" s="52">
        <v>0</v>
      </c>
      <c r="AU71" s="52" t="e">
        <f>IF(Master[[#This Row],[RSP StopTime override]] &lt;&gt; "",Master[[#This Row],[RSP StopTime override]],IF(Master[[#This Row],[Avg stop time helper]] &lt;&gt; 0, Master[[#This Row],[Avg stop time helper]],Average_Stop_Time))</f>
        <v>#DIV/0!</v>
      </c>
      <c r="AV71" s="21"/>
      <c r="AW71" s="20">
        <f>Master[[#This Row],[RSP StopTime override]]-Master[[#This Row],[Avg stop time helper]]</f>
        <v>0</v>
      </c>
    </row>
    <row r="72" spans="1:49" x14ac:dyDescent="0.3">
      <c r="A72" s="66" t="s">
        <v>4193</v>
      </c>
      <c r="B72" s="58">
        <v>6</v>
      </c>
      <c r="C72" s="58" t="s">
        <v>35</v>
      </c>
      <c r="D72" s="65">
        <v>532739</v>
      </c>
      <c r="E72" s="65" t="s">
        <v>42</v>
      </c>
      <c r="F72" s="65" t="s">
        <v>3394</v>
      </c>
      <c r="G72" s="65" t="s">
        <v>3393</v>
      </c>
      <c r="H72" s="65" t="s">
        <v>7</v>
      </c>
      <c r="I72" s="65" t="s">
        <v>1655</v>
      </c>
      <c r="J72" s="65" t="s">
        <v>5</v>
      </c>
      <c r="K72" s="65" t="s">
        <v>1654</v>
      </c>
      <c r="L72" s="64" t="s">
        <v>67</v>
      </c>
      <c r="M72" s="58" t="s">
        <v>3</v>
      </c>
      <c r="N72" s="58" t="s">
        <v>2</v>
      </c>
      <c r="O72" s="58">
        <v>95</v>
      </c>
      <c r="P72" s="58">
        <v>0</v>
      </c>
      <c r="Q72" s="58">
        <v>95</v>
      </c>
      <c r="R72" s="58">
        <v>0</v>
      </c>
      <c r="S72" s="58">
        <v>0</v>
      </c>
      <c r="T72" s="58">
        <v>0</v>
      </c>
      <c r="U72" s="58">
        <v>53</v>
      </c>
      <c r="V72" s="62"/>
      <c r="W72" s="62"/>
      <c r="X72" s="63">
        <f>IFERROR(1 -(Master[[#This Row],[Avg Garment Scans per Delivery]]/Master[[#This Row],[Garment Inventory]]), 0)</f>
        <v>0</v>
      </c>
      <c r="Y72" s="62"/>
      <c r="Z72" s="62"/>
      <c r="AA72" s="53">
        <v>79.095917159763289</v>
      </c>
      <c r="AB72" s="53">
        <v>88.108698224852063</v>
      </c>
      <c r="AC72" s="53">
        <v>88.267928994082837</v>
      </c>
      <c r="AD72" s="53">
        <v>91.162840236686378</v>
      </c>
      <c r="AE72" s="53" t="str">
        <f>_xlfn.XLOOKUP(Master[[#This Row],[cu_id]],'[1]Customer Revenue'!$Q:$Q,'[1]Customer Revenue'!$K:$K, "None")</f>
        <v>None</v>
      </c>
      <c r="AF72" s="53" t="str">
        <f>_xlfn.XLOOKUP(Master[[#This Row],[cu_id]],'[1]Customer Revenue'!$Q:$Q,'[1]Customer Revenue'!$L:$L, "None")</f>
        <v>None</v>
      </c>
      <c r="AG72" s="53">
        <v>80.325680473372799</v>
      </c>
      <c r="AH72" s="53">
        <v>85.897396449704175</v>
      </c>
      <c r="AI72" s="53">
        <v>83.602307692307676</v>
      </c>
      <c r="AJ72" s="53">
        <v>89.715384615384608</v>
      </c>
      <c r="AK72" s="53" t="str">
        <f>_xlfn.XLOOKUP(Master[[#This Row],[cu_id]],'[1]Customer Revenue'!$Q:$Q,'[1]Customer Revenue'!$I:$I, "None")</f>
        <v>None</v>
      </c>
      <c r="AL72" s="53">
        <v>83.111538461538487</v>
      </c>
      <c r="AM72" s="61">
        <v>0.375</v>
      </c>
      <c r="AN72" s="60">
        <v>0.70833333333333337</v>
      </c>
      <c r="AO72" s="60" t="s">
        <v>36</v>
      </c>
      <c r="AP72" s="60" t="s">
        <v>36</v>
      </c>
      <c r="AQ72" s="58" t="s">
        <v>0</v>
      </c>
      <c r="AR72" s="58"/>
      <c r="AS72" s="58"/>
      <c r="AT72" s="52">
        <v>0</v>
      </c>
      <c r="AU72" s="52" t="e">
        <f>IF(Master[[#This Row],[RSP StopTime override]] &lt;&gt; "",Master[[#This Row],[RSP StopTime override]],IF(Master[[#This Row],[Avg stop time helper]] &lt;&gt; 0, Master[[#This Row],[Avg stop time helper]],Average_Stop_Time))</f>
        <v>#DIV/0!</v>
      </c>
      <c r="AV72" s="21"/>
      <c r="AW72" s="20">
        <f>Master[[#This Row],[RSP StopTime override]]-Master[[#This Row],[Avg stop time helper]]</f>
        <v>0</v>
      </c>
    </row>
    <row r="73" spans="1:49" x14ac:dyDescent="0.3">
      <c r="A73" s="66" t="s">
        <v>4194</v>
      </c>
      <c r="B73" s="58">
        <v>6</v>
      </c>
      <c r="C73" s="58" t="s">
        <v>35</v>
      </c>
      <c r="D73" s="65">
        <v>533083</v>
      </c>
      <c r="E73" s="65" t="s">
        <v>42</v>
      </c>
      <c r="F73" s="65" t="s">
        <v>3392</v>
      </c>
      <c r="G73" s="65" t="s">
        <v>3391</v>
      </c>
      <c r="H73" s="65" t="s">
        <v>7</v>
      </c>
      <c r="I73" s="65" t="s">
        <v>2394</v>
      </c>
      <c r="J73" s="65" t="s">
        <v>5</v>
      </c>
      <c r="K73" s="65" t="s">
        <v>2393</v>
      </c>
      <c r="L73" s="64" t="s">
        <v>67</v>
      </c>
      <c r="M73" s="58" t="s">
        <v>3</v>
      </c>
      <c r="N73" s="58" t="s">
        <v>2</v>
      </c>
      <c r="O73" s="58">
        <v>160</v>
      </c>
      <c r="P73" s="58">
        <v>0</v>
      </c>
      <c r="Q73" s="58">
        <v>160</v>
      </c>
      <c r="R73" s="58">
        <v>0</v>
      </c>
      <c r="S73" s="58">
        <v>0</v>
      </c>
      <c r="T73" s="58">
        <v>0</v>
      </c>
      <c r="U73" s="58">
        <v>52</v>
      </c>
      <c r="V73" s="62"/>
      <c r="W73" s="62"/>
      <c r="X73" s="63">
        <f>IFERROR(1 -(Master[[#This Row],[Avg Garment Scans per Delivery]]/Master[[#This Row],[Garment Inventory]]), 0)</f>
        <v>0</v>
      </c>
      <c r="Y73" s="62"/>
      <c r="Z73" s="62"/>
      <c r="AA73" s="53">
        <v>91.735088757396426</v>
      </c>
      <c r="AB73" s="53">
        <v>100.46029585798811</v>
      </c>
      <c r="AC73" s="53">
        <v>105.26479289940829</v>
      </c>
      <c r="AD73" s="53">
        <v>107.31828402366864</v>
      </c>
      <c r="AE73" s="53" t="str">
        <f>_xlfn.XLOOKUP(Master[[#This Row],[cu_id]],'[1]Customer Revenue'!$Q:$Q,'[1]Customer Revenue'!$K:$K, "None")</f>
        <v>None</v>
      </c>
      <c r="AF73" s="53" t="str">
        <f>_xlfn.XLOOKUP(Master[[#This Row],[cu_id]],'[1]Customer Revenue'!$Q:$Q,'[1]Customer Revenue'!$L:$L, "None")</f>
        <v>None</v>
      </c>
      <c r="AG73" s="53">
        <v>95.207988165680504</v>
      </c>
      <c r="AH73" s="53">
        <v>109.15585798816572</v>
      </c>
      <c r="AI73" s="53">
        <v>96.09769230769227</v>
      </c>
      <c r="AJ73" s="53">
        <v>106.29153846153847</v>
      </c>
      <c r="AK73" s="53" t="str">
        <f>_xlfn.XLOOKUP(Master[[#This Row],[cu_id]],'[1]Customer Revenue'!$Q:$Q,'[1]Customer Revenue'!$I:$I, "None")</f>
        <v>None</v>
      </c>
      <c r="AL73" s="53">
        <v>102.18192307692311</v>
      </c>
      <c r="AM73" s="61">
        <v>0.375</v>
      </c>
      <c r="AN73" s="60">
        <v>0.70833333333333337</v>
      </c>
      <c r="AO73" s="60" t="s">
        <v>36</v>
      </c>
      <c r="AP73" s="60" t="s">
        <v>36</v>
      </c>
      <c r="AQ73" s="58" t="s">
        <v>0</v>
      </c>
      <c r="AR73" s="58"/>
      <c r="AS73" s="58"/>
      <c r="AT73" s="52">
        <v>0</v>
      </c>
      <c r="AU73" s="52" t="e">
        <f>IF(Master[[#This Row],[RSP StopTime override]] &lt;&gt; "",Master[[#This Row],[RSP StopTime override]],IF(Master[[#This Row],[Avg stop time helper]] &lt;&gt; 0, Master[[#This Row],[Avg stop time helper]],Average_Stop_Time))</f>
        <v>#DIV/0!</v>
      </c>
      <c r="AV73" s="21"/>
      <c r="AW73" s="20">
        <f>Master[[#This Row],[RSP StopTime override]]-Master[[#This Row],[Avg stop time helper]]</f>
        <v>0</v>
      </c>
    </row>
    <row r="74" spans="1:49" x14ac:dyDescent="0.3">
      <c r="A74" s="66" t="s">
        <v>4195</v>
      </c>
      <c r="B74" s="58">
        <v>6</v>
      </c>
      <c r="C74" s="58" t="s">
        <v>35</v>
      </c>
      <c r="D74" s="65">
        <v>533101</v>
      </c>
      <c r="E74" s="65" t="s">
        <v>1455</v>
      </c>
      <c r="F74" s="65" t="s">
        <v>3581</v>
      </c>
      <c r="G74" s="65" t="s">
        <v>3390</v>
      </c>
      <c r="H74" s="65" t="s">
        <v>7</v>
      </c>
      <c r="I74" s="65" t="s">
        <v>2394</v>
      </c>
      <c r="J74" s="65" t="s">
        <v>5</v>
      </c>
      <c r="K74" s="65" t="s">
        <v>2393</v>
      </c>
      <c r="L74" s="64" t="s">
        <v>67</v>
      </c>
      <c r="M74" s="58" t="s">
        <v>3</v>
      </c>
      <c r="N74" s="58" t="s">
        <v>2</v>
      </c>
      <c r="O74" s="58">
        <v>150</v>
      </c>
      <c r="P74" s="58">
        <v>0</v>
      </c>
      <c r="Q74" s="58">
        <v>150</v>
      </c>
      <c r="R74" s="58">
        <v>0</v>
      </c>
      <c r="S74" s="58">
        <v>0</v>
      </c>
      <c r="T74" s="58">
        <v>0</v>
      </c>
      <c r="U74" s="58">
        <v>52</v>
      </c>
      <c r="V74" s="62"/>
      <c r="W74" s="62"/>
      <c r="X74" s="63">
        <f>IFERROR(1 -(Master[[#This Row],[Avg Garment Scans per Delivery]]/Master[[#This Row],[Garment Inventory]]), 0)</f>
        <v>0</v>
      </c>
      <c r="Y74" s="62"/>
      <c r="Z74" s="62"/>
      <c r="AA74" s="53">
        <v>92.363609467455603</v>
      </c>
      <c r="AB74" s="53">
        <v>93.428698224852042</v>
      </c>
      <c r="AC74" s="53">
        <v>94.721715976331339</v>
      </c>
      <c r="AD74" s="53">
        <v>99.199822485207093</v>
      </c>
      <c r="AE74" s="53" t="str">
        <f>_xlfn.XLOOKUP(Master[[#This Row],[cu_id]],'[1]Customer Revenue'!$Q:$Q,'[1]Customer Revenue'!$K:$K, "None")</f>
        <v>None</v>
      </c>
      <c r="AF74" s="53" t="str">
        <f>_xlfn.XLOOKUP(Master[[#This Row],[cu_id]],'[1]Customer Revenue'!$Q:$Q,'[1]Customer Revenue'!$L:$L, "None")</f>
        <v>None</v>
      </c>
      <c r="AG74" s="53">
        <v>91.398639053254414</v>
      </c>
      <c r="AH74" s="53">
        <v>93.119822485207095</v>
      </c>
      <c r="AI74" s="53">
        <v>92.896153846153823</v>
      </c>
      <c r="AJ74" s="53">
        <v>96.960769230769216</v>
      </c>
      <c r="AK74" s="53" t="str">
        <f>_xlfn.XLOOKUP(Master[[#This Row],[cu_id]],'[1]Customer Revenue'!$Q:$Q,'[1]Customer Revenue'!$I:$I, "None")</f>
        <v>None</v>
      </c>
      <c r="AL74" s="53">
        <v>92.259230769230754</v>
      </c>
      <c r="AM74" s="61">
        <v>0.25</v>
      </c>
      <c r="AN74" s="60">
        <v>0.70833333333333337</v>
      </c>
      <c r="AO74" s="60" t="s">
        <v>36</v>
      </c>
      <c r="AP74" s="60" t="s">
        <v>36</v>
      </c>
      <c r="AQ74" s="58" t="s">
        <v>0</v>
      </c>
      <c r="AR74" s="58"/>
      <c r="AS74" s="58"/>
      <c r="AT74" s="52">
        <v>0</v>
      </c>
      <c r="AU74" s="52" t="e">
        <f>IF(Master[[#This Row],[RSP StopTime override]] &lt;&gt; "",Master[[#This Row],[RSP StopTime override]],IF(Master[[#This Row],[Avg stop time helper]] &lt;&gt; 0, Master[[#This Row],[Avg stop time helper]],Average_Stop_Time))</f>
        <v>#DIV/0!</v>
      </c>
      <c r="AV74" s="21"/>
      <c r="AW74" s="20">
        <f>Master[[#This Row],[RSP StopTime override]]-Master[[#This Row],[Avg stop time helper]]</f>
        <v>0</v>
      </c>
    </row>
    <row r="75" spans="1:49" x14ac:dyDescent="0.3">
      <c r="A75" s="66" t="s">
        <v>4196</v>
      </c>
      <c r="B75" s="58">
        <v>6</v>
      </c>
      <c r="C75" s="58" t="s">
        <v>35</v>
      </c>
      <c r="D75" s="65">
        <v>533428</v>
      </c>
      <c r="E75" s="65" t="s">
        <v>42</v>
      </c>
      <c r="F75" s="65" t="s">
        <v>3389</v>
      </c>
      <c r="G75" s="65" t="s">
        <v>3388</v>
      </c>
      <c r="H75" s="65" t="s">
        <v>7</v>
      </c>
      <c r="I75" s="65" t="s">
        <v>2394</v>
      </c>
      <c r="J75" s="65" t="s">
        <v>5</v>
      </c>
      <c r="K75" s="65" t="s">
        <v>2393</v>
      </c>
      <c r="L75" s="64" t="s">
        <v>67</v>
      </c>
      <c r="M75" s="58" t="s">
        <v>3</v>
      </c>
      <c r="N75" s="58" t="s">
        <v>2</v>
      </c>
      <c r="O75" s="58">
        <v>162</v>
      </c>
      <c r="P75" s="58">
        <v>0</v>
      </c>
      <c r="Q75" s="58">
        <v>162</v>
      </c>
      <c r="R75" s="58">
        <v>0</v>
      </c>
      <c r="S75" s="58">
        <v>0</v>
      </c>
      <c r="T75" s="58">
        <v>0</v>
      </c>
      <c r="U75" s="58">
        <v>41</v>
      </c>
      <c r="V75" s="62"/>
      <c r="W75" s="62"/>
      <c r="X75" s="63">
        <f>IFERROR(1 -(Master[[#This Row],[Avg Garment Scans per Delivery]]/Master[[#This Row],[Garment Inventory]]), 0)</f>
        <v>0</v>
      </c>
      <c r="Y75" s="62"/>
      <c r="Z75" s="62"/>
      <c r="AA75" s="53">
        <v>74.887988165680468</v>
      </c>
      <c r="AB75" s="53">
        <v>77.141242603550296</v>
      </c>
      <c r="AC75" s="53">
        <v>76.864378698224854</v>
      </c>
      <c r="AD75" s="53">
        <v>85.031005917159789</v>
      </c>
      <c r="AE75" s="53" t="str">
        <f>_xlfn.XLOOKUP(Master[[#This Row],[cu_id]],'[1]Customer Revenue'!$Q:$Q,'[1]Customer Revenue'!$K:$K, "None")</f>
        <v>None</v>
      </c>
      <c r="AF75" s="53" t="str">
        <f>_xlfn.XLOOKUP(Master[[#This Row],[cu_id]],'[1]Customer Revenue'!$Q:$Q,'[1]Customer Revenue'!$L:$L, "None")</f>
        <v>None</v>
      </c>
      <c r="AG75" s="53">
        <v>66.333461538461549</v>
      </c>
      <c r="AH75" s="53">
        <v>78.076538461538476</v>
      </c>
      <c r="AI75" s="53">
        <v>76.014615384615382</v>
      </c>
      <c r="AJ75" s="53">
        <v>80.947692307692321</v>
      </c>
      <c r="AK75" s="53" t="str">
        <f>_xlfn.XLOOKUP(Master[[#This Row],[cu_id]],'[1]Customer Revenue'!$Q:$Q,'[1]Customer Revenue'!$I:$I, "None")</f>
        <v>None</v>
      </c>
      <c r="AL75" s="53">
        <v>72.205000000000013</v>
      </c>
      <c r="AM75" s="61">
        <v>0.375</v>
      </c>
      <c r="AN75" s="60">
        <v>0.70833333333333337</v>
      </c>
      <c r="AO75" s="60" t="s">
        <v>36</v>
      </c>
      <c r="AP75" s="60" t="s">
        <v>36</v>
      </c>
      <c r="AQ75" s="58" t="s">
        <v>0</v>
      </c>
      <c r="AR75" s="58"/>
      <c r="AS75" s="58"/>
      <c r="AT75" s="52">
        <v>0</v>
      </c>
      <c r="AU75" s="52" t="e">
        <f>IF(Master[[#This Row],[RSP StopTime override]] &lt;&gt; "",Master[[#This Row],[RSP StopTime override]],IF(Master[[#This Row],[Avg stop time helper]] &lt;&gt; 0, Master[[#This Row],[Avg stop time helper]],Average_Stop_Time))</f>
        <v>#DIV/0!</v>
      </c>
      <c r="AV75" s="21"/>
      <c r="AW75" s="20">
        <f>Master[[#This Row],[RSP StopTime override]]-Master[[#This Row],[Avg stop time helper]]</f>
        <v>0</v>
      </c>
    </row>
    <row r="76" spans="1:49" x14ac:dyDescent="0.3">
      <c r="A76" s="66" t="s">
        <v>4197</v>
      </c>
      <c r="B76" s="58">
        <v>6</v>
      </c>
      <c r="C76" s="58" t="s">
        <v>35</v>
      </c>
      <c r="D76" s="65">
        <v>599000</v>
      </c>
      <c r="E76" s="65" t="s">
        <v>1996</v>
      </c>
      <c r="F76" s="65" t="s">
        <v>1645</v>
      </c>
      <c r="G76" s="65" t="s">
        <v>3387</v>
      </c>
      <c r="H76" s="65" t="s">
        <v>32</v>
      </c>
      <c r="I76" s="65" t="s">
        <v>1690</v>
      </c>
      <c r="J76" s="65" t="s">
        <v>5</v>
      </c>
      <c r="K76" s="65" t="s">
        <v>1636</v>
      </c>
      <c r="L76" s="64" t="s">
        <v>67</v>
      </c>
      <c r="M76" s="58" t="s">
        <v>3</v>
      </c>
      <c r="N76" s="58" t="s">
        <v>2</v>
      </c>
      <c r="O76" s="58">
        <v>65</v>
      </c>
      <c r="P76" s="58">
        <v>0</v>
      </c>
      <c r="Q76" s="58">
        <v>65</v>
      </c>
      <c r="R76" s="58">
        <v>0</v>
      </c>
      <c r="S76" s="58">
        <v>0</v>
      </c>
      <c r="T76" s="58">
        <v>0</v>
      </c>
      <c r="U76" s="58">
        <v>52</v>
      </c>
      <c r="V76" s="62">
        <v>13</v>
      </c>
      <c r="W76" s="62">
        <v>1</v>
      </c>
      <c r="X76" s="63">
        <f>IFERROR(1 -(Master[[#This Row],[Avg Garment Scans per Delivery]]/Master[[#This Row],[Garment Inventory]]), 0)</f>
        <v>0.92307692307692313</v>
      </c>
      <c r="Y76" s="62">
        <v>3</v>
      </c>
      <c r="Z76" s="62">
        <v>13</v>
      </c>
      <c r="AA76" s="53">
        <v>30.045207100591714</v>
      </c>
      <c r="AB76" s="53">
        <v>36.844023668639053</v>
      </c>
      <c r="AC76" s="53">
        <v>32.168402366863916</v>
      </c>
      <c r="AD76" s="53">
        <v>33.403905325443802</v>
      </c>
      <c r="AE76" s="53" t="str">
        <f>_xlfn.XLOOKUP(Master[[#This Row],[cu_id]],'[1]Customer Revenue'!$Q:$Q,'[1]Customer Revenue'!$K:$K, "None")</f>
        <v>None</v>
      </c>
      <c r="AF76" s="53" t="str">
        <f>_xlfn.XLOOKUP(Master[[#This Row],[cu_id]],'[1]Customer Revenue'!$Q:$Q,'[1]Customer Revenue'!$L:$L, "None")</f>
        <v>None</v>
      </c>
      <c r="AG76" s="53">
        <v>32.594763313609469</v>
      </c>
      <c r="AH76" s="53">
        <v>41.659852071005922</v>
      </c>
      <c r="AI76" s="53">
        <v>33.444615384615382</v>
      </c>
      <c r="AJ76" s="53">
        <v>32.786153846153859</v>
      </c>
      <c r="AK76" s="53" t="str">
        <f>_xlfn.XLOOKUP(Master[[#This Row],[cu_id]],'[1]Customer Revenue'!$Q:$Q,'[1]Customer Revenue'!$I:$I, "None")</f>
        <v>None</v>
      </c>
      <c r="AL76" s="53">
        <v>37.127307692307696</v>
      </c>
      <c r="AM76" s="61">
        <v>0.25</v>
      </c>
      <c r="AN76" s="60">
        <v>0.70833333333333337</v>
      </c>
      <c r="AO76" s="60" t="s">
        <v>36</v>
      </c>
      <c r="AP76" s="60" t="s">
        <v>36</v>
      </c>
      <c r="AQ76" s="58" t="s">
        <v>0</v>
      </c>
      <c r="AR76" s="58"/>
      <c r="AS76" s="58"/>
      <c r="AT76" s="52">
        <v>0</v>
      </c>
      <c r="AU76" s="52" t="e">
        <f>IF(Master[[#This Row],[RSP StopTime override]] &lt;&gt; "",Master[[#This Row],[RSP StopTime override]],IF(Master[[#This Row],[Avg stop time helper]] &lt;&gt; 0, Master[[#This Row],[Avg stop time helper]],Average_Stop_Time))</f>
        <v>#DIV/0!</v>
      </c>
      <c r="AV76" s="21"/>
      <c r="AW76" s="20">
        <f>Master[[#This Row],[RSP StopTime override]]-Master[[#This Row],[Avg stop time helper]]</f>
        <v>0</v>
      </c>
    </row>
    <row r="77" spans="1:49" x14ac:dyDescent="0.3">
      <c r="A77" s="66" t="s">
        <v>4198</v>
      </c>
      <c r="B77" s="58">
        <v>6</v>
      </c>
      <c r="C77" s="58" t="s">
        <v>10</v>
      </c>
      <c r="D77" s="65">
        <v>99033</v>
      </c>
      <c r="E77" s="65" t="s">
        <v>3386</v>
      </c>
      <c r="F77" s="65" t="s">
        <v>3385</v>
      </c>
      <c r="G77" s="65" t="s">
        <v>3384</v>
      </c>
      <c r="H77" s="65" t="s">
        <v>32</v>
      </c>
      <c r="I77" s="65" t="s">
        <v>39</v>
      </c>
      <c r="J77" s="65" t="s">
        <v>5</v>
      </c>
      <c r="K77" s="65" t="s">
        <v>38</v>
      </c>
      <c r="L77" s="64" t="s">
        <v>91</v>
      </c>
      <c r="M77" s="58" t="s">
        <v>90</v>
      </c>
      <c r="N77" s="58" t="s">
        <v>2</v>
      </c>
      <c r="O77" s="58">
        <v>35</v>
      </c>
      <c r="P77" s="58">
        <v>0</v>
      </c>
      <c r="Q77" s="58">
        <v>0</v>
      </c>
      <c r="R77" s="58">
        <v>35</v>
      </c>
      <c r="S77" s="58">
        <v>0</v>
      </c>
      <c r="T77" s="58">
        <v>0</v>
      </c>
      <c r="U77" s="58">
        <v>31</v>
      </c>
      <c r="V77" s="62"/>
      <c r="W77" s="62"/>
      <c r="X77" s="63">
        <f>IFERROR(1 -(Master[[#This Row],[Avg Garment Scans per Delivery]]/Master[[#This Row],[Garment Inventory]]), 0)</f>
        <v>0</v>
      </c>
      <c r="Y77" s="62"/>
      <c r="Z77" s="62"/>
      <c r="AA77" s="53">
        <v>36.327268518518522</v>
      </c>
      <c r="AB77" s="53">
        <v>80.490231481481473</v>
      </c>
      <c r="AC77" s="53">
        <v>52.509999999999991</v>
      </c>
      <c r="AD77" s="53">
        <v>101.4425</v>
      </c>
      <c r="AE77" s="53" t="str">
        <f>_xlfn.XLOOKUP(Master[[#This Row],[cu_id]],'[1]Customer Revenue'!$Q:$Q,'[1]Customer Revenue'!$K:$K, "None")</f>
        <v>None</v>
      </c>
      <c r="AF77" s="53" t="str">
        <f>_xlfn.XLOOKUP(Master[[#This Row],[cu_id]],'[1]Customer Revenue'!$Q:$Q,'[1]Customer Revenue'!$L:$L, "None")</f>
        <v>None</v>
      </c>
      <c r="AG77" s="53">
        <v>41.448352380952386</v>
      </c>
      <c r="AH77" s="53">
        <v>85.670219047619042</v>
      </c>
      <c r="AI77" s="53">
        <v>58.408749999999998</v>
      </c>
      <c r="AJ77" s="53">
        <v>76.976249999999993</v>
      </c>
      <c r="AK77" s="53" t="str">
        <f>_xlfn.XLOOKUP(Master[[#This Row],[cu_id]],'[1]Customer Revenue'!$Q:$Q,'[1]Customer Revenue'!$I:$I, "None")</f>
        <v>None</v>
      </c>
      <c r="AL77" s="53">
        <v>63.559285714285714</v>
      </c>
      <c r="AM77" s="61">
        <v>0.25</v>
      </c>
      <c r="AN77" s="60">
        <v>0.20833333333333334</v>
      </c>
      <c r="AO77" s="60" t="s">
        <v>36</v>
      </c>
      <c r="AP77" s="60" t="s">
        <v>36</v>
      </c>
      <c r="AQ77" s="58" t="s">
        <v>0</v>
      </c>
      <c r="AR77" s="58"/>
      <c r="AS77" s="58"/>
      <c r="AT77" s="52">
        <v>0</v>
      </c>
      <c r="AU77" s="52" t="e">
        <f>IF(Master[[#This Row],[RSP StopTime override]] &lt;&gt; "",Master[[#This Row],[RSP StopTime override]],IF(Master[[#This Row],[Avg stop time helper]] &lt;&gt; 0, Master[[#This Row],[Avg stop time helper]],Average_Stop_Time))</f>
        <v>#DIV/0!</v>
      </c>
      <c r="AV77" s="21"/>
      <c r="AW77" s="20">
        <f>Master[[#This Row],[RSP StopTime override]]-Master[[#This Row],[Avg stop time helper]]</f>
        <v>0</v>
      </c>
    </row>
    <row r="78" spans="1:49" x14ac:dyDescent="0.3">
      <c r="A78" s="66" t="s">
        <v>4199</v>
      </c>
      <c r="B78" s="58">
        <v>6</v>
      </c>
      <c r="C78" s="58" t="s">
        <v>10</v>
      </c>
      <c r="D78" s="65">
        <v>99088</v>
      </c>
      <c r="E78" s="65" t="s">
        <v>2590</v>
      </c>
      <c r="F78" s="65" t="s">
        <v>3383</v>
      </c>
      <c r="G78" s="65" t="s">
        <v>3382</v>
      </c>
      <c r="H78" s="65" t="s">
        <v>7</v>
      </c>
      <c r="I78" s="65" t="s">
        <v>39</v>
      </c>
      <c r="J78" s="65" t="s">
        <v>5</v>
      </c>
      <c r="K78" s="65" t="s">
        <v>38</v>
      </c>
      <c r="L78" s="64" t="s">
        <v>67</v>
      </c>
      <c r="M78" s="58" t="s">
        <v>3</v>
      </c>
      <c r="N78" s="58" t="s">
        <v>2</v>
      </c>
      <c r="O78" s="58">
        <v>36</v>
      </c>
      <c r="P78" s="58">
        <v>0</v>
      </c>
      <c r="Q78" s="58">
        <v>0</v>
      </c>
      <c r="R78" s="58">
        <v>36</v>
      </c>
      <c r="S78" s="58">
        <v>0</v>
      </c>
      <c r="T78" s="58">
        <v>0</v>
      </c>
      <c r="U78" s="58">
        <v>52</v>
      </c>
      <c r="V78" s="62">
        <v>150</v>
      </c>
      <c r="W78" s="62">
        <v>14</v>
      </c>
      <c r="X78" s="63">
        <f>IFERROR(1 -(Master[[#This Row],[Avg Garment Scans per Delivery]]/Master[[#This Row],[Garment Inventory]]), 0)</f>
        <v>0.90666666666666662</v>
      </c>
      <c r="Y78" s="62">
        <v>8</v>
      </c>
      <c r="Z78" s="62">
        <v>149</v>
      </c>
      <c r="AA78" s="53">
        <v>38.253609467455618</v>
      </c>
      <c r="AB78" s="53">
        <v>39.318698224852071</v>
      </c>
      <c r="AC78" s="53">
        <v>41.231656804733731</v>
      </c>
      <c r="AD78" s="53">
        <v>63.923727810650888</v>
      </c>
      <c r="AE78" s="53" t="str">
        <f>_xlfn.XLOOKUP(Master[[#This Row],[cu_id]],'[1]Customer Revenue'!$Q:$Q,'[1]Customer Revenue'!$K:$K, "None")</f>
        <v>None</v>
      </c>
      <c r="AF78" s="53" t="str">
        <f>_xlfn.XLOOKUP(Master[[#This Row],[cu_id]],'[1]Customer Revenue'!$Q:$Q,'[1]Customer Revenue'!$L:$L, "None")</f>
        <v>None</v>
      </c>
      <c r="AG78" s="53">
        <v>38.30686390532545</v>
      </c>
      <c r="AH78" s="53">
        <v>38.919289940828442</v>
      </c>
      <c r="AI78" s="53">
        <v>38.786153846153844</v>
      </c>
      <c r="AJ78" s="53">
        <v>52.57769230769231</v>
      </c>
      <c r="AK78" s="53" t="str">
        <f>_xlfn.XLOOKUP(Master[[#This Row],[cu_id]],'[1]Customer Revenue'!$Q:$Q,'[1]Customer Revenue'!$I:$I, "None")</f>
        <v>None</v>
      </c>
      <c r="AL78" s="53">
        <v>38.613076923076946</v>
      </c>
      <c r="AM78" s="61">
        <v>0.3125</v>
      </c>
      <c r="AN78" s="60">
        <v>0.20833333333333334</v>
      </c>
      <c r="AO78" s="60" t="s">
        <v>36</v>
      </c>
      <c r="AP78" s="60" t="s">
        <v>36</v>
      </c>
      <c r="AQ78" s="58" t="s">
        <v>0</v>
      </c>
      <c r="AR78" s="58"/>
      <c r="AS78" s="58"/>
      <c r="AT78" s="52">
        <v>0</v>
      </c>
      <c r="AU78" s="52" t="e">
        <f>IF(Master[[#This Row],[RSP StopTime override]] &lt;&gt; "",Master[[#This Row],[RSP StopTime override]],IF(Master[[#This Row],[Avg stop time helper]] &lt;&gt; 0, Master[[#This Row],[Avg stop time helper]],Average_Stop_Time))</f>
        <v>#DIV/0!</v>
      </c>
      <c r="AV78" s="21"/>
      <c r="AW78" s="20">
        <f>Master[[#This Row],[RSP StopTime override]]-Master[[#This Row],[Avg stop time helper]]</f>
        <v>0</v>
      </c>
    </row>
    <row r="79" spans="1:49" x14ac:dyDescent="0.3">
      <c r="A79" s="66" t="s">
        <v>4200</v>
      </c>
      <c r="B79" s="58">
        <v>6</v>
      </c>
      <c r="C79" s="58" t="s">
        <v>10</v>
      </c>
      <c r="D79" s="65">
        <v>413698</v>
      </c>
      <c r="E79" s="65" t="s">
        <v>1455</v>
      </c>
      <c r="F79" s="65" t="s">
        <v>3381</v>
      </c>
      <c r="G79" s="65" t="s">
        <v>3380</v>
      </c>
      <c r="H79" s="65" t="s">
        <v>32</v>
      </c>
      <c r="I79" s="65" t="s">
        <v>3322</v>
      </c>
      <c r="J79" s="65" t="s">
        <v>5</v>
      </c>
      <c r="K79" s="65" t="s">
        <v>3321</v>
      </c>
      <c r="L79" s="64" t="s">
        <v>77</v>
      </c>
      <c r="M79" s="58" t="s">
        <v>29</v>
      </c>
      <c r="N79" s="58" t="s">
        <v>2</v>
      </c>
      <c r="O79" s="58">
        <v>130</v>
      </c>
      <c r="P79" s="58">
        <v>0</v>
      </c>
      <c r="Q79" s="58">
        <v>0</v>
      </c>
      <c r="R79" s="58">
        <v>130</v>
      </c>
      <c r="S79" s="58">
        <v>0</v>
      </c>
      <c r="T79" s="58">
        <v>0</v>
      </c>
      <c r="U79" s="58">
        <v>26</v>
      </c>
      <c r="V79" s="62"/>
      <c r="W79" s="62"/>
      <c r="X79" s="63">
        <f>IFERROR(1 -(Master[[#This Row],[Avg Garment Scans per Delivery]]/Master[[#This Row],[Garment Inventory]]), 0)</f>
        <v>0</v>
      </c>
      <c r="Y79" s="62"/>
      <c r="Z79" s="62"/>
      <c r="AA79" s="53">
        <v>29</v>
      </c>
      <c r="AB79" s="53">
        <v>30.25</v>
      </c>
      <c r="AC79" s="53">
        <v>33.209591836734688</v>
      </c>
      <c r="AD79" s="53">
        <v>36.256122448979582</v>
      </c>
      <c r="AE79" s="53" t="str">
        <f>_xlfn.XLOOKUP(Master[[#This Row],[cu_id]],'[1]Customer Revenue'!$Q:$Q,'[1]Customer Revenue'!$K:$K, "None")</f>
        <v>None</v>
      </c>
      <c r="AF79" s="53" t="str">
        <f>_xlfn.XLOOKUP(Master[[#This Row],[cu_id]],'[1]Customer Revenue'!$Q:$Q,'[1]Customer Revenue'!$L:$L, "None")</f>
        <v>None</v>
      </c>
      <c r="AG79" s="53">
        <v>29.103550295857989</v>
      </c>
      <c r="AH79" s="53">
        <v>29.742603550295858</v>
      </c>
      <c r="AI79" s="53">
        <v>29.625</v>
      </c>
      <c r="AJ79" s="53">
        <v>34.732857142857135</v>
      </c>
      <c r="AK79" s="53" t="str">
        <f>_xlfn.XLOOKUP(Master[[#This Row],[cu_id]],'[1]Customer Revenue'!$Q:$Q,'[1]Customer Revenue'!$I:$I, "None")</f>
        <v>None</v>
      </c>
      <c r="AL79" s="53">
        <v>29.423076923076923</v>
      </c>
      <c r="AM79" s="61">
        <v>0.375</v>
      </c>
      <c r="AN79" s="60">
        <v>0.16666666666666666</v>
      </c>
      <c r="AO79" s="60" t="s">
        <v>36</v>
      </c>
      <c r="AP79" s="60" t="s">
        <v>36</v>
      </c>
      <c r="AQ79" s="58" t="s">
        <v>0</v>
      </c>
      <c r="AR79" s="58"/>
      <c r="AS79" s="58"/>
      <c r="AT79" s="52">
        <v>0</v>
      </c>
      <c r="AU79" s="52" t="e">
        <f>IF(Master[[#This Row],[RSP StopTime override]] &lt;&gt; "",Master[[#This Row],[RSP StopTime override]],IF(Master[[#This Row],[Avg stop time helper]] &lt;&gt; 0, Master[[#This Row],[Avg stop time helper]],Average_Stop_Time))</f>
        <v>#DIV/0!</v>
      </c>
      <c r="AV79" s="21"/>
      <c r="AW79" s="20">
        <f>Master[[#This Row],[RSP StopTime override]]-Master[[#This Row],[Avg stop time helper]]</f>
        <v>0</v>
      </c>
    </row>
    <row r="80" spans="1:49" x14ac:dyDescent="0.3">
      <c r="A80" s="66" t="s">
        <v>4201</v>
      </c>
      <c r="B80" s="58">
        <v>6</v>
      </c>
      <c r="C80" s="58" t="s">
        <v>10</v>
      </c>
      <c r="D80" s="65">
        <v>428373</v>
      </c>
      <c r="E80" s="65" t="s">
        <v>686</v>
      </c>
      <c r="F80" s="65" t="s">
        <v>3379</v>
      </c>
      <c r="G80" s="65" t="s">
        <v>3378</v>
      </c>
      <c r="H80" s="65" t="s">
        <v>32</v>
      </c>
      <c r="I80" s="65" t="s">
        <v>3326</v>
      </c>
      <c r="J80" s="65" t="s">
        <v>5</v>
      </c>
      <c r="K80" s="65" t="s">
        <v>3325</v>
      </c>
      <c r="L80" s="64" t="s">
        <v>67</v>
      </c>
      <c r="M80" s="58" t="s">
        <v>3</v>
      </c>
      <c r="N80" s="58" t="s">
        <v>2</v>
      </c>
      <c r="O80" s="58">
        <v>155</v>
      </c>
      <c r="P80" s="58">
        <v>0</v>
      </c>
      <c r="Q80" s="58">
        <v>0</v>
      </c>
      <c r="R80" s="58">
        <v>155</v>
      </c>
      <c r="S80" s="58">
        <v>0</v>
      </c>
      <c r="T80" s="58">
        <v>0</v>
      </c>
      <c r="U80" s="58">
        <v>53</v>
      </c>
      <c r="V80" s="62">
        <v>569</v>
      </c>
      <c r="W80" s="62">
        <v>131</v>
      </c>
      <c r="X80" s="63">
        <f>IFERROR(1 -(Master[[#This Row],[Avg Garment Scans per Delivery]]/Master[[#This Row],[Garment Inventory]]), 0)</f>
        <v>0.76977152899824253</v>
      </c>
      <c r="Y80" s="62">
        <v>24</v>
      </c>
      <c r="Z80" s="62">
        <v>569</v>
      </c>
      <c r="AA80" s="53">
        <v>292.37544378698226</v>
      </c>
      <c r="AB80" s="53">
        <v>329.78301775147929</v>
      </c>
      <c r="AC80" s="53">
        <v>296.72431952662726</v>
      </c>
      <c r="AD80" s="53">
        <v>344.00337278106508</v>
      </c>
      <c r="AE80" s="53" t="str">
        <f>_xlfn.XLOOKUP(Master[[#This Row],[cu_id]],'[1]Customer Revenue'!$Q:$Q,'[1]Customer Revenue'!$K:$K, "None")</f>
        <v>None</v>
      </c>
      <c r="AF80" s="53" t="str">
        <f>_xlfn.XLOOKUP(Master[[#This Row],[cu_id]],'[1]Customer Revenue'!$Q:$Q,'[1]Customer Revenue'!$L:$L, "None")</f>
        <v>None</v>
      </c>
      <c r="AG80" s="53">
        <v>294.74440828402356</v>
      </c>
      <c r="AH80" s="53">
        <v>349.10097633136087</v>
      </c>
      <c r="AI80" s="53">
        <v>311.07923076923078</v>
      </c>
      <c r="AJ80" s="53">
        <v>320.36384615384617</v>
      </c>
      <c r="AK80" s="53" t="str">
        <f>_xlfn.XLOOKUP(Master[[#This Row],[cu_id]],'[1]Customer Revenue'!$Q:$Q,'[1]Customer Revenue'!$I:$I, "None")</f>
        <v>None</v>
      </c>
      <c r="AL80" s="53">
        <v>321.92269230769222</v>
      </c>
      <c r="AM80" s="61">
        <v>0.29166666666666669</v>
      </c>
      <c r="AN80" s="60">
        <v>0.20833333333333334</v>
      </c>
      <c r="AO80" s="60" t="s">
        <v>36</v>
      </c>
      <c r="AP80" s="60" t="s">
        <v>36</v>
      </c>
      <c r="AQ80" s="58" t="s">
        <v>0</v>
      </c>
      <c r="AR80" s="58"/>
      <c r="AS80" s="58"/>
      <c r="AT80" s="52">
        <v>0</v>
      </c>
      <c r="AU80" s="52" t="e">
        <f>IF(Master[[#This Row],[RSP StopTime override]] &lt;&gt; "",Master[[#This Row],[RSP StopTime override]],IF(Master[[#This Row],[Avg stop time helper]] &lt;&gt; 0, Master[[#This Row],[Avg stop time helper]],Average_Stop_Time))</f>
        <v>#DIV/0!</v>
      </c>
      <c r="AV80" s="21"/>
      <c r="AW80" s="20">
        <f>Master[[#This Row],[RSP StopTime override]]-Master[[#This Row],[Avg stop time helper]]</f>
        <v>0</v>
      </c>
    </row>
    <row r="81" spans="1:49" x14ac:dyDescent="0.3">
      <c r="A81" s="66" t="s">
        <v>4202</v>
      </c>
      <c r="B81" s="58">
        <v>6</v>
      </c>
      <c r="C81" s="58" t="s">
        <v>10</v>
      </c>
      <c r="D81" s="65">
        <v>514008</v>
      </c>
      <c r="E81" s="65" t="s">
        <v>42</v>
      </c>
      <c r="F81" s="65" t="s">
        <v>3377</v>
      </c>
      <c r="G81" s="65" t="s">
        <v>3376</v>
      </c>
      <c r="H81" s="65" t="s">
        <v>32</v>
      </c>
      <c r="I81" s="65" t="s">
        <v>3357</v>
      </c>
      <c r="J81" s="65" t="s">
        <v>5</v>
      </c>
      <c r="K81" s="65" t="s">
        <v>3321</v>
      </c>
      <c r="L81" s="64" t="s">
        <v>67</v>
      </c>
      <c r="M81" s="58" t="s">
        <v>3</v>
      </c>
      <c r="N81" s="58" t="s">
        <v>2</v>
      </c>
      <c r="O81" s="58">
        <v>135</v>
      </c>
      <c r="P81" s="58">
        <v>0</v>
      </c>
      <c r="Q81" s="58">
        <v>0</v>
      </c>
      <c r="R81" s="58">
        <v>135</v>
      </c>
      <c r="S81" s="58">
        <v>0</v>
      </c>
      <c r="T81" s="58">
        <v>0</v>
      </c>
      <c r="U81" s="58">
        <v>50</v>
      </c>
      <c r="V81" s="62"/>
      <c r="W81" s="62"/>
      <c r="X81" s="63">
        <f>IFERROR(1 -(Master[[#This Row],[Avg Garment Scans per Delivery]]/Master[[#This Row],[Garment Inventory]]), 0)</f>
        <v>0</v>
      </c>
      <c r="Y81" s="62"/>
      <c r="Z81" s="62"/>
      <c r="AA81" s="53">
        <v>102.82041420118343</v>
      </c>
      <c r="AB81" s="53">
        <v>104.41804733727808</v>
      </c>
      <c r="AC81" s="53">
        <v>104.7260355029586</v>
      </c>
      <c r="AD81" s="53">
        <v>111.38165680473377</v>
      </c>
      <c r="AE81" s="53" t="str">
        <f>_xlfn.XLOOKUP(Master[[#This Row],[cu_id]],'[1]Customer Revenue'!$Q:$Q,'[1]Customer Revenue'!$K:$K, "None")</f>
        <v>None</v>
      </c>
      <c r="AF81" s="53" t="str">
        <f>_xlfn.XLOOKUP(Master[[#This Row],[cu_id]],'[1]Customer Revenue'!$Q:$Q,'[1]Customer Revenue'!$L:$L, "None")</f>
        <v>None</v>
      </c>
      <c r="AG81" s="53">
        <v>102.90029585798814</v>
      </c>
      <c r="AH81" s="53">
        <v>103.81893491124251</v>
      </c>
      <c r="AI81" s="53">
        <v>103.61923076923075</v>
      </c>
      <c r="AJ81" s="53">
        <v>108.05384615384618</v>
      </c>
      <c r="AK81" s="53" t="str">
        <f>_xlfn.XLOOKUP(Master[[#This Row],[cu_id]],'[1]Customer Revenue'!$Q:$Q,'[1]Customer Revenue'!$I:$I, "None")</f>
        <v>None</v>
      </c>
      <c r="AL81" s="53">
        <v>103.35961538461532</v>
      </c>
      <c r="AM81" s="61">
        <v>0.29166666666666669</v>
      </c>
      <c r="AN81" s="60">
        <v>0.20833333333333334</v>
      </c>
      <c r="AO81" s="60" t="s">
        <v>36</v>
      </c>
      <c r="AP81" s="60" t="s">
        <v>36</v>
      </c>
      <c r="AQ81" s="58" t="s">
        <v>0</v>
      </c>
      <c r="AR81" s="58"/>
      <c r="AS81" s="58"/>
      <c r="AT81" s="52">
        <v>0</v>
      </c>
      <c r="AU81" s="52" t="e">
        <f>IF(Master[[#This Row],[RSP StopTime override]] &lt;&gt; "",Master[[#This Row],[RSP StopTime override]],IF(Master[[#This Row],[Avg stop time helper]] &lt;&gt; 0, Master[[#This Row],[Avg stop time helper]],Average_Stop_Time))</f>
        <v>#DIV/0!</v>
      </c>
      <c r="AV81" s="21"/>
      <c r="AW81" s="20">
        <f>Master[[#This Row],[RSP StopTime override]]-Master[[#This Row],[Avg stop time helper]]</f>
        <v>0</v>
      </c>
    </row>
    <row r="82" spans="1:49" x14ac:dyDescent="0.3">
      <c r="A82" s="66" t="s">
        <v>4203</v>
      </c>
      <c r="B82" s="58">
        <v>6</v>
      </c>
      <c r="C82" s="58" t="s">
        <v>10</v>
      </c>
      <c r="D82" s="65">
        <v>514197</v>
      </c>
      <c r="E82" s="65" t="s">
        <v>42</v>
      </c>
      <c r="F82" s="65" t="s">
        <v>3375</v>
      </c>
      <c r="G82" s="65" t="s">
        <v>3374</v>
      </c>
      <c r="H82" s="65" t="s">
        <v>32</v>
      </c>
      <c r="I82" s="65" t="s">
        <v>3352</v>
      </c>
      <c r="J82" s="65" t="s">
        <v>5</v>
      </c>
      <c r="K82" s="65" t="s">
        <v>1227</v>
      </c>
      <c r="L82" s="64" t="s">
        <v>91</v>
      </c>
      <c r="M82" s="58" t="s">
        <v>90</v>
      </c>
      <c r="N82" s="58" t="s">
        <v>2</v>
      </c>
      <c r="O82" s="58">
        <v>110</v>
      </c>
      <c r="P82" s="58">
        <v>0</v>
      </c>
      <c r="Q82" s="58">
        <v>0</v>
      </c>
      <c r="R82" s="58">
        <v>110</v>
      </c>
      <c r="S82" s="58">
        <v>0</v>
      </c>
      <c r="T82" s="58">
        <v>0</v>
      </c>
      <c r="U82" s="58">
        <v>22</v>
      </c>
      <c r="V82" s="62"/>
      <c r="W82" s="62"/>
      <c r="X82" s="63">
        <f>IFERROR(1 -(Master[[#This Row],[Avg Garment Scans per Delivery]]/Master[[#This Row],[Garment Inventory]]), 0)</f>
        <v>0</v>
      </c>
      <c r="Y82" s="62"/>
      <c r="Z82" s="62"/>
      <c r="AA82" s="53">
        <v>24.278061224489793</v>
      </c>
      <c r="AB82" s="53">
        <v>70.891938775510198</v>
      </c>
      <c r="AC82" s="53">
        <v>38.297999999999995</v>
      </c>
      <c r="AD82" s="53">
        <v>67.75800000000001</v>
      </c>
      <c r="AE82" s="53" t="str">
        <f>_xlfn.XLOOKUP(Master[[#This Row],[cu_id]],'[1]Customer Revenue'!$Q:$Q,'[1]Customer Revenue'!$K:$K, "None")</f>
        <v>None</v>
      </c>
      <c r="AF82" s="53" t="str">
        <f>_xlfn.XLOOKUP(Master[[#This Row],[cu_id]],'[1]Customer Revenue'!$Q:$Q,'[1]Customer Revenue'!$L:$L, "None")</f>
        <v>None</v>
      </c>
      <c r="AG82" s="53">
        <v>33.724444444444437</v>
      </c>
      <c r="AH82" s="53">
        <v>74.453333333333319</v>
      </c>
      <c r="AI82" s="53">
        <v>47.584999999999994</v>
      </c>
      <c r="AJ82" s="53">
        <v>53.027999999999999</v>
      </c>
      <c r="AK82" s="53" t="str">
        <f>_xlfn.XLOOKUP(Master[[#This Row],[cu_id]],'[1]Customer Revenue'!$Q:$Q,'[1]Customer Revenue'!$I:$I, "None")</f>
        <v>None</v>
      </c>
      <c r="AL82" s="53">
        <v>54.088888888888881</v>
      </c>
      <c r="AM82" s="61">
        <v>0.25</v>
      </c>
      <c r="AN82" s="60">
        <v>0.20833333333333334</v>
      </c>
      <c r="AO82" s="60" t="s">
        <v>36</v>
      </c>
      <c r="AP82" s="60" t="s">
        <v>36</v>
      </c>
      <c r="AQ82" s="58" t="s">
        <v>0</v>
      </c>
      <c r="AR82" s="58"/>
      <c r="AS82" s="58"/>
      <c r="AT82" s="52">
        <v>0</v>
      </c>
      <c r="AU82" s="52" t="e">
        <f>IF(Master[[#This Row],[RSP StopTime override]] &lt;&gt; "",Master[[#This Row],[RSP StopTime override]],IF(Master[[#This Row],[Avg stop time helper]] &lt;&gt; 0, Master[[#This Row],[Avg stop time helper]],Average_Stop_Time))</f>
        <v>#DIV/0!</v>
      </c>
      <c r="AV82" s="21"/>
      <c r="AW82" s="20">
        <f>Master[[#This Row],[RSP StopTime override]]-Master[[#This Row],[Avg stop time helper]]</f>
        <v>0</v>
      </c>
    </row>
    <row r="83" spans="1:49" x14ac:dyDescent="0.3">
      <c r="A83" s="66" t="s">
        <v>4204</v>
      </c>
      <c r="B83" s="58">
        <v>6</v>
      </c>
      <c r="C83" s="58" t="s">
        <v>10</v>
      </c>
      <c r="D83" s="65">
        <v>518364</v>
      </c>
      <c r="E83" s="65" t="s">
        <v>42</v>
      </c>
      <c r="F83" s="65" t="s">
        <v>3373</v>
      </c>
      <c r="G83" s="65" t="s">
        <v>3372</v>
      </c>
      <c r="H83" s="65" t="s">
        <v>32</v>
      </c>
      <c r="I83" s="65" t="s">
        <v>3371</v>
      </c>
      <c r="J83" s="65" t="s">
        <v>5</v>
      </c>
      <c r="K83" s="65" t="s">
        <v>3325</v>
      </c>
      <c r="L83" s="64" t="s">
        <v>67</v>
      </c>
      <c r="M83" s="58" t="s">
        <v>3</v>
      </c>
      <c r="N83" s="58" t="s">
        <v>2</v>
      </c>
      <c r="O83" s="58">
        <v>150</v>
      </c>
      <c r="P83" s="58">
        <v>0</v>
      </c>
      <c r="Q83" s="58">
        <v>0</v>
      </c>
      <c r="R83" s="58">
        <v>150</v>
      </c>
      <c r="S83" s="58">
        <v>0</v>
      </c>
      <c r="T83" s="58">
        <v>0</v>
      </c>
      <c r="U83" s="58">
        <v>96</v>
      </c>
      <c r="V83" s="62"/>
      <c r="W83" s="62"/>
      <c r="X83" s="63">
        <f>IFERROR(1 -(Master[[#This Row],[Avg Garment Scans per Delivery]]/Master[[#This Row],[Garment Inventory]]), 0)</f>
        <v>0</v>
      </c>
      <c r="Y83" s="62"/>
      <c r="Z83" s="62"/>
      <c r="AA83" s="53">
        <v>106.9056804733728</v>
      </c>
      <c r="AB83" s="53">
        <v>234.66662721893493</v>
      </c>
      <c r="AC83" s="53">
        <v>125.38438775510205</v>
      </c>
      <c r="AD83" s="53">
        <v>245.53418367346939</v>
      </c>
      <c r="AE83" s="53" t="str">
        <f>_xlfn.XLOOKUP(Master[[#This Row],[cu_id]],'[1]Customer Revenue'!$Q:$Q,'[1]Customer Revenue'!$K:$K, "None")</f>
        <v>None</v>
      </c>
      <c r="AF83" s="53" t="str">
        <f>_xlfn.XLOOKUP(Master[[#This Row],[cu_id]],'[1]Customer Revenue'!$Q:$Q,'[1]Customer Revenue'!$L:$L, "None")</f>
        <v>None</v>
      </c>
      <c r="AG83" s="53">
        <v>111.17024691358026</v>
      </c>
      <c r="AH83" s="53">
        <v>300.41716049382705</v>
      </c>
      <c r="AI83" s="53">
        <v>170.78615384615387</v>
      </c>
      <c r="AJ83" s="53">
        <v>185.45928571428573</v>
      </c>
      <c r="AK83" s="53" t="str">
        <f>_xlfn.XLOOKUP(Master[[#This Row],[cu_id]],'[1]Customer Revenue'!$Q:$Q,'[1]Customer Revenue'!$I:$I, "None")</f>
        <v>None</v>
      </c>
      <c r="AL83" s="53">
        <v>205.79370370370367</v>
      </c>
      <c r="AM83" s="61">
        <v>0.29166666666666669</v>
      </c>
      <c r="AN83" s="60">
        <v>0.20833333333333334</v>
      </c>
      <c r="AO83" s="60" t="s">
        <v>36</v>
      </c>
      <c r="AP83" s="60" t="s">
        <v>36</v>
      </c>
      <c r="AQ83" s="58" t="s">
        <v>0</v>
      </c>
      <c r="AR83" s="58"/>
      <c r="AS83" s="58"/>
      <c r="AT83" s="52">
        <v>0</v>
      </c>
      <c r="AU83" s="52" t="e">
        <f>IF(Master[[#This Row],[RSP StopTime override]] &lt;&gt; "",Master[[#This Row],[RSP StopTime override]],IF(Master[[#This Row],[Avg stop time helper]] &lt;&gt; 0, Master[[#This Row],[Avg stop time helper]],Average_Stop_Time))</f>
        <v>#DIV/0!</v>
      </c>
      <c r="AV83" s="21"/>
      <c r="AW83" s="20">
        <f>Master[[#This Row],[RSP StopTime override]]-Master[[#This Row],[Avg stop time helper]]</f>
        <v>0</v>
      </c>
    </row>
    <row r="84" spans="1:49" x14ac:dyDescent="0.3">
      <c r="A84" s="66" t="s">
        <v>4205</v>
      </c>
      <c r="B84" s="58">
        <v>6</v>
      </c>
      <c r="C84" s="58" t="s">
        <v>10</v>
      </c>
      <c r="D84" s="65">
        <v>521028</v>
      </c>
      <c r="E84" s="65" t="s">
        <v>42</v>
      </c>
      <c r="F84" s="65" t="s">
        <v>3370</v>
      </c>
      <c r="G84" s="65" t="s">
        <v>3369</v>
      </c>
      <c r="H84" s="65" t="s">
        <v>32</v>
      </c>
      <c r="I84" s="65" t="s">
        <v>3224</v>
      </c>
      <c r="J84" s="65" t="s">
        <v>5</v>
      </c>
      <c r="K84" s="65" t="s">
        <v>38</v>
      </c>
      <c r="L84" s="64" t="s">
        <v>145</v>
      </c>
      <c r="M84" s="58" t="s">
        <v>123</v>
      </c>
      <c r="N84" s="58" t="s">
        <v>144</v>
      </c>
      <c r="O84" s="58">
        <v>30</v>
      </c>
      <c r="P84" s="58">
        <v>0</v>
      </c>
      <c r="Q84" s="58">
        <v>0</v>
      </c>
      <c r="R84" s="58">
        <v>30</v>
      </c>
      <c r="S84" s="58">
        <v>0</v>
      </c>
      <c r="T84" s="58">
        <v>0</v>
      </c>
      <c r="U84" s="58">
        <v>10</v>
      </c>
      <c r="V84" s="62"/>
      <c r="W84" s="62"/>
      <c r="X84" s="63">
        <f>IFERROR(1 -(Master[[#This Row],[Avg Garment Scans per Delivery]]/Master[[#This Row],[Garment Inventory]]), 0)</f>
        <v>0</v>
      </c>
      <c r="Y84" s="62"/>
      <c r="Z84" s="62"/>
      <c r="AA84" s="53">
        <v>247.19</v>
      </c>
      <c r="AB84" s="53">
        <v>509.95</v>
      </c>
      <c r="AC84" s="53">
        <v>176.55</v>
      </c>
      <c r="AD84" s="53">
        <v>278.58999999999997</v>
      </c>
      <c r="AE84" s="53" t="str">
        <f>_xlfn.XLOOKUP(Master[[#This Row],[cu_id]],'[1]Customer Revenue'!$Q:$Q,'[1]Customer Revenue'!$K:$K, "None")</f>
        <v>None</v>
      </c>
      <c r="AF84" s="53" t="str">
        <f>_xlfn.XLOOKUP(Master[[#This Row],[cu_id]],'[1]Customer Revenue'!$Q:$Q,'[1]Customer Revenue'!$L:$L, "None")</f>
        <v>None</v>
      </c>
      <c r="AG84" s="53">
        <v>185.14305555555555</v>
      </c>
      <c r="AH84" s="53">
        <v>481.37194444444447</v>
      </c>
      <c r="AI84" s="53">
        <v>378.57</v>
      </c>
      <c r="AJ84" s="53">
        <v>227.57</v>
      </c>
      <c r="AK84" s="53" t="str">
        <f>_xlfn.XLOOKUP(Master[[#This Row],[cu_id]],'[1]Customer Revenue'!$Q:$Q,'[1]Customer Revenue'!$I:$I, "None")</f>
        <v>None</v>
      </c>
      <c r="AL84" s="53">
        <v>333.25749999999999</v>
      </c>
      <c r="AM84" s="61">
        <v>0.29166666666666669</v>
      </c>
      <c r="AN84" s="60">
        <v>0.20833333333333334</v>
      </c>
      <c r="AO84" s="60" t="s">
        <v>36</v>
      </c>
      <c r="AP84" s="60" t="s">
        <v>36</v>
      </c>
      <c r="AQ84" s="58" t="s">
        <v>0</v>
      </c>
      <c r="AR84" s="58"/>
      <c r="AS84" s="58"/>
      <c r="AT84" s="52">
        <v>0</v>
      </c>
      <c r="AU84" s="52" t="e">
        <f>IF(Master[[#This Row],[RSP StopTime override]] &lt;&gt; "",Master[[#This Row],[RSP StopTime override]],IF(Master[[#This Row],[Avg stop time helper]] &lt;&gt; 0, Master[[#This Row],[Avg stop time helper]],Average_Stop_Time))</f>
        <v>#DIV/0!</v>
      </c>
      <c r="AV84" s="21"/>
      <c r="AW84" s="20">
        <f>Master[[#This Row],[RSP StopTime override]]-Master[[#This Row],[Avg stop time helper]]</f>
        <v>0</v>
      </c>
    </row>
    <row r="85" spans="1:49" x14ac:dyDescent="0.3">
      <c r="A85" s="66" t="s">
        <v>4206</v>
      </c>
      <c r="B85" s="58">
        <v>6</v>
      </c>
      <c r="C85" s="58" t="s">
        <v>10</v>
      </c>
      <c r="D85" s="65">
        <v>521782</v>
      </c>
      <c r="E85" s="65" t="s">
        <v>42</v>
      </c>
      <c r="F85" s="65" t="s">
        <v>3368</v>
      </c>
      <c r="G85" s="65" t="s">
        <v>3367</v>
      </c>
      <c r="H85" s="65" t="s">
        <v>32</v>
      </c>
      <c r="I85" s="65" t="s">
        <v>3366</v>
      </c>
      <c r="J85" s="65" t="s">
        <v>5</v>
      </c>
      <c r="K85" s="65" t="s">
        <v>3313</v>
      </c>
      <c r="L85" s="64" t="s">
        <v>206</v>
      </c>
      <c r="M85" s="58" t="s">
        <v>205</v>
      </c>
      <c r="N85" s="58" t="s">
        <v>2</v>
      </c>
      <c r="O85" s="58">
        <v>45</v>
      </c>
      <c r="P85" s="58">
        <v>0</v>
      </c>
      <c r="Q85" s="58">
        <v>0</v>
      </c>
      <c r="R85" s="58">
        <v>45</v>
      </c>
      <c r="S85" s="58">
        <v>0</v>
      </c>
      <c r="T85" s="58">
        <v>0</v>
      </c>
      <c r="U85" s="58">
        <v>30</v>
      </c>
      <c r="V85" s="62"/>
      <c r="W85" s="62"/>
      <c r="X85" s="63">
        <f>IFERROR(1 -(Master[[#This Row],[Avg Garment Scans per Delivery]]/Master[[#This Row],[Garment Inventory]]), 0)</f>
        <v>0</v>
      </c>
      <c r="Y85" s="62"/>
      <c r="Z85" s="62"/>
      <c r="AA85" s="53">
        <v>15.451111111111111</v>
      </c>
      <c r="AB85" s="53">
        <v>16.535555555555554</v>
      </c>
      <c r="AC85" s="53">
        <v>44.806666666666665</v>
      </c>
      <c r="AD85" s="53">
        <v>160.66333333333333</v>
      </c>
      <c r="AE85" s="53" t="str">
        <f>_xlfn.XLOOKUP(Master[[#This Row],[cu_id]],'[1]Customer Revenue'!$Q:$Q,'[1]Customer Revenue'!$K:$K, "None")</f>
        <v>None</v>
      </c>
      <c r="AF85" s="53" t="str">
        <f>_xlfn.XLOOKUP(Master[[#This Row],[cu_id]],'[1]Customer Revenue'!$Q:$Q,'[1]Customer Revenue'!$L:$L, "None")</f>
        <v>None</v>
      </c>
      <c r="AG85" s="53">
        <v>21.623636363636365</v>
      </c>
      <c r="AH85" s="53">
        <v>140.73636363636362</v>
      </c>
      <c r="AI85" s="53">
        <v>15.993333333333332</v>
      </c>
      <c r="AJ85" s="53">
        <v>102.735</v>
      </c>
      <c r="AK85" s="53" t="str">
        <f>_xlfn.XLOOKUP(Master[[#This Row],[cu_id]],'[1]Customer Revenue'!$Q:$Q,'[1]Customer Revenue'!$I:$I, "None")</f>
        <v>None</v>
      </c>
      <c r="AL85" s="53">
        <v>81.179999999999993</v>
      </c>
      <c r="AM85" s="61" t="s">
        <v>36</v>
      </c>
      <c r="AN85" s="60" t="s">
        <v>36</v>
      </c>
      <c r="AO85" s="60" t="s">
        <v>36</v>
      </c>
      <c r="AP85" s="60" t="s">
        <v>36</v>
      </c>
      <c r="AQ85" s="58" t="s">
        <v>0</v>
      </c>
      <c r="AR85" s="58"/>
      <c r="AS85" s="58"/>
      <c r="AT85" s="52">
        <v>0</v>
      </c>
      <c r="AU85" s="52" t="e">
        <f>IF(Master[[#This Row],[RSP StopTime override]] &lt;&gt; "",Master[[#This Row],[RSP StopTime override]],IF(Master[[#This Row],[Avg stop time helper]] &lt;&gt; 0, Master[[#This Row],[Avg stop time helper]],Average_Stop_Time))</f>
        <v>#DIV/0!</v>
      </c>
      <c r="AV85" s="21"/>
      <c r="AW85" s="20">
        <f>Master[[#This Row],[RSP StopTime override]]-Master[[#This Row],[Avg stop time helper]]</f>
        <v>0</v>
      </c>
    </row>
    <row r="86" spans="1:49" x14ac:dyDescent="0.3">
      <c r="A86" s="66" t="s">
        <v>4207</v>
      </c>
      <c r="B86" s="58">
        <v>6</v>
      </c>
      <c r="C86" s="58" t="s">
        <v>10</v>
      </c>
      <c r="D86" s="65">
        <v>522456</v>
      </c>
      <c r="E86" s="65" t="s">
        <v>1416</v>
      </c>
      <c r="F86" s="65" t="s">
        <v>3365</v>
      </c>
      <c r="G86" s="65" t="s">
        <v>3364</v>
      </c>
      <c r="H86" s="65" t="s">
        <v>32</v>
      </c>
      <c r="I86" s="65" t="s">
        <v>3310</v>
      </c>
      <c r="J86" s="65" t="s">
        <v>5</v>
      </c>
      <c r="K86" s="65" t="s">
        <v>3313</v>
      </c>
      <c r="L86" s="64" t="s">
        <v>77</v>
      </c>
      <c r="M86" s="58" t="s">
        <v>29</v>
      </c>
      <c r="N86" s="58" t="s">
        <v>2</v>
      </c>
      <c r="O86" s="58">
        <v>77</v>
      </c>
      <c r="P86" s="58">
        <v>0</v>
      </c>
      <c r="Q86" s="58">
        <v>0</v>
      </c>
      <c r="R86" s="58">
        <v>77</v>
      </c>
      <c r="S86" s="58">
        <v>0</v>
      </c>
      <c r="T86" s="58">
        <v>0</v>
      </c>
      <c r="U86" s="58">
        <v>38</v>
      </c>
      <c r="V86" s="62"/>
      <c r="W86" s="62"/>
      <c r="X86" s="63">
        <f>IFERROR(1 -(Master[[#This Row],[Avg Garment Scans per Delivery]]/Master[[#This Row],[Garment Inventory]]), 0)</f>
        <v>0</v>
      </c>
      <c r="Y86" s="62"/>
      <c r="Z86" s="62"/>
      <c r="AA86" s="53">
        <v>38.742455621301758</v>
      </c>
      <c r="AB86" s="53">
        <v>51.56754437869823</v>
      </c>
      <c r="AC86" s="53">
        <v>46.794897959183672</v>
      </c>
      <c r="AD86" s="53">
        <v>50.556530612244899</v>
      </c>
      <c r="AE86" s="53" t="str">
        <f>_xlfn.XLOOKUP(Master[[#This Row],[cu_id]],'[1]Customer Revenue'!$Q:$Q,'[1]Customer Revenue'!$K:$K, "None")</f>
        <v>None</v>
      </c>
      <c r="AF86" s="53" t="str">
        <f>_xlfn.XLOOKUP(Master[[#This Row],[cu_id]],'[1]Customer Revenue'!$Q:$Q,'[1]Customer Revenue'!$L:$L, "None")</f>
        <v>None</v>
      </c>
      <c r="AG86" s="53">
        <v>38.199252071005915</v>
      </c>
      <c r="AH86" s="53">
        <v>68.549547928994045</v>
      </c>
      <c r="AI86" s="53">
        <v>45.154999999999994</v>
      </c>
      <c r="AJ86" s="53">
        <v>48.675714285714285</v>
      </c>
      <c r="AK86" s="53" t="str">
        <f>_xlfn.XLOOKUP(Master[[#This Row],[cu_id]],'[1]Customer Revenue'!$Q:$Q,'[1]Customer Revenue'!$I:$I, "None")</f>
        <v>None</v>
      </c>
      <c r="AL86" s="53">
        <v>53.37439999999998</v>
      </c>
      <c r="AM86" s="61" t="s">
        <v>36</v>
      </c>
      <c r="AN86" s="60" t="s">
        <v>36</v>
      </c>
      <c r="AO86" s="60" t="s">
        <v>36</v>
      </c>
      <c r="AP86" s="60" t="s">
        <v>36</v>
      </c>
      <c r="AQ86" s="58" t="s">
        <v>0</v>
      </c>
      <c r="AR86" s="58"/>
      <c r="AS86" s="58"/>
      <c r="AT86" s="52">
        <v>0</v>
      </c>
      <c r="AU86" s="52" t="e">
        <f>IF(Master[[#This Row],[RSP StopTime override]] &lt;&gt; "",Master[[#This Row],[RSP StopTime override]],IF(Master[[#This Row],[Avg stop time helper]] &lt;&gt; 0, Master[[#This Row],[Avg stop time helper]],Average_Stop_Time))</f>
        <v>#DIV/0!</v>
      </c>
      <c r="AV86" s="21"/>
      <c r="AW86" s="20">
        <f>Master[[#This Row],[RSP StopTime override]]-Master[[#This Row],[Avg stop time helper]]</f>
        <v>0</v>
      </c>
    </row>
    <row r="87" spans="1:49" x14ac:dyDescent="0.3">
      <c r="A87" s="66" t="s">
        <v>4208</v>
      </c>
      <c r="B87" s="58">
        <v>6</v>
      </c>
      <c r="C87" s="58" t="s">
        <v>10</v>
      </c>
      <c r="D87" s="65">
        <v>522854</v>
      </c>
      <c r="E87" s="65" t="s">
        <v>42</v>
      </c>
      <c r="F87" s="65" t="s">
        <v>3363</v>
      </c>
      <c r="G87" s="65" t="s">
        <v>3362</v>
      </c>
      <c r="H87" s="65" t="s">
        <v>32</v>
      </c>
      <c r="I87" s="65" t="s">
        <v>3352</v>
      </c>
      <c r="J87" s="65" t="s">
        <v>5</v>
      </c>
      <c r="K87" s="65" t="s">
        <v>1227</v>
      </c>
      <c r="L87" s="64" t="s">
        <v>77</v>
      </c>
      <c r="M87" s="58" t="s">
        <v>29</v>
      </c>
      <c r="N87" s="58" t="s">
        <v>2</v>
      </c>
      <c r="O87" s="58">
        <v>85</v>
      </c>
      <c r="P87" s="58">
        <v>0</v>
      </c>
      <c r="Q87" s="58">
        <v>0</v>
      </c>
      <c r="R87" s="58">
        <v>85</v>
      </c>
      <c r="S87" s="58">
        <v>0</v>
      </c>
      <c r="T87" s="58">
        <v>0</v>
      </c>
      <c r="U87" s="58">
        <v>26</v>
      </c>
      <c r="V87" s="62"/>
      <c r="W87" s="62"/>
      <c r="X87" s="63">
        <f>IFERROR(1 -(Master[[#This Row],[Avg Garment Scans per Delivery]]/Master[[#This Row],[Garment Inventory]]), 0)</f>
        <v>0</v>
      </c>
      <c r="Y87" s="62"/>
      <c r="Z87" s="62"/>
      <c r="AA87" s="53">
        <v>218.30722222222224</v>
      </c>
      <c r="AB87" s="53">
        <v>252.16944444444445</v>
      </c>
      <c r="AC87" s="53">
        <v>253.31919642857136</v>
      </c>
      <c r="AD87" s="53">
        <v>395.17794642857143</v>
      </c>
      <c r="AE87" s="53" t="str">
        <f>_xlfn.XLOOKUP(Master[[#This Row],[cu_id]],'[1]Customer Revenue'!$Q:$Q,'[1]Customer Revenue'!$K:$K, "None")</f>
        <v>None</v>
      </c>
      <c r="AF87" s="53" t="str">
        <f>_xlfn.XLOOKUP(Master[[#This Row],[cu_id]],'[1]Customer Revenue'!$Q:$Q,'[1]Customer Revenue'!$L:$L, "None")</f>
        <v>None</v>
      </c>
      <c r="AG87" s="53">
        <v>223.79857988165685</v>
      </c>
      <c r="AH87" s="53">
        <v>258.51834319526631</v>
      </c>
      <c r="AI87" s="53">
        <v>235.23833333333334</v>
      </c>
      <c r="AJ87" s="53">
        <v>324.24857142857138</v>
      </c>
      <c r="AK87" s="53" t="str">
        <f>_xlfn.XLOOKUP(Master[[#This Row],[cu_id]],'[1]Customer Revenue'!$Q:$Q,'[1]Customer Revenue'!$I:$I, "None")</f>
        <v>None</v>
      </c>
      <c r="AL87" s="53">
        <v>241.15846153846158</v>
      </c>
      <c r="AM87" s="61">
        <v>0.375</v>
      </c>
      <c r="AN87" s="60">
        <v>0.20833333333333334</v>
      </c>
      <c r="AO87" s="60" t="s">
        <v>36</v>
      </c>
      <c r="AP87" s="60" t="s">
        <v>36</v>
      </c>
      <c r="AQ87" s="58" t="s">
        <v>0</v>
      </c>
      <c r="AR87" s="58"/>
      <c r="AS87" s="58"/>
      <c r="AT87" s="52">
        <v>0</v>
      </c>
      <c r="AU87" s="52" t="e">
        <f>IF(Master[[#This Row],[RSP StopTime override]] &lt;&gt; "",Master[[#This Row],[RSP StopTime override]],IF(Master[[#This Row],[Avg stop time helper]] &lt;&gt; 0, Master[[#This Row],[Avg stop time helper]],Average_Stop_Time))</f>
        <v>#DIV/0!</v>
      </c>
      <c r="AV87" s="21"/>
      <c r="AW87" s="20">
        <f>Master[[#This Row],[RSP StopTime override]]-Master[[#This Row],[Avg stop time helper]]</f>
        <v>0</v>
      </c>
    </row>
    <row r="88" spans="1:49" x14ac:dyDescent="0.3">
      <c r="A88" s="66" t="s">
        <v>4209</v>
      </c>
      <c r="B88" s="58">
        <v>6</v>
      </c>
      <c r="C88" s="58" t="s">
        <v>10</v>
      </c>
      <c r="D88" s="65">
        <v>523800</v>
      </c>
      <c r="E88" s="65" t="s">
        <v>686</v>
      </c>
      <c r="F88" s="65" t="s">
        <v>3361</v>
      </c>
      <c r="G88" s="65" t="s">
        <v>3360</v>
      </c>
      <c r="H88" s="65" t="s">
        <v>7</v>
      </c>
      <c r="I88" s="65" t="s">
        <v>3326</v>
      </c>
      <c r="J88" s="65" t="s">
        <v>5</v>
      </c>
      <c r="K88" s="65" t="s">
        <v>3325</v>
      </c>
      <c r="L88" s="64" t="s">
        <v>67</v>
      </c>
      <c r="M88" s="58" t="s">
        <v>3</v>
      </c>
      <c r="N88" s="58" t="s">
        <v>2</v>
      </c>
      <c r="O88" s="58">
        <v>160</v>
      </c>
      <c r="P88" s="58">
        <v>0</v>
      </c>
      <c r="Q88" s="58">
        <v>0</v>
      </c>
      <c r="R88" s="58">
        <v>160</v>
      </c>
      <c r="S88" s="58">
        <v>0</v>
      </c>
      <c r="T88" s="58">
        <v>0</v>
      </c>
      <c r="U88" s="58">
        <v>27</v>
      </c>
      <c r="V88" s="62">
        <v>48</v>
      </c>
      <c r="W88" s="62">
        <v>3</v>
      </c>
      <c r="X88" s="63">
        <f>IFERROR(1 -(Master[[#This Row],[Avg Garment Scans per Delivery]]/Master[[#This Row],[Garment Inventory]]), 0)</f>
        <v>0.9375</v>
      </c>
      <c r="Y88" s="62">
        <v>3</v>
      </c>
      <c r="Z88" s="62">
        <v>48</v>
      </c>
      <c r="AA88" s="53">
        <v>94.197448979591826</v>
      </c>
      <c r="AB88" s="53">
        <v>138.54969387755102</v>
      </c>
      <c r="AC88" s="53">
        <v>87.701836734693885</v>
      </c>
      <c r="AD88" s="53">
        <v>128.365306122449</v>
      </c>
      <c r="AE88" s="53" t="str">
        <f>_xlfn.XLOOKUP(Master[[#This Row],[cu_id]],'[1]Customer Revenue'!$Q:$Q,'[1]Customer Revenue'!$K:$K, "None")</f>
        <v>None</v>
      </c>
      <c r="AF88" s="53" t="str">
        <f>_xlfn.XLOOKUP(Master[[#This Row],[cu_id]],'[1]Customer Revenue'!$Q:$Q,'[1]Customer Revenue'!$L:$L, "None")</f>
        <v>None</v>
      </c>
      <c r="AG88" s="53">
        <v>71.853088530125518</v>
      </c>
      <c r="AH88" s="53">
        <v>123.74998839295134</v>
      </c>
      <c r="AI88" s="53">
        <v>116.37357142857142</v>
      </c>
      <c r="AJ88" s="53">
        <v>108.03357142857145</v>
      </c>
      <c r="AK88" s="53" t="str">
        <f>_xlfn.XLOOKUP(Master[[#This Row],[cu_id]],'[1]Customer Revenue'!$Q:$Q,'[1]Customer Revenue'!$I:$I, "None")</f>
        <v>None</v>
      </c>
      <c r="AL88" s="53">
        <v>97.801538461538428</v>
      </c>
      <c r="AM88" s="61">
        <v>0.4375</v>
      </c>
      <c r="AN88" s="60">
        <v>0.20833333333333334</v>
      </c>
      <c r="AO88" s="60" t="s">
        <v>36</v>
      </c>
      <c r="AP88" s="60" t="s">
        <v>36</v>
      </c>
      <c r="AQ88" s="58" t="s">
        <v>0</v>
      </c>
      <c r="AR88" s="58"/>
      <c r="AS88" s="58"/>
      <c r="AT88" s="52">
        <v>0</v>
      </c>
      <c r="AU88" s="52" t="e">
        <f>IF(Master[[#This Row],[RSP StopTime override]] &lt;&gt; "",Master[[#This Row],[RSP StopTime override]],IF(Master[[#This Row],[Avg stop time helper]] &lt;&gt; 0, Master[[#This Row],[Avg stop time helper]],Average_Stop_Time))</f>
        <v>#DIV/0!</v>
      </c>
      <c r="AV88" s="21"/>
      <c r="AW88" s="20">
        <f>Master[[#This Row],[RSP StopTime override]]-Master[[#This Row],[Avg stop time helper]]</f>
        <v>0</v>
      </c>
    </row>
    <row r="89" spans="1:49" x14ac:dyDescent="0.3">
      <c r="A89" s="66" t="s">
        <v>4210</v>
      </c>
      <c r="B89" s="58">
        <v>6</v>
      </c>
      <c r="C89" s="58" t="s">
        <v>10</v>
      </c>
      <c r="D89" s="65">
        <v>524205</v>
      </c>
      <c r="E89" s="65" t="s">
        <v>42</v>
      </c>
      <c r="F89" s="65" t="s">
        <v>3359</v>
      </c>
      <c r="G89" s="65" t="s">
        <v>3358</v>
      </c>
      <c r="H89" s="65" t="s">
        <v>32</v>
      </c>
      <c r="I89" s="65" t="s">
        <v>3357</v>
      </c>
      <c r="J89" s="65" t="s">
        <v>5</v>
      </c>
      <c r="K89" s="65" t="s">
        <v>3321</v>
      </c>
      <c r="L89" s="64" t="s">
        <v>145</v>
      </c>
      <c r="M89" s="58" t="s">
        <v>123</v>
      </c>
      <c r="N89" s="58" t="s">
        <v>144</v>
      </c>
      <c r="O89" s="58">
        <v>125</v>
      </c>
      <c r="P89" s="58">
        <v>0</v>
      </c>
      <c r="Q89" s="58">
        <v>0</v>
      </c>
      <c r="R89" s="58">
        <v>125</v>
      </c>
      <c r="S89" s="58">
        <v>0</v>
      </c>
      <c r="T89" s="58">
        <v>0</v>
      </c>
      <c r="U89" s="58">
        <v>16</v>
      </c>
      <c r="V89" s="62"/>
      <c r="W89" s="62"/>
      <c r="X89" s="63">
        <f>IFERROR(1 -(Master[[#This Row],[Avg Garment Scans per Delivery]]/Master[[#This Row],[Garment Inventory]]), 0)</f>
        <v>0</v>
      </c>
      <c r="Y89" s="62"/>
      <c r="Z89" s="62"/>
      <c r="AA89" s="53">
        <v>69.9084</v>
      </c>
      <c r="AB89" s="53">
        <v>360.4076</v>
      </c>
      <c r="AC89" s="53">
        <v>34.713333333333338</v>
      </c>
      <c r="AD89" s="53">
        <v>163.62666666666667</v>
      </c>
      <c r="AE89" s="53" t="str">
        <f>_xlfn.XLOOKUP(Master[[#This Row],[cu_id]],'[1]Customer Revenue'!$Q:$Q,'[1]Customer Revenue'!$K:$K, "None")</f>
        <v>None</v>
      </c>
      <c r="AF89" s="53" t="str">
        <f>_xlfn.XLOOKUP(Master[[#This Row],[cu_id]],'[1]Customer Revenue'!$Q:$Q,'[1]Customer Revenue'!$L:$L, "None")</f>
        <v>None</v>
      </c>
      <c r="AG89" s="53">
        <v>75.720200000000034</v>
      </c>
      <c r="AH89" s="53">
        <v>281.61780000000005</v>
      </c>
      <c r="AI89" s="53">
        <v>215.15799999999999</v>
      </c>
      <c r="AJ89" s="53">
        <v>99.17</v>
      </c>
      <c r="AK89" s="53" t="str">
        <f>_xlfn.XLOOKUP(Master[[#This Row],[cu_id]],'[1]Customer Revenue'!$Q:$Q,'[1]Customer Revenue'!$I:$I, "None")</f>
        <v>None</v>
      </c>
      <c r="AL89" s="53">
        <v>178.66900000000004</v>
      </c>
      <c r="AM89" s="61">
        <v>0.375</v>
      </c>
      <c r="AN89" s="60">
        <v>0.125</v>
      </c>
      <c r="AO89" s="60" t="s">
        <v>36</v>
      </c>
      <c r="AP89" s="60" t="s">
        <v>36</v>
      </c>
      <c r="AQ89" s="58" t="s">
        <v>0</v>
      </c>
      <c r="AR89" s="58"/>
      <c r="AS89" s="58"/>
      <c r="AT89" s="52">
        <v>0</v>
      </c>
      <c r="AU89" s="52" t="e">
        <f>IF(Master[[#This Row],[RSP StopTime override]] &lt;&gt; "",Master[[#This Row],[RSP StopTime override]],IF(Master[[#This Row],[Avg stop time helper]] &lt;&gt; 0, Master[[#This Row],[Avg stop time helper]],Average_Stop_Time))</f>
        <v>#DIV/0!</v>
      </c>
      <c r="AV89" s="21"/>
      <c r="AW89" s="20">
        <f>Master[[#This Row],[RSP StopTime override]]-Master[[#This Row],[Avg stop time helper]]</f>
        <v>0</v>
      </c>
    </row>
    <row r="90" spans="1:49" x14ac:dyDescent="0.3">
      <c r="A90" s="66" t="s">
        <v>4211</v>
      </c>
      <c r="B90" s="58">
        <v>6</v>
      </c>
      <c r="C90" s="58" t="s">
        <v>10</v>
      </c>
      <c r="D90" s="65">
        <v>528013</v>
      </c>
      <c r="E90" s="65" t="s">
        <v>42</v>
      </c>
      <c r="F90" s="65" t="s">
        <v>3356</v>
      </c>
      <c r="G90" s="65" t="s">
        <v>3355</v>
      </c>
      <c r="H90" s="65" t="s">
        <v>32</v>
      </c>
      <c r="I90" s="65" t="s">
        <v>3352</v>
      </c>
      <c r="J90" s="65" t="s">
        <v>5</v>
      </c>
      <c r="K90" s="65" t="s">
        <v>1227</v>
      </c>
      <c r="L90" s="64" t="s">
        <v>67</v>
      </c>
      <c r="M90" s="58" t="s">
        <v>3</v>
      </c>
      <c r="N90" s="58" t="s">
        <v>2</v>
      </c>
      <c r="O90" s="58">
        <v>105</v>
      </c>
      <c r="P90" s="58">
        <v>0</v>
      </c>
      <c r="Q90" s="58">
        <v>0</v>
      </c>
      <c r="R90" s="58">
        <v>105</v>
      </c>
      <c r="S90" s="58">
        <v>0</v>
      </c>
      <c r="T90" s="58">
        <v>0</v>
      </c>
      <c r="U90" s="58">
        <v>50</v>
      </c>
      <c r="V90" s="62"/>
      <c r="W90" s="62"/>
      <c r="X90" s="63">
        <f>IFERROR(1 -(Master[[#This Row],[Avg Garment Scans per Delivery]]/Master[[#This Row],[Garment Inventory]]), 0)</f>
        <v>0</v>
      </c>
      <c r="Y90" s="62"/>
      <c r="Z90" s="62"/>
      <c r="AA90" s="53">
        <v>30.283754706831616</v>
      </c>
      <c r="AB90" s="53">
        <v>51.603518020441086</v>
      </c>
      <c r="AC90" s="53">
        <v>43.263195266272177</v>
      </c>
      <c r="AD90" s="53">
        <v>59.659881656804728</v>
      </c>
      <c r="AE90" s="53" t="str">
        <f>_xlfn.XLOOKUP(Master[[#This Row],[cu_id]],'[1]Customer Revenue'!$Q:$Q,'[1]Customer Revenue'!$K:$K, "None")</f>
        <v>None</v>
      </c>
      <c r="AF90" s="53" t="str">
        <f>_xlfn.XLOOKUP(Master[[#This Row],[cu_id]],'[1]Customer Revenue'!$Q:$Q,'[1]Customer Revenue'!$L:$L, "None")</f>
        <v>None</v>
      </c>
      <c r="AG90" s="53">
        <v>37.393885601577928</v>
      </c>
      <c r="AH90" s="53">
        <v>50.879447731755441</v>
      </c>
      <c r="AI90" s="53">
        <v>40.943636363636351</v>
      </c>
      <c r="AJ90" s="53">
        <v>51.461538461538453</v>
      </c>
      <c r="AK90" s="53" t="str">
        <f>_xlfn.XLOOKUP(Master[[#This Row],[cu_id]],'[1]Customer Revenue'!$Q:$Q,'[1]Customer Revenue'!$I:$I, "None")</f>
        <v>None</v>
      </c>
      <c r="AL90" s="53">
        <v>44.136666666666684</v>
      </c>
      <c r="AM90" s="61">
        <v>0.25</v>
      </c>
      <c r="AN90" s="60">
        <v>0.20833333333333334</v>
      </c>
      <c r="AO90" s="60" t="s">
        <v>36</v>
      </c>
      <c r="AP90" s="60" t="s">
        <v>36</v>
      </c>
      <c r="AQ90" s="58" t="s">
        <v>0</v>
      </c>
      <c r="AR90" s="58"/>
      <c r="AS90" s="58"/>
      <c r="AT90" s="52">
        <v>0</v>
      </c>
      <c r="AU90" s="52" t="e">
        <f>IF(Master[[#This Row],[RSP StopTime override]] &lt;&gt; "",Master[[#This Row],[RSP StopTime override]],IF(Master[[#This Row],[Avg stop time helper]] &lt;&gt; 0, Master[[#This Row],[Avg stop time helper]],Average_Stop_Time))</f>
        <v>#DIV/0!</v>
      </c>
      <c r="AV90" s="21"/>
      <c r="AW90" s="20">
        <f>Master[[#This Row],[RSP StopTime override]]-Master[[#This Row],[Avg stop time helper]]</f>
        <v>0</v>
      </c>
    </row>
    <row r="91" spans="1:49" x14ac:dyDescent="0.3">
      <c r="A91" s="66" t="s">
        <v>4212</v>
      </c>
      <c r="B91" s="58">
        <v>6</v>
      </c>
      <c r="C91" s="58" t="s">
        <v>10</v>
      </c>
      <c r="D91" s="65">
        <v>528759</v>
      </c>
      <c r="E91" s="65" t="s">
        <v>42</v>
      </c>
      <c r="F91" s="65" t="s">
        <v>3354</v>
      </c>
      <c r="G91" s="65" t="s">
        <v>3353</v>
      </c>
      <c r="H91" s="65" t="s">
        <v>32</v>
      </c>
      <c r="I91" s="65" t="s">
        <v>3352</v>
      </c>
      <c r="J91" s="65" t="s">
        <v>5</v>
      </c>
      <c r="K91" s="65" t="s">
        <v>1227</v>
      </c>
      <c r="L91" s="64" t="s">
        <v>67</v>
      </c>
      <c r="M91" s="58" t="s">
        <v>3</v>
      </c>
      <c r="N91" s="58" t="s">
        <v>2</v>
      </c>
      <c r="O91" s="58">
        <v>115</v>
      </c>
      <c r="P91" s="58">
        <v>0</v>
      </c>
      <c r="Q91" s="58">
        <v>0</v>
      </c>
      <c r="R91" s="58">
        <v>115</v>
      </c>
      <c r="S91" s="58">
        <v>0</v>
      </c>
      <c r="T91" s="58">
        <v>0</v>
      </c>
      <c r="U91" s="58">
        <v>53</v>
      </c>
      <c r="V91" s="62"/>
      <c r="W91" s="62">
        <v>6</v>
      </c>
      <c r="X91" s="63">
        <f>IFERROR(1 -(Master[[#This Row],[Avg Garment Scans per Delivery]]/Master[[#This Row],[Garment Inventory]]), 0)</f>
        <v>0</v>
      </c>
      <c r="Y91" s="62"/>
      <c r="Z91" s="62"/>
      <c r="AA91" s="53">
        <v>119.87434850863418</v>
      </c>
      <c r="AB91" s="53">
        <v>162.03026687598114</v>
      </c>
      <c r="AC91" s="53">
        <v>123.40737048665622</v>
      </c>
      <c r="AD91" s="53">
        <v>163.46186028257458</v>
      </c>
      <c r="AE91" s="53" t="str">
        <f>_xlfn.XLOOKUP(Master[[#This Row],[cu_id]],'[1]Customer Revenue'!$Q:$Q,'[1]Customer Revenue'!$K:$K, "None")</f>
        <v>None</v>
      </c>
      <c r="AF91" s="53" t="str">
        <f>_xlfn.XLOOKUP(Master[[#This Row],[cu_id]],'[1]Customer Revenue'!$Q:$Q,'[1]Customer Revenue'!$L:$L, "None")</f>
        <v>None</v>
      </c>
      <c r="AG91" s="53">
        <v>126.15857142857149</v>
      </c>
      <c r="AH91" s="53">
        <v>175.64142857142863</v>
      </c>
      <c r="AI91" s="53">
        <v>140.95230769230767</v>
      </c>
      <c r="AJ91" s="53">
        <v>143.4346153846154</v>
      </c>
      <c r="AK91" s="53" t="str">
        <f>_xlfn.XLOOKUP(Master[[#This Row],[cu_id]],'[1]Customer Revenue'!$Q:$Q,'[1]Customer Revenue'!$I:$I, "None")</f>
        <v>None</v>
      </c>
      <c r="AL91" s="53">
        <v>150.90000000000006</v>
      </c>
      <c r="AM91" s="61">
        <v>0.33333333333333331</v>
      </c>
      <c r="AN91" s="60">
        <v>0.20833333333333334</v>
      </c>
      <c r="AO91" s="60" t="s">
        <v>36</v>
      </c>
      <c r="AP91" s="60" t="s">
        <v>36</v>
      </c>
      <c r="AQ91" s="58" t="s">
        <v>0</v>
      </c>
      <c r="AR91" s="58"/>
      <c r="AS91" s="58"/>
      <c r="AT91" s="52">
        <v>0</v>
      </c>
      <c r="AU91" s="52" t="e">
        <f>IF(Master[[#This Row],[RSP StopTime override]] &lt;&gt; "",Master[[#This Row],[RSP StopTime override]],IF(Master[[#This Row],[Avg stop time helper]] &lt;&gt; 0, Master[[#This Row],[Avg stop time helper]],Average_Stop_Time))</f>
        <v>#DIV/0!</v>
      </c>
      <c r="AV91" s="21"/>
      <c r="AW91" s="20">
        <f>Master[[#This Row],[RSP StopTime override]]-Master[[#This Row],[Avg stop time helper]]</f>
        <v>0</v>
      </c>
    </row>
    <row r="92" spans="1:49" x14ac:dyDescent="0.3">
      <c r="A92" s="66" t="s">
        <v>4213</v>
      </c>
      <c r="B92" s="58">
        <v>6</v>
      </c>
      <c r="C92" s="58" t="s">
        <v>10</v>
      </c>
      <c r="D92" s="65">
        <v>529386</v>
      </c>
      <c r="E92" s="65" t="s">
        <v>42</v>
      </c>
      <c r="F92" s="65" t="s">
        <v>3351</v>
      </c>
      <c r="G92" s="65" t="s">
        <v>3350</v>
      </c>
      <c r="H92" s="65" t="s">
        <v>32</v>
      </c>
      <c r="I92" s="65" t="s">
        <v>3224</v>
      </c>
      <c r="J92" s="65" t="s">
        <v>5</v>
      </c>
      <c r="K92" s="65" t="s">
        <v>3203</v>
      </c>
      <c r="L92" s="64" t="s">
        <v>67</v>
      </c>
      <c r="M92" s="58" t="s">
        <v>3</v>
      </c>
      <c r="N92" s="58" t="s">
        <v>2</v>
      </c>
      <c r="O92" s="58">
        <v>3</v>
      </c>
      <c r="P92" s="58">
        <v>0</v>
      </c>
      <c r="Q92" s="58">
        <v>0</v>
      </c>
      <c r="R92" s="58">
        <v>3</v>
      </c>
      <c r="S92" s="58">
        <v>0</v>
      </c>
      <c r="T92" s="58">
        <v>0</v>
      </c>
      <c r="U92" s="58">
        <v>54</v>
      </c>
      <c r="V92" s="62">
        <v>216</v>
      </c>
      <c r="W92" s="62">
        <v>49</v>
      </c>
      <c r="X92" s="63">
        <f>IFERROR(1 -(Master[[#This Row],[Avg Garment Scans per Delivery]]/Master[[#This Row],[Garment Inventory]]), 0)</f>
        <v>0.77314814814814814</v>
      </c>
      <c r="Y92" s="62">
        <v>11</v>
      </c>
      <c r="Z92" s="62">
        <v>222</v>
      </c>
      <c r="AA92" s="53">
        <v>196.33918367346936</v>
      </c>
      <c r="AB92" s="53">
        <v>252.77510204081634</v>
      </c>
      <c r="AC92" s="53">
        <v>251.20692307692306</v>
      </c>
      <c r="AD92" s="53">
        <v>280.57307692307688</v>
      </c>
      <c r="AE92" s="53" t="str">
        <f>_xlfn.XLOOKUP(Master[[#This Row],[cu_id]],'[1]Customer Revenue'!$Q:$Q,'[1]Customer Revenue'!$K:$K, "None")</f>
        <v>None</v>
      </c>
      <c r="AF92" s="53" t="str">
        <f>_xlfn.XLOOKUP(Master[[#This Row],[cu_id]],'[1]Customer Revenue'!$Q:$Q,'[1]Customer Revenue'!$L:$L, "None")</f>
        <v>None</v>
      </c>
      <c r="AG92" s="53">
        <v>208.93851851851858</v>
      </c>
      <c r="AH92" s="53">
        <v>242.26148148148152</v>
      </c>
      <c r="AI92" s="53">
        <v>224.55714285714285</v>
      </c>
      <c r="AJ92" s="53">
        <v>265.89</v>
      </c>
      <c r="AK92" s="53" t="str">
        <f>_xlfn.XLOOKUP(Master[[#This Row],[cu_id]],'[1]Customer Revenue'!$Q:$Q,'[1]Customer Revenue'!$I:$I, "None")</f>
        <v>None</v>
      </c>
      <c r="AL92" s="53">
        <v>225.60000000000005</v>
      </c>
      <c r="AM92" s="61" t="s">
        <v>36</v>
      </c>
      <c r="AN92" s="60" t="s">
        <v>36</v>
      </c>
      <c r="AO92" s="60" t="s">
        <v>36</v>
      </c>
      <c r="AP92" s="60" t="s">
        <v>36</v>
      </c>
      <c r="AQ92" s="58" t="s">
        <v>0</v>
      </c>
      <c r="AR92" s="58"/>
      <c r="AS92" s="58"/>
      <c r="AT92" s="52">
        <v>0</v>
      </c>
      <c r="AU92" s="52" t="e">
        <f>IF(Master[[#This Row],[RSP StopTime override]] &lt;&gt; "",Master[[#This Row],[RSP StopTime override]],IF(Master[[#This Row],[Avg stop time helper]] &lt;&gt; 0, Master[[#This Row],[Avg stop time helper]],Average_Stop_Time))</f>
        <v>#DIV/0!</v>
      </c>
      <c r="AV92" s="21"/>
      <c r="AW92" s="20">
        <f>Master[[#This Row],[RSP StopTime override]]-Master[[#This Row],[Avg stop time helper]]</f>
        <v>0</v>
      </c>
    </row>
    <row r="93" spans="1:49" x14ac:dyDescent="0.3">
      <c r="A93" s="66" t="s">
        <v>4214</v>
      </c>
      <c r="B93" s="58">
        <v>6</v>
      </c>
      <c r="C93" s="58" t="s">
        <v>10</v>
      </c>
      <c r="D93" s="65">
        <v>530404</v>
      </c>
      <c r="E93" s="65" t="s">
        <v>42</v>
      </c>
      <c r="F93" s="65" t="s">
        <v>3349</v>
      </c>
      <c r="G93" s="65" t="s">
        <v>3348</v>
      </c>
      <c r="H93" s="65" t="s">
        <v>7</v>
      </c>
      <c r="I93" s="65" t="s">
        <v>3318</v>
      </c>
      <c r="J93" s="65" t="s">
        <v>5</v>
      </c>
      <c r="K93" s="65" t="s">
        <v>1227</v>
      </c>
      <c r="L93" s="64" t="s">
        <v>67</v>
      </c>
      <c r="M93" s="58" t="s">
        <v>3</v>
      </c>
      <c r="N93" s="58" t="s">
        <v>2</v>
      </c>
      <c r="O93" s="58">
        <v>100</v>
      </c>
      <c r="P93" s="58">
        <v>0</v>
      </c>
      <c r="Q93" s="58">
        <v>0</v>
      </c>
      <c r="R93" s="58">
        <v>100</v>
      </c>
      <c r="S93" s="58">
        <v>0</v>
      </c>
      <c r="T93" s="58">
        <v>0</v>
      </c>
      <c r="U93" s="58">
        <v>51</v>
      </c>
      <c r="V93" s="62"/>
      <c r="W93" s="62"/>
      <c r="X93" s="63">
        <f>IFERROR(1 -(Master[[#This Row],[Avg Garment Scans per Delivery]]/Master[[#This Row],[Garment Inventory]]), 0)</f>
        <v>0</v>
      </c>
      <c r="Y93" s="62"/>
      <c r="Z93" s="62"/>
      <c r="AA93" s="53">
        <v>53.960059171597621</v>
      </c>
      <c r="AB93" s="53">
        <v>70.536863905325419</v>
      </c>
      <c r="AC93" s="53">
        <v>63.145502958579868</v>
      </c>
      <c r="AD93" s="53">
        <v>78.0498816568047</v>
      </c>
      <c r="AE93" s="53" t="str">
        <f>_xlfn.XLOOKUP(Master[[#This Row],[cu_id]],'[1]Customer Revenue'!$Q:$Q,'[1]Customer Revenue'!$K:$K, "None")</f>
        <v>None</v>
      </c>
      <c r="AF93" s="53" t="str">
        <f>_xlfn.XLOOKUP(Master[[#This Row],[cu_id]],'[1]Customer Revenue'!$Q:$Q,'[1]Customer Revenue'!$L:$L, "None")</f>
        <v>None</v>
      </c>
      <c r="AG93" s="53">
        <v>47.168000000000021</v>
      </c>
      <c r="AH93" s="53">
        <v>68.948000000000008</v>
      </c>
      <c r="AI93" s="53">
        <v>62.24846153846152</v>
      </c>
      <c r="AJ93" s="53">
        <v>70.597692307692284</v>
      </c>
      <c r="AK93" s="53" t="str">
        <f>_xlfn.XLOOKUP(Master[[#This Row],[cu_id]],'[1]Customer Revenue'!$Q:$Q,'[1]Customer Revenue'!$I:$I, "None")</f>
        <v>None</v>
      </c>
      <c r="AL93" s="53">
        <v>58.058000000000014</v>
      </c>
      <c r="AM93" s="61">
        <v>0.20833333333333334</v>
      </c>
      <c r="AN93" s="60">
        <v>0.20833333333333334</v>
      </c>
      <c r="AO93" s="60" t="s">
        <v>36</v>
      </c>
      <c r="AP93" s="60" t="s">
        <v>36</v>
      </c>
      <c r="AQ93" s="58" t="s">
        <v>0</v>
      </c>
      <c r="AR93" s="58"/>
      <c r="AS93" s="58"/>
      <c r="AT93" s="52">
        <v>0</v>
      </c>
      <c r="AU93" s="52" t="e">
        <f>IF(Master[[#This Row],[RSP StopTime override]] &lt;&gt; "",Master[[#This Row],[RSP StopTime override]],IF(Master[[#This Row],[Avg stop time helper]] &lt;&gt; 0, Master[[#This Row],[Avg stop time helper]],Average_Stop_Time))</f>
        <v>#DIV/0!</v>
      </c>
      <c r="AV93" s="21"/>
      <c r="AW93" s="20">
        <f>Master[[#This Row],[RSP StopTime override]]-Master[[#This Row],[Avg stop time helper]]</f>
        <v>0</v>
      </c>
    </row>
    <row r="94" spans="1:49" x14ac:dyDescent="0.3">
      <c r="A94" s="66" t="s">
        <v>4215</v>
      </c>
      <c r="B94" s="58">
        <v>6</v>
      </c>
      <c r="C94" s="58" t="s">
        <v>10</v>
      </c>
      <c r="D94" s="65">
        <v>530448</v>
      </c>
      <c r="E94" s="65" t="s">
        <v>42</v>
      </c>
      <c r="F94" s="65" t="s">
        <v>3347</v>
      </c>
      <c r="G94" s="65" t="s">
        <v>3346</v>
      </c>
      <c r="H94" s="65" t="s">
        <v>7</v>
      </c>
      <c r="I94" s="65" t="s">
        <v>39</v>
      </c>
      <c r="J94" s="65" t="s">
        <v>5</v>
      </c>
      <c r="K94" s="65" t="s">
        <v>38</v>
      </c>
      <c r="L94" s="64" t="s">
        <v>67</v>
      </c>
      <c r="M94" s="58" t="s">
        <v>3</v>
      </c>
      <c r="N94" s="58" t="s">
        <v>2</v>
      </c>
      <c r="O94" s="58">
        <v>10</v>
      </c>
      <c r="P94" s="58">
        <v>0</v>
      </c>
      <c r="Q94" s="58">
        <v>0</v>
      </c>
      <c r="R94" s="58">
        <v>10</v>
      </c>
      <c r="S94" s="58">
        <v>0</v>
      </c>
      <c r="T94" s="58">
        <v>0</v>
      </c>
      <c r="U94" s="58">
        <v>54</v>
      </c>
      <c r="V94" s="62"/>
      <c r="W94" s="62"/>
      <c r="X94" s="63">
        <f>IFERROR(1 -(Master[[#This Row],[Avg Garment Scans per Delivery]]/Master[[#This Row],[Garment Inventory]]), 0)</f>
        <v>0</v>
      </c>
      <c r="Y94" s="62"/>
      <c r="Z94" s="62"/>
      <c r="AA94" s="53">
        <v>82.616213017751477</v>
      </c>
      <c r="AB94" s="53">
        <v>88.931479289940825</v>
      </c>
      <c r="AC94" s="53">
        <v>88.944556213017762</v>
      </c>
      <c r="AD94" s="53">
        <v>123.50928994082844</v>
      </c>
      <c r="AE94" s="53" t="str">
        <f>_xlfn.XLOOKUP(Master[[#This Row],[cu_id]],'[1]Customer Revenue'!$Q:$Q,'[1]Customer Revenue'!$K:$K, "None")</f>
        <v>None</v>
      </c>
      <c r="AF94" s="53" t="str">
        <f>_xlfn.XLOOKUP(Master[[#This Row],[cu_id]],'[1]Customer Revenue'!$Q:$Q,'[1]Customer Revenue'!$L:$L, "None")</f>
        <v>None</v>
      </c>
      <c r="AG94" s="53">
        <v>77.867159763313637</v>
      </c>
      <c r="AH94" s="53">
        <v>86.066686390532581</v>
      </c>
      <c r="AI94" s="53">
        <v>85.773846153846151</v>
      </c>
      <c r="AJ94" s="53">
        <v>106.2269230769231</v>
      </c>
      <c r="AK94" s="53" t="str">
        <f>_xlfn.XLOOKUP(Master[[#This Row],[cu_id]],'[1]Customer Revenue'!$Q:$Q,'[1]Customer Revenue'!$I:$I, "None")</f>
        <v>None</v>
      </c>
      <c r="AL94" s="53">
        <v>81.966923076923109</v>
      </c>
      <c r="AM94" s="61">
        <v>0.20833333333333334</v>
      </c>
      <c r="AN94" s="60">
        <v>0.20833333333333334</v>
      </c>
      <c r="AO94" s="60" t="s">
        <v>36</v>
      </c>
      <c r="AP94" s="60" t="s">
        <v>36</v>
      </c>
      <c r="AQ94" s="58" t="s">
        <v>0</v>
      </c>
      <c r="AR94" s="58"/>
      <c r="AS94" s="58"/>
      <c r="AT94" s="52">
        <v>0</v>
      </c>
      <c r="AU94" s="52" t="e">
        <f>IF(Master[[#This Row],[RSP StopTime override]] &lt;&gt; "",Master[[#This Row],[RSP StopTime override]],IF(Master[[#This Row],[Avg stop time helper]] &lt;&gt; 0, Master[[#This Row],[Avg stop time helper]],Average_Stop_Time))</f>
        <v>#DIV/0!</v>
      </c>
      <c r="AV94" s="21"/>
      <c r="AW94" s="20">
        <f>Master[[#This Row],[RSP StopTime override]]-Master[[#This Row],[Avg stop time helper]]</f>
        <v>0</v>
      </c>
    </row>
    <row r="95" spans="1:49" x14ac:dyDescent="0.3">
      <c r="A95" s="66" t="s">
        <v>4216</v>
      </c>
      <c r="B95" s="58">
        <v>6</v>
      </c>
      <c r="C95" s="58" t="s">
        <v>10</v>
      </c>
      <c r="D95" s="65">
        <v>530519</v>
      </c>
      <c r="E95" s="65" t="s">
        <v>42</v>
      </c>
      <c r="F95" s="65" t="s">
        <v>3345</v>
      </c>
      <c r="G95" s="65" t="s">
        <v>3344</v>
      </c>
      <c r="H95" s="65" t="s">
        <v>7</v>
      </c>
      <c r="I95" s="65" t="s">
        <v>3318</v>
      </c>
      <c r="J95" s="65" t="s">
        <v>5</v>
      </c>
      <c r="K95" s="65" t="s">
        <v>1227</v>
      </c>
      <c r="L95" s="64" t="s">
        <v>67</v>
      </c>
      <c r="M95" s="58" t="s">
        <v>3</v>
      </c>
      <c r="N95" s="58" t="s">
        <v>2</v>
      </c>
      <c r="O95" s="58">
        <v>95</v>
      </c>
      <c r="P95" s="58">
        <v>0</v>
      </c>
      <c r="Q95" s="58">
        <v>0</v>
      </c>
      <c r="R95" s="58">
        <v>95</v>
      </c>
      <c r="S95" s="58">
        <v>0</v>
      </c>
      <c r="T95" s="58">
        <v>0</v>
      </c>
      <c r="U95" s="58">
        <v>65</v>
      </c>
      <c r="V95" s="62"/>
      <c r="W95" s="62"/>
      <c r="X95" s="63">
        <f>IFERROR(1 -(Master[[#This Row],[Avg Garment Scans per Delivery]]/Master[[#This Row],[Garment Inventory]]), 0)</f>
        <v>0</v>
      </c>
      <c r="Y95" s="62"/>
      <c r="Z95" s="62"/>
      <c r="AA95" s="53">
        <v>286.33621301775145</v>
      </c>
      <c r="AB95" s="53">
        <v>616.40532544378698</v>
      </c>
      <c r="AC95" s="53">
        <v>284.26869822485196</v>
      </c>
      <c r="AD95" s="53">
        <v>434.12053254437865</v>
      </c>
      <c r="AE95" s="53" t="str">
        <f>_xlfn.XLOOKUP(Master[[#This Row],[cu_id]],'[1]Customer Revenue'!$Q:$Q,'[1]Customer Revenue'!$K:$K, "None")</f>
        <v>None</v>
      </c>
      <c r="AF95" s="53" t="str">
        <f>_xlfn.XLOOKUP(Master[[#This Row],[cu_id]],'[1]Customer Revenue'!$Q:$Q,'[1]Customer Revenue'!$L:$L, "None")</f>
        <v>None</v>
      </c>
      <c r="AG95" s="53">
        <v>228.03300411522642</v>
      </c>
      <c r="AH95" s="53">
        <v>510.70477366255147</v>
      </c>
      <c r="AI95" s="53">
        <v>451.37076923076921</v>
      </c>
      <c r="AJ95" s="53">
        <v>359.1946153846153</v>
      </c>
      <c r="AK95" s="53" t="str">
        <f>_xlfn.XLOOKUP(Master[[#This Row],[cu_id]],'[1]Customer Revenue'!$Q:$Q,'[1]Customer Revenue'!$I:$I, "None")</f>
        <v>None</v>
      </c>
      <c r="AL95" s="53">
        <v>369.36888888888893</v>
      </c>
      <c r="AM95" s="61">
        <v>0.29166666666666669</v>
      </c>
      <c r="AN95" s="60">
        <v>0.20833333333333334</v>
      </c>
      <c r="AO95" s="60" t="s">
        <v>36</v>
      </c>
      <c r="AP95" s="60" t="s">
        <v>36</v>
      </c>
      <c r="AQ95" s="58" t="s">
        <v>0</v>
      </c>
      <c r="AR95" s="58"/>
      <c r="AS95" s="58"/>
      <c r="AT95" s="52">
        <v>0</v>
      </c>
      <c r="AU95" s="52" t="e">
        <f>IF(Master[[#This Row],[RSP StopTime override]] &lt;&gt; "",Master[[#This Row],[RSP StopTime override]],IF(Master[[#This Row],[Avg stop time helper]] &lt;&gt; 0, Master[[#This Row],[Avg stop time helper]],Average_Stop_Time))</f>
        <v>#DIV/0!</v>
      </c>
      <c r="AV95" s="21"/>
      <c r="AW95" s="20">
        <f>Master[[#This Row],[RSP StopTime override]]-Master[[#This Row],[Avg stop time helper]]</f>
        <v>0</v>
      </c>
    </row>
    <row r="96" spans="1:49" x14ac:dyDescent="0.3">
      <c r="A96" s="66" t="s">
        <v>4217</v>
      </c>
      <c r="B96" s="58">
        <v>6</v>
      </c>
      <c r="C96" s="58" t="s">
        <v>10</v>
      </c>
      <c r="D96" s="65">
        <v>530590</v>
      </c>
      <c r="E96" s="65" t="s">
        <v>42</v>
      </c>
      <c r="F96" s="65" t="s">
        <v>3343</v>
      </c>
      <c r="G96" s="65" t="s">
        <v>3342</v>
      </c>
      <c r="H96" s="65" t="s">
        <v>7</v>
      </c>
      <c r="I96" s="65" t="s">
        <v>3318</v>
      </c>
      <c r="J96" s="65" t="s">
        <v>5</v>
      </c>
      <c r="K96" s="65" t="s">
        <v>1227</v>
      </c>
      <c r="L96" s="64" t="s">
        <v>91</v>
      </c>
      <c r="M96" s="58" t="s">
        <v>90</v>
      </c>
      <c r="N96" s="58" t="s">
        <v>2</v>
      </c>
      <c r="O96" s="58">
        <v>90</v>
      </c>
      <c r="P96" s="58">
        <v>0</v>
      </c>
      <c r="Q96" s="58">
        <v>0</v>
      </c>
      <c r="R96" s="58">
        <v>90</v>
      </c>
      <c r="S96" s="58">
        <v>0</v>
      </c>
      <c r="T96" s="58">
        <v>0</v>
      </c>
      <c r="U96" s="58">
        <v>23</v>
      </c>
      <c r="V96" s="62"/>
      <c r="W96" s="62"/>
      <c r="X96" s="63">
        <f>IFERROR(1 -(Master[[#This Row],[Avg Garment Scans per Delivery]]/Master[[#This Row],[Garment Inventory]]), 0)</f>
        <v>0</v>
      </c>
      <c r="Y96" s="62"/>
      <c r="Z96" s="62"/>
      <c r="AA96" s="53">
        <v>49.058599999999998</v>
      </c>
      <c r="AB96" s="53">
        <v>95.231399999999994</v>
      </c>
      <c r="AC96" s="53">
        <v>73.018888888888881</v>
      </c>
      <c r="AD96" s="53">
        <v>75.027777777777771</v>
      </c>
      <c r="AE96" s="53" t="str">
        <f>_xlfn.XLOOKUP(Master[[#This Row],[cu_id]],'[1]Customer Revenue'!$Q:$Q,'[1]Customer Revenue'!$K:$K, "None")</f>
        <v>None</v>
      </c>
      <c r="AF96" s="53" t="str">
        <f>_xlfn.XLOOKUP(Master[[#This Row],[cu_id]],'[1]Customer Revenue'!$Q:$Q,'[1]Customer Revenue'!$L:$L, "None")</f>
        <v>None</v>
      </c>
      <c r="AG96" s="53">
        <v>59.656776859504134</v>
      </c>
      <c r="AH96" s="53">
        <v>83.283223140495863</v>
      </c>
      <c r="AI96" s="53">
        <v>72.144999999999996</v>
      </c>
      <c r="AJ96" s="53">
        <v>74.023333333333326</v>
      </c>
      <c r="AK96" s="53" t="str">
        <f>_xlfn.XLOOKUP(Master[[#This Row],[cu_id]],'[1]Customer Revenue'!$Q:$Q,'[1]Customer Revenue'!$I:$I, "None")</f>
        <v>None</v>
      </c>
      <c r="AL96" s="53">
        <v>71.47</v>
      </c>
      <c r="AM96" s="61" t="s">
        <v>36</v>
      </c>
      <c r="AN96" s="60" t="s">
        <v>36</v>
      </c>
      <c r="AO96" s="60" t="s">
        <v>36</v>
      </c>
      <c r="AP96" s="60" t="s">
        <v>36</v>
      </c>
      <c r="AQ96" s="58" t="s">
        <v>0</v>
      </c>
      <c r="AR96" s="58"/>
      <c r="AS96" s="58"/>
      <c r="AT96" s="52">
        <v>0</v>
      </c>
      <c r="AU96" s="52" t="e">
        <f>IF(Master[[#This Row],[RSP StopTime override]] &lt;&gt; "",Master[[#This Row],[RSP StopTime override]],IF(Master[[#This Row],[Avg stop time helper]] &lt;&gt; 0, Master[[#This Row],[Avg stop time helper]],Average_Stop_Time))</f>
        <v>#DIV/0!</v>
      </c>
      <c r="AV96" s="21"/>
      <c r="AW96" s="20">
        <f>Master[[#This Row],[RSP StopTime override]]-Master[[#This Row],[Avg stop time helper]]</f>
        <v>0</v>
      </c>
    </row>
    <row r="97" spans="1:49" x14ac:dyDescent="0.3">
      <c r="A97" s="66" t="s">
        <v>4218</v>
      </c>
      <c r="B97" s="58">
        <v>6</v>
      </c>
      <c r="C97" s="58" t="s">
        <v>10</v>
      </c>
      <c r="D97" s="65">
        <v>531114</v>
      </c>
      <c r="E97" s="65" t="s">
        <v>42</v>
      </c>
      <c r="F97" s="65" t="s">
        <v>3341</v>
      </c>
      <c r="G97" s="65" t="s">
        <v>3340</v>
      </c>
      <c r="H97" s="65" t="s">
        <v>7</v>
      </c>
      <c r="I97" s="65" t="s">
        <v>39</v>
      </c>
      <c r="J97" s="65" t="s">
        <v>5</v>
      </c>
      <c r="K97" s="65" t="s">
        <v>38</v>
      </c>
      <c r="L97" s="64" t="s">
        <v>206</v>
      </c>
      <c r="M97" s="58" t="s">
        <v>205</v>
      </c>
      <c r="N97" s="58" t="s">
        <v>2</v>
      </c>
      <c r="O97" s="58">
        <v>20</v>
      </c>
      <c r="P97" s="58">
        <v>0</v>
      </c>
      <c r="Q97" s="58">
        <v>0</v>
      </c>
      <c r="R97" s="58">
        <v>20</v>
      </c>
      <c r="S97" s="58">
        <v>0</v>
      </c>
      <c r="T97" s="58">
        <v>0</v>
      </c>
      <c r="U97" s="58">
        <v>6</v>
      </c>
      <c r="V97" s="62"/>
      <c r="W97" s="62"/>
      <c r="X97" s="63">
        <f>IFERROR(1 -(Master[[#This Row],[Avg Garment Scans per Delivery]]/Master[[#This Row],[Garment Inventory]]), 0)</f>
        <v>0</v>
      </c>
      <c r="Y97" s="62"/>
      <c r="Z97" s="62"/>
      <c r="AA97" s="53">
        <v>48.98</v>
      </c>
      <c r="AB97" s="53">
        <v>48.98</v>
      </c>
      <c r="AC97" s="53">
        <v>51.22999999999999</v>
      </c>
      <c r="AD97" s="53">
        <v>54.69</v>
      </c>
      <c r="AE97" s="53" t="str">
        <f>_xlfn.XLOOKUP(Master[[#This Row],[cu_id]],'[1]Customer Revenue'!$Q:$Q,'[1]Customer Revenue'!$K:$K, "None")</f>
        <v>None</v>
      </c>
      <c r="AF97" s="53" t="str">
        <f>_xlfn.XLOOKUP(Master[[#This Row],[cu_id]],'[1]Customer Revenue'!$Q:$Q,'[1]Customer Revenue'!$L:$L, "None")</f>
        <v>None</v>
      </c>
      <c r="AG97" s="53">
        <v>28.514444444444436</v>
      </c>
      <c r="AH97" s="53">
        <v>50.99222222222221</v>
      </c>
      <c r="AI97" s="53">
        <v>48.98</v>
      </c>
      <c r="AJ97" s="53">
        <v>52.959999999999994</v>
      </c>
      <c r="AK97" s="53" t="str">
        <f>_xlfn.XLOOKUP(Master[[#This Row],[cu_id]],'[1]Customer Revenue'!$Q:$Q,'[1]Customer Revenue'!$I:$I, "None")</f>
        <v>None</v>
      </c>
      <c r="AL97" s="53">
        <v>39.753333333333323</v>
      </c>
      <c r="AM97" s="61">
        <v>0.25</v>
      </c>
      <c r="AN97" s="60">
        <v>0.20833333333333334</v>
      </c>
      <c r="AO97" s="60" t="s">
        <v>36</v>
      </c>
      <c r="AP97" s="60" t="s">
        <v>36</v>
      </c>
      <c r="AQ97" s="58" t="s">
        <v>0</v>
      </c>
      <c r="AR97" s="58"/>
      <c r="AS97" s="58"/>
      <c r="AT97" s="52">
        <v>0</v>
      </c>
      <c r="AU97" s="52" t="e">
        <f>IF(Master[[#This Row],[RSP StopTime override]] &lt;&gt; "",Master[[#This Row],[RSP StopTime override]],IF(Master[[#This Row],[Avg stop time helper]] &lt;&gt; 0, Master[[#This Row],[Avg stop time helper]],Average_Stop_Time))</f>
        <v>#DIV/0!</v>
      </c>
      <c r="AV97" s="21"/>
      <c r="AW97" s="20">
        <f>Master[[#This Row],[RSP StopTime override]]-Master[[#This Row],[Avg stop time helper]]</f>
        <v>0</v>
      </c>
    </row>
    <row r="98" spans="1:49" x14ac:dyDescent="0.3">
      <c r="A98" s="66" t="s">
        <v>4219</v>
      </c>
      <c r="B98" s="58">
        <v>6</v>
      </c>
      <c r="C98" s="58" t="s">
        <v>10</v>
      </c>
      <c r="D98" s="65">
        <v>531234</v>
      </c>
      <c r="E98" s="65" t="s">
        <v>686</v>
      </c>
      <c r="F98" s="65" t="s">
        <v>3339</v>
      </c>
      <c r="G98" s="65" t="s">
        <v>3338</v>
      </c>
      <c r="H98" s="65" t="s">
        <v>7</v>
      </c>
      <c r="I98" s="65" t="s">
        <v>3310</v>
      </c>
      <c r="J98" s="65" t="s">
        <v>5</v>
      </c>
      <c r="K98" s="65" t="s">
        <v>3313</v>
      </c>
      <c r="L98" s="64" t="s">
        <v>77</v>
      </c>
      <c r="M98" s="58" t="s">
        <v>29</v>
      </c>
      <c r="N98" s="58" t="s">
        <v>2</v>
      </c>
      <c r="O98" s="58">
        <v>60</v>
      </c>
      <c r="P98" s="58">
        <v>0</v>
      </c>
      <c r="Q98" s="58">
        <v>0</v>
      </c>
      <c r="R98" s="58">
        <v>60</v>
      </c>
      <c r="S98" s="58">
        <v>0</v>
      </c>
      <c r="T98" s="58">
        <v>0</v>
      </c>
      <c r="U98" s="58">
        <v>18</v>
      </c>
      <c r="V98" s="62"/>
      <c r="W98" s="62"/>
      <c r="X98" s="63">
        <f>IFERROR(1 -(Master[[#This Row],[Avg Garment Scans per Delivery]]/Master[[#This Row],[Garment Inventory]]), 0)</f>
        <v>0</v>
      </c>
      <c r="Y98" s="62"/>
      <c r="Z98" s="62"/>
      <c r="AA98" s="53"/>
      <c r="AB98" s="53"/>
      <c r="AC98" s="53">
        <v>79.095267857142844</v>
      </c>
      <c r="AD98" s="53">
        <v>146.55901785714286</v>
      </c>
      <c r="AE98" s="53" t="str">
        <f>_xlfn.XLOOKUP(Master[[#This Row],[cu_id]],'[1]Customer Revenue'!$Q:$Q,'[1]Customer Revenue'!$K:$K, "None")</f>
        <v>None</v>
      </c>
      <c r="AF98" s="53" t="str">
        <f>_xlfn.XLOOKUP(Master[[#This Row],[cu_id]],'[1]Customer Revenue'!$Q:$Q,'[1]Customer Revenue'!$L:$L, "None")</f>
        <v>None</v>
      </c>
      <c r="AG98" s="53">
        <v>54.834000000000003</v>
      </c>
      <c r="AH98" s="53">
        <v>156.066</v>
      </c>
      <c r="AI98" s="53"/>
      <c r="AJ98" s="53">
        <v>112.82714285714285</v>
      </c>
      <c r="AK98" s="53" t="str">
        <f>_xlfn.XLOOKUP(Master[[#This Row],[cu_id]],'[1]Customer Revenue'!$Q:$Q,'[1]Customer Revenue'!$I:$I, "None")</f>
        <v>None</v>
      </c>
      <c r="AL98" s="53">
        <v>105.45</v>
      </c>
      <c r="AM98" s="61" t="s">
        <v>36</v>
      </c>
      <c r="AN98" s="60" t="s">
        <v>36</v>
      </c>
      <c r="AO98" s="60" t="s">
        <v>36</v>
      </c>
      <c r="AP98" s="60" t="s">
        <v>36</v>
      </c>
      <c r="AQ98" s="58" t="s">
        <v>0</v>
      </c>
      <c r="AR98" s="58"/>
      <c r="AS98" s="58"/>
      <c r="AT98" s="52">
        <v>0</v>
      </c>
      <c r="AU98" s="52" t="e">
        <f>IF(Master[[#This Row],[RSP StopTime override]] &lt;&gt; "",Master[[#This Row],[RSP StopTime override]],IF(Master[[#This Row],[Avg stop time helper]] &lt;&gt; 0, Master[[#This Row],[Avg stop time helper]],Average_Stop_Time))</f>
        <v>#DIV/0!</v>
      </c>
      <c r="AV98" s="21"/>
      <c r="AW98" s="20">
        <f>Master[[#This Row],[RSP StopTime override]]-Master[[#This Row],[Avg stop time helper]]</f>
        <v>0</v>
      </c>
    </row>
    <row r="99" spans="1:49" x14ac:dyDescent="0.3">
      <c r="A99" s="66" t="s">
        <v>4220</v>
      </c>
      <c r="B99" s="58">
        <v>6</v>
      </c>
      <c r="C99" s="58" t="s">
        <v>10</v>
      </c>
      <c r="D99" s="65">
        <v>531448</v>
      </c>
      <c r="E99" s="65" t="s">
        <v>42</v>
      </c>
      <c r="F99" s="65" t="s">
        <v>3337</v>
      </c>
      <c r="G99" s="65" t="s">
        <v>3336</v>
      </c>
      <c r="H99" s="65" t="s">
        <v>7</v>
      </c>
      <c r="I99" s="65" t="s">
        <v>3322</v>
      </c>
      <c r="J99" s="65" t="s">
        <v>5</v>
      </c>
      <c r="K99" s="65" t="s">
        <v>3321</v>
      </c>
      <c r="L99" s="64" t="s">
        <v>67</v>
      </c>
      <c r="M99" s="58" t="s">
        <v>3</v>
      </c>
      <c r="N99" s="58" t="s">
        <v>2</v>
      </c>
      <c r="O99" s="58">
        <v>140</v>
      </c>
      <c r="P99" s="58">
        <v>0</v>
      </c>
      <c r="Q99" s="58">
        <v>0</v>
      </c>
      <c r="R99" s="58">
        <v>140</v>
      </c>
      <c r="S99" s="58">
        <v>0</v>
      </c>
      <c r="T99" s="58">
        <v>0</v>
      </c>
      <c r="U99" s="58">
        <v>52</v>
      </c>
      <c r="V99" s="62"/>
      <c r="W99" s="62"/>
      <c r="X99" s="63">
        <f>IFERROR(1 -(Master[[#This Row],[Avg Garment Scans per Delivery]]/Master[[#This Row],[Garment Inventory]]), 0)</f>
        <v>0</v>
      </c>
      <c r="Y99" s="62"/>
      <c r="Z99" s="62"/>
      <c r="AA99" s="53">
        <v>47.570414201183439</v>
      </c>
      <c r="AB99" s="53">
        <v>49.168047337278125</v>
      </c>
      <c r="AC99" s="53">
        <v>49.816863905325448</v>
      </c>
      <c r="AD99" s="53">
        <v>52.836982248520712</v>
      </c>
      <c r="AE99" s="53" t="str">
        <f>_xlfn.XLOOKUP(Master[[#This Row],[cu_id]],'[1]Customer Revenue'!$Q:$Q,'[1]Customer Revenue'!$K:$K, "None")</f>
        <v>None</v>
      </c>
      <c r="AF99" s="53" t="str">
        <f>_xlfn.XLOOKUP(Master[[#This Row],[cu_id]],'[1]Customer Revenue'!$Q:$Q,'[1]Customer Revenue'!$L:$L, "None")</f>
        <v>None</v>
      </c>
      <c r="AG99" s="53">
        <v>46.91967455621301</v>
      </c>
      <c r="AH99" s="53">
        <v>48.474940828402367</v>
      </c>
      <c r="AI99" s="53">
        <v>48.369230769230782</v>
      </c>
      <c r="AJ99" s="53">
        <v>51.32692307692308</v>
      </c>
      <c r="AK99" s="53" t="str">
        <f>_xlfn.XLOOKUP(Master[[#This Row],[cu_id]],'[1]Customer Revenue'!$Q:$Q,'[1]Customer Revenue'!$I:$I, "None")</f>
        <v>None</v>
      </c>
      <c r="AL99" s="53">
        <v>47.697307692307689</v>
      </c>
      <c r="AM99" s="61">
        <v>0.375</v>
      </c>
      <c r="AN99" s="60">
        <v>0.20833333333333334</v>
      </c>
      <c r="AO99" s="60" t="s">
        <v>36</v>
      </c>
      <c r="AP99" s="60" t="s">
        <v>36</v>
      </c>
      <c r="AQ99" s="58" t="s">
        <v>0</v>
      </c>
      <c r="AR99" s="58"/>
      <c r="AS99" s="58"/>
      <c r="AT99" s="52">
        <v>0</v>
      </c>
      <c r="AU99" s="52" t="e">
        <f>IF(Master[[#This Row],[RSP StopTime override]] &lt;&gt; "",Master[[#This Row],[RSP StopTime override]],IF(Master[[#This Row],[Avg stop time helper]] &lt;&gt; 0, Master[[#This Row],[Avg stop time helper]],Average_Stop_Time))</f>
        <v>#DIV/0!</v>
      </c>
      <c r="AV99" s="21"/>
      <c r="AW99" s="20">
        <f>Master[[#This Row],[RSP StopTime override]]-Master[[#This Row],[Avg stop time helper]]</f>
        <v>0</v>
      </c>
    </row>
    <row r="100" spans="1:49" x14ac:dyDescent="0.3">
      <c r="A100" s="66" t="s">
        <v>4221</v>
      </c>
      <c r="B100" s="58">
        <v>6</v>
      </c>
      <c r="C100" s="58" t="s">
        <v>10</v>
      </c>
      <c r="D100" s="65">
        <v>531714</v>
      </c>
      <c r="E100" s="65" t="s">
        <v>42</v>
      </c>
      <c r="F100" s="65" t="s">
        <v>3335</v>
      </c>
      <c r="G100" s="65" t="s">
        <v>3334</v>
      </c>
      <c r="H100" s="65" t="s">
        <v>7</v>
      </c>
      <c r="I100" s="65" t="s">
        <v>3310</v>
      </c>
      <c r="J100" s="65" t="s">
        <v>5</v>
      </c>
      <c r="K100" s="65" t="s">
        <v>3313</v>
      </c>
      <c r="L100" s="64" t="s">
        <v>67</v>
      </c>
      <c r="M100" s="58" t="s">
        <v>3</v>
      </c>
      <c r="N100" s="58" t="s">
        <v>2</v>
      </c>
      <c r="O100" s="58">
        <v>50</v>
      </c>
      <c r="P100" s="58">
        <v>0</v>
      </c>
      <c r="Q100" s="58">
        <v>0</v>
      </c>
      <c r="R100" s="58">
        <v>50</v>
      </c>
      <c r="S100" s="58">
        <v>0</v>
      </c>
      <c r="T100" s="58">
        <v>0</v>
      </c>
      <c r="U100" s="58">
        <v>54</v>
      </c>
      <c r="V100" s="62"/>
      <c r="W100" s="62"/>
      <c r="X100" s="63">
        <f>IFERROR(1 -(Master[[#This Row],[Avg Garment Scans per Delivery]]/Master[[#This Row],[Garment Inventory]]), 0)</f>
        <v>0</v>
      </c>
      <c r="Y100" s="62"/>
      <c r="Z100" s="62"/>
      <c r="AA100" s="53">
        <v>192.64568047337281</v>
      </c>
      <c r="AB100" s="53">
        <v>199.06201183431955</v>
      </c>
      <c r="AC100" s="53">
        <v>205.98230769230776</v>
      </c>
      <c r="AD100" s="53">
        <v>223.71769230769235</v>
      </c>
      <c r="AE100" s="53" t="str">
        <f>_xlfn.XLOOKUP(Master[[#This Row],[cu_id]],'[1]Customer Revenue'!$Q:$Q,'[1]Customer Revenue'!$K:$K, "None")</f>
        <v>None</v>
      </c>
      <c r="AF100" s="53" t="str">
        <f>_xlfn.XLOOKUP(Master[[#This Row],[cu_id]],'[1]Customer Revenue'!$Q:$Q,'[1]Customer Revenue'!$L:$L, "None")</f>
        <v>None</v>
      </c>
      <c r="AG100" s="53">
        <v>191.4544970414201</v>
      </c>
      <c r="AH100" s="53">
        <v>196.61934911242594</v>
      </c>
      <c r="AI100" s="53">
        <v>195.85384615384618</v>
      </c>
      <c r="AJ100" s="53">
        <v>214.85000000000005</v>
      </c>
      <c r="AK100" s="53" t="str">
        <f>_xlfn.XLOOKUP(Master[[#This Row],[cu_id]],'[1]Customer Revenue'!$Q:$Q,'[1]Customer Revenue'!$I:$I, "None")</f>
        <v>None</v>
      </c>
      <c r="AL100" s="53">
        <v>194.03692307692302</v>
      </c>
      <c r="AM100" s="61" t="s">
        <v>36</v>
      </c>
      <c r="AN100" s="60" t="s">
        <v>36</v>
      </c>
      <c r="AO100" s="60" t="s">
        <v>36</v>
      </c>
      <c r="AP100" s="60" t="s">
        <v>36</v>
      </c>
      <c r="AQ100" s="58" t="s">
        <v>0</v>
      </c>
      <c r="AR100" s="58"/>
      <c r="AS100" s="58"/>
      <c r="AT100" s="52">
        <v>0</v>
      </c>
      <c r="AU100" s="52" t="e">
        <f>IF(Master[[#This Row],[RSP StopTime override]] &lt;&gt; "",Master[[#This Row],[RSP StopTime override]],IF(Master[[#This Row],[Avg stop time helper]] &lt;&gt; 0, Master[[#This Row],[Avg stop time helper]],Average_Stop_Time))</f>
        <v>#DIV/0!</v>
      </c>
      <c r="AV100" s="21"/>
      <c r="AW100" s="20">
        <f>Master[[#This Row],[RSP StopTime override]]-Master[[#This Row],[Avg stop time helper]]</f>
        <v>0</v>
      </c>
    </row>
    <row r="101" spans="1:49" x14ac:dyDescent="0.3">
      <c r="A101" s="66" t="s">
        <v>4222</v>
      </c>
      <c r="B101" s="58">
        <v>6</v>
      </c>
      <c r="C101" s="58" t="s">
        <v>10</v>
      </c>
      <c r="D101" s="65">
        <v>531734</v>
      </c>
      <c r="E101" s="65" t="s">
        <v>42</v>
      </c>
      <c r="F101" s="65" t="s">
        <v>3333</v>
      </c>
      <c r="G101" s="65" t="s">
        <v>3332</v>
      </c>
      <c r="H101" s="65" t="s">
        <v>7</v>
      </c>
      <c r="I101" s="65" t="s">
        <v>3318</v>
      </c>
      <c r="J101" s="65" t="s">
        <v>5</v>
      </c>
      <c r="K101" s="65" t="s">
        <v>3321</v>
      </c>
      <c r="L101" s="64" t="s">
        <v>124</v>
      </c>
      <c r="M101" s="58" t="s">
        <v>123</v>
      </c>
      <c r="N101" s="58" t="s">
        <v>2</v>
      </c>
      <c r="O101" s="58">
        <v>116</v>
      </c>
      <c r="P101" s="58">
        <v>0</v>
      </c>
      <c r="Q101" s="58">
        <v>0</v>
      </c>
      <c r="R101" s="58">
        <v>116</v>
      </c>
      <c r="S101" s="58">
        <v>0</v>
      </c>
      <c r="T101" s="58">
        <v>0</v>
      </c>
      <c r="U101" s="58">
        <v>11</v>
      </c>
      <c r="V101" s="62"/>
      <c r="W101" s="62"/>
      <c r="X101" s="63">
        <f>IFERROR(1 -(Master[[#This Row],[Avg Garment Scans per Delivery]]/Master[[#This Row],[Garment Inventory]]), 0)</f>
        <v>0</v>
      </c>
      <c r="Y101" s="62"/>
      <c r="Z101" s="62"/>
      <c r="AA101" s="53">
        <v>63.032222222222217</v>
      </c>
      <c r="AB101" s="53">
        <v>67.014444444444436</v>
      </c>
      <c r="AC101" s="53">
        <v>67.74666666666667</v>
      </c>
      <c r="AD101" s="53">
        <v>69.853333333333325</v>
      </c>
      <c r="AE101" s="53" t="str">
        <f>_xlfn.XLOOKUP(Master[[#This Row],[cu_id]],'[1]Customer Revenue'!$Q:$Q,'[1]Customer Revenue'!$K:$K, "None")</f>
        <v>None</v>
      </c>
      <c r="AF101" s="53" t="str">
        <f>_xlfn.XLOOKUP(Master[[#This Row],[cu_id]],'[1]Customer Revenue'!$Q:$Q,'[1]Customer Revenue'!$L:$L, "None")</f>
        <v>None</v>
      </c>
      <c r="AG101" s="53">
        <v>46.529888888888891</v>
      </c>
      <c r="AH101" s="53">
        <v>82.322111111111113</v>
      </c>
      <c r="AI101" s="53">
        <v>65.023333333333326</v>
      </c>
      <c r="AJ101" s="53">
        <v>68.8</v>
      </c>
      <c r="AK101" s="53" t="str">
        <f>_xlfn.XLOOKUP(Master[[#This Row],[cu_id]],'[1]Customer Revenue'!$Q:$Q,'[1]Customer Revenue'!$I:$I, "None")</f>
        <v>None</v>
      </c>
      <c r="AL101" s="53">
        <v>64.426000000000002</v>
      </c>
      <c r="AM101" s="61">
        <v>0.33333333333333331</v>
      </c>
      <c r="AN101" s="60">
        <v>0.125</v>
      </c>
      <c r="AO101" s="60" t="s">
        <v>36</v>
      </c>
      <c r="AP101" s="60" t="s">
        <v>36</v>
      </c>
      <c r="AQ101" s="58" t="s">
        <v>0</v>
      </c>
      <c r="AR101" s="58"/>
      <c r="AS101" s="58"/>
      <c r="AT101" s="52">
        <v>0</v>
      </c>
      <c r="AU101" s="52" t="e">
        <f>IF(Master[[#This Row],[RSP StopTime override]] &lt;&gt; "",Master[[#This Row],[RSP StopTime override]],IF(Master[[#This Row],[Avg stop time helper]] &lt;&gt; 0, Master[[#This Row],[Avg stop time helper]],Average_Stop_Time))</f>
        <v>#DIV/0!</v>
      </c>
      <c r="AV101" s="21"/>
      <c r="AW101" s="20">
        <f>Master[[#This Row],[RSP StopTime override]]-Master[[#This Row],[Avg stop time helper]]</f>
        <v>0</v>
      </c>
    </row>
    <row r="102" spans="1:49" x14ac:dyDescent="0.3">
      <c r="A102" s="66" t="s">
        <v>4223</v>
      </c>
      <c r="B102" s="58">
        <v>6</v>
      </c>
      <c r="C102" s="58" t="s">
        <v>10</v>
      </c>
      <c r="D102" s="65">
        <v>532017</v>
      </c>
      <c r="E102" s="65" t="s">
        <v>42</v>
      </c>
      <c r="F102" s="65" t="s">
        <v>3331</v>
      </c>
      <c r="G102" s="65" t="s">
        <v>3330</v>
      </c>
      <c r="H102" s="65" t="s">
        <v>7</v>
      </c>
      <c r="I102" s="65" t="s">
        <v>3310</v>
      </c>
      <c r="J102" s="65" t="s">
        <v>5</v>
      </c>
      <c r="K102" s="65" t="s">
        <v>3329</v>
      </c>
      <c r="L102" s="64">
        <v>3</v>
      </c>
      <c r="M102" s="58" t="s">
        <v>3</v>
      </c>
      <c r="N102" s="58" t="s">
        <v>2</v>
      </c>
      <c r="O102" s="58">
        <v>70</v>
      </c>
      <c r="P102" s="58">
        <v>0</v>
      </c>
      <c r="Q102" s="58">
        <v>0</v>
      </c>
      <c r="R102" s="58">
        <v>70</v>
      </c>
      <c r="S102" s="58">
        <v>0</v>
      </c>
      <c r="T102" s="58">
        <v>0</v>
      </c>
      <c r="U102" s="58">
        <v>33</v>
      </c>
      <c r="V102" s="62"/>
      <c r="W102" s="62"/>
      <c r="X102" s="63">
        <f>IFERROR(1 -(Master[[#This Row],[Avg Garment Scans per Delivery]]/Master[[#This Row],[Garment Inventory]]), 0)</f>
        <v>0</v>
      </c>
      <c r="Y102" s="62"/>
      <c r="Z102" s="62"/>
      <c r="AA102" s="53">
        <v>100</v>
      </c>
      <c r="AB102" s="53">
        <v>100</v>
      </c>
      <c r="AC102" s="53">
        <v>139.86100591715979</v>
      </c>
      <c r="AD102" s="53">
        <v>212.83284023668642</v>
      </c>
      <c r="AE102" s="53" t="str">
        <f>_xlfn.XLOOKUP(Master[[#This Row],[cu_id]],'[1]Customer Revenue'!$Q:$Q,'[1]Customer Revenue'!$K:$K, "None")</f>
        <v>None</v>
      </c>
      <c r="AF102" s="53" t="str">
        <f>_xlfn.XLOOKUP(Master[[#This Row],[cu_id]],'[1]Customer Revenue'!$Q:$Q,'[1]Customer Revenue'!$L:$L, "None")</f>
        <v>None</v>
      </c>
      <c r="AG102" s="53">
        <v>37.280999999999992</v>
      </c>
      <c r="AH102" s="53">
        <v>142.16899999999998</v>
      </c>
      <c r="AI102" s="53">
        <v>100</v>
      </c>
      <c r="AJ102" s="53">
        <v>176.3469230769231</v>
      </c>
      <c r="AK102" s="53" t="str">
        <f>_xlfn.XLOOKUP(Master[[#This Row],[cu_id]],'[1]Customer Revenue'!$Q:$Q,'[1]Customer Revenue'!$I:$I, "None")</f>
        <v>None</v>
      </c>
      <c r="AL102" s="53">
        <v>89.724999999999994</v>
      </c>
      <c r="AM102" s="61" t="s">
        <v>36</v>
      </c>
      <c r="AN102" s="60" t="s">
        <v>36</v>
      </c>
      <c r="AO102" s="60" t="s">
        <v>36</v>
      </c>
      <c r="AP102" s="60" t="s">
        <v>36</v>
      </c>
      <c r="AQ102" s="58" t="s">
        <v>0</v>
      </c>
      <c r="AR102" s="58"/>
      <c r="AS102" s="58"/>
      <c r="AT102" s="52">
        <v>0</v>
      </c>
      <c r="AU102" s="52" t="e">
        <f>IF(Master[[#This Row],[RSP StopTime override]] &lt;&gt; "",Master[[#This Row],[RSP StopTime override]],IF(Master[[#This Row],[Avg stop time helper]] &lt;&gt; 0, Master[[#This Row],[Avg stop time helper]],Average_Stop_Time))</f>
        <v>#DIV/0!</v>
      </c>
      <c r="AV102" s="21"/>
      <c r="AW102" s="20">
        <f>Master[[#This Row],[RSP StopTime override]]-Master[[#This Row],[Avg stop time helper]]</f>
        <v>0</v>
      </c>
    </row>
    <row r="103" spans="1:49" x14ac:dyDescent="0.3">
      <c r="A103" s="66" t="s">
        <v>4224</v>
      </c>
      <c r="B103" s="58">
        <v>6</v>
      </c>
      <c r="C103" s="58" t="s">
        <v>10</v>
      </c>
      <c r="D103" s="65">
        <v>532354</v>
      </c>
      <c r="E103" s="65" t="s">
        <v>42</v>
      </c>
      <c r="F103" s="65" t="s">
        <v>3328</v>
      </c>
      <c r="G103" s="65" t="s">
        <v>3327</v>
      </c>
      <c r="H103" s="65" t="s">
        <v>7</v>
      </c>
      <c r="I103" s="65" t="s">
        <v>3326</v>
      </c>
      <c r="J103" s="65" t="s">
        <v>5</v>
      </c>
      <c r="K103" s="65" t="s">
        <v>3325</v>
      </c>
      <c r="L103" s="64" t="s">
        <v>206</v>
      </c>
      <c r="M103" s="58" t="s">
        <v>205</v>
      </c>
      <c r="N103" s="58" t="s">
        <v>2</v>
      </c>
      <c r="O103" s="58">
        <v>157</v>
      </c>
      <c r="P103" s="58">
        <v>0</v>
      </c>
      <c r="Q103" s="58">
        <v>0</v>
      </c>
      <c r="R103" s="58">
        <v>157</v>
      </c>
      <c r="S103" s="58">
        <v>0</v>
      </c>
      <c r="T103" s="58">
        <v>0</v>
      </c>
      <c r="U103" s="58">
        <v>12</v>
      </c>
      <c r="V103" s="62"/>
      <c r="W103" s="62"/>
      <c r="X103" s="63">
        <f>IFERROR(1 -(Master[[#This Row],[Avg Garment Scans per Delivery]]/Master[[#This Row],[Garment Inventory]]), 0)</f>
        <v>0</v>
      </c>
      <c r="Y103" s="62"/>
      <c r="Z103" s="62"/>
      <c r="AA103" s="53">
        <v>74.850000000000009</v>
      </c>
      <c r="AB103" s="53">
        <v>164.67000000000002</v>
      </c>
      <c r="AC103" s="53">
        <v>124.24624999999997</v>
      </c>
      <c r="AD103" s="53">
        <v>141.65875</v>
      </c>
      <c r="AE103" s="53" t="str">
        <f>_xlfn.XLOOKUP(Master[[#This Row],[cu_id]],'[1]Customer Revenue'!$Q:$Q,'[1]Customer Revenue'!$K:$K, "None")</f>
        <v>None</v>
      </c>
      <c r="AF103" s="53" t="str">
        <f>_xlfn.XLOOKUP(Master[[#This Row],[cu_id]],'[1]Customer Revenue'!$Q:$Q,'[1]Customer Revenue'!$L:$L, "None")</f>
        <v>None</v>
      </c>
      <c r="AG103" s="53">
        <v>72.828124999999986</v>
      </c>
      <c r="AH103" s="53">
        <v>160.22187500000001</v>
      </c>
      <c r="AI103" s="53">
        <v>119.76</v>
      </c>
      <c r="AJ103" s="53">
        <v>132.95249999999999</v>
      </c>
      <c r="AK103" s="53" t="str">
        <f>_xlfn.XLOOKUP(Master[[#This Row],[cu_id]],'[1]Customer Revenue'!$Q:$Q,'[1]Customer Revenue'!$I:$I, "None")</f>
        <v>None</v>
      </c>
      <c r="AL103" s="53">
        <v>116.52499999999999</v>
      </c>
      <c r="AM103" s="61" t="s">
        <v>36</v>
      </c>
      <c r="AN103" s="60" t="s">
        <v>36</v>
      </c>
      <c r="AO103" s="60" t="s">
        <v>36</v>
      </c>
      <c r="AP103" s="60" t="s">
        <v>36</v>
      </c>
      <c r="AQ103" s="58" t="s">
        <v>0</v>
      </c>
      <c r="AR103" s="58"/>
      <c r="AS103" s="58"/>
      <c r="AT103" s="52">
        <v>0</v>
      </c>
      <c r="AU103" s="52" t="e">
        <f>IF(Master[[#This Row],[RSP StopTime override]] &lt;&gt; "",Master[[#This Row],[RSP StopTime override]],IF(Master[[#This Row],[Avg stop time helper]] &lt;&gt; 0, Master[[#This Row],[Avg stop time helper]],Average_Stop_Time))</f>
        <v>#DIV/0!</v>
      </c>
      <c r="AV103" s="21"/>
      <c r="AW103" s="20">
        <f>Master[[#This Row],[RSP StopTime override]]-Master[[#This Row],[Avg stop time helper]]</f>
        <v>0</v>
      </c>
    </row>
    <row r="104" spans="1:49" x14ac:dyDescent="0.3">
      <c r="A104" s="66" t="s">
        <v>4225</v>
      </c>
      <c r="B104" s="58">
        <v>6</v>
      </c>
      <c r="C104" s="58" t="s">
        <v>10</v>
      </c>
      <c r="D104" s="65">
        <v>532665</v>
      </c>
      <c r="E104" s="65" t="s">
        <v>686</v>
      </c>
      <c r="F104" s="65" t="s">
        <v>3324</v>
      </c>
      <c r="G104" s="65" t="s">
        <v>3323</v>
      </c>
      <c r="H104" s="65" t="s">
        <v>7</v>
      </c>
      <c r="I104" s="65" t="s">
        <v>3322</v>
      </c>
      <c r="J104" s="65" t="s">
        <v>5</v>
      </c>
      <c r="K104" s="65" t="s">
        <v>3321</v>
      </c>
      <c r="L104" s="64" t="s">
        <v>67</v>
      </c>
      <c r="M104" s="58" t="s">
        <v>3</v>
      </c>
      <c r="N104" s="58" t="s">
        <v>2</v>
      </c>
      <c r="O104" s="58">
        <v>145</v>
      </c>
      <c r="P104" s="58">
        <v>0</v>
      </c>
      <c r="Q104" s="58">
        <v>0</v>
      </c>
      <c r="R104" s="58">
        <v>145</v>
      </c>
      <c r="S104" s="58">
        <v>0</v>
      </c>
      <c r="T104" s="58">
        <v>0</v>
      </c>
      <c r="U104" s="58">
        <v>52</v>
      </c>
      <c r="V104" s="62"/>
      <c r="W104" s="62"/>
      <c r="X104" s="63">
        <f>IFERROR(1 -(Master[[#This Row],[Avg Garment Scans per Delivery]]/Master[[#This Row],[Garment Inventory]]), 0)</f>
        <v>0</v>
      </c>
      <c r="Y104" s="62"/>
      <c r="Z104" s="62"/>
      <c r="AA104" s="53">
        <v>72.771952662721915</v>
      </c>
      <c r="AB104" s="53">
        <v>76.077278106508899</v>
      </c>
      <c r="AC104" s="53">
        <v>68.773136094674555</v>
      </c>
      <c r="AD104" s="53">
        <v>74.183786982248506</v>
      </c>
      <c r="AE104" s="53" t="str">
        <f>_xlfn.XLOOKUP(Master[[#This Row],[cu_id]],'[1]Customer Revenue'!$Q:$Q,'[1]Customer Revenue'!$K:$K, "None")</f>
        <v>None</v>
      </c>
      <c r="AF104" s="53" t="str">
        <f>_xlfn.XLOOKUP(Master[[#This Row],[cu_id]],'[1]Customer Revenue'!$Q:$Q,'[1]Customer Revenue'!$L:$L, "None")</f>
        <v>None</v>
      </c>
      <c r="AG104" s="53">
        <v>70.885680473372759</v>
      </c>
      <c r="AH104" s="53">
        <v>77.866627218934894</v>
      </c>
      <c r="AI104" s="53">
        <v>74.424615384615407</v>
      </c>
      <c r="AJ104" s="53">
        <v>71.478461538461531</v>
      </c>
      <c r="AK104" s="53" t="str">
        <f>_xlfn.XLOOKUP(Master[[#This Row],[cu_id]],'[1]Customer Revenue'!$Q:$Q,'[1]Customer Revenue'!$I:$I, "None")</f>
        <v>None</v>
      </c>
      <c r="AL104" s="53">
        <v>74.376153846153827</v>
      </c>
      <c r="AM104" s="61">
        <v>0.35416666666666669</v>
      </c>
      <c r="AN104" s="60">
        <v>0.20833333333333334</v>
      </c>
      <c r="AO104" s="60" t="s">
        <v>36</v>
      </c>
      <c r="AP104" s="60" t="s">
        <v>36</v>
      </c>
      <c r="AQ104" s="58" t="s">
        <v>0</v>
      </c>
      <c r="AR104" s="58"/>
      <c r="AS104" s="58"/>
      <c r="AT104" s="52">
        <v>0</v>
      </c>
      <c r="AU104" s="52" t="e">
        <f>IF(Master[[#This Row],[RSP StopTime override]] &lt;&gt; "",Master[[#This Row],[RSP StopTime override]],IF(Master[[#This Row],[Avg stop time helper]] &lt;&gt; 0, Master[[#This Row],[Avg stop time helper]],Average_Stop_Time))</f>
        <v>#DIV/0!</v>
      </c>
      <c r="AV104" s="21"/>
      <c r="AW104" s="20">
        <f>Master[[#This Row],[RSP StopTime override]]-Master[[#This Row],[Avg stop time helper]]</f>
        <v>0</v>
      </c>
    </row>
    <row r="105" spans="1:49" x14ac:dyDescent="0.3">
      <c r="A105" s="66" t="s">
        <v>4226</v>
      </c>
      <c r="B105" s="58">
        <v>6</v>
      </c>
      <c r="C105" s="58" t="s">
        <v>10</v>
      </c>
      <c r="D105" s="65">
        <v>532684</v>
      </c>
      <c r="E105" s="65" t="s">
        <v>42</v>
      </c>
      <c r="F105" s="65" t="s">
        <v>3320</v>
      </c>
      <c r="G105" s="65" t="s">
        <v>3319</v>
      </c>
      <c r="H105" s="65" t="s">
        <v>7</v>
      </c>
      <c r="I105" s="65" t="s">
        <v>3318</v>
      </c>
      <c r="J105" s="65" t="s">
        <v>5</v>
      </c>
      <c r="K105" s="65" t="s">
        <v>1227</v>
      </c>
      <c r="L105" s="64" t="s">
        <v>67</v>
      </c>
      <c r="M105" s="58" t="s">
        <v>3</v>
      </c>
      <c r="N105" s="58" t="s">
        <v>2</v>
      </c>
      <c r="O105" s="58">
        <v>120</v>
      </c>
      <c r="P105" s="58">
        <v>0</v>
      </c>
      <c r="Q105" s="58">
        <v>0</v>
      </c>
      <c r="R105" s="58">
        <v>120</v>
      </c>
      <c r="S105" s="58">
        <v>0</v>
      </c>
      <c r="T105" s="58">
        <v>0</v>
      </c>
      <c r="U105" s="58">
        <v>52</v>
      </c>
      <c r="V105" s="62"/>
      <c r="W105" s="62"/>
      <c r="X105" s="63">
        <f>IFERROR(1 -(Master[[#This Row],[Avg Garment Scans per Delivery]]/Master[[#This Row],[Garment Inventory]]), 0)</f>
        <v>0</v>
      </c>
      <c r="Y105" s="62"/>
      <c r="Z105" s="62"/>
      <c r="AA105" s="53">
        <v>76.33041420118343</v>
      </c>
      <c r="AB105" s="53">
        <v>77.928047337278116</v>
      </c>
      <c r="AC105" s="53">
        <v>50.3251098901099</v>
      </c>
      <c r="AD105" s="53">
        <v>92.097967032967034</v>
      </c>
      <c r="AE105" s="53" t="str">
        <f>_xlfn.XLOOKUP(Master[[#This Row],[cu_id]],'[1]Customer Revenue'!$Q:$Q,'[1]Customer Revenue'!$K:$K, "None")</f>
        <v>None</v>
      </c>
      <c r="AF105" s="53" t="str">
        <f>_xlfn.XLOOKUP(Master[[#This Row],[cu_id]],'[1]Customer Revenue'!$Q:$Q,'[1]Customer Revenue'!$L:$L, "None")</f>
        <v>None</v>
      </c>
      <c r="AG105" s="53">
        <v>76.41029585798816</v>
      </c>
      <c r="AH105" s="53">
        <v>77.328934911242527</v>
      </c>
      <c r="AI105" s="53">
        <v>77.129230769230773</v>
      </c>
      <c r="AJ105" s="53">
        <v>71.211538461538467</v>
      </c>
      <c r="AK105" s="53" t="str">
        <f>_xlfn.XLOOKUP(Master[[#This Row],[cu_id]],'[1]Customer Revenue'!$Q:$Q,'[1]Customer Revenue'!$I:$I, "None")</f>
        <v>None</v>
      </c>
      <c r="AL105" s="53">
        <v>76.869615384615344</v>
      </c>
      <c r="AM105" s="61">
        <v>0.375</v>
      </c>
      <c r="AN105" s="60">
        <v>0.20833333333333334</v>
      </c>
      <c r="AO105" s="60" t="s">
        <v>36</v>
      </c>
      <c r="AP105" s="60" t="s">
        <v>36</v>
      </c>
      <c r="AQ105" s="58" t="s">
        <v>0</v>
      </c>
      <c r="AR105" s="58"/>
      <c r="AS105" s="58"/>
      <c r="AT105" s="52">
        <v>0</v>
      </c>
      <c r="AU105" s="52" t="e">
        <f>IF(Master[[#This Row],[RSP StopTime override]] &lt;&gt; "",Master[[#This Row],[RSP StopTime override]],IF(Master[[#This Row],[Avg stop time helper]] &lt;&gt; 0, Master[[#This Row],[Avg stop time helper]],Average_Stop_Time))</f>
        <v>#DIV/0!</v>
      </c>
      <c r="AV105" s="21"/>
      <c r="AW105" s="20">
        <f>Master[[#This Row],[RSP StopTime override]]-Master[[#This Row],[Avg stop time helper]]</f>
        <v>0</v>
      </c>
    </row>
    <row r="106" spans="1:49" x14ac:dyDescent="0.3">
      <c r="A106" s="66" t="s">
        <v>4227</v>
      </c>
      <c r="B106" s="58">
        <v>6</v>
      </c>
      <c r="C106" s="58" t="s">
        <v>10</v>
      </c>
      <c r="D106" s="65">
        <v>532734</v>
      </c>
      <c r="E106" s="65" t="s">
        <v>42</v>
      </c>
      <c r="F106" s="65" t="s">
        <v>3317</v>
      </c>
      <c r="G106" s="65" t="s">
        <v>3316</v>
      </c>
      <c r="H106" s="65" t="s">
        <v>7</v>
      </c>
      <c r="I106" s="65" t="s">
        <v>3310</v>
      </c>
      <c r="J106" s="65" t="s">
        <v>5</v>
      </c>
      <c r="K106" s="65" t="s">
        <v>3313</v>
      </c>
      <c r="L106" s="64" t="s">
        <v>91</v>
      </c>
      <c r="M106" s="58" t="s">
        <v>90</v>
      </c>
      <c r="N106" s="58" t="s">
        <v>2</v>
      </c>
      <c r="O106" s="58">
        <v>80</v>
      </c>
      <c r="P106" s="58">
        <v>0</v>
      </c>
      <c r="Q106" s="58">
        <v>0</v>
      </c>
      <c r="R106" s="58">
        <v>80</v>
      </c>
      <c r="S106" s="58">
        <v>0</v>
      </c>
      <c r="T106" s="58">
        <v>0</v>
      </c>
      <c r="U106" s="58">
        <v>13</v>
      </c>
      <c r="V106" s="62"/>
      <c r="W106" s="62"/>
      <c r="X106" s="63">
        <f>IFERROR(1 -(Master[[#This Row],[Avg Garment Scans per Delivery]]/Master[[#This Row],[Garment Inventory]]), 0)</f>
        <v>0</v>
      </c>
      <c r="Y106" s="62"/>
      <c r="Z106" s="62"/>
      <c r="AA106" s="53"/>
      <c r="AB106" s="53">
        <v>104.86</v>
      </c>
      <c r="AC106" s="53">
        <v>23.749722222222225</v>
      </c>
      <c r="AD106" s="53">
        <v>91.085277777777776</v>
      </c>
      <c r="AE106" s="53" t="str">
        <f>_xlfn.XLOOKUP(Master[[#This Row],[cu_id]],'[1]Customer Revenue'!$Q:$Q,'[1]Customer Revenue'!$K:$K, "None")</f>
        <v>None</v>
      </c>
      <c r="AF106" s="53" t="str">
        <f>_xlfn.XLOOKUP(Master[[#This Row],[cu_id]],'[1]Customer Revenue'!$Q:$Q,'[1]Customer Revenue'!$L:$L, "None")</f>
        <v>None</v>
      </c>
      <c r="AG106" s="53">
        <v>18.8748</v>
      </c>
      <c r="AH106" s="53">
        <v>85.985199999999992</v>
      </c>
      <c r="AI106" s="53">
        <v>52.43</v>
      </c>
      <c r="AJ106" s="53">
        <v>57.417500000000004</v>
      </c>
      <c r="AK106" s="53" t="str">
        <f>_xlfn.XLOOKUP(Master[[#This Row],[cu_id]],'[1]Customer Revenue'!$Q:$Q,'[1]Customer Revenue'!$I:$I, "None")</f>
        <v>None</v>
      </c>
      <c r="AL106" s="53">
        <v>52.43</v>
      </c>
      <c r="AM106" s="61" t="s">
        <v>36</v>
      </c>
      <c r="AN106" s="60" t="s">
        <v>36</v>
      </c>
      <c r="AO106" s="60" t="s">
        <v>36</v>
      </c>
      <c r="AP106" s="60" t="s">
        <v>36</v>
      </c>
      <c r="AQ106" s="58" t="s">
        <v>0</v>
      </c>
      <c r="AR106" s="58"/>
      <c r="AS106" s="58"/>
      <c r="AT106" s="52">
        <v>0</v>
      </c>
      <c r="AU106" s="52" t="e">
        <f>IF(Master[[#This Row],[RSP StopTime override]] &lt;&gt; "",Master[[#This Row],[RSP StopTime override]],IF(Master[[#This Row],[Avg stop time helper]] &lt;&gt; 0, Master[[#This Row],[Avg stop time helper]],Average_Stop_Time))</f>
        <v>#DIV/0!</v>
      </c>
      <c r="AV106" s="21"/>
      <c r="AW106" s="20">
        <f>Master[[#This Row],[RSP StopTime override]]-Master[[#This Row],[Avg stop time helper]]</f>
        <v>0</v>
      </c>
    </row>
    <row r="107" spans="1:49" x14ac:dyDescent="0.3">
      <c r="A107" s="66" t="s">
        <v>4228</v>
      </c>
      <c r="B107" s="58">
        <v>6</v>
      </c>
      <c r="C107" s="58" t="s">
        <v>10</v>
      </c>
      <c r="D107" s="65">
        <v>533327</v>
      </c>
      <c r="E107" s="65" t="s">
        <v>42</v>
      </c>
      <c r="F107" s="65" t="s">
        <v>3315</v>
      </c>
      <c r="G107" s="65" t="s">
        <v>3314</v>
      </c>
      <c r="H107" s="65" t="s">
        <v>7</v>
      </c>
      <c r="I107" s="65" t="s">
        <v>3310</v>
      </c>
      <c r="J107" s="65" t="s">
        <v>5</v>
      </c>
      <c r="K107" s="65" t="s">
        <v>3313</v>
      </c>
      <c r="L107" s="64" t="s">
        <v>206</v>
      </c>
      <c r="M107" s="58" t="s">
        <v>205</v>
      </c>
      <c r="N107" s="58" t="s">
        <v>2</v>
      </c>
      <c r="O107" s="58">
        <v>46</v>
      </c>
      <c r="P107" s="58">
        <v>0</v>
      </c>
      <c r="Q107" s="58">
        <v>0</v>
      </c>
      <c r="R107" s="58">
        <v>46</v>
      </c>
      <c r="S107" s="58">
        <v>0</v>
      </c>
      <c r="T107" s="58">
        <v>0</v>
      </c>
      <c r="U107" s="58">
        <v>24</v>
      </c>
      <c r="V107" s="62"/>
      <c r="W107" s="62"/>
      <c r="X107" s="63">
        <f>IFERROR(1 -(Master[[#This Row],[Avg Garment Scans per Delivery]]/Master[[#This Row],[Garment Inventory]]), 0)</f>
        <v>0</v>
      </c>
      <c r="Y107" s="62"/>
      <c r="Z107" s="62"/>
      <c r="AA107" s="53">
        <v>74.366326530612241</v>
      </c>
      <c r="AB107" s="53">
        <v>108.24795918367346</v>
      </c>
      <c r="AC107" s="53">
        <v>70.900000000000006</v>
      </c>
      <c r="AD107" s="53">
        <v>82.5</v>
      </c>
      <c r="AE107" s="53" t="str">
        <f>_xlfn.XLOOKUP(Master[[#This Row],[cu_id]],'[1]Customer Revenue'!$Q:$Q,'[1]Customer Revenue'!$K:$K, "None")</f>
        <v>None</v>
      </c>
      <c r="AF107" s="53" t="str">
        <f>_xlfn.XLOOKUP(Master[[#This Row],[cu_id]],'[1]Customer Revenue'!$Q:$Q,'[1]Customer Revenue'!$L:$L, "None")</f>
        <v>None</v>
      </c>
      <c r="AG107" s="53">
        <v>69.100282574568297</v>
      </c>
      <c r="AH107" s="53">
        <v>107.49048665620094</v>
      </c>
      <c r="AI107" s="53">
        <v>91.30714285714285</v>
      </c>
      <c r="AJ107" s="53">
        <v>76.7</v>
      </c>
      <c r="AK107" s="53" t="str">
        <f>_xlfn.XLOOKUP(Master[[#This Row],[cu_id]],'[1]Customer Revenue'!$Q:$Q,'[1]Customer Revenue'!$I:$I, "None")</f>
        <v>None</v>
      </c>
      <c r="AL107" s="53">
        <v>88.29538461538462</v>
      </c>
      <c r="AM107" s="61">
        <v>0.375</v>
      </c>
      <c r="AN107" s="60">
        <v>0.125</v>
      </c>
      <c r="AO107" s="60" t="s">
        <v>36</v>
      </c>
      <c r="AP107" s="60" t="s">
        <v>36</v>
      </c>
      <c r="AQ107" s="58" t="s">
        <v>0</v>
      </c>
      <c r="AR107" s="58"/>
      <c r="AS107" s="58"/>
      <c r="AT107" s="52">
        <v>0</v>
      </c>
      <c r="AU107" s="52" t="e">
        <f>IF(Master[[#This Row],[RSP StopTime override]] &lt;&gt; "",Master[[#This Row],[RSP StopTime override]],IF(Master[[#This Row],[Avg stop time helper]] &lt;&gt; 0, Master[[#This Row],[Avg stop time helper]],Average_Stop_Time))</f>
        <v>#DIV/0!</v>
      </c>
      <c r="AV107" s="21"/>
      <c r="AW107" s="20">
        <f>Master[[#This Row],[RSP StopTime override]]-Master[[#This Row],[Avg stop time helper]]</f>
        <v>0</v>
      </c>
    </row>
    <row r="108" spans="1:49" x14ac:dyDescent="0.3">
      <c r="A108" s="66" t="s">
        <v>4229</v>
      </c>
      <c r="B108" s="58">
        <v>6</v>
      </c>
      <c r="C108" s="58" t="s">
        <v>10</v>
      </c>
      <c r="D108" s="65">
        <v>533378</v>
      </c>
      <c r="E108" s="65" t="s">
        <v>42</v>
      </c>
      <c r="F108" s="65" t="s">
        <v>3312</v>
      </c>
      <c r="G108" s="65" t="s">
        <v>3311</v>
      </c>
      <c r="H108" s="65" t="s">
        <v>7</v>
      </c>
      <c r="I108" s="65" t="s">
        <v>3310</v>
      </c>
      <c r="J108" s="65" t="s">
        <v>5</v>
      </c>
      <c r="K108" s="65" t="s">
        <v>3309</v>
      </c>
      <c r="L108" s="64" t="s">
        <v>67</v>
      </c>
      <c r="M108" s="58" t="s">
        <v>3</v>
      </c>
      <c r="N108" s="58" t="s">
        <v>2</v>
      </c>
      <c r="O108" s="58">
        <v>75</v>
      </c>
      <c r="P108" s="58">
        <v>0</v>
      </c>
      <c r="Q108" s="58">
        <v>0</v>
      </c>
      <c r="R108" s="58">
        <v>75</v>
      </c>
      <c r="S108" s="58">
        <v>0</v>
      </c>
      <c r="T108" s="58">
        <v>0</v>
      </c>
      <c r="U108" s="58">
        <v>34</v>
      </c>
      <c r="V108" s="62">
        <v>73</v>
      </c>
      <c r="W108" s="62">
        <v>9</v>
      </c>
      <c r="X108" s="63">
        <f>IFERROR(1 -(Master[[#This Row],[Avg Garment Scans per Delivery]]/Master[[#This Row],[Garment Inventory]]), 0)</f>
        <v>0.87671232876712324</v>
      </c>
      <c r="Y108" s="62">
        <v>4</v>
      </c>
      <c r="Z108" s="62">
        <v>73</v>
      </c>
      <c r="AA108" s="53">
        <v>77.907600000000002</v>
      </c>
      <c r="AB108" s="53">
        <v>151.23239999999998</v>
      </c>
      <c r="AC108" s="53">
        <v>117.39518838304555</v>
      </c>
      <c r="AD108" s="53">
        <v>155.61865777080067</v>
      </c>
      <c r="AE108" s="53" t="str">
        <f>_xlfn.XLOOKUP(Master[[#This Row],[cu_id]],'[1]Customer Revenue'!$Q:$Q,'[1]Customer Revenue'!$K:$K, "None")</f>
        <v>None</v>
      </c>
      <c r="AF108" s="53" t="str">
        <f>_xlfn.XLOOKUP(Master[[#This Row],[cu_id]],'[1]Customer Revenue'!$Q:$Q,'[1]Customer Revenue'!$L:$L, "None")</f>
        <v>None</v>
      </c>
      <c r="AG108" s="53">
        <v>90.773148148148167</v>
      </c>
      <c r="AH108" s="53">
        <v>236.01018518518521</v>
      </c>
      <c r="AI108" s="53">
        <v>114.57</v>
      </c>
      <c r="AJ108" s="53">
        <v>136.5069230769231</v>
      </c>
      <c r="AK108" s="53" t="str">
        <f>_xlfn.XLOOKUP(Master[[#This Row],[cu_id]],'[1]Customer Revenue'!$Q:$Q,'[1]Customer Revenue'!$I:$I, "None")</f>
        <v>None</v>
      </c>
      <c r="AL108" s="53">
        <v>163.39166666666668</v>
      </c>
      <c r="AM108" s="61" t="s">
        <v>36</v>
      </c>
      <c r="AN108" s="60" t="s">
        <v>36</v>
      </c>
      <c r="AO108" s="60" t="s">
        <v>36</v>
      </c>
      <c r="AP108" s="60" t="s">
        <v>36</v>
      </c>
      <c r="AQ108" s="58" t="s">
        <v>0</v>
      </c>
      <c r="AR108" s="58"/>
      <c r="AS108" s="58"/>
      <c r="AT108" s="52">
        <v>0</v>
      </c>
      <c r="AU108" s="52" t="e">
        <f>IF(Master[[#This Row],[RSP StopTime override]] &lt;&gt; "",Master[[#This Row],[RSP StopTime override]],IF(Master[[#This Row],[Avg stop time helper]] &lt;&gt; 0, Master[[#This Row],[Avg stop time helper]],Average_Stop_Time))</f>
        <v>#DIV/0!</v>
      </c>
      <c r="AV108" s="21"/>
      <c r="AW108" s="20">
        <f>Master[[#This Row],[RSP StopTime override]]-Master[[#This Row],[Avg stop time helper]]</f>
        <v>0</v>
      </c>
    </row>
    <row r="109" spans="1:49" x14ac:dyDescent="0.3">
      <c r="A109" s="66" t="s">
        <v>4230</v>
      </c>
      <c r="B109" s="58">
        <v>6</v>
      </c>
      <c r="C109" s="58" t="s">
        <v>43</v>
      </c>
      <c r="D109" s="65">
        <v>99045</v>
      </c>
      <c r="E109" s="65" t="s">
        <v>1520</v>
      </c>
      <c r="F109" s="65" t="s">
        <v>3308</v>
      </c>
      <c r="G109" s="65" t="s">
        <v>3307</v>
      </c>
      <c r="H109" s="65" t="s">
        <v>32</v>
      </c>
      <c r="I109" s="65" t="s">
        <v>3224</v>
      </c>
      <c r="J109" s="65" t="s">
        <v>5</v>
      </c>
      <c r="K109" s="65" t="s">
        <v>38</v>
      </c>
      <c r="L109" s="64" t="s">
        <v>194</v>
      </c>
      <c r="M109" s="58" t="s">
        <v>193</v>
      </c>
      <c r="N109" s="58" t="s">
        <v>2</v>
      </c>
      <c r="O109" s="58">
        <v>30</v>
      </c>
      <c r="P109" s="58">
        <v>0</v>
      </c>
      <c r="Q109" s="58">
        <v>0</v>
      </c>
      <c r="R109" s="58">
        <v>0</v>
      </c>
      <c r="S109" s="58">
        <v>30</v>
      </c>
      <c r="T109" s="58">
        <v>0</v>
      </c>
      <c r="U109" s="58">
        <v>14</v>
      </c>
      <c r="V109" s="62"/>
      <c r="W109" s="62"/>
      <c r="X109" s="63">
        <f>IFERROR(1 -(Master[[#This Row],[Avg Garment Scans per Delivery]]/Master[[#This Row],[Garment Inventory]]), 0)</f>
        <v>0</v>
      </c>
      <c r="Y109" s="62"/>
      <c r="Z109" s="62"/>
      <c r="AA109" s="53">
        <v>37.9</v>
      </c>
      <c r="AB109" s="53">
        <v>41.050000000000004</v>
      </c>
      <c r="AC109" s="53">
        <v>20.629999999999995</v>
      </c>
      <c r="AD109" s="53">
        <v>42.629999999999995</v>
      </c>
      <c r="AE109" s="53" t="str">
        <f>_xlfn.XLOOKUP(Master[[#This Row],[cu_id]],'[1]Customer Revenue'!$Q:$Q,'[1]Customer Revenue'!$K:$K, "None")</f>
        <v>None</v>
      </c>
      <c r="AF109" s="53" t="str">
        <f>_xlfn.XLOOKUP(Master[[#This Row],[cu_id]],'[1]Customer Revenue'!$Q:$Q,'[1]Customer Revenue'!$L:$L, "None")</f>
        <v>None</v>
      </c>
      <c r="AG109" s="53">
        <v>37.606326530612243</v>
      </c>
      <c r="AH109" s="53">
        <v>42.30510204081633</v>
      </c>
      <c r="AI109" s="53">
        <v>39.475000000000001</v>
      </c>
      <c r="AJ109" s="53">
        <v>31.629999999999995</v>
      </c>
      <c r="AK109" s="53" t="str">
        <f>_xlfn.XLOOKUP(Master[[#This Row],[cu_id]],'[1]Customer Revenue'!$Q:$Q,'[1]Customer Revenue'!$I:$I, "None")</f>
        <v>None</v>
      </c>
      <c r="AL109" s="53">
        <v>39.955714285714286</v>
      </c>
      <c r="AM109" s="61">
        <v>0.375</v>
      </c>
      <c r="AN109" s="60">
        <v>0.70833333333333337</v>
      </c>
      <c r="AO109" s="60" t="s">
        <v>36</v>
      </c>
      <c r="AP109" s="60" t="s">
        <v>36</v>
      </c>
      <c r="AQ109" s="58" t="s">
        <v>0</v>
      </c>
      <c r="AR109" s="58"/>
      <c r="AS109" s="58"/>
      <c r="AT109" s="52">
        <v>0</v>
      </c>
      <c r="AU109" s="52" t="e">
        <f>IF(Master[[#This Row],[RSP StopTime override]] &lt;&gt; "",Master[[#This Row],[RSP StopTime override]],IF(Master[[#This Row],[Avg stop time helper]] &lt;&gt; 0, Master[[#This Row],[Avg stop time helper]],Average_Stop_Time))</f>
        <v>#DIV/0!</v>
      </c>
      <c r="AV109" s="21"/>
      <c r="AW109" s="20">
        <f>Master[[#This Row],[RSP StopTime override]]-Master[[#This Row],[Avg stop time helper]]</f>
        <v>0</v>
      </c>
    </row>
    <row r="110" spans="1:49" x14ac:dyDescent="0.3">
      <c r="A110" s="66" t="s">
        <v>4231</v>
      </c>
      <c r="B110" s="58">
        <v>6</v>
      </c>
      <c r="C110" s="58" t="s">
        <v>43</v>
      </c>
      <c r="D110" s="65">
        <v>99051</v>
      </c>
      <c r="E110" s="65" t="s">
        <v>1334</v>
      </c>
      <c r="F110" s="65" t="s">
        <v>3306</v>
      </c>
      <c r="G110" s="65" t="s">
        <v>3305</v>
      </c>
      <c r="H110" s="65" t="s">
        <v>32</v>
      </c>
      <c r="I110" s="65" t="s">
        <v>3224</v>
      </c>
      <c r="J110" s="65" t="s">
        <v>5</v>
      </c>
      <c r="K110" s="65" t="s">
        <v>38</v>
      </c>
      <c r="L110" s="64" t="s">
        <v>67</v>
      </c>
      <c r="M110" s="58" t="s">
        <v>3</v>
      </c>
      <c r="N110" s="58" t="s">
        <v>2</v>
      </c>
      <c r="O110" s="58">
        <v>15</v>
      </c>
      <c r="P110" s="58">
        <v>0</v>
      </c>
      <c r="Q110" s="58">
        <v>0</v>
      </c>
      <c r="R110" s="58">
        <v>0</v>
      </c>
      <c r="S110" s="58">
        <v>15</v>
      </c>
      <c r="T110" s="58">
        <v>0</v>
      </c>
      <c r="U110" s="58">
        <v>53</v>
      </c>
      <c r="V110" s="62"/>
      <c r="W110" s="62"/>
      <c r="X110" s="63">
        <f>IFERROR(1 -(Master[[#This Row],[Avg Garment Scans per Delivery]]/Master[[#This Row],[Garment Inventory]]), 0)</f>
        <v>0</v>
      </c>
      <c r="Y110" s="62"/>
      <c r="Z110" s="62"/>
      <c r="AA110" s="53">
        <v>109.40996075353219</v>
      </c>
      <c r="AB110" s="53">
        <v>168.91465463108321</v>
      </c>
      <c r="AC110" s="53">
        <v>97.840290423861859</v>
      </c>
      <c r="AD110" s="53">
        <v>168.0935557299843</v>
      </c>
      <c r="AE110" s="53" t="str">
        <f>_xlfn.XLOOKUP(Master[[#This Row],[cu_id]],'[1]Customer Revenue'!$Q:$Q,'[1]Customer Revenue'!$K:$K, "None")</f>
        <v>None</v>
      </c>
      <c r="AF110" s="53" t="str">
        <f>_xlfn.XLOOKUP(Master[[#This Row],[cu_id]],'[1]Customer Revenue'!$Q:$Q,'[1]Customer Revenue'!$L:$L, "None")</f>
        <v>None</v>
      </c>
      <c r="AG110" s="53">
        <v>115.02712620027435</v>
      </c>
      <c r="AH110" s="53">
        <v>164.28287379972565</v>
      </c>
      <c r="AI110" s="53">
        <v>139.16230769230771</v>
      </c>
      <c r="AJ110" s="53">
        <v>132.96692307692308</v>
      </c>
      <c r="AK110" s="53" t="str">
        <f>_xlfn.XLOOKUP(Master[[#This Row],[cu_id]],'[1]Customer Revenue'!$Q:$Q,'[1]Customer Revenue'!$I:$I, "None")</f>
        <v>None</v>
      </c>
      <c r="AL110" s="53">
        <v>139.655</v>
      </c>
      <c r="AM110" s="61">
        <v>0.375</v>
      </c>
      <c r="AN110" s="60">
        <v>0.70833333333333337</v>
      </c>
      <c r="AO110" s="60" t="s">
        <v>36</v>
      </c>
      <c r="AP110" s="60" t="s">
        <v>36</v>
      </c>
      <c r="AQ110" s="58" t="s">
        <v>0</v>
      </c>
      <c r="AR110" s="58"/>
      <c r="AS110" s="58"/>
      <c r="AT110" s="52">
        <v>0</v>
      </c>
      <c r="AU110" s="52" t="e">
        <f>IF(Master[[#This Row],[RSP StopTime override]] &lt;&gt; "",Master[[#This Row],[RSP StopTime override]],IF(Master[[#This Row],[Avg stop time helper]] &lt;&gt; 0, Master[[#This Row],[Avg stop time helper]],Average_Stop_Time))</f>
        <v>#DIV/0!</v>
      </c>
      <c r="AV110" s="21"/>
      <c r="AW110" s="20">
        <f>Master[[#This Row],[RSP StopTime override]]-Master[[#This Row],[Avg stop time helper]]</f>
        <v>0</v>
      </c>
    </row>
    <row r="111" spans="1:49" x14ac:dyDescent="0.3">
      <c r="A111" s="66" t="s">
        <v>3870</v>
      </c>
      <c r="B111" s="58">
        <v>6</v>
      </c>
      <c r="C111" s="58" t="s">
        <v>43</v>
      </c>
      <c r="D111" s="65">
        <v>99061</v>
      </c>
      <c r="E111" s="65" t="s">
        <v>3287</v>
      </c>
      <c r="F111" s="65" t="s">
        <v>3582</v>
      </c>
      <c r="G111" s="65" t="s">
        <v>3286</v>
      </c>
      <c r="H111" s="65" t="s">
        <v>32</v>
      </c>
      <c r="I111" s="65" t="s">
        <v>3226</v>
      </c>
      <c r="J111" s="65" t="s">
        <v>5</v>
      </c>
      <c r="K111" s="65" t="s">
        <v>38</v>
      </c>
      <c r="L111" s="64" t="s">
        <v>67</v>
      </c>
      <c r="M111" s="58" t="s">
        <v>3</v>
      </c>
      <c r="N111" s="58" t="s">
        <v>2</v>
      </c>
      <c r="O111" s="58">
        <v>6</v>
      </c>
      <c r="P111" s="58">
        <v>0</v>
      </c>
      <c r="Q111" s="58">
        <v>0</v>
      </c>
      <c r="R111" s="58">
        <v>0</v>
      </c>
      <c r="S111" s="58">
        <v>6</v>
      </c>
      <c r="T111" s="58">
        <v>0</v>
      </c>
      <c r="U111" s="58">
        <v>53</v>
      </c>
      <c r="V111" s="62"/>
      <c r="W111" s="62"/>
      <c r="X111" s="63">
        <f>IFERROR(1 -(Master[[#This Row],[Avg Garment Scans per Delivery]]/Master[[#This Row],[Garment Inventory]]), 0)</f>
        <v>0</v>
      </c>
      <c r="Y111" s="62"/>
      <c r="Z111" s="62"/>
      <c r="AA111" s="53">
        <v>100.0430769230769</v>
      </c>
      <c r="AB111" s="53">
        <v>118.15692307692306</v>
      </c>
      <c r="AC111" s="53">
        <v>63.272011834319528</v>
      </c>
      <c r="AD111" s="53">
        <v>100.12029585798817</v>
      </c>
      <c r="AE111" s="53" t="str">
        <f>_xlfn.XLOOKUP(Master[[#This Row],[cu_id]],'[1]Customer Revenue'!$Q:$Q,'[1]Customer Revenue'!$K:$K, "None")</f>
        <v>None</v>
      </c>
      <c r="AF111" s="53" t="str">
        <f>_xlfn.XLOOKUP(Master[[#This Row],[cu_id]],'[1]Customer Revenue'!$Q:$Q,'[1]Customer Revenue'!$L:$L, "None")</f>
        <v>None</v>
      </c>
      <c r="AG111" s="53">
        <v>78.09704142011833</v>
      </c>
      <c r="AH111" s="53">
        <v>178.9860355029586</v>
      </c>
      <c r="AI111" s="53">
        <v>109.09999999999998</v>
      </c>
      <c r="AJ111" s="53">
        <v>81.696153846153848</v>
      </c>
      <c r="AK111" s="53" t="str">
        <f>_xlfn.XLOOKUP(Master[[#This Row],[cu_id]],'[1]Customer Revenue'!$Q:$Q,'[1]Customer Revenue'!$I:$I, "None")</f>
        <v>None</v>
      </c>
      <c r="AL111" s="53">
        <v>128.54153846153847</v>
      </c>
      <c r="AM111" s="61">
        <v>0.25</v>
      </c>
      <c r="AN111" s="60">
        <v>0.5</v>
      </c>
      <c r="AO111" s="60" t="s">
        <v>36</v>
      </c>
      <c r="AP111" s="60" t="s">
        <v>36</v>
      </c>
      <c r="AQ111" s="58" t="s">
        <v>0</v>
      </c>
      <c r="AR111" s="58"/>
      <c r="AS111" s="58"/>
      <c r="AT111" s="52">
        <v>0</v>
      </c>
      <c r="AU111" s="52" t="e">
        <f>IF(Master[[#This Row],[RSP StopTime override]] &lt;&gt; "",Master[[#This Row],[RSP StopTime override]],IF(Master[[#This Row],[Avg stop time helper]] &lt;&gt; 0, Master[[#This Row],[Avg stop time helper]],Average_Stop_Time))</f>
        <v>#DIV/0!</v>
      </c>
      <c r="AV111" s="21"/>
      <c r="AW111" s="20">
        <f>Master[[#This Row],[RSP StopTime override]]-Master[[#This Row],[Avg stop time helper]]</f>
        <v>0</v>
      </c>
    </row>
    <row r="112" spans="1:49" x14ac:dyDescent="0.3">
      <c r="A112" s="66" t="s">
        <v>3874</v>
      </c>
      <c r="B112" s="58">
        <v>6</v>
      </c>
      <c r="C112" s="58" t="s">
        <v>43</v>
      </c>
      <c r="D112" s="65">
        <v>99061</v>
      </c>
      <c r="E112" s="65" t="s">
        <v>3304</v>
      </c>
      <c r="F112" s="65" t="s">
        <v>3583</v>
      </c>
      <c r="G112" s="65" t="s">
        <v>3286</v>
      </c>
      <c r="H112" s="65" t="s">
        <v>32</v>
      </c>
      <c r="I112" s="65" t="s">
        <v>3226</v>
      </c>
      <c r="J112" s="65" t="s">
        <v>5</v>
      </c>
      <c r="K112" s="65" t="s">
        <v>38</v>
      </c>
      <c r="L112" s="64" t="s">
        <v>67</v>
      </c>
      <c r="M112" s="58" t="s">
        <v>3</v>
      </c>
      <c r="N112" s="58" t="s">
        <v>2</v>
      </c>
      <c r="O112" s="58">
        <v>5</v>
      </c>
      <c r="P112" s="58">
        <v>0</v>
      </c>
      <c r="Q112" s="58">
        <v>0</v>
      </c>
      <c r="R112" s="58">
        <v>0</v>
      </c>
      <c r="S112" s="58">
        <v>5</v>
      </c>
      <c r="T112" s="58">
        <v>0</v>
      </c>
      <c r="U112" s="58">
        <v>53</v>
      </c>
      <c r="V112" s="62"/>
      <c r="W112" s="62"/>
      <c r="X112" s="63">
        <f>IFERROR(1 -(Master[[#This Row],[Avg Garment Scans per Delivery]]/Master[[#This Row],[Garment Inventory]]), 0)</f>
        <v>0</v>
      </c>
      <c r="Y112" s="62"/>
      <c r="Z112" s="62"/>
      <c r="AA112" s="53">
        <v>29.512485207100589</v>
      </c>
      <c r="AB112" s="53">
        <v>34.633668639053248</v>
      </c>
      <c r="AC112" s="53">
        <v>33.669230769230772</v>
      </c>
      <c r="AD112" s="53">
        <v>41.090769230769233</v>
      </c>
      <c r="AE112" s="53" t="str">
        <f>_xlfn.XLOOKUP(Master[[#This Row],[cu_id]],'[1]Customer Revenue'!$Q:$Q,'[1]Customer Revenue'!$K:$K, "None")</f>
        <v>None</v>
      </c>
      <c r="AF112" s="53" t="str">
        <f>_xlfn.XLOOKUP(Master[[#This Row],[cu_id]],'[1]Customer Revenue'!$Q:$Q,'[1]Customer Revenue'!$L:$L, "None")</f>
        <v>None</v>
      </c>
      <c r="AG112" s="53">
        <v>29.502692307692303</v>
      </c>
      <c r="AH112" s="53">
        <v>32.407307692307661</v>
      </c>
      <c r="AI112" s="53">
        <v>32.073076923076918</v>
      </c>
      <c r="AJ112" s="53">
        <v>37.380000000000003</v>
      </c>
      <c r="AK112" s="53" t="str">
        <f>_xlfn.XLOOKUP(Master[[#This Row],[cu_id]],'[1]Customer Revenue'!$Q:$Q,'[1]Customer Revenue'!$I:$I, "None")</f>
        <v>None</v>
      </c>
      <c r="AL112" s="53">
        <v>30.954999999999984</v>
      </c>
      <c r="AM112" s="61">
        <v>0.25</v>
      </c>
      <c r="AN112" s="60">
        <v>0.5</v>
      </c>
      <c r="AO112" s="60" t="s">
        <v>36</v>
      </c>
      <c r="AP112" s="60" t="s">
        <v>36</v>
      </c>
      <c r="AQ112" s="58" t="s">
        <v>0</v>
      </c>
      <c r="AR112" s="58"/>
      <c r="AS112" s="58"/>
      <c r="AT112" s="52">
        <v>0</v>
      </c>
      <c r="AU112" s="52" t="e">
        <f>IF(Master[[#This Row],[RSP StopTime override]] &lt;&gt; "",Master[[#This Row],[RSP StopTime override]],IF(Master[[#This Row],[Avg stop time helper]] &lt;&gt; 0, Master[[#This Row],[Avg stop time helper]],Average_Stop_Time))</f>
        <v>#DIV/0!</v>
      </c>
      <c r="AV112" s="21"/>
      <c r="AW112" s="20">
        <f>Master[[#This Row],[RSP StopTime override]]-Master[[#This Row],[Avg stop time helper]]</f>
        <v>0</v>
      </c>
    </row>
    <row r="113" spans="1:49" x14ac:dyDescent="0.3">
      <c r="A113" s="66" t="s">
        <v>3879</v>
      </c>
      <c r="B113" s="58">
        <v>6</v>
      </c>
      <c r="C113" s="58" t="s">
        <v>43</v>
      </c>
      <c r="D113" s="65">
        <v>99061</v>
      </c>
      <c r="E113" s="65" t="s">
        <v>3303</v>
      </c>
      <c r="F113" s="65" t="s">
        <v>3584</v>
      </c>
      <c r="G113" s="65" t="s">
        <v>3286</v>
      </c>
      <c r="H113" s="65" t="s">
        <v>32</v>
      </c>
      <c r="I113" s="65" t="s">
        <v>3226</v>
      </c>
      <c r="J113" s="65" t="s">
        <v>5</v>
      </c>
      <c r="K113" s="65" t="s">
        <v>38</v>
      </c>
      <c r="L113" s="64" t="s">
        <v>67</v>
      </c>
      <c r="M113" s="58" t="s">
        <v>3</v>
      </c>
      <c r="N113" s="58" t="s">
        <v>2</v>
      </c>
      <c r="O113" s="58">
        <v>3</v>
      </c>
      <c r="P113" s="58">
        <v>0</v>
      </c>
      <c r="Q113" s="58">
        <v>0</v>
      </c>
      <c r="R113" s="58">
        <v>0</v>
      </c>
      <c r="S113" s="58">
        <v>3</v>
      </c>
      <c r="T113" s="58">
        <v>0</v>
      </c>
      <c r="U113" s="58">
        <v>53</v>
      </c>
      <c r="V113" s="62">
        <v>110</v>
      </c>
      <c r="W113" s="62">
        <v>18</v>
      </c>
      <c r="X113" s="63">
        <f>IFERROR(1 -(Master[[#This Row],[Avg Garment Scans per Delivery]]/Master[[#This Row],[Garment Inventory]]), 0)</f>
        <v>0.83636363636363642</v>
      </c>
      <c r="Y113" s="62">
        <v>4</v>
      </c>
      <c r="Z113" s="62">
        <v>110</v>
      </c>
      <c r="AA113" s="53">
        <v>44.102366863905331</v>
      </c>
      <c r="AB113" s="53">
        <v>55.119171597633141</v>
      </c>
      <c r="AC113" s="53">
        <v>47.554142011834323</v>
      </c>
      <c r="AD113" s="53">
        <v>63.518165680473381</v>
      </c>
      <c r="AE113" s="53" t="str">
        <f>_xlfn.XLOOKUP(Master[[#This Row],[cu_id]],'[1]Customer Revenue'!$Q:$Q,'[1]Customer Revenue'!$K:$K, "None")</f>
        <v>None</v>
      </c>
      <c r="AF113" s="53" t="str">
        <f>_xlfn.XLOOKUP(Master[[#This Row],[cu_id]],'[1]Customer Revenue'!$Q:$Q,'[1]Customer Revenue'!$L:$L, "None")</f>
        <v>None</v>
      </c>
      <c r="AG113" s="53">
        <v>40.36</v>
      </c>
      <c r="AH113" s="53">
        <v>53.946923076923085</v>
      </c>
      <c r="AI113" s="53">
        <v>49.610769230769236</v>
      </c>
      <c r="AJ113" s="53">
        <v>55.536153846153852</v>
      </c>
      <c r="AK113" s="53" t="str">
        <f>_xlfn.XLOOKUP(Master[[#This Row],[cu_id]],'[1]Customer Revenue'!$Q:$Q,'[1]Customer Revenue'!$I:$I, "None")</f>
        <v>None</v>
      </c>
      <c r="AL113" s="53">
        <v>47.153461538461542</v>
      </c>
      <c r="AM113" s="61">
        <v>0.25</v>
      </c>
      <c r="AN113" s="60">
        <v>0.5</v>
      </c>
      <c r="AO113" s="60" t="s">
        <v>36</v>
      </c>
      <c r="AP113" s="60" t="s">
        <v>36</v>
      </c>
      <c r="AQ113" s="58" t="s">
        <v>0</v>
      </c>
      <c r="AR113" s="58"/>
      <c r="AS113" s="58"/>
      <c r="AT113" s="52">
        <v>0</v>
      </c>
      <c r="AU113" s="52" t="e">
        <f>IF(Master[[#This Row],[RSP StopTime override]] &lt;&gt; "",Master[[#This Row],[RSP StopTime override]],IF(Master[[#This Row],[Avg stop time helper]] &lt;&gt; 0, Master[[#This Row],[Avg stop time helper]],Average_Stop_Time))</f>
        <v>#DIV/0!</v>
      </c>
      <c r="AV113" s="21"/>
      <c r="AW113" s="20">
        <f>Master[[#This Row],[RSP StopTime override]]-Master[[#This Row],[Avg stop time helper]]</f>
        <v>0</v>
      </c>
    </row>
    <row r="114" spans="1:49" x14ac:dyDescent="0.3">
      <c r="A114" s="66" t="s">
        <v>3885</v>
      </c>
      <c r="B114" s="58">
        <v>6</v>
      </c>
      <c r="C114" s="58" t="s">
        <v>43</v>
      </c>
      <c r="D114" s="65">
        <v>99061</v>
      </c>
      <c r="E114" s="65" t="s">
        <v>3302</v>
      </c>
      <c r="F114" s="65" t="s">
        <v>3585</v>
      </c>
      <c r="G114" s="65" t="s">
        <v>3286</v>
      </c>
      <c r="H114" s="65" t="s">
        <v>32</v>
      </c>
      <c r="I114" s="65" t="s">
        <v>3226</v>
      </c>
      <c r="J114" s="65" t="s">
        <v>5</v>
      </c>
      <c r="K114" s="65" t="s">
        <v>38</v>
      </c>
      <c r="L114" s="64" t="s">
        <v>67</v>
      </c>
      <c r="M114" s="58" t="s">
        <v>3</v>
      </c>
      <c r="N114" s="58" t="s">
        <v>2</v>
      </c>
      <c r="O114" s="58">
        <v>4</v>
      </c>
      <c r="P114" s="58">
        <v>0</v>
      </c>
      <c r="Q114" s="58">
        <v>0</v>
      </c>
      <c r="R114" s="58">
        <v>0</v>
      </c>
      <c r="S114" s="58">
        <v>4</v>
      </c>
      <c r="T114" s="58">
        <v>0</v>
      </c>
      <c r="U114" s="58">
        <v>53</v>
      </c>
      <c r="V114" s="62"/>
      <c r="W114" s="62"/>
      <c r="X114" s="63">
        <f>IFERROR(1 -(Master[[#This Row],[Avg Garment Scans per Delivery]]/Master[[#This Row],[Garment Inventory]]), 0)</f>
        <v>0</v>
      </c>
      <c r="Y114" s="62"/>
      <c r="Z114" s="62"/>
      <c r="AA114" s="53">
        <v>57.651715976331367</v>
      </c>
      <c r="AB114" s="53">
        <v>68.034437869822511</v>
      </c>
      <c r="AC114" s="53">
        <v>69.760946745562137</v>
      </c>
      <c r="AD114" s="53">
        <v>83.29751479289942</v>
      </c>
      <c r="AE114" s="53" t="str">
        <f>_xlfn.XLOOKUP(Master[[#This Row],[cu_id]],'[1]Customer Revenue'!$Q:$Q,'[1]Customer Revenue'!$K:$K, "None")</f>
        <v>None</v>
      </c>
      <c r="AF114" s="53" t="str">
        <f>_xlfn.XLOOKUP(Master[[#This Row],[cu_id]],'[1]Customer Revenue'!$Q:$Q,'[1]Customer Revenue'!$L:$L, "None")</f>
        <v>None</v>
      </c>
      <c r="AG114" s="53">
        <v>54.684467455621316</v>
      </c>
      <c r="AH114" s="53">
        <v>63.410147928994107</v>
      </c>
      <c r="AI114" s="53">
        <v>62.843076923076936</v>
      </c>
      <c r="AJ114" s="53">
        <v>76.529230769230779</v>
      </c>
      <c r="AK114" s="53" t="str">
        <f>_xlfn.XLOOKUP(Master[[#This Row],[cu_id]],'[1]Customer Revenue'!$Q:$Q,'[1]Customer Revenue'!$I:$I, "None")</f>
        <v>None</v>
      </c>
      <c r="AL114" s="53">
        <v>59.047307692307712</v>
      </c>
      <c r="AM114" s="61">
        <v>0.25</v>
      </c>
      <c r="AN114" s="60">
        <v>0.5</v>
      </c>
      <c r="AO114" s="60" t="s">
        <v>36</v>
      </c>
      <c r="AP114" s="60" t="s">
        <v>36</v>
      </c>
      <c r="AQ114" s="58" t="s">
        <v>0</v>
      </c>
      <c r="AR114" s="58"/>
      <c r="AS114" s="58"/>
      <c r="AT114" s="52">
        <v>0</v>
      </c>
      <c r="AU114" s="52" t="e">
        <f>IF(Master[[#This Row],[RSP StopTime override]] &lt;&gt; "",Master[[#This Row],[RSP StopTime override]],IF(Master[[#This Row],[Avg stop time helper]] &lt;&gt; 0, Master[[#This Row],[Avg stop time helper]],Average_Stop_Time))</f>
        <v>#DIV/0!</v>
      </c>
      <c r="AV114" s="21"/>
      <c r="AW114" s="20">
        <f>Master[[#This Row],[RSP StopTime override]]-Master[[#This Row],[Avg stop time helper]]</f>
        <v>0</v>
      </c>
    </row>
    <row r="115" spans="1:49" x14ac:dyDescent="0.3">
      <c r="A115" s="66" t="s">
        <v>3889</v>
      </c>
      <c r="B115" s="58">
        <v>6</v>
      </c>
      <c r="C115" s="58" t="s">
        <v>43</v>
      </c>
      <c r="D115" s="65">
        <v>99061</v>
      </c>
      <c r="E115" s="65" t="s">
        <v>3301</v>
      </c>
      <c r="F115" s="65" t="s">
        <v>3586</v>
      </c>
      <c r="G115" s="65" t="s">
        <v>3286</v>
      </c>
      <c r="H115" s="65" t="s">
        <v>32</v>
      </c>
      <c r="I115" s="65" t="s">
        <v>3226</v>
      </c>
      <c r="J115" s="65" t="s">
        <v>5</v>
      </c>
      <c r="K115" s="65" t="s">
        <v>38</v>
      </c>
      <c r="L115" s="64" t="s">
        <v>67</v>
      </c>
      <c r="M115" s="58" t="s">
        <v>3</v>
      </c>
      <c r="N115" s="58" t="s">
        <v>2</v>
      </c>
      <c r="O115" s="58">
        <v>7</v>
      </c>
      <c r="P115" s="58">
        <v>0</v>
      </c>
      <c r="Q115" s="58">
        <v>0</v>
      </c>
      <c r="R115" s="58">
        <v>0</v>
      </c>
      <c r="S115" s="58">
        <v>7</v>
      </c>
      <c r="T115" s="58">
        <v>0</v>
      </c>
      <c r="U115" s="58">
        <v>53</v>
      </c>
      <c r="V115" s="62"/>
      <c r="W115" s="62"/>
      <c r="X115" s="63">
        <f>IFERROR(1 -(Master[[#This Row],[Avg Garment Scans per Delivery]]/Master[[#This Row],[Garment Inventory]]), 0)</f>
        <v>0</v>
      </c>
      <c r="Y115" s="62"/>
      <c r="Z115" s="62"/>
      <c r="AA115" s="53">
        <v>98.881420118343186</v>
      </c>
      <c r="AB115" s="53">
        <v>106.20781065088758</v>
      </c>
      <c r="AC115" s="53">
        <v>103.9044378698225</v>
      </c>
      <c r="AD115" s="53">
        <v>144.99248520710063</v>
      </c>
      <c r="AE115" s="53" t="str">
        <f>_xlfn.XLOOKUP(Master[[#This Row],[cu_id]],'[1]Customer Revenue'!$Q:$Q,'[1]Customer Revenue'!$K:$K, "None")</f>
        <v>None</v>
      </c>
      <c r="AF115" s="53" t="str">
        <f>_xlfn.XLOOKUP(Master[[#This Row],[cu_id]],'[1]Customer Revenue'!$Q:$Q,'[1]Customer Revenue'!$L:$L, "None")</f>
        <v>None</v>
      </c>
      <c r="AG115" s="53">
        <v>97.94426035502967</v>
      </c>
      <c r="AH115" s="53">
        <v>102.57266272189354</v>
      </c>
      <c r="AI115" s="53">
        <v>102.54461538461538</v>
      </c>
      <c r="AJ115" s="53">
        <v>124.44846153846157</v>
      </c>
      <c r="AK115" s="53" t="str">
        <f>_xlfn.XLOOKUP(Master[[#This Row],[cu_id]],'[1]Customer Revenue'!$Q:$Q,'[1]Customer Revenue'!$I:$I, "None")</f>
        <v>None</v>
      </c>
      <c r="AL115" s="53">
        <v>100.2584615384616</v>
      </c>
      <c r="AM115" s="61">
        <v>0.25</v>
      </c>
      <c r="AN115" s="60">
        <v>0.5</v>
      </c>
      <c r="AO115" s="60" t="s">
        <v>36</v>
      </c>
      <c r="AP115" s="60" t="s">
        <v>36</v>
      </c>
      <c r="AQ115" s="58" t="s">
        <v>0</v>
      </c>
      <c r="AR115" s="58"/>
      <c r="AS115" s="58"/>
      <c r="AT115" s="52">
        <v>0</v>
      </c>
      <c r="AU115" s="52" t="e">
        <f>IF(Master[[#This Row],[RSP StopTime override]] &lt;&gt; "",Master[[#This Row],[RSP StopTime override]],IF(Master[[#This Row],[Avg stop time helper]] &lt;&gt; 0, Master[[#This Row],[Avg stop time helper]],Average_Stop_Time))</f>
        <v>#DIV/0!</v>
      </c>
      <c r="AV115" s="21"/>
      <c r="AW115" s="20">
        <f>Master[[#This Row],[RSP StopTime override]]-Master[[#This Row],[Avg stop time helper]]</f>
        <v>0</v>
      </c>
    </row>
    <row r="116" spans="1:49" x14ac:dyDescent="0.3">
      <c r="A116" s="66" t="s">
        <v>4232</v>
      </c>
      <c r="B116" s="58">
        <v>6</v>
      </c>
      <c r="C116" s="58" t="s">
        <v>43</v>
      </c>
      <c r="D116" s="65">
        <v>99061</v>
      </c>
      <c r="E116" s="65" t="s">
        <v>3228</v>
      </c>
      <c r="F116" s="65" t="s">
        <v>3300</v>
      </c>
      <c r="G116" s="65" t="s">
        <v>3299</v>
      </c>
      <c r="H116" s="65" t="s">
        <v>32</v>
      </c>
      <c r="I116" s="65" t="s">
        <v>3226</v>
      </c>
      <c r="J116" s="65" t="s">
        <v>5</v>
      </c>
      <c r="K116" s="65" t="s">
        <v>38</v>
      </c>
      <c r="L116" s="64" t="s">
        <v>67</v>
      </c>
      <c r="M116" s="58" t="s">
        <v>3</v>
      </c>
      <c r="N116" s="58" t="s">
        <v>2</v>
      </c>
      <c r="O116" s="58">
        <v>8</v>
      </c>
      <c r="P116" s="58">
        <v>0</v>
      </c>
      <c r="Q116" s="58">
        <v>0</v>
      </c>
      <c r="R116" s="58">
        <v>0</v>
      </c>
      <c r="S116" s="58">
        <v>8</v>
      </c>
      <c r="T116" s="58">
        <v>0</v>
      </c>
      <c r="U116" s="58">
        <v>53</v>
      </c>
      <c r="V116" s="62"/>
      <c r="W116" s="62"/>
      <c r="X116" s="63">
        <f>IFERROR(1 -(Master[[#This Row],[Avg Garment Scans per Delivery]]/Master[[#This Row],[Garment Inventory]]), 0)</f>
        <v>0</v>
      </c>
      <c r="Y116" s="62"/>
      <c r="Z116" s="62"/>
      <c r="AA116" s="53">
        <v>16.388461538461538</v>
      </c>
      <c r="AB116" s="53">
        <v>19.671538461538457</v>
      </c>
      <c r="AC116" s="53">
        <v>20.264497041420118</v>
      </c>
      <c r="AD116" s="53">
        <v>23.261656804733722</v>
      </c>
      <c r="AE116" s="53" t="str">
        <f>_xlfn.XLOOKUP(Master[[#This Row],[cu_id]],'[1]Customer Revenue'!$Q:$Q,'[1]Customer Revenue'!$K:$K, "None")</f>
        <v>None</v>
      </c>
      <c r="AF116" s="53" t="str">
        <f>_xlfn.XLOOKUP(Master[[#This Row],[cu_id]],'[1]Customer Revenue'!$Q:$Q,'[1]Customer Revenue'!$L:$L, "None")</f>
        <v>None</v>
      </c>
      <c r="AG116" s="53">
        <v>16.209733727810651</v>
      </c>
      <c r="AH116" s="53">
        <v>18.731035502958584</v>
      </c>
      <c r="AI116" s="53">
        <v>18.029999999999998</v>
      </c>
      <c r="AJ116" s="53">
        <v>21.76307692307692</v>
      </c>
      <c r="AK116" s="53" t="str">
        <f>_xlfn.XLOOKUP(Master[[#This Row],[cu_id]],'[1]Customer Revenue'!$Q:$Q,'[1]Customer Revenue'!$I:$I, "None")</f>
        <v>None</v>
      </c>
      <c r="AL116" s="53">
        <v>17.470384615384617</v>
      </c>
      <c r="AM116" s="61">
        <v>0.25</v>
      </c>
      <c r="AN116" s="60">
        <v>0.5</v>
      </c>
      <c r="AO116" s="60" t="s">
        <v>36</v>
      </c>
      <c r="AP116" s="60" t="s">
        <v>36</v>
      </c>
      <c r="AQ116" s="58" t="s">
        <v>0</v>
      </c>
      <c r="AR116" s="58"/>
      <c r="AS116" s="58"/>
      <c r="AT116" s="52">
        <v>0</v>
      </c>
      <c r="AU116" s="52" t="e">
        <f>IF(Master[[#This Row],[RSP StopTime override]] &lt;&gt; "",Master[[#This Row],[RSP StopTime override]],IF(Master[[#This Row],[Avg stop time helper]] &lt;&gt; 0, Master[[#This Row],[Avg stop time helper]],Average_Stop_Time))</f>
        <v>#DIV/0!</v>
      </c>
      <c r="AV116" s="21"/>
      <c r="AW116" s="20">
        <f>Master[[#This Row],[RSP StopTime override]]-Master[[#This Row],[Avg stop time helper]]</f>
        <v>0</v>
      </c>
    </row>
    <row r="117" spans="1:49" x14ac:dyDescent="0.3">
      <c r="A117" s="66" t="s">
        <v>4233</v>
      </c>
      <c r="B117" s="58">
        <v>6</v>
      </c>
      <c r="C117" s="58" t="s">
        <v>43</v>
      </c>
      <c r="D117" s="65">
        <v>99094</v>
      </c>
      <c r="E117" s="65" t="s">
        <v>1201</v>
      </c>
      <c r="F117" s="65" t="s">
        <v>3298</v>
      </c>
      <c r="G117" s="65" t="s">
        <v>3297</v>
      </c>
      <c r="H117" s="65" t="s">
        <v>7</v>
      </c>
      <c r="I117" s="65" t="s">
        <v>2412</v>
      </c>
      <c r="J117" s="65" t="s">
        <v>5</v>
      </c>
      <c r="K117" s="65" t="s">
        <v>1636</v>
      </c>
      <c r="L117" s="64" t="s">
        <v>77</v>
      </c>
      <c r="M117" s="58" t="s">
        <v>29</v>
      </c>
      <c r="N117" s="58" t="s">
        <v>2</v>
      </c>
      <c r="O117" s="58">
        <v>135</v>
      </c>
      <c r="P117" s="58">
        <v>0</v>
      </c>
      <c r="Q117" s="58">
        <v>0</v>
      </c>
      <c r="R117" s="58">
        <v>0</v>
      </c>
      <c r="S117" s="58">
        <v>135</v>
      </c>
      <c r="T117" s="58">
        <v>0</v>
      </c>
      <c r="U117" s="58">
        <v>35</v>
      </c>
      <c r="V117" s="62"/>
      <c r="W117" s="62"/>
      <c r="X117" s="63">
        <f>IFERROR(1 -(Master[[#This Row],[Avg Garment Scans per Delivery]]/Master[[#This Row],[Garment Inventory]]), 0)</f>
        <v>0</v>
      </c>
      <c r="Y117" s="62"/>
      <c r="Z117" s="62"/>
      <c r="AA117" s="53">
        <v>21.349669421487604</v>
      </c>
      <c r="AB117" s="53">
        <v>22.688512396694222</v>
      </c>
      <c r="AC117" s="53">
        <v>13.255555555555555</v>
      </c>
      <c r="AD117" s="53">
        <v>34.464444444444446</v>
      </c>
      <c r="AE117" s="53" t="str">
        <f>_xlfn.XLOOKUP(Master[[#This Row],[cu_id]],'[1]Customer Revenue'!$Q:$Q,'[1]Customer Revenue'!$K:$K, "None")</f>
        <v>None</v>
      </c>
      <c r="AF117" s="53" t="str">
        <f>_xlfn.XLOOKUP(Master[[#This Row],[cu_id]],'[1]Customer Revenue'!$Q:$Q,'[1]Customer Revenue'!$L:$L, "None")</f>
        <v>None</v>
      </c>
      <c r="AG117" s="53">
        <v>21.442644628099174</v>
      </c>
      <c r="AH117" s="53">
        <v>22.186446280991753</v>
      </c>
      <c r="AI117" s="53">
        <v>22.019090909090913</v>
      </c>
      <c r="AJ117" s="53">
        <v>23.86</v>
      </c>
      <c r="AK117" s="53" t="str">
        <f>_xlfn.XLOOKUP(Master[[#This Row],[cu_id]],'[1]Customer Revenue'!$Q:$Q,'[1]Customer Revenue'!$I:$I, "None")</f>
        <v>None</v>
      </c>
      <c r="AL117" s="53">
        <v>21.814545454545463</v>
      </c>
      <c r="AM117" s="61">
        <v>0.375</v>
      </c>
      <c r="AN117" s="60">
        <v>0.70833333333333337</v>
      </c>
      <c r="AO117" s="60" t="s">
        <v>36</v>
      </c>
      <c r="AP117" s="60" t="s">
        <v>36</v>
      </c>
      <c r="AQ117" s="58" t="s">
        <v>0</v>
      </c>
      <c r="AR117" s="58"/>
      <c r="AS117" s="58"/>
      <c r="AT117" s="52">
        <v>0</v>
      </c>
      <c r="AU117" s="52" t="e">
        <f>IF(Master[[#This Row],[RSP StopTime override]] &lt;&gt; "",Master[[#This Row],[RSP StopTime override]],IF(Master[[#This Row],[Avg stop time helper]] &lt;&gt; 0, Master[[#This Row],[Avg stop time helper]],Average_Stop_Time))</f>
        <v>#DIV/0!</v>
      </c>
      <c r="AV117" s="21"/>
      <c r="AW117" s="20">
        <f>Master[[#This Row],[RSP StopTime override]]-Master[[#This Row],[Avg stop time helper]]</f>
        <v>0</v>
      </c>
    </row>
    <row r="118" spans="1:49" x14ac:dyDescent="0.3">
      <c r="A118" s="66" t="s">
        <v>4234</v>
      </c>
      <c r="B118" s="58">
        <v>6</v>
      </c>
      <c r="C118" s="58" t="s">
        <v>43</v>
      </c>
      <c r="D118" s="65">
        <v>99100</v>
      </c>
      <c r="E118" s="65" t="s">
        <v>1416</v>
      </c>
      <c r="F118" s="65" t="s">
        <v>3296</v>
      </c>
      <c r="G118" s="65" t="s">
        <v>3295</v>
      </c>
      <c r="H118" s="65" t="s">
        <v>7</v>
      </c>
      <c r="I118" s="65" t="s">
        <v>39</v>
      </c>
      <c r="J118" s="65" t="s">
        <v>5</v>
      </c>
      <c r="K118" s="65" t="s">
        <v>38</v>
      </c>
      <c r="L118" s="64" t="s">
        <v>91</v>
      </c>
      <c r="M118" s="58" t="s">
        <v>90</v>
      </c>
      <c r="N118" s="58" t="s">
        <v>2</v>
      </c>
      <c r="O118" s="58">
        <v>40</v>
      </c>
      <c r="P118" s="58">
        <v>0</v>
      </c>
      <c r="Q118" s="58">
        <v>0</v>
      </c>
      <c r="R118" s="58">
        <v>0</v>
      </c>
      <c r="S118" s="58">
        <v>40</v>
      </c>
      <c r="T118" s="58">
        <v>0</v>
      </c>
      <c r="U118" s="58">
        <v>26</v>
      </c>
      <c r="V118" s="62"/>
      <c r="W118" s="62"/>
      <c r="X118" s="63">
        <f>IFERROR(1 -(Master[[#This Row],[Avg Garment Scans per Delivery]]/Master[[#This Row],[Garment Inventory]]), 0)</f>
        <v>0</v>
      </c>
      <c r="Y118" s="62"/>
      <c r="Z118" s="62"/>
      <c r="AA118" s="53">
        <v>23.411938775510205</v>
      </c>
      <c r="AB118" s="53">
        <v>38.598061224489797</v>
      </c>
      <c r="AC118" s="53">
        <v>25.989888888888892</v>
      </c>
      <c r="AD118" s="53">
        <v>45.982111111111116</v>
      </c>
      <c r="AE118" s="53" t="str">
        <f>_xlfn.XLOOKUP(Master[[#This Row],[cu_id]],'[1]Customer Revenue'!$Q:$Q,'[1]Customer Revenue'!$K:$K, "None")</f>
        <v>None</v>
      </c>
      <c r="AF118" s="53" t="str">
        <f>_xlfn.XLOOKUP(Master[[#This Row],[cu_id]],'[1]Customer Revenue'!$Q:$Q,'[1]Customer Revenue'!$L:$L, "None")</f>
        <v>None</v>
      </c>
      <c r="AG118" s="53">
        <v>26.441050295857988</v>
      </c>
      <c r="AH118" s="53">
        <v>35.193949704142007</v>
      </c>
      <c r="AI118" s="53">
        <v>31.004999999999999</v>
      </c>
      <c r="AJ118" s="53">
        <v>35.986000000000004</v>
      </c>
      <c r="AK118" s="53" t="str">
        <f>_xlfn.XLOOKUP(Master[[#This Row],[cu_id]],'[1]Customer Revenue'!$Q:$Q,'[1]Customer Revenue'!$I:$I, "None")</f>
        <v>None</v>
      </c>
      <c r="AL118" s="53">
        <v>30.817499999999999</v>
      </c>
      <c r="AM118" s="61">
        <v>0.375</v>
      </c>
      <c r="AN118" s="60">
        <v>0.70833333333333337</v>
      </c>
      <c r="AO118" s="60" t="s">
        <v>36</v>
      </c>
      <c r="AP118" s="60" t="s">
        <v>36</v>
      </c>
      <c r="AQ118" s="58" t="s">
        <v>0</v>
      </c>
      <c r="AR118" s="58"/>
      <c r="AS118" s="58"/>
      <c r="AT118" s="52">
        <v>0</v>
      </c>
      <c r="AU118" s="52" t="e">
        <f>IF(Master[[#This Row],[RSP StopTime override]] &lt;&gt; "",Master[[#This Row],[RSP StopTime override]],IF(Master[[#This Row],[Avg stop time helper]] &lt;&gt; 0, Master[[#This Row],[Avg stop time helper]],Average_Stop_Time))</f>
        <v>#DIV/0!</v>
      </c>
      <c r="AV118" s="21"/>
      <c r="AW118" s="20">
        <f>Master[[#This Row],[RSP StopTime override]]-Master[[#This Row],[Avg stop time helper]]</f>
        <v>0</v>
      </c>
    </row>
    <row r="119" spans="1:49" x14ac:dyDescent="0.3">
      <c r="A119" s="66" t="s">
        <v>4235</v>
      </c>
      <c r="B119" s="58">
        <v>6</v>
      </c>
      <c r="C119" s="58" t="s">
        <v>43</v>
      </c>
      <c r="D119" s="65">
        <v>99113</v>
      </c>
      <c r="E119" s="65" t="s">
        <v>1455</v>
      </c>
      <c r="F119" s="65" t="s">
        <v>3294</v>
      </c>
      <c r="G119" s="65" t="s">
        <v>3293</v>
      </c>
      <c r="H119" s="65" t="s">
        <v>7</v>
      </c>
      <c r="I119" s="65" t="s">
        <v>39</v>
      </c>
      <c r="J119" s="65" t="s">
        <v>5</v>
      </c>
      <c r="K119" s="65" t="s">
        <v>38</v>
      </c>
      <c r="L119" s="64" t="s">
        <v>206</v>
      </c>
      <c r="M119" s="58" t="s">
        <v>205</v>
      </c>
      <c r="N119" s="58" t="s">
        <v>2</v>
      </c>
      <c r="O119" s="58">
        <v>1</v>
      </c>
      <c r="P119" s="58">
        <v>0</v>
      </c>
      <c r="Q119" s="58">
        <v>0</v>
      </c>
      <c r="R119" s="58">
        <v>0</v>
      </c>
      <c r="S119" s="58">
        <v>1</v>
      </c>
      <c r="T119" s="58">
        <v>0</v>
      </c>
      <c r="U119" s="58">
        <v>13</v>
      </c>
      <c r="V119" s="62"/>
      <c r="W119" s="62"/>
      <c r="X119" s="63">
        <f>IFERROR(1 -(Master[[#This Row],[Avg Garment Scans per Delivery]]/Master[[#This Row],[Garment Inventory]]), 0)</f>
        <v>0</v>
      </c>
      <c r="Y119" s="62"/>
      <c r="Z119" s="62"/>
      <c r="AA119" s="53">
        <v>27.66</v>
      </c>
      <c r="AB119" s="53">
        <v>27.66</v>
      </c>
      <c r="AC119" s="53">
        <v>29.910000000000004</v>
      </c>
      <c r="AD119" s="53">
        <v>32.200000000000003</v>
      </c>
      <c r="AE119" s="53" t="str">
        <f>_xlfn.XLOOKUP(Master[[#This Row],[cu_id]],'[1]Customer Revenue'!$Q:$Q,'[1]Customer Revenue'!$K:$K, "None")</f>
        <v>None</v>
      </c>
      <c r="AF119" s="53" t="str">
        <f>_xlfn.XLOOKUP(Master[[#This Row],[cu_id]],'[1]Customer Revenue'!$Q:$Q,'[1]Customer Revenue'!$L:$L, "None")</f>
        <v>None</v>
      </c>
      <c r="AG119" s="53">
        <v>27.66</v>
      </c>
      <c r="AH119" s="53">
        <v>27.66</v>
      </c>
      <c r="AI119" s="53">
        <v>27.66</v>
      </c>
      <c r="AJ119" s="53">
        <v>31.055000000000003</v>
      </c>
      <c r="AK119" s="53" t="str">
        <f>_xlfn.XLOOKUP(Master[[#This Row],[cu_id]],'[1]Customer Revenue'!$Q:$Q,'[1]Customer Revenue'!$I:$I, "None")</f>
        <v>None</v>
      </c>
      <c r="AL119" s="53">
        <v>27.66</v>
      </c>
      <c r="AM119" s="61" t="s">
        <v>36</v>
      </c>
      <c r="AN119" s="60" t="s">
        <v>36</v>
      </c>
      <c r="AO119" s="60" t="s">
        <v>36</v>
      </c>
      <c r="AP119" s="60" t="s">
        <v>36</v>
      </c>
      <c r="AQ119" s="58" t="s">
        <v>0</v>
      </c>
      <c r="AR119" s="58"/>
      <c r="AS119" s="58"/>
      <c r="AT119" s="52">
        <v>0</v>
      </c>
      <c r="AU119" s="52" t="e">
        <f>IF(Master[[#This Row],[RSP StopTime override]] &lt;&gt; "",Master[[#This Row],[RSP StopTime override]],IF(Master[[#This Row],[Avg stop time helper]] &lt;&gt; 0, Master[[#This Row],[Avg stop time helper]],Average_Stop_Time))</f>
        <v>#DIV/0!</v>
      </c>
      <c r="AV119" s="21"/>
      <c r="AW119" s="20">
        <f>Master[[#This Row],[RSP StopTime override]]-Master[[#This Row],[Avg stop time helper]]</f>
        <v>0</v>
      </c>
    </row>
    <row r="120" spans="1:49" x14ac:dyDescent="0.3">
      <c r="A120" s="95" t="s">
        <v>4236</v>
      </c>
      <c r="B120" s="96">
        <v>51</v>
      </c>
      <c r="C120" s="104" t="s">
        <v>24</v>
      </c>
      <c r="D120" s="97">
        <v>519670</v>
      </c>
      <c r="E120" s="97" t="s">
        <v>42</v>
      </c>
      <c r="F120" s="97" t="s">
        <v>48</v>
      </c>
      <c r="G120" s="65" t="s">
        <v>47</v>
      </c>
      <c r="H120" s="65" t="s">
        <v>7</v>
      </c>
      <c r="I120" s="65" t="s">
        <v>46</v>
      </c>
      <c r="J120" s="65" t="s">
        <v>5</v>
      </c>
      <c r="K120" s="65" t="s">
        <v>45</v>
      </c>
      <c r="L120" s="64">
        <v>7</v>
      </c>
      <c r="M120" s="58" t="s">
        <v>3</v>
      </c>
      <c r="N120" s="58" t="s">
        <v>2</v>
      </c>
      <c r="O120" s="58">
        <v>150</v>
      </c>
      <c r="P120" s="58">
        <v>150</v>
      </c>
      <c r="Q120" s="58">
        <v>0</v>
      </c>
      <c r="R120" s="58">
        <v>25</v>
      </c>
      <c r="S120" s="58">
        <v>0</v>
      </c>
      <c r="T120" s="58">
        <v>200</v>
      </c>
      <c r="U120" s="58">
        <v>232</v>
      </c>
      <c r="V120" s="62"/>
      <c r="W120" s="62"/>
      <c r="X120" s="63">
        <v>0</v>
      </c>
      <c r="Y120" s="62"/>
      <c r="Z120" s="62"/>
      <c r="AA120" s="53"/>
      <c r="AB120" s="53"/>
      <c r="AC120" s="53">
        <v>200</v>
      </c>
      <c r="AD120" s="53">
        <v>550</v>
      </c>
      <c r="AE120" s="53">
        <v>67.56</v>
      </c>
      <c r="AF120" s="53">
        <v>432.28</v>
      </c>
      <c r="AG120" s="53"/>
      <c r="AH120" s="53"/>
      <c r="AI120" s="53"/>
      <c r="AJ120" s="53">
        <v>410.29384615384612</v>
      </c>
      <c r="AK120" s="53">
        <v>250</v>
      </c>
      <c r="AL120" s="53">
        <v>142.64799999999997</v>
      </c>
      <c r="AM120" s="61">
        <v>0.25</v>
      </c>
      <c r="AN120" s="60">
        <v>0.83333333333333337</v>
      </c>
      <c r="AO120" s="60" t="s">
        <v>36</v>
      </c>
      <c r="AP120" s="60" t="s">
        <v>36</v>
      </c>
      <c r="AQ120" s="99" t="s">
        <v>44</v>
      </c>
      <c r="AR120" s="99"/>
      <c r="AS120" s="99"/>
      <c r="AT120" s="52">
        <v>0</v>
      </c>
      <c r="AU120" s="100"/>
      <c r="AV120" s="21">
        <v>0</v>
      </c>
    </row>
    <row r="121" spans="1:49" x14ac:dyDescent="0.3">
      <c r="A121" s="66" t="s">
        <v>4237</v>
      </c>
      <c r="B121" s="58">
        <v>6</v>
      </c>
      <c r="C121" s="58" t="s">
        <v>43</v>
      </c>
      <c r="D121" s="65">
        <v>99143</v>
      </c>
      <c r="E121" s="65" t="s">
        <v>42</v>
      </c>
      <c r="F121" s="65" t="s">
        <v>3291</v>
      </c>
      <c r="G121" s="65" t="s">
        <v>3292</v>
      </c>
      <c r="H121" s="65" t="s">
        <v>7</v>
      </c>
      <c r="I121" s="65" t="s">
        <v>39</v>
      </c>
      <c r="J121" s="65" t="s">
        <v>5</v>
      </c>
      <c r="K121" s="65" t="s">
        <v>38</v>
      </c>
      <c r="L121" s="64" t="s">
        <v>77</v>
      </c>
      <c r="M121" s="58" t="s">
        <v>29</v>
      </c>
      <c r="N121" s="58" t="s">
        <v>2</v>
      </c>
      <c r="O121" s="58">
        <v>55</v>
      </c>
      <c r="P121" s="58">
        <v>0</v>
      </c>
      <c r="Q121" s="58">
        <v>0</v>
      </c>
      <c r="R121" s="58">
        <v>0</v>
      </c>
      <c r="S121" s="58">
        <v>55</v>
      </c>
      <c r="T121" s="58">
        <v>0</v>
      </c>
      <c r="U121" s="58">
        <v>27</v>
      </c>
      <c r="V121" s="62"/>
      <c r="W121" s="62"/>
      <c r="X121" s="63">
        <f>IFERROR(1 -(Master[[#This Row],[Avg Garment Scans per Delivery]]/Master[[#This Row],[Garment Inventory]]), 0)</f>
        <v>0</v>
      </c>
      <c r="Y121" s="62"/>
      <c r="Z121" s="62"/>
      <c r="AA121" s="53">
        <v>90.57</v>
      </c>
      <c r="AB121" s="53">
        <v>91.82</v>
      </c>
      <c r="AC121" s="53">
        <v>52.038888888888891</v>
      </c>
      <c r="AD121" s="53">
        <v>135.30111111111111</v>
      </c>
      <c r="AE121" s="53" t="str">
        <f>_xlfn.XLOOKUP(Master[[#This Row],[cu_id]],'[1]Customer Revenue'!$Q:$Q,'[1]Customer Revenue'!$K:$K, "None")</f>
        <v>None</v>
      </c>
      <c r="AF121" s="53" t="str">
        <f>_xlfn.XLOOKUP(Master[[#This Row],[cu_id]],'[1]Customer Revenue'!$Q:$Q,'[1]Customer Revenue'!$L:$L, "None")</f>
        <v>None</v>
      </c>
      <c r="AG121" s="53">
        <v>90.673550295857979</v>
      </c>
      <c r="AH121" s="53">
        <v>91.312603550295819</v>
      </c>
      <c r="AI121" s="53">
        <v>91.194999999999993</v>
      </c>
      <c r="AJ121" s="53">
        <v>93.67</v>
      </c>
      <c r="AK121" s="53" t="str">
        <f>_xlfn.XLOOKUP(Master[[#This Row],[cu_id]],'[1]Customer Revenue'!$Q:$Q,'[1]Customer Revenue'!$I:$I, "None")</f>
        <v>None</v>
      </c>
      <c r="AL121" s="53">
        <v>90.993076923076899</v>
      </c>
      <c r="AM121" s="61">
        <v>0.375</v>
      </c>
      <c r="AN121" s="60">
        <v>0.70833333333333337</v>
      </c>
      <c r="AO121" s="60" t="s">
        <v>36</v>
      </c>
      <c r="AP121" s="60" t="s">
        <v>36</v>
      </c>
      <c r="AQ121" s="58" t="s">
        <v>0</v>
      </c>
      <c r="AR121" s="58"/>
      <c r="AS121" s="58"/>
      <c r="AT121" s="52">
        <v>0</v>
      </c>
      <c r="AU121" s="52" t="e">
        <f>IF(Master[[#This Row],[RSP StopTime override]] &lt;&gt; "",Master[[#This Row],[RSP StopTime override]],IF(Master[[#This Row],[Avg stop time helper]] &lt;&gt; 0, Master[[#This Row],[Avg stop time helper]],Average_Stop_Time))</f>
        <v>#DIV/0!</v>
      </c>
      <c r="AV121" s="21"/>
      <c r="AW121" s="20">
        <f>Master[[#This Row],[RSP StopTime override]]-Master[[#This Row],[Avg stop time helper]]</f>
        <v>0</v>
      </c>
    </row>
    <row r="122" spans="1:49" x14ac:dyDescent="0.3">
      <c r="A122" s="66" t="s">
        <v>4238</v>
      </c>
      <c r="B122" s="58">
        <v>6</v>
      </c>
      <c r="C122" s="58" t="s">
        <v>43</v>
      </c>
      <c r="D122" s="65">
        <v>99143</v>
      </c>
      <c r="E122" s="65" t="s">
        <v>686</v>
      </c>
      <c r="F122" s="65" t="s">
        <v>3291</v>
      </c>
      <c r="G122" s="65" t="s">
        <v>3290</v>
      </c>
      <c r="H122" s="65" t="s">
        <v>7</v>
      </c>
      <c r="I122" s="65" t="s">
        <v>39</v>
      </c>
      <c r="J122" s="65" t="s">
        <v>5</v>
      </c>
      <c r="K122" s="65" t="s">
        <v>3203</v>
      </c>
      <c r="L122" s="64" t="s">
        <v>77</v>
      </c>
      <c r="M122" s="58" t="s">
        <v>29</v>
      </c>
      <c r="N122" s="58" t="s">
        <v>2</v>
      </c>
      <c r="O122" s="58">
        <v>110</v>
      </c>
      <c r="P122" s="58">
        <v>0</v>
      </c>
      <c r="Q122" s="58">
        <v>0</v>
      </c>
      <c r="R122" s="58">
        <v>0</v>
      </c>
      <c r="S122" s="58">
        <v>110</v>
      </c>
      <c r="T122" s="58">
        <v>0</v>
      </c>
      <c r="U122" s="58">
        <v>27</v>
      </c>
      <c r="V122" s="62"/>
      <c r="W122" s="62"/>
      <c r="X122" s="63">
        <f>IFERROR(1 -(Master[[#This Row],[Avg Garment Scans per Delivery]]/Master[[#This Row],[Garment Inventory]]), 0)</f>
        <v>0</v>
      </c>
      <c r="Y122" s="62"/>
      <c r="Z122" s="62"/>
      <c r="AA122" s="53">
        <v>35.76</v>
      </c>
      <c r="AB122" s="53">
        <v>37.01</v>
      </c>
      <c r="AC122" s="53">
        <v>24.287500000000001</v>
      </c>
      <c r="AD122" s="53">
        <v>53.432499999999997</v>
      </c>
      <c r="AE122" s="53" t="str">
        <f>_xlfn.XLOOKUP(Master[[#This Row],[cu_id]],'[1]Customer Revenue'!$Q:$Q,'[1]Customer Revenue'!$K:$K, "None")</f>
        <v>None</v>
      </c>
      <c r="AF122" s="53" t="str">
        <f>_xlfn.XLOOKUP(Master[[#This Row],[cu_id]],'[1]Customer Revenue'!$Q:$Q,'[1]Customer Revenue'!$L:$L, "None")</f>
        <v>None</v>
      </c>
      <c r="AG122" s="53">
        <v>35.863550295857983</v>
      </c>
      <c r="AH122" s="53">
        <v>36.502603550295852</v>
      </c>
      <c r="AI122" s="53">
        <v>36.384999999999998</v>
      </c>
      <c r="AJ122" s="53">
        <v>38.86</v>
      </c>
      <c r="AK122" s="53" t="str">
        <f>_xlfn.XLOOKUP(Master[[#This Row],[cu_id]],'[1]Customer Revenue'!$Q:$Q,'[1]Customer Revenue'!$I:$I, "None")</f>
        <v>None</v>
      </c>
      <c r="AL122" s="53">
        <v>36.183076923076918</v>
      </c>
      <c r="AM122" s="61">
        <v>0.375</v>
      </c>
      <c r="AN122" s="60">
        <v>0.70833333333333337</v>
      </c>
      <c r="AO122" s="60" t="s">
        <v>36</v>
      </c>
      <c r="AP122" s="60" t="s">
        <v>36</v>
      </c>
      <c r="AQ122" s="58" t="s">
        <v>0</v>
      </c>
      <c r="AR122" s="58"/>
      <c r="AS122" s="58"/>
      <c r="AT122" s="52">
        <v>0</v>
      </c>
      <c r="AU122" s="52" t="e">
        <f>IF(Master[[#This Row],[RSP StopTime override]] &lt;&gt; "",Master[[#This Row],[RSP StopTime override]],IF(Master[[#This Row],[Avg stop time helper]] &lt;&gt; 0, Master[[#This Row],[Avg stop time helper]],Average_Stop_Time))</f>
        <v>#DIV/0!</v>
      </c>
      <c r="AV122" s="21"/>
      <c r="AW122" s="20">
        <f>Master[[#This Row],[RSP StopTime override]]-Master[[#This Row],[Avg stop time helper]]</f>
        <v>0</v>
      </c>
    </row>
    <row r="123" spans="1:49" x14ac:dyDescent="0.3">
      <c r="A123" s="66" t="s">
        <v>4239</v>
      </c>
      <c r="B123" s="58">
        <v>6</v>
      </c>
      <c r="C123" s="58" t="s">
        <v>43</v>
      </c>
      <c r="D123" s="65">
        <v>99145</v>
      </c>
      <c r="E123" s="65" t="s">
        <v>1158</v>
      </c>
      <c r="F123" s="65" t="s">
        <v>3289</v>
      </c>
      <c r="G123" s="65" t="s">
        <v>3288</v>
      </c>
      <c r="H123" s="65" t="s">
        <v>7</v>
      </c>
      <c r="I123" s="65" t="s">
        <v>39</v>
      </c>
      <c r="J123" s="65" t="s">
        <v>5</v>
      </c>
      <c r="K123" s="65" t="s">
        <v>38</v>
      </c>
      <c r="L123" s="64" t="s">
        <v>206</v>
      </c>
      <c r="M123" s="58" t="s">
        <v>205</v>
      </c>
      <c r="N123" s="58" t="s">
        <v>2</v>
      </c>
      <c r="O123" s="58">
        <v>90</v>
      </c>
      <c r="P123" s="58">
        <v>0</v>
      </c>
      <c r="Q123" s="58">
        <v>0</v>
      </c>
      <c r="R123" s="58">
        <v>0</v>
      </c>
      <c r="S123" s="58">
        <v>90</v>
      </c>
      <c r="T123" s="58">
        <v>0</v>
      </c>
      <c r="U123" s="58">
        <v>14</v>
      </c>
      <c r="V123" s="62"/>
      <c r="W123" s="62"/>
      <c r="X123" s="63">
        <f>IFERROR(1 -(Master[[#This Row],[Avg Garment Scans per Delivery]]/Master[[#This Row],[Garment Inventory]]), 0)</f>
        <v>0</v>
      </c>
      <c r="Y123" s="62"/>
      <c r="Z123" s="62"/>
      <c r="AA123" s="53">
        <v>110.35250000000001</v>
      </c>
      <c r="AB123" s="53">
        <v>158.57750000000001</v>
      </c>
      <c r="AC123" s="53">
        <v>155.22000000000003</v>
      </c>
      <c r="AD123" s="53">
        <v>157.74</v>
      </c>
      <c r="AE123" s="53" t="str">
        <f>_xlfn.XLOOKUP(Master[[#This Row],[cu_id]],'[1]Customer Revenue'!$Q:$Q,'[1]Customer Revenue'!$K:$K, "None")</f>
        <v>None</v>
      </c>
      <c r="AF123" s="53" t="str">
        <f>_xlfn.XLOOKUP(Master[[#This Row],[cu_id]],'[1]Customer Revenue'!$Q:$Q,'[1]Customer Revenue'!$L:$L, "None")</f>
        <v>None</v>
      </c>
      <c r="AG123" s="53">
        <v>117.34653061224493</v>
      </c>
      <c r="AH123" s="53">
        <v>154.11061224489796</v>
      </c>
      <c r="AI123" s="53">
        <v>134.465</v>
      </c>
      <c r="AJ123" s="53">
        <v>156.48000000000002</v>
      </c>
      <c r="AK123" s="53" t="str">
        <f>_xlfn.XLOOKUP(Master[[#This Row],[cu_id]],'[1]Customer Revenue'!$Q:$Q,'[1]Customer Revenue'!$I:$I, "None")</f>
        <v>None</v>
      </c>
      <c r="AL123" s="53">
        <v>135.72857142857146</v>
      </c>
      <c r="AM123" s="61">
        <v>0.25</v>
      </c>
      <c r="AN123" s="60">
        <v>0.70833333333333337</v>
      </c>
      <c r="AO123" s="60" t="s">
        <v>36</v>
      </c>
      <c r="AP123" s="60" t="s">
        <v>36</v>
      </c>
      <c r="AQ123" s="58" t="s">
        <v>0</v>
      </c>
      <c r="AR123" s="58"/>
      <c r="AS123" s="58"/>
      <c r="AT123" s="52">
        <v>0</v>
      </c>
      <c r="AU123" s="52" t="e">
        <f>IF(Master[[#This Row],[RSP StopTime override]] &lt;&gt; "",Master[[#This Row],[RSP StopTime override]],IF(Master[[#This Row],[Avg stop time helper]] &lt;&gt; 0, Master[[#This Row],[Avg stop time helper]],Average_Stop_Time))</f>
        <v>#DIV/0!</v>
      </c>
      <c r="AV123" s="21"/>
      <c r="AW123" s="20">
        <f>Master[[#This Row],[RSP StopTime override]]-Master[[#This Row],[Avg stop time helper]]</f>
        <v>0</v>
      </c>
    </row>
    <row r="124" spans="1:49" x14ac:dyDescent="0.3">
      <c r="A124" s="66" t="s">
        <v>3897</v>
      </c>
      <c r="B124" s="58">
        <v>6</v>
      </c>
      <c r="C124" s="58" t="s">
        <v>43</v>
      </c>
      <c r="D124" s="65">
        <v>99161</v>
      </c>
      <c r="E124" s="65" t="s">
        <v>3287</v>
      </c>
      <c r="F124" s="65" t="s">
        <v>3587</v>
      </c>
      <c r="G124" s="65" t="s">
        <v>3286</v>
      </c>
      <c r="H124" s="65" t="s">
        <v>7</v>
      </c>
      <c r="I124" s="65" t="s">
        <v>3226</v>
      </c>
      <c r="J124" s="65" t="s">
        <v>5</v>
      </c>
      <c r="K124" s="65" t="s">
        <v>38</v>
      </c>
      <c r="L124" s="64" t="s">
        <v>67</v>
      </c>
      <c r="M124" s="58" t="s">
        <v>3</v>
      </c>
      <c r="N124" s="58" t="s">
        <v>2</v>
      </c>
      <c r="O124" s="58">
        <v>1</v>
      </c>
      <c r="P124" s="58">
        <v>0</v>
      </c>
      <c r="Q124" s="58">
        <v>0</v>
      </c>
      <c r="R124" s="58">
        <v>0</v>
      </c>
      <c r="S124" s="58">
        <v>1</v>
      </c>
      <c r="T124" s="58">
        <v>0</v>
      </c>
      <c r="U124" s="58">
        <v>2</v>
      </c>
      <c r="V124" s="62"/>
      <c r="W124" s="62"/>
      <c r="X124" s="63">
        <f>IFERROR(1 -(Master[[#This Row],[Avg Garment Scans per Delivery]]/Master[[#This Row],[Garment Inventory]]), 0)</f>
        <v>0</v>
      </c>
      <c r="Y124" s="62"/>
      <c r="Z124" s="62"/>
      <c r="AA124" s="53"/>
      <c r="AB124" s="53"/>
      <c r="AC124" s="53">
        <v>73</v>
      </c>
      <c r="AD124" s="53">
        <v>73</v>
      </c>
      <c r="AE124" s="53" t="str">
        <f>_xlfn.XLOOKUP(Master[[#This Row],[cu_id]],'[1]Customer Revenue'!$Q:$Q,'[1]Customer Revenue'!$K:$K, "None")</f>
        <v>None</v>
      </c>
      <c r="AF124" s="53" t="str">
        <f>_xlfn.XLOOKUP(Master[[#This Row],[cu_id]],'[1]Customer Revenue'!$Q:$Q,'[1]Customer Revenue'!$L:$L, "None")</f>
        <v>None</v>
      </c>
      <c r="AG124" s="53"/>
      <c r="AH124" s="53"/>
      <c r="AI124" s="53"/>
      <c r="AJ124" s="53">
        <v>73</v>
      </c>
      <c r="AK124" s="53" t="str">
        <f>_xlfn.XLOOKUP(Master[[#This Row],[cu_id]],'[1]Customer Revenue'!$Q:$Q,'[1]Customer Revenue'!$I:$I, "None")</f>
        <v>None</v>
      </c>
      <c r="AL124" s="53"/>
      <c r="AM124" s="61">
        <v>0.375</v>
      </c>
      <c r="AN124" s="60">
        <v>0.5</v>
      </c>
      <c r="AO124" s="60" t="s">
        <v>36</v>
      </c>
      <c r="AP124" s="60" t="s">
        <v>36</v>
      </c>
      <c r="AQ124" s="58" t="s">
        <v>0</v>
      </c>
      <c r="AR124" s="58"/>
      <c r="AS124" s="58"/>
      <c r="AT124" s="52">
        <v>0</v>
      </c>
      <c r="AU124" s="52" t="e">
        <f>IF(Master[[#This Row],[RSP StopTime override]] &lt;&gt; "",Master[[#This Row],[RSP StopTime override]],IF(Master[[#This Row],[Avg stop time helper]] &lt;&gt; 0, Master[[#This Row],[Avg stop time helper]],Average_Stop_Time))</f>
        <v>#DIV/0!</v>
      </c>
      <c r="AV124" s="21"/>
      <c r="AW124" s="20">
        <f>Master[[#This Row],[RSP StopTime override]]-Master[[#This Row],[Avg stop time helper]]</f>
        <v>0</v>
      </c>
    </row>
    <row r="125" spans="1:49" x14ac:dyDescent="0.3">
      <c r="A125" s="66" t="s">
        <v>4240</v>
      </c>
      <c r="B125" s="58">
        <v>6</v>
      </c>
      <c r="C125" s="58" t="s">
        <v>43</v>
      </c>
      <c r="D125" s="65">
        <v>499014</v>
      </c>
      <c r="E125" s="65" t="s">
        <v>1517</v>
      </c>
      <c r="F125" s="65" t="s">
        <v>1149</v>
      </c>
      <c r="G125" s="65" t="s">
        <v>3285</v>
      </c>
      <c r="H125" s="65" t="s">
        <v>32</v>
      </c>
      <c r="I125" s="65" t="s">
        <v>3224</v>
      </c>
      <c r="J125" s="65" t="s">
        <v>5</v>
      </c>
      <c r="K125" s="65" t="s">
        <v>38</v>
      </c>
      <c r="L125" s="64" t="s">
        <v>194</v>
      </c>
      <c r="M125" s="58" t="s">
        <v>193</v>
      </c>
      <c r="N125" s="58" t="s">
        <v>2</v>
      </c>
      <c r="O125" s="58">
        <v>25</v>
      </c>
      <c r="P125" s="58">
        <v>0</v>
      </c>
      <c r="Q125" s="58">
        <v>0</v>
      </c>
      <c r="R125" s="58">
        <v>0</v>
      </c>
      <c r="S125" s="58">
        <v>25</v>
      </c>
      <c r="T125" s="58">
        <v>0</v>
      </c>
      <c r="U125" s="58">
        <v>17</v>
      </c>
      <c r="V125" s="62"/>
      <c r="W125" s="62"/>
      <c r="X125" s="63">
        <f>IFERROR(1 -(Master[[#This Row],[Avg Garment Scans per Delivery]]/Master[[#This Row],[Garment Inventory]]), 0)</f>
        <v>0</v>
      </c>
      <c r="Y125" s="62"/>
      <c r="Z125" s="62"/>
      <c r="AA125" s="53">
        <v>37.250000000000007</v>
      </c>
      <c r="AB125" s="53">
        <v>100.14000000000001</v>
      </c>
      <c r="AC125" s="53">
        <v>38.267777777777773</v>
      </c>
      <c r="AD125" s="53">
        <v>39.578888888888891</v>
      </c>
      <c r="AE125" s="53" t="str">
        <f>_xlfn.XLOOKUP(Master[[#This Row],[cu_id]],'[1]Customer Revenue'!$Q:$Q,'[1]Customer Revenue'!$K:$K, "None")</f>
        <v>None</v>
      </c>
      <c r="AF125" s="53" t="str">
        <f>_xlfn.XLOOKUP(Master[[#This Row],[cu_id]],'[1]Customer Revenue'!$Q:$Q,'[1]Customer Revenue'!$L:$L, "None")</f>
        <v>None</v>
      </c>
      <c r="AG125" s="53">
        <v>28.886250000000011</v>
      </c>
      <c r="AH125" s="53">
        <v>96.86375000000001</v>
      </c>
      <c r="AI125" s="53">
        <v>68.695000000000007</v>
      </c>
      <c r="AJ125" s="53">
        <v>38.923333333333332</v>
      </c>
      <c r="AK125" s="53" t="str">
        <f>_xlfn.XLOOKUP(Master[[#This Row],[cu_id]],'[1]Customer Revenue'!$Q:$Q,'[1]Customer Revenue'!$I:$I, "None")</f>
        <v>None</v>
      </c>
      <c r="AL125" s="53">
        <v>62.875000000000007</v>
      </c>
      <c r="AM125" s="61">
        <v>0.375</v>
      </c>
      <c r="AN125" s="60">
        <v>0.70833333333333337</v>
      </c>
      <c r="AO125" s="60" t="s">
        <v>36</v>
      </c>
      <c r="AP125" s="60" t="s">
        <v>36</v>
      </c>
      <c r="AQ125" s="58" t="s">
        <v>0</v>
      </c>
      <c r="AR125" s="58"/>
      <c r="AS125" s="58"/>
      <c r="AT125" s="52">
        <v>0</v>
      </c>
      <c r="AU125" s="52" t="e">
        <f>IF(Master[[#This Row],[RSP StopTime override]] &lt;&gt; "",Master[[#This Row],[RSP StopTime override]],IF(Master[[#This Row],[Avg stop time helper]] &lt;&gt; 0, Master[[#This Row],[Avg stop time helper]],Average_Stop_Time))</f>
        <v>#DIV/0!</v>
      </c>
      <c r="AV125" s="21"/>
      <c r="AW125" s="20">
        <f>Master[[#This Row],[RSP StopTime override]]-Master[[#This Row],[Avg stop time helper]]</f>
        <v>0</v>
      </c>
    </row>
    <row r="126" spans="1:49" x14ac:dyDescent="0.3">
      <c r="A126" s="66" t="s">
        <v>4241</v>
      </c>
      <c r="B126" s="58">
        <v>6</v>
      </c>
      <c r="C126" s="58" t="s">
        <v>43</v>
      </c>
      <c r="D126" s="65">
        <v>499014</v>
      </c>
      <c r="E126" s="65" t="s">
        <v>1914</v>
      </c>
      <c r="F126" s="65" t="s">
        <v>1149</v>
      </c>
      <c r="G126" s="65" t="s">
        <v>3284</v>
      </c>
      <c r="H126" s="65" t="s">
        <v>3283</v>
      </c>
      <c r="I126" s="65" t="s">
        <v>39</v>
      </c>
      <c r="J126" s="65" t="s">
        <v>5</v>
      </c>
      <c r="K126" s="65" t="s">
        <v>38</v>
      </c>
      <c r="L126" s="64" t="s">
        <v>141</v>
      </c>
      <c r="M126" s="58" t="s">
        <v>140</v>
      </c>
      <c r="N126" s="58" t="s">
        <v>2</v>
      </c>
      <c r="O126" s="58">
        <v>65</v>
      </c>
      <c r="P126" s="58">
        <v>0</v>
      </c>
      <c r="Q126" s="58">
        <v>0</v>
      </c>
      <c r="R126" s="58">
        <v>0</v>
      </c>
      <c r="S126" s="58">
        <v>65</v>
      </c>
      <c r="T126" s="58">
        <v>0</v>
      </c>
      <c r="U126" s="58">
        <v>33</v>
      </c>
      <c r="V126" s="62"/>
      <c r="W126" s="62">
        <v>6</v>
      </c>
      <c r="X126" s="63">
        <f>IFERROR(1 -(Master[[#This Row],[Avg Garment Scans per Delivery]]/Master[[#This Row],[Garment Inventory]]), 0)</f>
        <v>0</v>
      </c>
      <c r="Y126" s="62"/>
      <c r="Z126" s="62"/>
      <c r="AA126" s="53">
        <v>40.495555555555548</v>
      </c>
      <c r="AB126" s="53">
        <v>137.77111111111111</v>
      </c>
      <c r="AC126" s="53">
        <v>52.855555555555554</v>
      </c>
      <c r="AD126" s="53">
        <v>53.917777777777772</v>
      </c>
      <c r="AE126" s="53" t="str">
        <f>_xlfn.XLOOKUP(Master[[#This Row],[cu_id]],'[1]Customer Revenue'!$Q:$Q,'[1]Customer Revenue'!$K:$K, "None")</f>
        <v>None</v>
      </c>
      <c r="AF126" s="53" t="str">
        <f>_xlfn.XLOOKUP(Master[[#This Row],[cu_id]],'[1]Customer Revenue'!$Q:$Q,'[1]Customer Revenue'!$L:$L, "None")</f>
        <v>None</v>
      </c>
      <c r="AG126" s="53">
        <v>52.280000000000008</v>
      </c>
      <c r="AH126" s="53">
        <v>131.68</v>
      </c>
      <c r="AI126" s="53">
        <v>89.133333333333326</v>
      </c>
      <c r="AJ126" s="53">
        <v>53.386666666666663</v>
      </c>
      <c r="AK126" s="53" t="str">
        <f>_xlfn.XLOOKUP(Master[[#This Row],[cu_id]],'[1]Customer Revenue'!$Q:$Q,'[1]Customer Revenue'!$I:$I, "None")</f>
        <v>None</v>
      </c>
      <c r="AL126" s="53">
        <v>91.98</v>
      </c>
      <c r="AM126" s="61">
        <v>0.375</v>
      </c>
      <c r="AN126" s="60">
        <v>0.70833333333333337</v>
      </c>
      <c r="AO126" s="60" t="s">
        <v>36</v>
      </c>
      <c r="AP126" s="60" t="s">
        <v>36</v>
      </c>
      <c r="AQ126" s="58" t="s">
        <v>0</v>
      </c>
      <c r="AR126" s="58"/>
      <c r="AS126" s="58"/>
      <c r="AT126" s="52">
        <v>0</v>
      </c>
      <c r="AU126" s="52" t="e">
        <f>IF(Master[[#This Row],[RSP StopTime override]] &lt;&gt; "",Master[[#This Row],[RSP StopTime override]],IF(Master[[#This Row],[Avg stop time helper]] &lt;&gt; 0, Master[[#This Row],[Avg stop time helper]],Average_Stop_Time))</f>
        <v>#DIV/0!</v>
      </c>
      <c r="AV126" s="21"/>
      <c r="AW126" s="20">
        <f>Master[[#This Row],[RSP StopTime override]]-Master[[#This Row],[Avg stop time helper]]</f>
        <v>0</v>
      </c>
    </row>
    <row r="127" spans="1:49" x14ac:dyDescent="0.3">
      <c r="A127" s="66" t="s">
        <v>4242</v>
      </c>
      <c r="B127" s="58">
        <v>6</v>
      </c>
      <c r="C127" s="58" t="s">
        <v>43</v>
      </c>
      <c r="D127" s="65">
        <v>518364</v>
      </c>
      <c r="E127" s="65" t="s">
        <v>686</v>
      </c>
      <c r="F127" s="65" t="s">
        <v>3282</v>
      </c>
      <c r="G127" s="65" t="s">
        <v>3281</v>
      </c>
      <c r="H127" s="65" t="s">
        <v>32</v>
      </c>
      <c r="I127" s="65" t="s">
        <v>3224</v>
      </c>
      <c r="J127" s="65" t="s">
        <v>5</v>
      </c>
      <c r="K127" s="65" t="s">
        <v>3280</v>
      </c>
      <c r="L127" s="64" t="s">
        <v>91</v>
      </c>
      <c r="M127" s="58" t="s">
        <v>90</v>
      </c>
      <c r="N127" s="58" t="s">
        <v>2</v>
      </c>
      <c r="O127" s="58">
        <v>35</v>
      </c>
      <c r="P127" s="58">
        <v>0</v>
      </c>
      <c r="Q127" s="58">
        <v>0</v>
      </c>
      <c r="R127" s="58">
        <v>0</v>
      </c>
      <c r="S127" s="58">
        <v>35</v>
      </c>
      <c r="T127" s="58">
        <v>0</v>
      </c>
      <c r="U127" s="58">
        <v>26</v>
      </c>
      <c r="V127" s="62"/>
      <c r="W127" s="62"/>
      <c r="X127" s="63">
        <f>IFERROR(1 -(Master[[#This Row],[Avg Garment Scans per Delivery]]/Master[[#This Row],[Garment Inventory]]), 0)</f>
        <v>0</v>
      </c>
      <c r="Y127" s="62"/>
      <c r="Z127" s="62"/>
      <c r="AA127" s="53">
        <v>50.69755102040817</v>
      </c>
      <c r="AB127" s="53">
        <v>83.582448979591831</v>
      </c>
      <c r="AC127" s="53">
        <v>48.728888888888889</v>
      </c>
      <c r="AD127" s="53">
        <v>213.25777777777779</v>
      </c>
      <c r="AE127" s="53" t="str">
        <f>_xlfn.XLOOKUP(Master[[#This Row],[cu_id]],'[1]Customer Revenue'!$Q:$Q,'[1]Customer Revenue'!$K:$K, "None")</f>
        <v>None</v>
      </c>
      <c r="AF127" s="53" t="str">
        <f>_xlfn.XLOOKUP(Master[[#This Row],[cu_id]],'[1]Customer Revenue'!$Q:$Q,'[1]Customer Revenue'!$L:$L, "None")</f>
        <v>None</v>
      </c>
      <c r="AG127" s="53">
        <v>56.036637080867827</v>
      </c>
      <c r="AH127" s="53">
        <v>74.586696252465487</v>
      </c>
      <c r="AI127" s="53">
        <v>67.14</v>
      </c>
      <c r="AJ127" s="53">
        <v>130.99333333333334</v>
      </c>
      <c r="AK127" s="53" t="str">
        <f>_xlfn.XLOOKUP(Master[[#This Row],[cu_id]],'[1]Customer Revenue'!$Q:$Q,'[1]Customer Revenue'!$I:$I, "None")</f>
        <v>None</v>
      </c>
      <c r="AL127" s="53">
        <v>65.311666666666653</v>
      </c>
      <c r="AM127" s="61">
        <v>0.20833333333333334</v>
      </c>
      <c r="AN127" s="60">
        <v>0.70833333333333337</v>
      </c>
      <c r="AO127" s="60" t="s">
        <v>36</v>
      </c>
      <c r="AP127" s="60" t="s">
        <v>36</v>
      </c>
      <c r="AQ127" s="58" t="s">
        <v>0</v>
      </c>
      <c r="AR127" s="58"/>
      <c r="AS127" s="58"/>
      <c r="AT127" s="52">
        <v>0</v>
      </c>
      <c r="AU127" s="52" t="e">
        <f>IF(Master[[#This Row],[RSP StopTime override]] &lt;&gt; "",Master[[#This Row],[RSP StopTime override]],IF(Master[[#This Row],[Avg stop time helper]] &lt;&gt; 0, Master[[#This Row],[Avg stop time helper]],Average_Stop_Time))</f>
        <v>#DIV/0!</v>
      </c>
      <c r="AV127" s="21"/>
      <c r="AW127" s="20">
        <f>Master[[#This Row],[RSP StopTime override]]-Master[[#This Row],[Avg stop time helper]]</f>
        <v>0</v>
      </c>
    </row>
    <row r="128" spans="1:49" x14ac:dyDescent="0.3">
      <c r="A128" s="66" t="s">
        <v>4243</v>
      </c>
      <c r="B128" s="58">
        <v>6</v>
      </c>
      <c r="C128" s="58" t="s">
        <v>43</v>
      </c>
      <c r="D128" s="65">
        <v>525346</v>
      </c>
      <c r="E128" s="65" t="s">
        <v>42</v>
      </c>
      <c r="F128" s="65" t="s">
        <v>3279</v>
      </c>
      <c r="G128" s="65" t="s">
        <v>3278</v>
      </c>
      <c r="H128" s="65" t="s">
        <v>32</v>
      </c>
      <c r="I128" s="65" t="s">
        <v>3224</v>
      </c>
      <c r="J128" s="65" t="s">
        <v>5</v>
      </c>
      <c r="K128" s="65" t="s">
        <v>38</v>
      </c>
      <c r="L128" s="64" t="s">
        <v>91</v>
      </c>
      <c r="M128" s="58" t="s">
        <v>90</v>
      </c>
      <c r="N128" s="58" t="s">
        <v>2</v>
      </c>
      <c r="O128" s="58">
        <v>75</v>
      </c>
      <c r="P128" s="58">
        <v>0</v>
      </c>
      <c r="Q128" s="58">
        <v>0</v>
      </c>
      <c r="R128" s="58">
        <v>0</v>
      </c>
      <c r="S128" s="58">
        <v>75</v>
      </c>
      <c r="T128" s="58">
        <v>0</v>
      </c>
      <c r="U128" s="58">
        <v>27</v>
      </c>
      <c r="V128" s="62"/>
      <c r="W128" s="62"/>
      <c r="X128" s="63">
        <f>IFERROR(1 -(Master[[#This Row],[Avg Garment Scans per Delivery]]/Master[[#This Row],[Garment Inventory]]), 0)</f>
        <v>0</v>
      </c>
      <c r="Y128" s="62"/>
      <c r="Z128" s="62"/>
      <c r="AA128" s="53">
        <v>170.37448979591838</v>
      </c>
      <c r="AB128" s="53">
        <v>172.21122448979597</v>
      </c>
      <c r="AC128" s="53">
        <v>172.67444444444445</v>
      </c>
      <c r="AD128" s="53">
        <v>174.47888888888892</v>
      </c>
      <c r="AE128" s="53" t="str">
        <f>_xlfn.XLOOKUP(Master[[#This Row],[cu_id]],'[1]Customer Revenue'!$Q:$Q,'[1]Customer Revenue'!$K:$K, "None")</f>
        <v>None</v>
      </c>
      <c r="AF128" s="53" t="str">
        <f>_xlfn.XLOOKUP(Master[[#This Row],[cu_id]],'[1]Customer Revenue'!$Q:$Q,'[1]Customer Revenue'!$L:$L, "None")</f>
        <v>None</v>
      </c>
      <c r="AG128" s="53">
        <v>168.24704142011839</v>
      </c>
      <c r="AH128" s="53">
        <v>171.78218934911243</v>
      </c>
      <c r="AI128" s="53">
        <v>171.29285714285717</v>
      </c>
      <c r="AJ128" s="53">
        <v>173.57666666666668</v>
      </c>
      <c r="AK128" s="53" t="str">
        <f>_xlfn.XLOOKUP(Master[[#This Row],[cu_id]],'[1]Customer Revenue'!$Q:$Q,'[1]Customer Revenue'!$I:$I, "None")</f>
        <v>None</v>
      </c>
      <c r="AL128" s="53">
        <v>170.01461538461541</v>
      </c>
      <c r="AM128" s="61">
        <v>0.375</v>
      </c>
      <c r="AN128" s="60">
        <v>0.70833333333333337</v>
      </c>
      <c r="AO128" s="60" t="s">
        <v>36</v>
      </c>
      <c r="AP128" s="60" t="s">
        <v>36</v>
      </c>
      <c r="AQ128" s="58" t="s">
        <v>0</v>
      </c>
      <c r="AR128" s="58"/>
      <c r="AS128" s="58"/>
      <c r="AT128" s="52">
        <v>0</v>
      </c>
      <c r="AU128" s="52" t="e">
        <f>IF(Master[[#This Row],[RSP StopTime override]] &lt;&gt; "",Master[[#This Row],[RSP StopTime override]],IF(Master[[#This Row],[Avg stop time helper]] &lt;&gt; 0, Master[[#This Row],[Avg stop time helper]],Average_Stop_Time))</f>
        <v>#DIV/0!</v>
      </c>
      <c r="AV128" s="21"/>
      <c r="AW128" s="20">
        <f>Master[[#This Row],[RSP StopTime override]]-Master[[#This Row],[Avg stop time helper]]</f>
        <v>0</v>
      </c>
    </row>
    <row r="129" spans="1:49" x14ac:dyDescent="0.3">
      <c r="A129" s="66" t="s">
        <v>4244</v>
      </c>
      <c r="B129" s="58">
        <v>6</v>
      </c>
      <c r="C129" s="58" t="s">
        <v>43</v>
      </c>
      <c r="D129" s="65">
        <v>529712</v>
      </c>
      <c r="E129" s="65" t="s">
        <v>42</v>
      </c>
      <c r="F129" s="65" t="s">
        <v>3277</v>
      </c>
      <c r="G129" s="65" t="s">
        <v>3275</v>
      </c>
      <c r="H129" s="65" t="s">
        <v>7</v>
      </c>
      <c r="I129" s="65" t="s">
        <v>39</v>
      </c>
      <c r="J129" s="65" t="s">
        <v>5</v>
      </c>
      <c r="K129" s="65" t="s">
        <v>38</v>
      </c>
      <c r="L129" s="64" t="s">
        <v>141</v>
      </c>
      <c r="M129" s="58" t="s">
        <v>140</v>
      </c>
      <c r="N129" s="58" t="s">
        <v>2</v>
      </c>
      <c r="O129" s="58">
        <v>45</v>
      </c>
      <c r="P129" s="58">
        <v>0</v>
      </c>
      <c r="Q129" s="58">
        <v>0</v>
      </c>
      <c r="R129" s="58">
        <v>0</v>
      </c>
      <c r="S129" s="58">
        <v>45</v>
      </c>
      <c r="T129" s="58">
        <v>0</v>
      </c>
      <c r="U129" s="58">
        <v>13</v>
      </c>
      <c r="V129" s="62"/>
      <c r="W129" s="62"/>
      <c r="X129" s="63">
        <f>IFERROR(1 -(Master[[#This Row],[Avg Garment Scans per Delivery]]/Master[[#This Row],[Garment Inventory]]), 0)</f>
        <v>0</v>
      </c>
      <c r="Y129" s="62"/>
      <c r="Z129" s="62"/>
      <c r="AA129" s="53">
        <v>74.8</v>
      </c>
      <c r="AB129" s="53">
        <v>76.8</v>
      </c>
      <c r="AC129" s="53">
        <v>77.076666666666668</v>
      </c>
      <c r="AD129" s="53">
        <v>78.86333333333333</v>
      </c>
      <c r="AE129" s="53" t="str">
        <f>_xlfn.XLOOKUP(Master[[#This Row],[cu_id]],'[1]Customer Revenue'!$Q:$Q,'[1]Customer Revenue'!$K:$K, "None")</f>
        <v>None</v>
      </c>
      <c r="AF129" s="53" t="str">
        <f>_xlfn.XLOOKUP(Master[[#This Row],[cu_id]],'[1]Customer Revenue'!$Q:$Q,'[1]Customer Revenue'!$L:$L, "None")</f>
        <v>None</v>
      </c>
      <c r="AG129" s="53">
        <v>74.820408163265313</v>
      </c>
      <c r="AH129" s="53">
        <v>75.922448979591849</v>
      </c>
      <c r="AI129" s="53">
        <v>75.8</v>
      </c>
      <c r="AJ129" s="53">
        <v>77.97</v>
      </c>
      <c r="AK129" s="53" t="str">
        <f>_xlfn.XLOOKUP(Master[[#This Row],[cu_id]],'[1]Customer Revenue'!$Q:$Q,'[1]Customer Revenue'!$I:$I, "None")</f>
        <v>None</v>
      </c>
      <c r="AL129" s="53">
        <v>75.371428571428581</v>
      </c>
      <c r="AM129" s="61">
        <v>0.29166666666666669</v>
      </c>
      <c r="AN129" s="60">
        <v>0.70833333333333337</v>
      </c>
      <c r="AO129" s="60" t="s">
        <v>36</v>
      </c>
      <c r="AP129" s="60" t="s">
        <v>36</v>
      </c>
      <c r="AQ129" s="58" t="s">
        <v>0</v>
      </c>
      <c r="AR129" s="58"/>
      <c r="AS129" s="58"/>
      <c r="AT129" s="52">
        <v>0</v>
      </c>
      <c r="AU129" s="52" t="e">
        <f>IF(Master[[#This Row],[RSP StopTime override]] &lt;&gt; "",Master[[#This Row],[RSP StopTime override]],IF(Master[[#This Row],[Avg stop time helper]] &lt;&gt; 0, Master[[#This Row],[Avg stop time helper]],Average_Stop_Time))</f>
        <v>#DIV/0!</v>
      </c>
      <c r="AV129" s="21"/>
      <c r="AW129" s="20">
        <f>Master[[#This Row],[RSP StopTime override]]-Master[[#This Row],[Avg stop time helper]]</f>
        <v>0</v>
      </c>
    </row>
    <row r="130" spans="1:49" x14ac:dyDescent="0.3">
      <c r="A130" s="66" t="s">
        <v>3899</v>
      </c>
      <c r="B130" s="58">
        <v>6</v>
      </c>
      <c r="C130" s="58" t="s">
        <v>43</v>
      </c>
      <c r="D130" s="65">
        <v>529751</v>
      </c>
      <c r="E130" s="65" t="s">
        <v>42</v>
      </c>
      <c r="F130" s="65" t="s">
        <v>3276</v>
      </c>
      <c r="G130" s="65" t="s">
        <v>3275</v>
      </c>
      <c r="H130" s="65" t="s">
        <v>7</v>
      </c>
      <c r="I130" s="65" t="s">
        <v>39</v>
      </c>
      <c r="J130" s="65" t="s">
        <v>5</v>
      </c>
      <c r="K130" s="65" t="s">
        <v>38</v>
      </c>
      <c r="L130" s="64">
        <v>4</v>
      </c>
      <c r="M130" s="58" t="s">
        <v>205</v>
      </c>
      <c r="N130" s="58" t="s">
        <v>2</v>
      </c>
      <c r="O130" s="58">
        <v>50</v>
      </c>
      <c r="P130" s="58">
        <v>0</v>
      </c>
      <c r="Q130" s="58">
        <v>0</v>
      </c>
      <c r="R130" s="58">
        <v>0</v>
      </c>
      <c r="S130" s="58">
        <v>50</v>
      </c>
      <c r="T130" s="58">
        <v>0</v>
      </c>
      <c r="U130" s="58">
        <v>13</v>
      </c>
      <c r="V130" s="62"/>
      <c r="W130" s="62"/>
      <c r="X130" s="63">
        <f>IFERROR(1 -(Master[[#This Row],[Avg Garment Scans per Delivery]]/Master[[#This Row],[Garment Inventory]]), 0)</f>
        <v>0</v>
      </c>
      <c r="Y130" s="62"/>
      <c r="Z130" s="62"/>
      <c r="AA130" s="53">
        <v>71.325555555555553</v>
      </c>
      <c r="AB130" s="53">
        <v>74.427777777777777</v>
      </c>
      <c r="AC130" s="53">
        <v>70.705000000000013</v>
      </c>
      <c r="AD130" s="53">
        <v>83.775000000000006</v>
      </c>
      <c r="AE130" s="53" t="str">
        <f>_xlfn.XLOOKUP(Master[[#This Row],[cu_id]],'[1]Customer Revenue'!$Q:$Q,'[1]Customer Revenue'!$K:$K, "None")</f>
        <v>None</v>
      </c>
      <c r="AF130" s="53" t="str">
        <f>_xlfn.XLOOKUP(Master[[#This Row],[cu_id]],'[1]Customer Revenue'!$Q:$Q,'[1]Customer Revenue'!$L:$L, "None")</f>
        <v>None</v>
      </c>
      <c r="AG130" s="53">
        <v>70.162222222222226</v>
      </c>
      <c r="AH130" s="53">
        <v>73.26444444444445</v>
      </c>
      <c r="AI130" s="53">
        <v>72.876666666666665</v>
      </c>
      <c r="AJ130" s="53">
        <v>77.240000000000009</v>
      </c>
      <c r="AK130" s="53" t="str">
        <f>_xlfn.XLOOKUP(Master[[#This Row],[cu_id]],'[1]Customer Revenue'!$Q:$Q,'[1]Customer Revenue'!$I:$I, "None")</f>
        <v>None</v>
      </c>
      <c r="AL130" s="53">
        <v>71.713333333333338</v>
      </c>
      <c r="AM130" s="61">
        <v>0.33333333333333331</v>
      </c>
      <c r="AN130" s="60">
        <v>0.70833333333333337</v>
      </c>
      <c r="AO130" s="60" t="s">
        <v>36</v>
      </c>
      <c r="AP130" s="60" t="s">
        <v>36</v>
      </c>
      <c r="AQ130" s="58" t="s">
        <v>0</v>
      </c>
      <c r="AR130" s="58"/>
      <c r="AS130" s="58"/>
      <c r="AT130" s="52">
        <v>0</v>
      </c>
      <c r="AU130" s="52" t="e">
        <f>IF(Master[[#This Row],[RSP StopTime override]] &lt;&gt; "",Master[[#This Row],[RSP StopTime override]],IF(Master[[#This Row],[Avg stop time helper]] &lt;&gt; 0, Master[[#This Row],[Avg stop time helper]],Average_Stop_Time))</f>
        <v>#DIV/0!</v>
      </c>
      <c r="AV130" s="21"/>
      <c r="AW130" s="20">
        <f>Master[[#This Row],[RSP StopTime override]]-Master[[#This Row],[Avg stop time helper]]</f>
        <v>0</v>
      </c>
    </row>
    <row r="131" spans="1:49" x14ac:dyDescent="0.3">
      <c r="A131" s="66" t="s">
        <v>4245</v>
      </c>
      <c r="B131" s="58">
        <v>6</v>
      </c>
      <c r="C131" s="58" t="s">
        <v>43</v>
      </c>
      <c r="D131" s="65">
        <v>529884</v>
      </c>
      <c r="E131" s="65" t="s">
        <v>42</v>
      </c>
      <c r="F131" s="65" t="s">
        <v>3274</v>
      </c>
      <c r="G131" s="65" t="s">
        <v>3273</v>
      </c>
      <c r="H131" s="65" t="s">
        <v>7</v>
      </c>
      <c r="I131" s="65" t="s">
        <v>39</v>
      </c>
      <c r="J131" s="65" t="s">
        <v>5</v>
      </c>
      <c r="K131" s="65" t="s">
        <v>3203</v>
      </c>
      <c r="L131" s="64">
        <v>1</v>
      </c>
      <c r="M131" s="58" t="s">
        <v>193</v>
      </c>
      <c r="N131" s="58" t="s">
        <v>2</v>
      </c>
      <c r="O131" s="58">
        <v>120</v>
      </c>
      <c r="P131" s="58">
        <v>0</v>
      </c>
      <c r="Q131" s="58">
        <v>0</v>
      </c>
      <c r="R131" s="58">
        <v>0</v>
      </c>
      <c r="S131" s="58">
        <v>120</v>
      </c>
      <c r="T131" s="58">
        <v>0</v>
      </c>
      <c r="U131" s="58">
        <v>7</v>
      </c>
      <c r="V131" s="62"/>
      <c r="W131" s="62"/>
      <c r="X131" s="63">
        <f>IFERROR(1 -(Master[[#This Row],[Avg Garment Scans per Delivery]]/Master[[#This Row],[Garment Inventory]]), 0)</f>
        <v>0</v>
      </c>
      <c r="Y131" s="62"/>
      <c r="Z131" s="62"/>
      <c r="AA131" s="53"/>
      <c r="AB131" s="53"/>
      <c r="AC131" s="53"/>
      <c r="AD131" s="53"/>
      <c r="AE131" s="53" t="str">
        <f>_xlfn.XLOOKUP(Master[[#This Row],[cu_id]],'[1]Customer Revenue'!$Q:$Q,'[1]Customer Revenue'!$K:$K, "None")</f>
        <v>None</v>
      </c>
      <c r="AF131" s="53" t="str">
        <f>_xlfn.XLOOKUP(Master[[#This Row],[cu_id]],'[1]Customer Revenue'!$Q:$Q,'[1]Customer Revenue'!$L:$L, "None")</f>
        <v>None</v>
      </c>
      <c r="AG131" s="53">
        <v>48.41</v>
      </c>
      <c r="AH131" s="53">
        <v>48.41</v>
      </c>
      <c r="AI131" s="53"/>
      <c r="AJ131" s="53"/>
      <c r="AK131" s="53" t="str">
        <f>_xlfn.XLOOKUP(Master[[#This Row],[cu_id]],'[1]Customer Revenue'!$Q:$Q,'[1]Customer Revenue'!$I:$I, "None")</f>
        <v>None</v>
      </c>
      <c r="AL131" s="53">
        <v>48.41</v>
      </c>
      <c r="AM131" s="61">
        <v>0.45833333333333331</v>
      </c>
      <c r="AN131" s="60">
        <v>0.79166666666666663</v>
      </c>
      <c r="AO131" s="60" t="s">
        <v>36</v>
      </c>
      <c r="AP131" s="60" t="s">
        <v>36</v>
      </c>
      <c r="AQ131" s="58" t="s">
        <v>116</v>
      </c>
      <c r="AR131" s="58"/>
      <c r="AS131" s="58"/>
      <c r="AT131" s="52">
        <v>0</v>
      </c>
      <c r="AU131" s="52" t="e">
        <f>IF(Master[[#This Row],[RSP StopTime override]] &lt;&gt; "",Master[[#This Row],[RSP StopTime override]],IF(Master[[#This Row],[Avg stop time helper]] &lt;&gt; 0, Master[[#This Row],[Avg stop time helper]],Average_Stop_Time))</f>
        <v>#DIV/0!</v>
      </c>
      <c r="AV131" s="21"/>
      <c r="AW131" s="20">
        <f>Master[[#This Row],[RSP StopTime override]]-Master[[#This Row],[Avg stop time helper]]</f>
        <v>0</v>
      </c>
    </row>
    <row r="132" spans="1:49" x14ac:dyDescent="0.3">
      <c r="A132" s="66" t="s">
        <v>4246</v>
      </c>
      <c r="B132" s="58">
        <v>6</v>
      </c>
      <c r="C132" s="58" t="s">
        <v>43</v>
      </c>
      <c r="D132" s="65">
        <v>530483</v>
      </c>
      <c r="E132" s="65" t="s">
        <v>42</v>
      </c>
      <c r="F132" s="65" t="s">
        <v>3272</v>
      </c>
      <c r="G132" s="65" t="s">
        <v>3271</v>
      </c>
      <c r="H132" s="65" t="s">
        <v>7</v>
      </c>
      <c r="I132" s="65" t="s">
        <v>39</v>
      </c>
      <c r="J132" s="65" t="s">
        <v>5</v>
      </c>
      <c r="K132" s="65" t="s">
        <v>38</v>
      </c>
      <c r="L132" s="64" t="s">
        <v>77</v>
      </c>
      <c r="M132" s="58" t="s">
        <v>29</v>
      </c>
      <c r="N132" s="58" t="s">
        <v>2</v>
      </c>
      <c r="O132" s="58">
        <v>60</v>
      </c>
      <c r="P132" s="58">
        <v>0</v>
      </c>
      <c r="Q132" s="58">
        <v>0</v>
      </c>
      <c r="R132" s="58">
        <v>0</v>
      </c>
      <c r="S132" s="58">
        <v>60</v>
      </c>
      <c r="T132" s="58">
        <v>0</v>
      </c>
      <c r="U132" s="58">
        <v>27</v>
      </c>
      <c r="V132" s="62"/>
      <c r="W132" s="62"/>
      <c r="X132" s="63">
        <f>IFERROR(1 -(Master[[#This Row],[Avg Garment Scans per Delivery]]/Master[[#This Row],[Garment Inventory]]), 0)</f>
        <v>0</v>
      </c>
      <c r="Y132" s="62"/>
      <c r="Z132" s="62"/>
      <c r="AA132" s="53">
        <v>95.76</v>
      </c>
      <c r="AB132" s="53">
        <v>97.01</v>
      </c>
      <c r="AC132" s="53">
        <v>97.60183673469389</v>
      </c>
      <c r="AD132" s="53">
        <v>108.13244897959184</v>
      </c>
      <c r="AE132" s="53" t="str">
        <f>_xlfn.XLOOKUP(Master[[#This Row],[cu_id]],'[1]Customer Revenue'!$Q:$Q,'[1]Customer Revenue'!$K:$K, "None")</f>
        <v>None</v>
      </c>
      <c r="AF132" s="53" t="str">
        <f>_xlfn.XLOOKUP(Master[[#This Row],[cu_id]],'[1]Customer Revenue'!$Q:$Q,'[1]Customer Revenue'!$L:$L, "None")</f>
        <v>None</v>
      </c>
      <c r="AG132" s="53">
        <v>91.116568047337296</v>
      </c>
      <c r="AH132" s="53">
        <v>97.708047337278117</v>
      </c>
      <c r="AI132" s="53">
        <v>96.385000000000005</v>
      </c>
      <c r="AJ132" s="53">
        <v>102.86714285714287</v>
      </c>
      <c r="AK132" s="53" t="str">
        <f>_xlfn.XLOOKUP(Master[[#This Row],[cu_id]],'[1]Customer Revenue'!$Q:$Q,'[1]Customer Revenue'!$I:$I, "None")</f>
        <v>None</v>
      </c>
      <c r="AL132" s="53">
        <v>94.412307692307706</v>
      </c>
      <c r="AM132" s="61">
        <v>0.3125</v>
      </c>
      <c r="AN132" s="60">
        <v>0.70833333333333337</v>
      </c>
      <c r="AO132" s="60" t="s">
        <v>36</v>
      </c>
      <c r="AP132" s="60" t="s">
        <v>36</v>
      </c>
      <c r="AQ132" s="58" t="s">
        <v>0</v>
      </c>
      <c r="AR132" s="58"/>
      <c r="AS132" s="58"/>
      <c r="AT132" s="52">
        <v>0</v>
      </c>
      <c r="AU132" s="52" t="e">
        <f>IF(Master[[#This Row],[RSP StopTime override]] &lt;&gt; "",Master[[#This Row],[RSP StopTime override]],IF(Master[[#This Row],[Avg stop time helper]] &lt;&gt; 0, Master[[#This Row],[Avg stop time helper]],Average_Stop_Time))</f>
        <v>#DIV/0!</v>
      </c>
      <c r="AV132" s="21"/>
      <c r="AW132" s="20">
        <f>Master[[#This Row],[RSP StopTime override]]-Master[[#This Row],[Avg stop time helper]]</f>
        <v>0</v>
      </c>
    </row>
    <row r="133" spans="1:49" x14ac:dyDescent="0.3">
      <c r="A133" s="66" t="s">
        <v>4247</v>
      </c>
      <c r="B133" s="58">
        <v>6</v>
      </c>
      <c r="C133" s="58" t="s">
        <v>43</v>
      </c>
      <c r="D133" s="65">
        <v>530728</v>
      </c>
      <c r="E133" s="65" t="s">
        <v>42</v>
      </c>
      <c r="F133" s="65" t="s">
        <v>3270</v>
      </c>
      <c r="G133" s="65" t="s">
        <v>3269</v>
      </c>
      <c r="H133" s="65" t="s">
        <v>7</v>
      </c>
      <c r="I133" s="65" t="s">
        <v>39</v>
      </c>
      <c r="J133" s="65" t="s">
        <v>5</v>
      </c>
      <c r="K133" s="65" t="s">
        <v>3203</v>
      </c>
      <c r="L133" s="64" t="s">
        <v>67</v>
      </c>
      <c r="M133" s="58" t="s">
        <v>3</v>
      </c>
      <c r="N133" s="58" t="s">
        <v>2</v>
      </c>
      <c r="O133" s="58">
        <v>105</v>
      </c>
      <c r="P133" s="58">
        <v>0</v>
      </c>
      <c r="Q133" s="58">
        <v>0</v>
      </c>
      <c r="R133" s="58">
        <v>0</v>
      </c>
      <c r="S133" s="58">
        <v>105</v>
      </c>
      <c r="T133" s="58">
        <v>0</v>
      </c>
      <c r="U133" s="58">
        <v>54</v>
      </c>
      <c r="V133" s="62">
        <v>70</v>
      </c>
      <c r="W133" s="62">
        <v>27</v>
      </c>
      <c r="X133" s="63">
        <f>IFERROR(1 -(Master[[#This Row],[Avg Garment Scans per Delivery]]/Master[[#This Row],[Garment Inventory]]), 0)</f>
        <v>0.61428571428571432</v>
      </c>
      <c r="Y133" s="62">
        <v>1</v>
      </c>
      <c r="Z133" s="62">
        <v>70</v>
      </c>
      <c r="AA133" s="53">
        <v>113.09585798816566</v>
      </c>
      <c r="AB133" s="53">
        <v>157.15337278106506</v>
      </c>
      <c r="AC133" s="53">
        <v>124.46041420118345</v>
      </c>
      <c r="AD133" s="53">
        <v>167.03035502958582</v>
      </c>
      <c r="AE133" s="53" t="str">
        <f>_xlfn.XLOOKUP(Master[[#This Row],[cu_id]],'[1]Customer Revenue'!$Q:$Q,'[1]Customer Revenue'!$K:$K, "None")</f>
        <v>None</v>
      </c>
      <c r="AF133" s="53" t="str">
        <f>_xlfn.XLOOKUP(Master[[#This Row],[cu_id]],'[1]Customer Revenue'!$Q:$Q,'[1]Customer Revenue'!$L:$L, "None")</f>
        <v>None</v>
      </c>
      <c r="AG133" s="53">
        <v>108.77384615384618</v>
      </c>
      <c r="AH133" s="53">
        <v>148.00615384615392</v>
      </c>
      <c r="AI133" s="53">
        <v>135.12461538461537</v>
      </c>
      <c r="AJ133" s="53">
        <v>145.74538461538464</v>
      </c>
      <c r="AK133" s="53" t="str">
        <f>_xlfn.XLOOKUP(Master[[#This Row],[cu_id]],'[1]Customer Revenue'!$Q:$Q,'[1]Customer Revenue'!$I:$I, "None")</f>
        <v>None</v>
      </c>
      <c r="AL133" s="53">
        <v>128.39000000000004</v>
      </c>
      <c r="AM133" s="61">
        <v>0.33333333333333331</v>
      </c>
      <c r="AN133" s="60">
        <v>0.70833333333333337</v>
      </c>
      <c r="AO133" s="60" t="s">
        <v>36</v>
      </c>
      <c r="AP133" s="60" t="s">
        <v>36</v>
      </c>
      <c r="AQ133" s="58" t="s">
        <v>0</v>
      </c>
      <c r="AR133" s="58"/>
      <c r="AS133" s="58"/>
      <c r="AT133" s="52">
        <v>0</v>
      </c>
      <c r="AU133" s="52" t="e">
        <f>IF(Master[[#This Row],[RSP StopTime override]] &lt;&gt; "",Master[[#This Row],[RSP StopTime override]],IF(Master[[#This Row],[Avg stop time helper]] &lt;&gt; 0, Master[[#This Row],[Avg stop time helper]],Average_Stop_Time))</f>
        <v>#DIV/0!</v>
      </c>
      <c r="AV133" s="21"/>
      <c r="AW133" s="20">
        <f>Master[[#This Row],[RSP StopTime override]]-Master[[#This Row],[Avg stop time helper]]</f>
        <v>0</v>
      </c>
    </row>
    <row r="134" spans="1:49" x14ac:dyDescent="0.3">
      <c r="A134" s="66" t="s">
        <v>4248</v>
      </c>
      <c r="B134" s="58">
        <v>6</v>
      </c>
      <c r="C134" s="58" t="s">
        <v>43</v>
      </c>
      <c r="D134" s="65">
        <v>531014</v>
      </c>
      <c r="E134" s="65" t="s">
        <v>1455</v>
      </c>
      <c r="F134" s="65" t="s">
        <v>3268</v>
      </c>
      <c r="G134" s="65" t="s">
        <v>3267</v>
      </c>
      <c r="H134" s="65" t="s">
        <v>7</v>
      </c>
      <c r="I134" s="65" t="s">
        <v>39</v>
      </c>
      <c r="J134" s="65" t="s">
        <v>5</v>
      </c>
      <c r="K134" s="65" t="s">
        <v>38</v>
      </c>
      <c r="L134" s="64" t="s">
        <v>67</v>
      </c>
      <c r="M134" s="58" t="s">
        <v>3</v>
      </c>
      <c r="N134" s="58" t="s">
        <v>2</v>
      </c>
      <c r="O134" s="58">
        <v>126</v>
      </c>
      <c r="P134" s="58">
        <v>0</v>
      </c>
      <c r="Q134" s="58">
        <v>0</v>
      </c>
      <c r="R134" s="58">
        <v>0</v>
      </c>
      <c r="S134" s="58">
        <v>126</v>
      </c>
      <c r="T134" s="58">
        <v>0</v>
      </c>
      <c r="U134" s="58">
        <v>52</v>
      </c>
      <c r="V134" s="62"/>
      <c r="W134" s="62"/>
      <c r="X134" s="63">
        <f>IFERROR(1 -(Master[[#This Row],[Avg Garment Scans per Delivery]]/Master[[#This Row],[Garment Inventory]]), 0)</f>
        <v>0</v>
      </c>
      <c r="Y134" s="62"/>
      <c r="Z134" s="62"/>
      <c r="AA134" s="53">
        <v>43.217396449704133</v>
      </c>
      <c r="AB134" s="53">
        <v>119.95491124260354</v>
      </c>
      <c r="AC134" s="53">
        <v>42.085621301775149</v>
      </c>
      <c r="AD134" s="53">
        <v>120.00822485207098</v>
      </c>
      <c r="AE134" s="53" t="str">
        <f>_xlfn.XLOOKUP(Master[[#This Row],[cu_id]],'[1]Customer Revenue'!$Q:$Q,'[1]Customer Revenue'!$K:$K, "None")</f>
        <v>None</v>
      </c>
      <c r="AF134" s="53" t="str">
        <f>_xlfn.XLOOKUP(Master[[#This Row],[cu_id]],'[1]Customer Revenue'!$Q:$Q,'[1]Customer Revenue'!$L:$L, "None")</f>
        <v>None</v>
      </c>
      <c r="AG134" s="53">
        <v>39.136355308935578</v>
      </c>
      <c r="AH134" s="53">
        <v>138.07105209847185</v>
      </c>
      <c r="AI134" s="53">
        <v>81.586153846153834</v>
      </c>
      <c r="AJ134" s="53">
        <v>81.046923076923065</v>
      </c>
      <c r="AK134" s="53" t="str">
        <f>_xlfn.XLOOKUP(Master[[#This Row],[cu_id]],'[1]Customer Revenue'!$Q:$Q,'[1]Customer Revenue'!$I:$I, "None")</f>
        <v>None</v>
      </c>
      <c r="AL134" s="53">
        <v>88.603703703703715</v>
      </c>
      <c r="AM134" s="61">
        <v>0.41666666666666669</v>
      </c>
      <c r="AN134" s="60">
        <v>0.70833333333333337</v>
      </c>
      <c r="AO134" s="60" t="s">
        <v>36</v>
      </c>
      <c r="AP134" s="60" t="s">
        <v>36</v>
      </c>
      <c r="AQ134" s="58" t="s">
        <v>0</v>
      </c>
      <c r="AR134" s="58"/>
      <c r="AS134" s="58"/>
      <c r="AT134" s="52">
        <v>0</v>
      </c>
      <c r="AU134" s="52" t="e">
        <f>IF(Master[[#This Row],[RSP StopTime override]] &lt;&gt; "",Master[[#This Row],[RSP StopTime override]],IF(Master[[#This Row],[Avg stop time helper]] &lt;&gt; 0, Master[[#This Row],[Avg stop time helper]],Average_Stop_Time))</f>
        <v>#DIV/0!</v>
      </c>
      <c r="AV134" s="21"/>
      <c r="AW134" s="20">
        <f>Master[[#This Row],[RSP StopTime override]]-Master[[#This Row],[Avg stop time helper]]</f>
        <v>0</v>
      </c>
    </row>
    <row r="135" spans="1:49" x14ac:dyDescent="0.3">
      <c r="A135" s="66" t="s">
        <v>4249</v>
      </c>
      <c r="B135" s="58">
        <v>6</v>
      </c>
      <c r="C135" s="58" t="s">
        <v>43</v>
      </c>
      <c r="D135" s="65">
        <v>531234</v>
      </c>
      <c r="E135" s="65" t="s">
        <v>42</v>
      </c>
      <c r="F135" s="65" t="s">
        <v>3266</v>
      </c>
      <c r="G135" s="65" t="s">
        <v>3265</v>
      </c>
      <c r="H135" s="65" t="s">
        <v>7</v>
      </c>
      <c r="I135" s="65" t="s">
        <v>39</v>
      </c>
      <c r="J135" s="65" t="s">
        <v>5</v>
      </c>
      <c r="K135" s="65" t="s">
        <v>3203</v>
      </c>
      <c r="L135" s="64" t="s">
        <v>67</v>
      </c>
      <c r="M135" s="58" t="s">
        <v>3</v>
      </c>
      <c r="N135" s="58" t="s">
        <v>2</v>
      </c>
      <c r="O135" s="58">
        <v>125</v>
      </c>
      <c r="P135" s="58">
        <v>0</v>
      </c>
      <c r="Q135" s="58">
        <v>0</v>
      </c>
      <c r="R135" s="58">
        <v>0</v>
      </c>
      <c r="S135" s="58">
        <v>125</v>
      </c>
      <c r="T135" s="58">
        <v>0</v>
      </c>
      <c r="U135" s="58">
        <v>55</v>
      </c>
      <c r="V135" s="62"/>
      <c r="W135" s="62"/>
      <c r="X135" s="63">
        <f>IFERROR(1 -(Master[[#This Row],[Avg Garment Scans per Delivery]]/Master[[#This Row],[Garment Inventory]]), 0)</f>
        <v>0</v>
      </c>
      <c r="Y135" s="62"/>
      <c r="Z135" s="62"/>
      <c r="AA135" s="53">
        <v>133.70707936507938</v>
      </c>
      <c r="AB135" s="53">
        <v>198.27863492063494</v>
      </c>
      <c r="AC135" s="53">
        <v>169.45485207100592</v>
      </c>
      <c r="AD135" s="53">
        <v>223.35284023668635</v>
      </c>
      <c r="AE135" s="53" t="str">
        <f>_xlfn.XLOOKUP(Master[[#This Row],[cu_id]],'[1]Customer Revenue'!$Q:$Q,'[1]Customer Revenue'!$K:$K, "None")</f>
        <v>None</v>
      </c>
      <c r="AF135" s="53" t="str">
        <f>_xlfn.XLOOKUP(Master[[#This Row],[cu_id]],'[1]Customer Revenue'!$Q:$Q,'[1]Customer Revenue'!$L:$L, "None")</f>
        <v>None</v>
      </c>
      <c r="AG135" s="53">
        <v>129.19813333333332</v>
      </c>
      <c r="AH135" s="53">
        <v>212.57146666666665</v>
      </c>
      <c r="AI135" s="53">
        <v>165.99285714285716</v>
      </c>
      <c r="AJ135" s="53">
        <v>196.40384615384613</v>
      </c>
      <c r="AK135" s="53" t="str">
        <f>_xlfn.XLOOKUP(Master[[#This Row],[cu_id]],'[1]Customer Revenue'!$Q:$Q,'[1]Customer Revenue'!$I:$I, "None")</f>
        <v>None</v>
      </c>
      <c r="AL135" s="53">
        <v>170.88479999999998</v>
      </c>
      <c r="AM135" s="61">
        <v>0.33333333333333331</v>
      </c>
      <c r="AN135" s="60">
        <v>0.70833333333333337</v>
      </c>
      <c r="AO135" s="60" t="s">
        <v>36</v>
      </c>
      <c r="AP135" s="60" t="s">
        <v>36</v>
      </c>
      <c r="AQ135" s="58" t="s">
        <v>0</v>
      </c>
      <c r="AR135" s="58"/>
      <c r="AS135" s="58"/>
      <c r="AT135" s="52">
        <v>0</v>
      </c>
      <c r="AU135" s="52" t="e">
        <f>IF(Master[[#This Row],[RSP StopTime override]] &lt;&gt; "",Master[[#This Row],[RSP StopTime override]],IF(Master[[#This Row],[Avg stop time helper]] &lt;&gt; 0, Master[[#This Row],[Avg stop time helper]],Average_Stop_Time))</f>
        <v>#DIV/0!</v>
      </c>
      <c r="AV135" s="21"/>
      <c r="AW135" s="20">
        <f>Master[[#This Row],[RSP StopTime override]]-Master[[#This Row],[Avg stop time helper]]</f>
        <v>0</v>
      </c>
    </row>
    <row r="136" spans="1:49" x14ac:dyDescent="0.3">
      <c r="A136" s="66" t="s">
        <v>4250</v>
      </c>
      <c r="B136" s="58">
        <v>6</v>
      </c>
      <c r="C136" s="58" t="s">
        <v>43</v>
      </c>
      <c r="D136" s="65">
        <v>531708</v>
      </c>
      <c r="E136" s="65" t="s">
        <v>42</v>
      </c>
      <c r="F136" s="65" t="s">
        <v>3263</v>
      </c>
      <c r="G136" s="65" t="s">
        <v>3262</v>
      </c>
      <c r="H136" s="65" t="s">
        <v>7</v>
      </c>
      <c r="I136" s="65" t="s">
        <v>39</v>
      </c>
      <c r="J136" s="65" t="s">
        <v>5</v>
      </c>
      <c r="K136" s="65" t="s">
        <v>38</v>
      </c>
      <c r="L136" s="64" t="s">
        <v>67</v>
      </c>
      <c r="M136" s="58" t="s">
        <v>3</v>
      </c>
      <c r="N136" s="58" t="s">
        <v>2</v>
      </c>
      <c r="O136" s="58">
        <v>2</v>
      </c>
      <c r="P136" s="58">
        <v>0</v>
      </c>
      <c r="Q136" s="58">
        <v>0</v>
      </c>
      <c r="R136" s="58">
        <v>0</v>
      </c>
      <c r="S136" s="58">
        <v>2</v>
      </c>
      <c r="T136" s="58">
        <v>0</v>
      </c>
      <c r="U136" s="58">
        <v>53</v>
      </c>
      <c r="V136" s="62"/>
      <c r="W136" s="62"/>
      <c r="X136" s="63">
        <f>IFERROR(1 -(Master[[#This Row],[Avg Garment Scans per Delivery]]/Master[[#This Row],[Garment Inventory]]), 0)</f>
        <v>0</v>
      </c>
      <c r="Y136" s="62"/>
      <c r="Z136" s="62"/>
      <c r="AA136" s="53">
        <v>122.50041420118343</v>
      </c>
      <c r="AB136" s="53">
        <v>124.09804733727809</v>
      </c>
      <c r="AC136" s="53">
        <v>134.9169822485207</v>
      </c>
      <c r="AD136" s="53">
        <v>137.18917159763311</v>
      </c>
      <c r="AE136" s="53" t="str">
        <f>_xlfn.XLOOKUP(Master[[#This Row],[cu_id]],'[1]Customer Revenue'!$Q:$Q,'[1]Customer Revenue'!$K:$K, "None")</f>
        <v>None</v>
      </c>
      <c r="AF136" s="53" t="str">
        <f>_xlfn.XLOOKUP(Master[[#This Row],[cu_id]],'[1]Customer Revenue'!$Q:$Q,'[1]Customer Revenue'!$L:$L, "None")</f>
        <v>None</v>
      </c>
      <c r="AG136" s="53">
        <v>122.58029585798818</v>
      </c>
      <c r="AH136" s="53">
        <v>123.49893491124271</v>
      </c>
      <c r="AI136" s="53">
        <v>123.29923076923076</v>
      </c>
      <c r="AJ136" s="53">
        <v>136.0530769230769</v>
      </c>
      <c r="AK136" s="53" t="str">
        <f>_xlfn.XLOOKUP(Master[[#This Row],[cu_id]],'[1]Customer Revenue'!$Q:$Q,'[1]Customer Revenue'!$I:$I, "None")</f>
        <v>None</v>
      </c>
      <c r="AL136" s="53">
        <v>123.03961538461544</v>
      </c>
      <c r="AM136" s="61" t="s">
        <v>36</v>
      </c>
      <c r="AN136" s="60" t="s">
        <v>36</v>
      </c>
      <c r="AO136" s="60" t="s">
        <v>36</v>
      </c>
      <c r="AP136" s="60" t="s">
        <v>36</v>
      </c>
      <c r="AQ136" s="58" t="s">
        <v>0</v>
      </c>
      <c r="AR136" s="58"/>
      <c r="AS136" s="58"/>
      <c r="AT136" s="52">
        <v>0</v>
      </c>
      <c r="AU136" s="52" t="e">
        <f>IF(Master[[#This Row],[RSP StopTime override]] &lt;&gt; "",Master[[#This Row],[RSP StopTime override]],IF(Master[[#This Row],[Avg stop time helper]] &lt;&gt; 0, Master[[#This Row],[Avg stop time helper]],Average_Stop_Time))</f>
        <v>#DIV/0!</v>
      </c>
      <c r="AV136" s="21"/>
      <c r="AW136" s="20">
        <f>Master[[#This Row],[RSP StopTime override]]-Master[[#This Row],[Avg stop time helper]]</f>
        <v>0</v>
      </c>
    </row>
    <row r="137" spans="1:49" x14ac:dyDescent="0.3">
      <c r="A137" s="66" t="s">
        <v>4251</v>
      </c>
      <c r="B137" s="58">
        <v>6</v>
      </c>
      <c r="C137" s="58" t="s">
        <v>43</v>
      </c>
      <c r="D137" s="65">
        <v>532137</v>
      </c>
      <c r="E137" s="65" t="s">
        <v>1455</v>
      </c>
      <c r="F137" s="65" t="s">
        <v>3261</v>
      </c>
      <c r="G137" s="65" t="s">
        <v>3260</v>
      </c>
      <c r="H137" s="65" t="s">
        <v>7</v>
      </c>
      <c r="I137" s="65" t="s">
        <v>39</v>
      </c>
      <c r="J137" s="65" t="s">
        <v>5</v>
      </c>
      <c r="K137" s="65" t="s">
        <v>3203</v>
      </c>
      <c r="L137" s="64" t="s">
        <v>67</v>
      </c>
      <c r="M137" s="58" t="s">
        <v>3</v>
      </c>
      <c r="N137" s="58" t="s">
        <v>2</v>
      </c>
      <c r="O137" s="58">
        <v>95</v>
      </c>
      <c r="P137" s="58">
        <v>0</v>
      </c>
      <c r="Q137" s="58">
        <v>0</v>
      </c>
      <c r="R137" s="58">
        <v>0</v>
      </c>
      <c r="S137" s="58">
        <v>95</v>
      </c>
      <c r="T137" s="58">
        <v>0</v>
      </c>
      <c r="U137" s="58">
        <v>53</v>
      </c>
      <c r="V137" s="62"/>
      <c r="W137" s="62"/>
      <c r="X137" s="63">
        <f>IFERROR(1 -(Master[[#This Row],[Avg Garment Scans per Delivery]]/Master[[#This Row],[Garment Inventory]]), 0)</f>
        <v>0</v>
      </c>
      <c r="Y137" s="62"/>
      <c r="Z137" s="62"/>
      <c r="AA137" s="53">
        <v>78.599940828402353</v>
      </c>
      <c r="AB137" s="53">
        <v>87.773905325443778</v>
      </c>
      <c r="AC137" s="53">
        <v>88.257988165680459</v>
      </c>
      <c r="AD137" s="53">
        <v>92.034319526627215</v>
      </c>
      <c r="AE137" s="53" t="str">
        <f>_xlfn.XLOOKUP(Master[[#This Row],[cu_id]],'[1]Customer Revenue'!$Q:$Q,'[1]Customer Revenue'!$K:$K, "None")</f>
        <v>None</v>
      </c>
      <c r="AF137" s="53" t="str">
        <f>_xlfn.XLOOKUP(Master[[#This Row],[cu_id]],'[1]Customer Revenue'!$Q:$Q,'[1]Customer Revenue'!$L:$L, "None")</f>
        <v>None</v>
      </c>
      <c r="AG137" s="53">
        <v>76.688905325443784</v>
      </c>
      <c r="AH137" s="53">
        <v>84.838017751479327</v>
      </c>
      <c r="AI137" s="53">
        <v>83.186923076923065</v>
      </c>
      <c r="AJ137" s="53">
        <v>90.146153846153837</v>
      </c>
      <c r="AK137" s="53" t="str">
        <f>_xlfn.XLOOKUP(Master[[#This Row],[cu_id]],'[1]Customer Revenue'!$Q:$Q,'[1]Customer Revenue'!$I:$I, "None")</f>
        <v>None</v>
      </c>
      <c r="AL137" s="53">
        <v>80.763461538461556</v>
      </c>
      <c r="AM137" s="61">
        <v>0.39583333333333331</v>
      </c>
      <c r="AN137" s="60">
        <v>0.70833333333333337</v>
      </c>
      <c r="AO137" s="60" t="s">
        <v>36</v>
      </c>
      <c r="AP137" s="60" t="s">
        <v>36</v>
      </c>
      <c r="AQ137" s="58" t="s">
        <v>0</v>
      </c>
      <c r="AR137" s="58"/>
      <c r="AS137" s="58"/>
      <c r="AT137" s="52">
        <v>0</v>
      </c>
      <c r="AU137" s="52" t="e">
        <f>IF(Master[[#This Row],[RSP StopTime override]] &lt;&gt; "",Master[[#This Row],[RSP StopTime override]],IF(Master[[#This Row],[Avg stop time helper]] &lt;&gt; 0, Master[[#This Row],[Avg stop time helper]],Average_Stop_Time))</f>
        <v>#DIV/0!</v>
      </c>
      <c r="AV137" s="21"/>
      <c r="AW137" s="20">
        <f>Master[[#This Row],[RSP StopTime override]]-Master[[#This Row],[Avg stop time helper]]</f>
        <v>0</v>
      </c>
    </row>
    <row r="138" spans="1:49" x14ac:dyDescent="0.3">
      <c r="A138" s="66" t="s">
        <v>4252</v>
      </c>
      <c r="B138" s="58">
        <v>6</v>
      </c>
      <c r="C138" s="58" t="s">
        <v>43</v>
      </c>
      <c r="D138" s="65">
        <v>532481</v>
      </c>
      <c r="E138" s="65" t="s">
        <v>42</v>
      </c>
      <c r="F138" s="65" t="s">
        <v>3259</v>
      </c>
      <c r="G138" s="65" t="s">
        <v>3258</v>
      </c>
      <c r="H138" s="65" t="s">
        <v>7</v>
      </c>
      <c r="I138" s="65" t="s">
        <v>39</v>
      </c>
      <c r="J138" s="65" t="s">
        <v>5</v>
      </c>
      <c r="K138" s="65" t="s">
        <v>38</v>
      </c>
      <c r="L138" s="64" t="s">
        <v>67</v>
      </c>
      <c r="M138" s="58" t="s">
        <v>3</v>
      </c>
      <c r="N138" s="58" t="s">
        <v>2</v>
      </c>
      <c r="O138" s="58">
        <v>80</v>
      </c>
      <c r="P138" s="58">
        <v>0</v>
      </c>
      <c r="Q138" s="58">
        <v>0</v>
      </c>
      <c r="R138" s="58">
        <v>0</v>
      </c>
      <c r="S138" s="58">
        <v>80</v>
      </c>
      <c r="T138" s="58">
        <v>0</v>
      </c>
      <c r="U138" s="58">
        <v>58</v>
      </c>
      <c r="V138" s="62">
        <v>11</v>
      </c>
      <c r="W138" s="62">
        <v>1</v>
      </c>
      <c r="X138" s="63">
        <f>IFERROR(1 -(Master[[#This Row],[Avg Garment Scans per Delivery]]/Master[[#This Row],[Garment Inventory]]), 0)</f>
        <v>0.90909090909090906</v>
      </c>
      <c r="Y138" s="62">
        <v>1</v>
      </c>
      <c r="Z138" s="62">
        <v>11</v>
      </c>
      <c r="AA138" s="53">
        <v>881.25804733727807</v>
      </c>
      <c r="AB138" s="53">
        <v>1141.4327218934909</v>
      </c>
      <c r="AC138" s="53">
        <v>640.35704166666665</v>
      </c>
      <c r="AD138" s="53">
        <v>1241.4882916666668</v>
      </c>
      <c r="AE138" s="53" t="str">
        <f>_xlfn.XLOOKUP(Master[[#This Row],[cu_id]],'[1]Customer Revenue'!$Q:$Q,'[1]Customer Revenue'!$K:$K, "None")</f>
        <v>None</v>
      </c>
      <c r="AF138" s="53" t="str">
        <f>_xlfn.XLOOKUP(Master[[#This Row],[cu_id]],'[1]Customer Revenue'!$Q:$Q,'[1]Customer Revenue'!$L:$L, "None")</f>
        <v>None</v>
      </c>
      <c r="AG138" s="53">
        <v>689.94296076099886</v>
      </c>
      <c r="AH138" s="53">
        <v>1087.8494530321047</v>
      </c>
      <c r="AI138" s="53">
        <v>1011.3453846153845</v>
      </c>
      <c r="AJ138" s="53">
        <v>940.92266666666671</v>
      </c>
      <c r="AK138" s="53" t="str">
        <f>_xlfn.XLOOKUP(Master[[#This Row],[cu_id]],'[1]Customer Revenue'!$Q:$Q,'[1]Customer Revenue'!$I:$I, "None")</f>
        <v>None</v>
      </c>
      <c r="AL138" s="53">
        <v>888.8962068965518</v>
      </c>
      <c r="AM138" s="61">
        <v>0.39583333333333331</v>
      </c>
      <c r="AN138" s="60">
        <v>0.70833333333333337</v>
      </c>
      <c r="AO138" s="60" t="s">
        <v>36</v>
      </c>
      <c r="AP138" s="60" t="s">
        <v>36</v>
      </c>
      <c r="AQ138" s="58" t="s">
        <v>0</v>
      </c>
      <c r="AR138" s="58"/>
      <c r="AS138" s="58"/>
      <c r="AT138" s="52">
        <v>0</v>
      </c>
      <c r="AU138" s="52" t="e">
        <f>IF(Master[[#This Row],[RSP StopTime override]] &lt;&gt; "",Master[[#This Row],[RSP StopTime override]],IF(Master[[#This Row],[Avg stop time helper]] &lt;&gt; 0, Master[[#This Row],[Avg stop time helper]],Average_Stop_Time))</f>
        <v>#DIV/0!</v>
      </c>
      <c r="AV138" s="21"/>
      <c r="AW138" s="20">
        <f>Master[[#This Row],[RSP StopTime override]]-Master[[#This Row],[Avg stop time helper]]</f>
        <v>0</v>
      </c>
    </row>
    <row r="139" spans="1:49" x14ac:dyDescent="0.3">
      <c r="A139" s="66" t="s">
        <v>4253</v>
      </c>
      <c r="B139" s="58">
        <v>6</v>
      </c>
      <c r="C139" s="58" t="s">
        <v>43</v>
      </c>
      <c r="D139" s="65">
        <v>533101</v>
      </c>
      <c r="E139" s="65" t="s">
        <v>1996</v>
      </c>
      <c r="F139" s="65" t="s">
        <v>3588</v>
      </c>
      <c r="G139" s="65" t="s">
        <v>3257</v>
      </c>
      <c r="H139" s="65" t="s">
        <v>7</v>
      </c>
      <c r="I139" s="65" t="s">
        <v>39</v>
      </c>
      <c r="J139" s="65" t="s">
        <v>5</v>
      </c>
      <c r="K139" s="65" t="s">
        <v>38</v>
      </c>
      <c r="L139" s="64" t="s">
        <v>67</v>
      </c>
      <c r="M139" s="58" t="s">
        <v>3</v>
      </c>
      <c r="N139" s="58" t="s">
        <v>2</v>
      </c>
      <c r="O139" s="58">
        <v>128</v>
      </c>
      <c r="P139" s="58">
        <v>0</v>
      </c>
      <c r="Q139" s="58">
        <v>0</v>
      </c>
      <c r="R139" s="58">
        <v>0</v>
      </c>
      <c r="S139" s="58">
        <v>128</v>
      </c>
      <c r="T139" s="58">
        <v>0</v>
      </c>
      <c r="U139" s="58">
        <v>53</v>
      </c>
      <c r="V139" s="62"/>
      <c r="W139" s="62"/>
      <c r="X139" s="63">
        <f>IFERROR(1 -(Master[[#This Row],[Avg Garment Scans per Delivery]]/Master[[#This Row],[Garment Inventory]]), 0)</f>
        <v>0</v>
      </c>
      <c r="Y139" s="62"/>
      <c r="Z139" s="62"/>
      <c r="AA139" s="53">
        <v>72.643609467455633</v>
      </c>
      <c r="AB139" s="53">
        <v>73.7086982248521</v>
      </c>
      <c r="AC139" s="53">
        <v>74.203964497041412</v>
      </c>
      <c r="AD139" s="53">
        <v>75.54834319526627</v>
      </c>
      <c r="AE139" s="53" t="str">
        <f>_xlfn.XLOOKUP(Master[[#This Row],[cu_id]],'[1]Customer Revenue'!$Q:$Q,'[1]Customer Revenue'!$K:$K, "None")</f>
        <v>None</v>
      </c>
      <c r="AF139" s="53" t="str">
        <f>_xlfn.XLOOKUP(Master[[#This Row],[cu_id]],'[1]Customer Revenue'!$Q:$Q,'[1]Customer Revenue'!$L:$L, "None")</f>
        <v>None</v>
      </c>
      <c r="AG139" s="53">
        <v>72.700370370370365</v>
      </c>
      <c r="AH139" s="53">
        <v>73.292962962962918</v>
      </c>
      <c r="AI139" s="53">
        <v>73.176153846153866</v>
      </c>
      <c r="AJ139" s="53">
        <v>74.876153846153841</v>
      </c>
      <c r="AK139" s="53" t="str">
        <f>_xlfn.XLOOKUP(Master[[#This Row],[cu_id]],'[1]Customer Revenue'!$Q:$Q,'[1]Customer Revenue'!$I:$I, "None")</f>
        <v>None</v>
      </c>
      <c r="AL139" s="53">
        <v>72.996666666666641</v>
      </c>
      <c r="AM139" s="61">
        <v>0.20833333333333334</v>
      </c>
      <c r="AN139" s="60">
        <v>0.70833333333333337</v>
      </c>
      <c r="AO139" s="60" t="s">
        <v>36</v>
      </c>
      <c r="AP139" s="60" t="s">
        <v>36</v>
      </c>
      <c r="AQ139" s="58" t="s">
        <v>0</v>
      </c>
      <c r="AR139" s="58"/>
      <c r="AS139" s="58"/>
      <c r="AT139" s="52">
        <v>0</v>
      </c>
      <c r="AU139" s="52" t="e">
        <f>IF(Master[[#This Row],[RSP StopTime override]] &lt;&gt; "",Master[[#This Row],[RSP StopTime override]],IF(Master[[#This Row],[Avg stop time helper]] &lt;&gt; 0, Master[[#This Row],[Avg stop time helper]],Average_Stop_Time))</f>
        <v>#DIV/0!</v>
      </c>
      <c r="AV139" s="21"/>
      <c r="AW139" s="20">
        <f>Master[[#This Row],[RSP StopTime override]]-Master[[#This Row],[Avg stop time helper]]</f>
        <v>0</v>
      </c>
    </row>
    <row r="140" spans="1:49" x14ac:dyDescent="0.3">
      <c r="A140" s="66" t="s">
        <v>4254</v>
      </c>
      <c r="B140" s="58">
        <v>6</v>
      </c>
      <c r="C140" s="58" t="s">
        <v>43</v>
      </c>
      <c r="D140" s="65">
        <v>533101</v>
      </c>
      <c r="E140" s="65" t="s">
        <v>1416</v>
      </c>
      <c r="F140" s="65" t="s">
        <v>3589</v>
      </c>
      <c r="G140" s="65" t="s">
        <v>3256</v>
      </c>
      <c r="H140" s="65" t="s">
        <v>7</v>
      </c>
      <c r="I140" s="65" t="s">
        <v>39</v>
      </c>
      <c r="J140" s="65" t="s">
        <v>5</v>
      </c>
      <c r="K140" s="65" t="s">
        <v>38</v>
      </c>
      <c r="L140" s="64" t="s">
        <v>67</v>
      </c>
      <c r="M140" s="58" t="s">
        <v>3</v>
      </c>
      <c r="N140" s="58" t="s">
        <v>2</v>
      </c>
      <c r="O140" s="58">
        <v>20</v>
      </c>
      <c r="P140" s="58">
        <v>0</v>
      </c>
      <c r="Q140" s="58">
        <v>0</v>
      </c>
      <c r="R140" s="58">
        <v>0</v>
      </c>
      <c r="S140" s="58">
        <v>20</v>
      </c>
      <c r="T140" s="58">
        <v>0</v>
      </c>
      <c r="U140" s="58">
        <v>53</v>
      </c>
      <c r="V140" s="62"/>
      <c r="W140" s="62"/>
      <c r="X140" s="63">
        <f>IFERROR(1 -(Master[[#This Row],[Avg Garment Scans per Delivery]]/Master[[#This Row],[Garment Inventory]]), 0)</f>
        <v>0</v>
      </c>
      <c r="Y140" s="62"/>
      <c r="Z140" s="62"/>
      <c r="AA140" s="53">
        <v>76.916923076923084</v>
      </c>
      <c r="AB140" s="53">
        <v>78.763076923076923</v>
      </c>
      <c r="AC140" s="53">
        <v>79.363964497041408</v>
      </c>
      <c r="AD140" s="53">
        <v>80.708343195266266</v>
      </c>
      <c r="AE140" s="53" t="str">
        <f>_xlfn.XLOOKUP(Master[[#This Row],[cu_id]],'[1]Customer Revenue'!$Q:$Q,'[1]Customer Revenue'!$K:$K, "None")</f>
        <v>None</v>
      </c>
      <c r="AF140" s="53" t="str">
        <f>_xlfn.XLOOKUP(Master[[#This Row],[cu_id]],'[1]Customer Revenue'!$Q:$Q,'[1]Customer Revenue'!$L:$L, "None")</f>
        <v>None</v>
      </c>
      <c r="AG140" s="53">
        <v>75.609230769230777</v>
      </c>
      <c r="AH140" s="53">
        <v>78.07076923076923</v>
      </c>
      <c r="AI140" s="53">
        <v>77.84</v>
      </c>
      <c r="AJ140" s="53">
        <v>80.036153846153837</v>
      </c>
      <c r="AK140" s="53" t="str">
        <f>_xlfn.XLOOKUP(Master[[#This Row],[cu_id]],'[1]Customer Revenue'!$Q:$Q,'[1]Customer Revenue'!$I:$I, "None")</f>
        <v>None</v>
      </c>
      <c r="AL140" s="53">
        <v>76.84</v>
      </c>
      <c r="AM140" s="61">
        <v>0.20833333333333334</v>
      </c>
      <c r="AN140" s="60">
        <v>0.70833333333333337</v>
      </c>
      <c r="AO140" s="60" t="s">
        <v>36</v>
      </c>
      <c r="AP140" s="60" t="s">
        <v>36</v>
      </c>
      <c r="AQ140" s="58" t="s">
        <v>0</v>
      </c>
      <c r="AR140" s="58"/>
      <c r="AS140" s="58"/>
      <c r="AT140" s="52">
        <v>0</v>
      </c>
      <c r="AU140" s="52" t="e">
        <f>IF(Master[[#This Row],[RSP StopTime override]] &lt;&gt; "",Master[[#This Row],[RSP StopTime override]],IF(Master[[#This Row],[Avg stop time helper]] &lt;&gt; 0, Master[[#This Row],[Avg stop time helper]],Average_Stop_Time))</f>
        <v>#DIV/0!</v>
      </c>
      <c r="AV140" s="21"/>
      <c r="AW140" s="20">
        <f>Master[[#This Row],[RSP StopTime override]]-Master[[#This Row],[Avg stop time helper]]</f>
        <v>0</v>
      </c>
    </row>
    <row r="141" spans="1:49" x14ac:dyDescent="0.3">
      <c r="A141" s="66" t="s">
        <v>4255</v>
      </c>
      <c r="B141" s="58">
        <v>6</v>
      </c>
      <c r="C141" s="58" t="s">
        <v>43</v>
      </c>
      <c r="D141" s="65">
        <v>533410</v>
      </c>
      <c r="E141" s="65" t="s">
        <v>42</v>
      </c>
      <c r="F141" s="65" t="s">
        <v>3255</v>
      </c>
      <c r="G141" s="65" t="s">
        <v>3254</v>
      </c>
      <c r="H141" s="65" t="s">
        <v>7</v>
      </c>
      <c r="I141" s="65" t="s">
        <v>39</v>
      </c>
      <c r="J141" s="65" t="s">
        <v>5</v>
      </c>
      <c r="K141" s="65" t="s">
        <v>38</v>
      </c>
      <c r="L141" s="64">
        <v>6</v>
      </c>
      <c r="M141" s="58" t="s">
        <v>140</v>
      </c>
      <c r="N141" s="58" t="s">
        <v>2</v>
      </c>
      <c r="O141" s="58">
        <v>70</v>
      </c>
      <c r="P141" s="58">
        <v>0</v>
      </c>
      <c r="Q141" s="58">
        <v>0</v>
      </c>
      <c r="R141" s="58">
        <v>0</v>
      </c>
      <c r="S141" s="58">
        <v>70</v>
      </c>
      <c r="T141" s="58">
        <v>0</v>
      </c>
      <c r="U141" s="58">
        <v>12</v>
      </c>
      <c r="V141" s="62"/>
      <c r="W141" s="62"/>
      <c r="X141" s="63">
        <f>IFERROR(1 -(Master[[#This Row],[Avg Garment Scans per Delivery]]/Master[[#This Row],[Garment Inventory]]), 0)</f>
        <v>0</v>
      </c>
      <c r="Y141" s="62"/>
      <c r="Z141" s="62"/>
      <c r="AA141" s="53">
        <v>44.32</v>
      </c>
      <c r="AB141" s="53">
        <v>46.32</v>
      </c>
      <c r="AC141" s="53">
        <v>26.919444444444441</v>
      </c>
      <c r="AD141" s="53">
        <v>69.990555555555559</v>
      </c>
      <c r="AE141" s="53" t="str">
        <f>_xlfn.XLOOKUP(Master[[#This Row],[cu_id]],'[1]Customer Revenue'!$Q:$Q,'[1]Customer Revenue'!$K:$K, "None")</f>
        <v>None</v>
      </c>
      <c r="AF141" s="53" t="str">
        <f>_xlfn.XLOOKUP(Master[[#This Row],[cu_id]],'[1]Customer Revenue'!$Q:$Q,'[1]Customer Revenue'!$L:$L, "None")</f>
        <v>None</v>
      </c>
      <c r="AG141" s="53">
        <v>44.340408163265309</v>
      </c>
      <c r="AH141" s="53">
        <v>45.44244897959183</v>
      </c>
      <c r="AI141" s="53">
        <v>45.32</v>
      </c>
      <c r="AJ141" s="53">
        <v>48.454999999999998</v>
      </c>
      <c r="AK141" s="53" t="str">
        <f>_xlfn.XLOOKUP(Master[[#This Row],[cu_id]],'[1]Customer Revenue'!$Q:$Q,'[1]Customer Revenue'!$I:$I, "None")</f>
        <v>None</v>
      </c>
      <c r="AL141" s="53">
        <v>44.89142857142857</v>
      </c>
      <c r="AM141" s="61">
        <v>0.3125</v>
      </c>
      <c r="AN141" s="60">
        <v>0.70833333333333337</v>
      </c>
      <c r="AO141" s="60" t="s">
        <v>36</v>
      </c>
      <c r="AP141" s="60" t="s">
        <v>36</v>
      </c>
      <c r="AQ141" s="58" t="s">
        <v>0</v>
      </c>
      <c r="AR141" s="58"/>
      <c r="AS141" s="58"/>
      <c r="AT141" s="52">
        <v>0</v>
      </c>
      <c r="AU141" s="52" t="e">
        <f>IF(Master[[#This Row],[RSP StopTime override]] &lt;&gt; "",Master[[#This Row],[RSP StopTime override]],IF(Master[[#This Row],[Avg stop time helper]] &lt;&gt; 0, Master[[#This Row],[Avg stop time helper]],Average_Stop_Time))</f>
        <v>#DIV/0!</v>
      </c>
      <c r="AV141" s="21"/>
      <c r="AW141" s="20">
        <f>Master[[#This Row],[RSP StopTime override]]-Master[[#This Row],[Avg stop time helper]]</f>
        <v>0</v>
      </c>
    </row>
    <row r="142" spans="1:49" x14ac:dyDescent="0.3">
      <c r="A142" s="66" t="s">
        <v>4256</v>
      </c>
      <c r="B142" s="58">
        <v>6</v>
      </c>
      <c r="C142" s="58" t="s">
        <v>43</v>
      </c>
      <c r="D142" s="65">
        <v>882688</v>
      </c>
      <c r="E142" s="65" t="s">
        <v>3253</v>
      </c>
      <c r="F142" s="65" t="s">
        <v>3252</v>
      </c>
      <c r="G142" s="65" t="s">
        <v>3251</v>
      </c>
      <c r="H142" s="65" t="s">
        <v>7</v>
      </c>
      <c r="I142" s="65" t="s">
        <v>39</v>
      </c>
      <c r="J142" s="65" t="s">
        <v>5</v>
      </c>
      <c r="K142" s="65" t="s">
        <v>38</v>
      </c>
      <c r="L142" s="64" t="s">
        <v>91</v>
      </c>
      <c r="M142" s="58" t="s">
        <v>90</v>
      </c>
      <c r="N142" s="58" t="s">
        <v>2</v>
      </c>
      <c r="O142" s="58">
        <v>127</v>
      </c>
      <c r="P142" s="58">
        <v>0</v>
      </c>
      <c r="Q142" s="58">
        <v>0</v>
      </c>
      <c r="R142" s="58">
        <v>0</v>
      </c>
      <c r="S142" s="58">
        <v>127</v>
      </c>
      <c r="T142" s="58">
        <v>0</v>
      </c>
      <c r="U142" s="58">
        <v>20</v>
      </c>
      <c r="V142" s="62"/>
      <c r="W142" s="62"/>
      <c r="X142" s="63">
        <f>IFERROR(1 -(Master[[#This Row],[Avg Garment Scans per Delivery]]/Master[[#This Row],[Garment Inventory]]), 0)</f>
        <v>0</v>
      </c>
      <c r="Y142" s="62"/>
      <c r="Z142" s="62"/>
      <c r="AA142" s="53">
        <v>44.774081632653058</v>
      </c>
      <c r="AB142" s="53">
        <v>49.177346938775507</v>
      </c>
      <c r="AC142" s="53">
        <v>36.358888888888885</v>
      </c>
      <c r="AD142" s="53">
        <v>37.727777777777774</v>
      </c>
      <c r="AE142" s="53" t="str">
        <f>_xlfn.XLOOKUP(Master[[#This Row],[cu_id]],'[1]Customer Revenue'!$Q:$Q,'[1]Customer Revenue'!$K:$K, "None")</f>
        <v>None</v>
      </c>
      <c r="AF142" s="53" t="str">
        <f>_xlfn.XLOOKUP(Master[[#This Row],[cu_id]],'[1]Customer Revenue'!$Q:$Q,'[1]Customer Revenue'!$L:$L, "None")</f>
        <v>None</v>
      </c>
      <c r="AG142" s="53">
        <v>36.748775510204077</v>
      </c>
      <c r="AH142" s="53">
        <v>48.894081632653062</v>
      </c>
      <c r="AI142" s="53">
        <v>46.975714285714282</v>
      </c>
      <c r="AJ142" s="53">
        <v>37.043333333333329</v>
      </c>
      <c r="AK142" s="53" t="str">
        <f>_xlfn.XLOOKUP(Master[[#This Row],[cu_id]],'[1]Customer Revenue'!$Q:$Q,'[1]Customer Revenue'!$I:$I, "None")</f>
        <v>None</v>
      </c>
      <c r="AL142" s="53">
        <v>42.821428571428569</v>
      </c>
      <c r="AM142" s="61">
        <v>0.35416666666666669</v>
      </c>
      <c r="AN142" s="60">
        <v>0.70833333333333337</v>
      </c>
      <c r="AO142" s="60" t="s">
        <v>36</v>
      </c>
      <c r="AP142" s="60" t="s">
        <v>36</v>
      </c>
      <c r="AQ142" s="58" t="s">
        <v>0</v>
      </c>
      <c r="AR142" s="58"/>
      <c r="AS142" s="58"/>
      <c r="AT142" s="52">
        <v>0</v>
      </c>
      <c r="AU142" s="52" t="e">
        <f>IF(Master[[#This Row],[RSP StopTime override]] &lt;&gt; "",Master[[#This Row],[RSP StopTime override]],IF(Master[[#This Row],[Avg stop time helper]] &lt;&gt; 0, Master[[#This Row],[Avg stop time helper]],Average_Stop_Time))</f>
        <v>#DIV/0!</v>
      </c>
      <c r="AV142" s="21"/>
      <c r="AW142" s="20">
        <f>Master[[#This Row],[RSP StopTime override]]-Master[[#This Row],[Avg stop time helper]]</f>
        <v>0</v>
      </c>
    </row>
    <row r="143" spans="1:49" x14ac:dyDescent="0.3">
      <c r="A143" s="66" t="s">
        <v>4257</v>
      </c>
      <c r="B143" s="58">
        <v>6</v>
      </c>
      <c r="C143" s="58" t="s">
        <v>43</v>
      </c>
      <c r="D143" s="65">
        <v>886085</v>
      </c>
      <c r="E143" s="65" t="s">
        <v>3250</v>
      </c>
      <c r="F143" s="65" t="s">
        <v>3590</v>
      </c>
      <c r="G143" s="65" t="s">
        <v>3249</v>
      </c>
      <c r="H143" s="65" t="s">
        <v>7</v>
      </c>
      <c r="I143" s="65" t="s">
        <v>39</v>
      </c>
      <c r="J143" s="65" t="s">
        <v>5</v>
      </c>
      <c r="K143" s="65" t="s">
        <v>38</v>
      </c>
      <c r="L143" s="64" t="s">
        <v>91</v>
      </c>
      <c r="M143" s="58" t="s">
        <v>90</v>
      </c>
      <c r="N143" s="58" t="s">
        <v>2</v>
      </c>
      <c r="O143" s="58">
        <v>27</v>
      </c>
      <c r="P143" s="58">
        <v>0</v>
      </c>
      <c r="Q143" s="58">
        <v>0</v>
      </c>
      <c r="R143" s="58">
        <v>0</v>
      </c>
      <c r="S143" s="58">
        <v>27</v>
      </c>
      <c r="T143" s="58">
        <v>0</v>
      </c>
      <c r="U143" s="58">
        <v>31</v>
      </c>
      <c r="V143" s="62"/>
      <c r="W143" s="62"/>
      <c r="X143" s="63">
        <f>IFERROR(1 -(Master[[#This Row],[Avg Garment Scans per Delivery]]/Master[[#This Row],[Garment Inventory]]), 0)</f>
        <v>0</v>
      </c>
      <c r="Y143" s="62"/>
      <c r="Z143" s="62"/>
      <c r="AA143" s="53">
        <v>31.266982248520712</v>
      </c>
      <c r="AB143" s="53">
        <v>38.179171597633136</v>
      </c>
      <c r="AC143" s="53">
        <v>17.462499999999995</v>
      </c>
      <c r="AD143" s="53">
        <v>35.737499999999997</v>
      </c>
      <c r="AE143" s="53" t="str">
        <f>_xlfn.XLOOKUP(Master[[#This Row],[cu_id]],'[1]Customer Revenue'!$Q:$Q,'[1]Customer Revenue'!$K:$K, "None")</f>
        <v>None</v>
      </c>
      <c r="AF143" s="53" t="str">
        <f>_xlfn.XLOOKUP(Master[[#This Row],[cu_id]],'[1]Customer Revenue'!$Q:$Q,'[1]Customer Revenue'!$L:$L, "None")</f>
        <v>None</v>
      </c>
      <c r="AG143" s="53">
        <v>26.151780173913039</v>
      </c>
      <c r="AH143" s="53">
        <v>38.919524173913047</v>
      </c>
      <c r="AI143" s="53">
        <v>34.723076923076924</v>
      </c>
      <c r="AJ143" s="53">
        <v>26.599999999999998</v>
      </c>
      <c r="AK143" s="53" t="str">
        <f>_xlfn.XLOOKUP(Master[[#This Row],[cu_id]],'[1]Customer Revenue'!$Q:$Q,'[1]Customer Revenue'!$I:$I, "None")</f>
        <v>None</v>
      </c>
      <c r="AL143" s="53">
        <v>32.535652173913043</v>
      </c>
      <c r="AM143" s="61">
        <v>0.4375</v>
      </c>
      <c r="AN143" s="60">
        <v>0.70833333333333337</v>
      </c>
      <c r="AO143" s="60" t="s">
        <v>36</v>
      </c>
      <c r="AP143" s="60" t="s">
        <v>36</v>
      </c>
      <c r="AQ143" s="58" t="s">
        <v>0</v>
      </c>
      <c r="AR143" s="58"/>
      <c r="AS143" s="58"/>
      <c r="AT143" s="52">
        <v>0</v>
      </c>
      <c r="AU143" s="52" t="e">
        <f>IF(Master[[#This Row],[RSP StopTime override]] &lt;&gt; "",Master[[#This Row],[RSP StopTime override]],IF(Master[[#This Row],[Avg stop time helper]] &lt;&gt; 0, Master[[#This Row],[Avg stop time helper]],Average_Stop_Time))</f>
        <v>#DIV/0!</v>
      </c>
      <c r="AV143" s="21"/>
      <c r="AW143" s="20">
        <f>Master[[#This Row],[RSP StopTime override]]-Master[[#This Row],[Avg stop time helper]]</f>
        <v>0</v>
      </c>
    </row>
    <row r="144" spans="1:49" x14ac:dyDescent="0.3">
      <c r="A144" s="66" t="s">
        <v>4258</v>
      </c>
      <c r="B144" s="58">
        <v>6</v>
      </c>
      <c r="C144" s="58" t="s">
        <v>15</v>
      </c>
      <c r="D144" s="65">
        <v>99031</v>
      </c>
      <c r="E144" s="65" t="s">
        <v>2297</v>
      </c>
      <c r="F144" s="65" t="s">
        <v>3248</v>
      </c>
      <c r="G144" s="65" t="s">
        <v>3247</v>
      </c>
      <c r="H144" s="65" t="s">
        <v>1178</v>
      </c>
      <c r="I144" s="65" t="s">
        <v>39</v>
      </c>
      <c r="J144" s="65" t="s">
        <v>5</v>
      </c>
      <c r="K144" s="65" t="s">
        <v>3203</v>
      </c>
      <c r="L144" s="64" t="s">
        <v>67</v>
      </c>
      <c r="M144" s="58" t="s">
        <v>3</v>
      </c>
      <c r="N144" s="58" t="s">
        <v>2</v>
      </c>
      <c r="O144" s="58">
        <v>125</v>
      </c>
      <c r="P144" s="58">
        <v>0</v>
      </c>
      <c r="Q144" s="58">
        <v>0</v>
      </c>
      <c r="R144" s="58">
        <v>0</v>
      </c>
      <c r="S144" s="58">
        <v>0</v>
      </c>
      <c r="T144" s="58">
        <v>125</v>
      </c>
      <c r="U144" s="58">
        <v>52</v>
      </c>
      <c r="V144" s="62"/>
      <c r="W144" s="62"/>
      <c r="X144" s="63">
        <f>IFERROR(1 -(Master[[#This Row],[Avg Garment Scans per Delivery]]/Master[[#This Row],[Garment Inventory]]), 0)</f>
        <v>0</v>
      </c>
      <c r="Y144" s="62"/>
      <c r="Z144" s="62"/>
      <c r="AA144" s="53">
        <v>54.38000000000001</v>
      </c>
      <c r="AB144" s="53">
        <v>99.336666666666659</v>
      </c>
      <c r="AC144" s="53">
        <v>49.955266272189348</v>
      </c>
      <c r="AD144" s="53">
        <v>83.084733727810644</v>
      </c>
      <c r="AE144" s="53" t="str">
        <f>_xlfn.XLOOKUP(Master[[#This Row],[cu_id]],'[1]Customer Revenue'!$Q:$Q,'[1]Customer Revenue'!$K:$K, "None")</f>
        <v>None</v>
      </c>
      <c r="AF144" s="53" t="str">
        <f>_xlfn.XLOOKUP(Master[[#This Row],[cu_id]],'[1]Customer Revenue'!$Q:$Q,'[1]Customer Revenue'!$L:$L, "None")</f>
        <v>None</v>
      </c>
      <c r="AG144" s="53">
        <v>50.603491124260373</v>
      </c>
      <c r="AH144" s="53">
        <v>91.041124260355062</v>
      </c>
      <c r="AI144" s="53">
        <v>76.858333333333334</v>
      </c>
      <c r="AJ144" s="53">
        <v>66.52</v>
      </c>
      <c r="AK144" s="53" t="str">
        <f>_xlfn.XLOOKUP(Master[[#This Row],[cu_id]],'[1]Customer Revenue'!$Q:$Q,'[1]Customer Revenue'!$I:$I, "None")</f>
        <v>None</v>
      </c>
      <c r="AL144" s="53">
        <v>70.822307692307717</v>
      </c>
      <c r="AM144" s="61">
        <v>0.3125</v>
      </c>
      <c r="AN144" s="60">
        <v>0.70833333333333337</v>
      </c>
      <c r="AO144" s="60" t="s">
        <v>36</v>
      </c>
      <c r="AP144" s="60" t="s">
        <v>36</v>
      </c>
      <c r="AQ144" s="58" t="s">
        <v>0</v>
      </c>
      <c r="AR144" s="58"/>
      <c r="AS144" s="58"/>
      <c r="AT144" s="52">
        <v>0</v>
      </c>
      <c r="AU144" s="52" t="e">
        <f>IF(Master[[#This Row],[RSP StopTime override]] &lt;&gt; "",Master[[#This Row],[RSP StopTime override]],IF(Master[[#This Row],[Avg stop time helper]] &lt;&gt; 0, Master[[#This Row],[Avg stop time helper]],Average_Stop_Time))</f>
        <v>#DIV/0!</v>
      </c>
      <c r="AV144" s="21"/>
      <c r="AW144" s="20">
        <f>Master[[#This Row],[RSP StopTime override]]-Master[[#This Row],[Avg stop time helper]]</f>
        <v>0</v>
      </c>
    </row>
    <row r="145" spans="1:49" x14ac:dyDescent="0.3">
      <c r="A145" s="66" t="s">
        <v>4259</v>
      </c>
      <c r="B145" s="58">
        <v>6</v>
      </c>
      <c r="C145" s="58" t="s">
        <v>15</v>
      </c>
      <c r="D145" s="65">
        <v>99045</v>
      </c>
      <c r="E145" s="65" t="s">
        <v>686</v>
      </c>
      <c r="F145" s="65" t="s">
        <v>1464</v>
      </c>
      <c r="G145" s="65" t="s">
        <v>3246</v>
      </c>
      <c r="H145" s="65" t="s">
        <v>7</v>
      </c>
      <c r="I145" s="65" t="s">
        <v>3226</v>
      </c>
      <c r="J145" s="65" t="s">
        <v>5</v>
      </c>
      <c r="K145" s="65" t="s">
        <v>3203</v>
      </c>
      <c r="L145" s="64" t="s">
        <v>77</v>
      </c>
      <c r="M145" s="58" t="s">
        <v>29</v>
      </c>
      <c r="N145" s="58" t="s">
        <v>2</v>
      </c>
      <c r="O145" s="58">
        <v>95</v>
      </c>
      <c r="P145" s="58">
        <v>0</v>
      </c>
      <c r="Q145" s="58">
        <v>0</v>
      </c>
      <c r="R145" s="58">
        <v>0</v>
      </c>
      <c r="S145" s="58">
        <v>0</v>
      </c>
      <c r="T145" s="58">
        <v>95</v>
      </c>
      <c r="U145" s="58">
        <v>25</v>
      </c>
      <c r="V145" s="62"/>
      <c r="W145" s="62"/>
      <c r="X145" s="63">
        <f>IFERROR(1 -(Master[[#This Row],[Avg Garment Scans per Delivery]]/Master[[#This Row],[Garment Inventory]]), 0)</f>
        <v>0</v>
      </c>
      <c r="Y145" s="62"/>
      <c r="Z145" s="62"/>
      <c r="AA145" s="53">
        <v>47.8</v>
      </c>
      <c r="AB145" s="53">
        <v>49.050000000000011</v>
      </c>
      <c r="AC145" s="53">
        <v>18.873707482993197</v>
      </c>
      <c r="AD145" s="53">
        <v>58.229625850340128</v>
      </c>
      <c r="AE145" s="53" t="str">
        <f>_xlfn.XLOOKUP(Master[[#This Row],[cu_id]],'[1]Customer Revenue'!$Q:$Q,'[1]Customer Revenue'!$K:$K, "None")</f>
        <v>None</v>
      </c>
      <c r="AF145" s="53" t="str">
        <f>_xlfn.XLOOKUP(Master[[#This Row],[cu_id]],'[1]Customer Revenue'!$Q:$Q,'[1]Customer Revenue'!$L:$L, "None")</f>
        <v>None</v>
      </c>
      <c r="AG145" s="53">
        <v>47.903550295857983</v>
      </c>
      <c r="AH145" s="53">
        <v>48.542603550295865</v>
      </c>
      <c r="AI145" s="53">
        <v>48.425000000000004</v>
      </c>
      <c r="AJ145" s="53">
        <v>38.551666666666662</v>
      </c>
      <c r="AK145" s="53" t="str">
        <f>_xlfn.XLOOKUP(Master[[#This Row],[cu_id]],'[1]Customer Revenue'!$Q:$Q,'[1]Customer Revenue'!$I:$I, "None")</f>
        <v>None</v>
      </c>
      <c r="AL145" s="53">
        <v>48.223076923076924</v>
      </c>
      <c r="AM145" s="61">
        <v>0.375</v>
      </c>
      <c r="AN145" s="60">
        <v>0.70833333333333337</v>
      </c>
      <c r="AO145" s="60" t="s">
        <v>36</v>
      </c>
      <c r="AP145" s="60" t="s">
        <v>36</v>
      </c>
      <c r="AQ145" s="58" t="s">
        <v>0</v>
      </c>
      <c r="AR145" s="58"/>
      <c r="AS145" s="58"/>
      <c r="AT145" s="52">
        <v>0</v>
      </c>
      <c r="AU145" s="52" t="e">
        <f>IF(Master[[#This Row],[RSP StopTime override]] &lt;&gt; "",Master[[#This Row],[RSP StopTime override]],IF(Master[[#This Row],[Avg stop time helper]] &lt;&gt; 0, Master[[#This Row],[Avg stop time helper]],Average_Stop_Time))</f>
        <v>#DIV/0!</v>
      </c>
      <c r="AV145" s="21"/>
      <c r="AW145" s="20">
        <f>Master[[#This Row],[RSP StopTime override]]-Master[[#This Row],[Avg stop time helper]]</f>
        <v>0</v>
      </c>
    </row>
    <row r="146" spans="1:49" x14ac:dyDescent="0.3">
      <c r="A146" s="66" t="s">
        <v>4260</v>
      </c>
      <c r="B146" s="58">
        <v>6</v>
      </c>
      <c r="C146" s="58" t="s">
        <v>15</v>
      </c>
      <c r="D146" s="65">
        <v>99054</v>
      </c>
      <c r="E146" s="65" t="s">
        <v>2297</v>
      </c>
      <c r="F146" s="65" t="s">
        <v>1460</v>
      </c>
      <c r="G146" s="65" t="s">
        <v>3214</v>
      </c>
      <c r="H146" s="65" t="s">
        <v>32</v>
      </c>
      <c r="I146" s="65" t="s">
        <v>39</v>
      </c>
      <c r="J146" s="65" t="s">
        <v>5</v>
      </c>
      <c r="K146" s="65" t="s">
        <v>3203</v>
      </c>
      <c r="L146" s="64" t="s">
        <v>77</v>
      </c>
      <c r="M146" s="58" t="s">
        <v>29</v>
      </c>
      <c r="N146" s="58" t="s">
        <v>2</v>
      </c>
      <c r="O146" s="58">
        <v>105</v>
      </c>
      <c r="P146" s="58">
        <v>0</v>
      </c>
      <c r="Q146" s="58">
        <v>0</v>
      </c>
      <c r="R146" s="58">
        <v>0</v>
      </c>
      <c r="S146" s="58">
        <v>0</v>
      </c>
      <c r="T146" s="58">
        <v>105</v>
      </c>
      <c r="U146" s="58">
        <v>26</v>
      </c>
      <c r="V146" s="62"/>
      <c r="W146" s="62"/>
      <c r="X146" s="63">
        <f>IFERROR(1 -(Master[[#This Row],[Avg Garment Scans per Delivery]]/Master[[#This Row],[Garment Inventory]]), 0)</f>
        <v>0</v>
      </c>
      <c r="Y146" s="62"/>
      <c r="Z146" s="62"/>
      <c r="AA146" s="53">
        <v>39.029795918367341</v>
      </c>
      <c r="AB146" s="53">
        <v>51.335918367346935</v>
      </c>
      <c r="AC146" s="53">
        <v>43.097053571428575</v>
      </c>
      <c r="AD146" s="53">
        <v>80.665803571428569</v>
      </c>
      <c r="AE146" s="53" t="str">
        <f>_xlfn.XLOOKUP(Master[[#This Row],[cu_id]],'[1]Customer Revenue'!$Q:$Q,'[1]Customer Revenue'!$K:$K, "None")</f>
        <v>None</v>
      </c>
      <c r="AF146" s="53" t="str">
        <f>_xlfn.XLOOKUP(Master[[#This Row],[cu_id]],'[1]Customer Revenue'!$Q:$Q,'[1]Customer Revenue'!$L:$L, "None")</f>
        <v>None</v>
      </c>
      <c r="AG146" s="53">
        <v>30.961530612244903</v>
      </c>
      <c r="AH146" s="53">
        <v>50.95704081632654</v>
      </c>
      <c r="AI146" s="53">
        <v>45.182857142857138</v>
      </c>
      <c r="AJ146" s="53">
        <v>61.881428571428572</v>
      </c>
      <c r="AK146" s="53" t="str">
        <f>_xlfn.XLOOKUP(Master[[#This Row],[cu_id]],'[1]Customer Revenue'!$Q:$Q,'[1]Customer Revenue'!$I:$I, "None")</f>
        <v>None</v>
      </c>
      <c r="AL146" s="53">
        <v>40.95928571428572</v>
      </c>
      <c r="AM146" s="61">
        <v>0.375</v>
      </c>
      <c r="AN146" s="60">
        <v>0.70833333333333337</v>
      </c>
      <c r="AO146" s="60" t="s">
        <v>36</v>
      </c>
      <c r="AP146" s="60" t="s">
        <v>36</v>
      </c>
      <c r="AQ146" s="58" t="s">
        <v>0</v>
      </c>
      <c r="AR146" s="58"/>
      <c r="AS146" s="58"/>
      <c r="AT146" s="52">
        <v>0</v>
      </c>
      <c r="AU146" s="52" t="e">
        <f>IF(Master[[#This Row],[RSP StopTime override]] &lt;&gt; "",Master[[#This Row],[RSP StopTime override]],IF(Master[[#This Row],[Avg stop time helper]] &lt;&gt; 0, Master[[#This Row],[Avg stop time helper]],Average_Stop_Time))</f>
        <v>#DIV/0!</v>
      </c>
      <c r="AV146" s="21"/>
      <c r="AW146" s="20">
        <f>Master[[#This Row],[RSP StopTime override]]-Master[[#This Row],[Avg stop time helper]]</f>
        <v>0</v>
      </c>
    </row>
    <row r="147" spans="1:49" x14ac:dyDescent="0.3">
      <c r="A147" s="66" t="s">
        <v>4261</v>
      </c>
      <c r="B147" s="58">
        <v>6</v>
      </c>
      <c r="C147" s="58" t="s">
        <v>15</v>
      </c>
      <c r="D147" s="65">
        <v>99061</v>
      </c>
      <c r="E147" s="65" t="s">
        <v>683</v>
      </c>
      <c r="F147" s="65" t="s">
        <v>3245</v>
      </c>
      <c r="G147" s="65" t="s">
        <v>3229</v>
      </c>
      <c r="H147" s="65" t="s">
        <v>32</v>
      </c>
      <c r="I147" s="65" t="s">
        <v>39</v>
      </c>
      <c r="J147" s="65" t="s">
        <v>5</v>
      </c>
      <c r="K147" s="65" t="s">
        <v>3203</v>
      </c>
      <c r="L147" s="64" t="s">
        <v>67</v>
      </c>
      <c r="M147" s="58" t="s">
        <v>3</v>
      </c>
      <c r="N147" s="58" t="s">
        <v>2</v>
      </c>
      <c r="O147" s="58">
        <v>20</v>
      </c>
      <c r="P147" s="58">
        <v>0</v>
      </c>
      <c r="Q147" s="58">
        <v>0</v>
      </c>
      <c r="R147" s="58">
        <v>0</v>
      </c>
      <c r="S147" s="58">
        <v>0</v>
      </c>
      <c r="T147" s="58">
        <v>20</v>
      </c>
      <c r="U147" s="58">
        <v>52</v>
      </c>
      <c r="V147" s="62"/>
      <c r="W147" s="62"/>
      <c r="X147" s="63">
        <f>IFERROR(1 -(Master[[#This Row],[Avg Garment Scans per Delivery]]/Master[[#This Row],[Garment Inventory]]), 0)</f>
        <v>0</v>
      </c>
      <c r="Y147" s="62"/>
      <c r="Z147" s="62"/>
      <c r="AA147" s="53">
        <v>78.300000000000011</v>
      </c>
      <c r="AB147" s="53">
        <v>84.205000000000013</v>
      </c>
      <c r="AC147" s="53">
        <v>13.996863905325448</v>
      </c>
      <c r="AD147" s="53">
        <v>118.60467455621301</v>
      </c>
      <c r="AE147" s="53" t="str">
        <f>_xlfn.XLOOKUP(Master[[#This Row],[cu_id]],'[1]Customer Revenue'!$Q:$Q,'[1]Customer Revenue'!$K:$K, "None")</f>
        <v>None</v>
      </c>
      <c r="AF147" s="53" t="str">
        <f>_xlfn.XLOOKUP(Master[[#This Row],[cu_id]],'[1]Customer Revenue'!$Q:$Q,'[1]Customer Revenue'!$L:$L, "None")</f>
        <v>None</v>
      </c>
      <c r="AG147" s="53">
        <v>57.629556213017757</v>
      </c>
      <c r="AH147" s="53">
        <v>84.557366863905315</v>
      </c>
      <c r="AI147" s="53">
        <v>81.252500000000012</v>
      </c>
      <c r="AJ147" s="53">
        <v>66.300769230769234</v>
      </c>
      <c r="AK147" s="53" t="str">
        <f>_xlfn.XLOOKUP(Master[[#This Row],[cu_id]],'[1]Customer Revenue'!$Q:$Q,'[1]Customer Revenue'!$I:$I, "None")</f>
        <v>None</v>
      </c>
      <c r="AL147" s="53">
        <v>71.09346153846154</v>
      </c>
      <c r="AM147" s="61">
        <v>0.25</v>
      </c>
      <c r="AN147" s="60">
        <v>0.5</v>
      </c>
      <c r="AO147" s="60" t="s">
        <v>36</v>
      </c>
      <c r="AP147" s="60" t="s">
        <v>36</v>
      </c>
      <c r="AQ147" s="58" t="s">
        <v>0</v>
      </c>
      <c r="AR147" s="58"/>
      <c r="AS147" s="58"/>
      <c r="AT147" s="52">
        <v>0</v>
      </c>
      <c r="AU147" s="52" t="e">
        <f>IF(Master[[#This Row],[RSP StopTime override]] &lt;&gt; "",Master[[#This Row],[RSP StopTime override]],IF(Master[[#This Row],[Avg stop time helper]] &lt;&gt; 0, Master[[#This Row],[Avg stop time helper]],Average_Stop_Time))</f>
        <v>#DIV/0!</v>
      </c>
      <c r="AV147" s="21"/>
      <c r="AW147" s="20">
        <f>Master[[#This Row],[RSP StopTime override]]-Master[[#This Row],[Avg stop time helper]]</f>
        <v>0</v>
      </c>
    </row>
    <row r="148" spans="1:49" x14ac:dyDescent="0.3">
      <c r="A148" s="66" t="s">
        <v>4262</v>
      </c>
      <c r="B148" s="58">
        <v>6</v>
      </c>
      <c r="C148" s="58" t="s">
        <v>15</v>
      </c>
      <c r="D148" s="65">
        <v>99061</v>
      </c>
      <c r="E148" s="65" t="s">
        <v>1343</v>
      </c>
      <c r="F148" s="65" t="s">
        <v>3244</v>
      </c>
      <c r="G148" s="65" t="s">
        <v>3229</v>
      </c>
      <c r="H148" s="65" t="s">
        <v>32</v>
      </c>
      <c r="I148" s="65" t="s">
        <v>39</v>
      </c>
      <c r="J148" s="65" t="s">
        <v>5</v>
      </c>
      <c r="K148" s="65" t="s">
        <v>3203</v>
      </c>
      <c r="L148" s="64" t="s">
        <v>67</v>
      </c>
      <c r="M148" s="58" t="s">
        <v>3</v>
      </c>
      <c r="N148" s="58" t="s">
        <v>2</v>
      </c>
      <c r="O148" s="58">
        <v>25</v>
      </c>
      <c r="P148" s="58">
        <v>0</v>
      </c>
      <c r="Q148" s="58">
        <v>0</v>
      </c>
      <c r="R148" s="58">
        <v>0</v>
      </c>
      <c r="S148" s="58">
        <v>0</v>
      </c>
      <c r="T148" s="58">
        <v>25</v>
      </c>
      <c r="U148" s="58">
        <v>52</v>
      </c>
      <c r="V148" s="62"/>
      <c r="W148" s="62"/>
      <c r="X148" s="63">
        <f>IFERROR(1 -(Master[[#This Row],[Avg Garment Scans per Delivery]]/Master[[#This Row],[Garment Inventory]]), 0)</f>
        <v>0</v>
      </c>
      <c r="Y148" s="62"/>
      <c r="Z148" s="62"/>
      <c r="AA148" s="53">
        <v>20.634722222222223</v>
      </c>
      <c r="AB148" s="53">
        <v>22.68194444444444</v>
      </c>
      <c r="AC148" s="53">
        <v>23.351834319526628</v>
      </c>
      <c r="AD148" s="53">
        <v>27.918934911242605</v>
      </c>
      <c r="AE148" s="53" t="str">
        <f>_xlfn.XLOOKUP(Master[[#This Row],[cu_id]],'[1]Customer Revenue'!$Q:$Q,'[1]Customer Revenue'!$K:$K, "None")</f>
        <v>None</v>
      </c>
      <c r="AF148" s="53" t="str">
        <f>_xlfn.XLOOKUP(Master[[#This Row],[cu_id]],'[1]Customer Revenue'!$Q:$Q,'[1]Customer Revenue'!$L:$L, "None")</f>
        <v>None</v>
      </c>
      <c r="AG148" s="53">
        <v>20.592899408284026</v>
      </c>
      <c r="AH148" s="53">
        <v>21.622485207100603</v>
      </c>
      <c r="AI148" s="53">
        <v>21.658333333333331</v>
      </c>
      <c r="AJ148" s="53">
        <v>25.635384615384616</v>
      </c>
      <c r="AK148" s="53" t="str">
        <f>_xlfn.XLOOKUP(Master[[#This Row],[cu_id]],'[1]Customer Revenue'!$Q:$Q,'[1]Customer Revenue'!$I:$I, "None")</f>
        <v>None</v>
      </c>
      <c r="AL148" s="53">
        <v>21.107692307692314</v>
      </c>
      <c r="AM148" s="61">
        <v>0.25</v>
      </c>
      <c r="AN148" s="60">
        <v>0.5</v>
      </c>
      <c r="AO148" s="60" t="s">
        <v>36</v>
      </c>
      <c r="AP148" s="60" t="s">
        <v>36</v>
      </c>
      <c r="AQ148" s="58" t="s">
        <v>0</v>
      </c>
      <c r="AR148" s="58"/>
      <c r="AS148" s="58"/>
      <c r="AT148" s="52">
        <v>0</v>
      </c>
      <c r="AU148" s="52" t="e">
        <f>IF(Master[[#This Row],[RSP StopTime override]] &lt;&gt; "",Master[[#This Row],[RSP StopTime override]],IF(Master[[#This Row],[Avg stop time helper]] &lt;&gt; 0, Master[[#This Row],[Avg stop time helper]],Average_Stop_Time))</f>
        <v>#DIV/0!</v>
      </c>
      <c r="AV148" s="21"/>
      <c r="AW148" s="20">
        <f>Master[[#This Row],[RSP StopTime override]]-Master[[#This Row],[Avg stop time helper]]</f>
        <v>0</v>
      </c>
    </row>
    <row r="149" spans="1:49" x14ac:dyDescent="0.3">
      <c r="A149" s="66" t="s">
        <v>4263</v>
      </c>
      <c r="B149" s="58">
        <v>6</v>
      </c>
      <c r="C149" s="58" t="s">
        <v>15</v>
      </c>
      <c r="D149" s="65">
        <v>99061</v>
      </c>
      <c r="E149" s="65" t="s">
        <v>1341</v>
      </c>
      <c r="F149" s="65" t="s">
        <v>3243</v>
      </c>
      <c r="G149" s="65" t="s">
        <v>3229</v>
      </c>
      <c r="H149" s="65" t="s">
        <v>32</v>
      </c>
      <c r="I149" s="65" t="s">
        <v>39</v>
      </c>
      <c r="J149" s="65" t="s">
        <v>5</v>
      </c>
      <c r="K149" s="65" t="s">
        <v>3203</v>
      </c>
      <c r="L149" s="64" t="s">
        <v>67</v>
      </c>
      <c r="M149" s="58" t="s">
        <v>3</v>
      </c>
      <c r="N149" s="58" t="s">
        <v>2</v>
      </c>
      <c r="O149" s="58">
        <v>5</v>
      </c>
      <c r="P149" s="58">
        <v>0</v>
      </c>
      <c r="Q149" s="58">
        <v>0</v>
      </c>
      <c r="R149" s="58">
        <v>0</v>
      </c>
      <c r="S149" s="58">
        <v>0</v>
      </c>
      <c r="T149" s="58">
        <v>5</v>
      </c>
      <c r="U149" s="58">
        <v>52</v>
      </c>
      <c r="V149" s="62">
        <v>37</v>
      </c>
      <c r="W149" s="62">
        <v>12</v>
      </c>
      <c r="X149" s="63">
        <f>IFERROR(1 -(Master[[#This Row],[Avg Garment Scans per Delivery]]/Master[[#This Row],[Garment Inventory]]), 0)</f>
        <v>0.67567567567567566</v>
      </c>
      <c r="Y149" s="62">
        <v>2</v>
      </c>
      <c r="Z149" s="62">
        <v>40</v>
      </c>
      <c r="AA149" s="53">
        <v>26.349444444444451</v>
      </c>
      <c r="AB149" s="53">
        <v>42.397222222222233</v>
      </c>
      <c r="AC149" s="53">
        <v>35.095502958579885</v>
      </c>
      <c r="AD149" s="53">
        <v>49.387573964497051</v>
      </c>
      <c r="AE149" s="53" t="str">
        <f>_xlfn.XLOOKUP(Master[[#This Row],[cu_id]],'[1]Customer Revenue'!$Q:$Q,'[1]Customer Revenue'!$K:$K, "None")</f>
        <v>None</v>
      </c>
      <c r="AF149" s="53" t="str">
        <f>_xlfn.XLOOKUP(Master[[#This Row],[cu_id]],'[1]Customer Revenue'!$Q:$Q,'[1]Customer Revenue'!$L:$L, "None")</f>
        <v>None</v>
      </c>
      <c r="AG149" s="53">
        <v>27.723934911242605</v>
      </c>
      <c r="AH149" s="53">
        <v>42.118372781065091</v>
      </c>
      <c r="AI149" s="53">
        <v>34.373333333333342</v>
      </c>
      <c r="AJ149" s="53">
        <v>42.241538461538468</v>
      </c>
      <c r="AK149" s="53" t="str">
        <f>_xlfn.XLOOKUP(Master[[#This Row],[cu_id]],'[1]Customer Revenue'!$Q:$Q,'[1]Customer Revenue'!$I:$I, "None")</f>
        <v>None</v>
      </c>
      <c r="AL149" s="53">
        <v>34.92115384615385</v>
      </c>
      <c r="AM149" s="61">
        <v>0.25</v>
      </c>
      <c r="AN149" s="60">
        <v>0.5</v>
      </c>
      <c r="AO149" s="60" t="s">
        <v>36</v>
      </c>
      <c r="AP149" s="60" t="s">
        <v>36</v>
      </c>
      <c r="AQ149" s="58" t="s">
        <v>0</v>
      </c>
      <c r="AR149" s="58"/>
      <c r="AS149" s="58"/>
      <c r="AT149" s="52">
        <v>0</v>
      </c>
      <c r="AU149" s="52" t="e">
        <f>IF(Master[[#This Row],[RSP StopTime override]] &lt;&gt; "",Master[[#This Row],[RSP StopTime override]],IF(Master[[#This Row],[Avg stop time helper]] &lt;&gt; 0, Master[[#This Row],[Avg stop time helper]],Average_Stop_Time))</f>
        <v>#DIV/0!</v>
      </c>
      <c r="AV149" s="21"/>
      <c r="AW149" s="20">
        <f>Master[[#This Row],[RSP StopTime override]]-Master[[#This Row],[Avg stop time helper]]</f>
        <v>0</v>
      </c>
    </row>
    <row r="150" spans="1:49" x14ac:dyDescent="0.3">
      <c r="A150" s="66" t="s">
        <v>4264</v>
      </c>
      <c r="B150" s="58">
        <v>6</v>
      </c>
      <c r="C150" s="58" t="s">
        <v>15</v>
      </c>
      <c r="D150" s="65">
        <v>99061</v>
      </c>
      <c r="E150" s="65" t="s">
        <v>2859</v>
      </c>
      <c r="F150" s="65" t="s">
        <v>3242</v>
      </c>
      <c r="G150" s="65" t="s">
        <v>3229</v>
      </c>
      <c r="H150" s="65" t="s">
        <v>7</v>
      </c>
      <c r="I150" s="65" t="s">
        <v>39</v>
      </c>
      <c r="J150" s="65" t="s">
        <v>5</v>
      </c>
      <c r="K150" s="65" t="s">
        <v>3203</v>
      </c>
      <c r="L150" s="64" t="s">
        <v>67</v>
      </c>
      <c r="M150" s="58" t="s">
        <v>3</v>
      </c>
      <c r="N150" s="58" t="s">
        <v>2</v>
      </c>
      <c r="O150" s="58">
        <v>10</v>
      </c>
      <c r="P150" s="58">
        <v>0</v>
      </c>
      <c r="Q150" s="58">
        <v>0</v>
      </c>
      <c r="R150" s="58">
        <v>0</v>
      </c>
      <c r="S150" s="58">
        <v>0</v>
      </c>
      <c r="T150" s="58">
        <v>10</v>
      </c>
      <c r="U150" s="58">
        <v>52</v>
      </c>
      <c r="V150" s="62"/>
      <c r="W150" s="62"/>
      <c r="X150" s="63">
        <f>IFERROR(1 -(Master[[#This Row],[Avg Garment Scans per Delivery]]/Master[[#This Row],[Garment Inventory]]), 0)</f>
        <v>0</v>
      </c>
      <c r="Y150" s="62"/>
      <c r="Z150" s="62"/>
      <c r="AA150" s="53">
        <v>46.047222222222224</v>
      </c>
      <c r="AB150" s="53">
        <v>51.779444444444472</v>
      </c>
      <c r="AC150" s="53">
        <v>48.634497041420119</v>
      </c>
      <c r="AD150" s="53">
        <v>67.711656804733721</v>
      </c>
      <c r="AE150" s="53" t="str">
        <f>_xlfn.XLOOKUP(Master[[#This Row],[cu_id]],'[1]Customer Revenue'!$Q:$Q,'[1]Customer Revenue'!$K:$K, "None")</f>
        <v>None</v>
      </c>
      <c r="AF150" s="53" t="str">
        <f>_xlfn.XLOOKUP(Master[[#This Row],[cu_id]],'[1]Customer Revenue'!$Q:$Q,'[1]Customer Revenue'!$L:$L, "None")</f>
        <v>None</v>
      </c>
      <c r="AG150" s="53">
        <v>46.066804733727814</v>
      </c>
      <c r="AH150" s="53">
        <v>48.930118343195254</v>
      </c>
      <c r="AI150" s="53">
        <v>48.913333333333348</v>
      </c>
      <c r="AJ150" s="53">
        <v>58.17307692307692</v>
      </c>
      <c r="AK150" s="53" t="str">
        <f>_xlfn.XLOOKUP(Master[[#This Row],[cu_id]],'[1]Customer Revenue'!$Q:$Q,'[1]Customer Revenue'!$I:$I, "None")</f>
        <v>None</v>
      </c>
      <c r="AL150" s="53">
        <v>47.498461538461534</v>
      </c>
      <c r="AM150" s="61">
        <v>0.25</v>
      </c>
      <c r="AN150" s="60">
        <v>0.5</v>
      </c>
      <c r="AO150" s="60" t="s">
        <v>36</v>
      </c>
      <c r="AP150" s="60" t="s">
        <v>36</v>
      </c>
      <c r="AQ150" s="58" t="s">
        <v>0</v>
      </c>
      <c r="AR150" s="58"/>
      <c r="AS150" s="58"/>
      <c r="AT150" s="52">
        <v>0</v>
      </c>
      <c r="AU150" s="52" t="e">
        <f>IF(Master[[#This Row],[RSP StopTime override]] &lt;&gt; "",Master[[#This Row],[RSP StopTime override]],IF(Master[[#This Row],[Avg stop time helper]] &lt;&gt; 0, Master[[#This Row],[Avg stop time helper]],Average_Stop_Time))</f>
        <v>#DIV/0!</v>
      </c>
      <c r="AV150" s="21"/>
      <c r="AW150" s="20">
        <f>Master[[#This Row],[RSP StopTime override]]-Master[[#This Row],[Avg stop time helper]]</f>
        <v>0</v>
      </c>
    </row>
    <row r="151" spans="1:49" x14ac:dyDescent="0.3">
      <c r="A151" s="66" t="s">
        <v>4265</v>
      </c>
      <c r="B151" s="58">
        <v>6</v>
      </c>
      <c r="C151" s="58" t="s">
        <v>15</v>
      </c>
      <c r="D151" s="65">
        <v>99061</v>
      </c>
      <c r="E151" s="65" t="s">
        <v>3241</v>
      </c>
      <c r="F151" s="65" t="s">
        <v>3240</v>
      </c>
      <c r="G151" s="65" t="s">
        <v>3229</v>
      </c>
      <c r="H151" s="65" t="s">
        <v>7</v>
      </c>
      <c r="I151" s="65" t="s">
        <v>39</v>
      </c>
      <c r="J151" s="65" t="s">
        <v>5</v>
      </c>
      <c r="K151" s="65" t="s">
        <v>3203</v>
      </c>
      <c r="L151" s="64" t="s">
        <v>67</v>
      </c>
      <c r="M151" s="58" t="s">
        <v>3</v>
      </c>
      <c r="N151" s="58" t="s">
        <v>2</v>
      </c>
      <c r="O151" s="58">
        <v>15</v>
      </c>
      <c r="P151" s="58">
        <v>0</v>
      </c>
      <c r="Q151" s="58">
        <v>0</v>
      </c>
      <c r="R151" s="58">
        <v>0</v>
      </c>
      <c r="S151" s="58">
        <v>0</v>
      </c>
      <c r="T151" s="58">
        <v>15</v>
      </c>
      <c r="U151" s="58">
        <v>52</v>
      </c>
      <c r="V151" s="62"/>
      <c r="W151" s="62"/>
      <c r="X151" s="63">
        <f>IFERROR(1 -(Master[[#This Row],[Avg Garment Scans per Delivery]]/Master[[#This Row],[Garment Inventory]]), 0)</f>
        <v>0</v>
      </c>
      <c r="Y151" s="62"/>
      <c r="Z151" s="62"/>
      <c r="AA151" s="53">
        <v>21.977777777777778</v>
      </c>
      <c r="AB151" s="53">
        <v>23.615555555555549</v>
      </c>
      <c r="AC151" s="53">
        <v>24.490295857988166</v>
      </c>
      <c r="AD151" s="53">
        <v>27.202011834319528</v>
      </c>
      <c r="AE151" s="53" t="str">
        <f>_xlfn.XLOOKUP(Master[[#This Row],[cu_id]],'[1]Customer Revenue'!$Q:$Q,'[1]Customer Revenue'!$K:$K, "None")</f>
        <v>None</v>
      </c>
      <c r="AF151" s="53" t="str">
        <f>_xlfn.XLOOKUP(Master[[#This Row],[cu_id]],'[1]Customer Revenue'!$Q:$Q,'[1]Customer Revenue'!$L:$L, "None")</f>
        <v>None</v>
      </c>
      <c r="AG151" s="53">
        <v>21.796982248520727</v>
      </c>
      <c r="AH151" s="53">
        <v>22.776863905325456</v>
      </c>
      <c r="AI151" s="53">
        <v>22.796666666666663</v>
      </c>
      <c r="AJ151" s="53">
        <v>25.846153846153847</v>
      </c>
      <c r="AK151" s="53" t="str">
        <f>_xlfn.XLOOKUP(Master[[#This Row],[cu_id]],'[1]Customer Revenue'!$Q:$Q,'[1]Customer Revenue'!$I:$I, "None")</f>
        <v>None</v>
      </c>
      <c r="AL151" s="53">
        <v>22.286923076923092</v>
      </c>
      <c r="AM151" s="61">
        <v>0.25</v>
      </c>
      <c r="AN151" s="60">
        <v>0.5</v>
      </c>
      <c r="AO151" s="60" t="s">
        <v>36</v>
      </c>
      <c r="AP151" s="60" t="s">
        <v>36</v>
      </c>
      <c r="AQ151" s="58" t="s">
        <v>0</v>
      </c>
      <c r="AR151" s="58"/>
      <c r="AS151" s="58"/>
      <c r="AT151" s="52">
        <v>0</v>
      </c>
      <c r="AU151" s="52" t="e">
        <f>IF(Master[[#This Row],[RSP StopTime override]] &lt;&gt; "",Master[[#This Row],[RSP StopTime override]],IF(Master[[#This Row],[Avg stop time helper]] &lt;&gt; 0, Master[[#This Row],[Avg stop time helper]],Average_Stop_Time))</f>
        <v>#DIV/0!</v>
      </c>
      <c r="AV151" s="21"/>
      <c r="AW151" s="20">
        <f>Master[[#This Row],[RSP StopTime override]]-Master[[#This Row],[Avg stop time helper]]</f>
        <v>0</v>
      </c>
    </row>
    <row r="152" spans="1:49" x14ac:dyDescent="0.3">
      <c r="A152" s="66" t="s">
        <v>4266</v>
      </c>
      <c r="B152" s="58">
        <v>6</v>
      </c>
      <c r="C152" s="58" t="s">
        <v>15</v>
      </c>
      <c r="D152" s="65">
        <v>99079</v>
      </c>
      <c r="E152" s="65" t="s">
        <v>1517</v>
      </c>
      <c r="F152" s="65" t="s">
        <v>3591</v>
      </c>
      <c r="G152" s="65" t="s">
        <v>3239</v>
      </c>
      <c r="H152" s="65" t="s">
        <v>32</v>
      </c>
      <c r="I152" s="65" t="s">
        <v>3224</v>
      </c>
      <c r="J152" s="65" t="s">
        <v>5</v>
      </c>
      <c r="K152" s="65" t="s">
        <v>3203</v>
      </c>
      <c r="L152" s="64" t="s">
        <v>67</v>
      </c>
      <c r="M152" s="58" t="s">
        <v>3</v>
      </c>
      <c r="N152" s="58" t="s">
        <v>2</v>
      </c>
      <c r="O152" s="58">
        <v>70</v>
      </c>
      <c r="P152" s="58">
        <v>0</v>
      </c>
      <c r="Q152" s="58">
        <v>0</v>
      </c>
      <c r="R152" s="58">
        <v>0</v>
      </c>
      <c r="S152" s="58">
        <v>0</v>
      </c>
      <c r="T152" s="58">
        <v>70</v>
      </c>
      <c r="U152" s="58">
        <v>52</v>
      </c>
      <c r="V152" s="62"/>
      <c r="W152" s="62"/>
      <c r="X152" s="63">
        <f>IFERROR(1 -(Master[[#This Row],[Avg Garment Scans per Delivery]]/Master[[#This Row],[Garment Inventory]]), 0)</f>
        <v>0</v>
      </c>
      <c r="Y152" s="62"/>
      <c r="Z152" s="62"/>
      <c r="AA152" s="53">
        <v>83.401944444444453</v>
      </c>
      <c r="AB152" s="53">
        <v>88.676388888888894</v>
      </c>
      <c r="AC152" s="53">
        <v>79.70863905325443</v>
      </c>
      <c r="AD152" s="53">
        <v>94.777514792899396</v>
      </c>
      <c r="AE152" s="53" t="str">
        <f>_xlfn.XLOOKUP(Master[[#This Row],[cu_id]],'[1]Customer Revenue'!$Q:$Q,'[1]Customer Revenue'!$K:$K, "None")</f>
        <v>None</v>
      </c>
      <c r="AF152" s="53" t="str">
        <f>_xlfn.XLOOKUP(Master[[#This Row],[cu_id]],'[1]Customer Revenue'!$Q:$Q,'[1]Customer Revenue'!$L:$L, "None")</f>
        <v>None</v>
      </c>
      <c r="AG152" s="53">
        <v>83.234940828402372</v>
      </c>
      <c r="AH152" s="53">
        <v>86.978136094674582</v>
      </c>
      <c r="AI152" s="53">
        <v>86.039166666666674</v>
      </c>
      <c r="AJ152" s="53">
        <v>87.243076923076913</v>
      </c>
      <c r="AK152" s="53" t="str">
        <f>_xlfn.XLOOKUP(Master[[#This Row],[cu_id]],'[1]Customer Revenue'!$Q:$Q,'[1]Customer Revenue'!$I:$I, "None")</f>
        <v>None</v>
      </c>
      <c r="AL152" s="53">
        <v>85.106538461538477</v>
      </c>
      <c r="AM152" s="61">
        <v>0.375</v>
      </c>
      <c r="AN152" s="60">
        <v>0.625</v>
      </c>
      <c r="AO152" s="60" t="s">
        <v>36</v>
      </c>
      <c r="AP152" s="60" t="s">
        <v>36</v>
      </c>
      <c r="AQ152" s="58" t="s">
        <v>0</v>
      </c>
      <c r="AR152" s="58"/>
      <c r="AS152" s="58"/>
      <c r="AT152" s="52">
        <v>0</v>
      </c>
      <c r="AU152" s="52" t="e">
        <f>IF(Master[[#This Row],[RSP StopTime override]] &lt;&gt; "",Master[[#This Row],[RSP StopTime override]],IF(Master[[#This Row],[Avg stop time helper]] &lt;&gt; 0, Master[[#This Row],[Avg stop time helper]],Average_Stop_Time))</f>
        <v>#DIV/0!</v>
      </c>
      <c r="AV152" s="21"/>
      <c r="AW152" s="20">
        <f>Master[[#This Row],[RSP StopTime override]]-Master[[#This Row],[Avg stop time helper]]</f>
        <v>0</v>
      </c>
    </row>
    <row r="153" spans="1:49" x14ac:dyDescent="0.3">
      <c r="A153" s="66" t="s">
        <v>4267</v>
      </c>
      <c r="B153" s="58">
        <v>6</v>
      </c>
      <c r="C153" s="58" t="s">
        <v>15</v>
      </c>
      <c r="D153" s="65">
        <v>99094</v>
      </c>
      <c r="E153" s="65" t="s">
        <v>1520</v>
      </c>
      <c r="F153" s="65" t="s">
        <v>3238</v>
      </c>
      <c r="G153" s="65" t="s">
        <v>3237</v>
      </c>
      <c r="H153" s="65" t="s">
        <v>7</v>
      </c>
      <c r="I153" s="65" t="s">
        <v>39</v>
      </c>
      <c r="J153" s="65" t="s">
        <v>5</v>
      </c>
      <c r="K153" s="65" t="s">
        <v>3203</v>
      </c>
      <c r="L153" s="64" t="s">
        <v>77</v>
      </c>
      <c r="M153" s="58" t="s">
        <v>29</v>
      </c>
      <c r="N153" s="58" t="s">
        <v>2</v>
      </c>
      <c r="O153" s="58">
        <v>65</v>
      </c>
      <c r="P153" s="58">
        <v>0</v>
      </c>
      <c r="Q153" s="58">
        <v>0</v>
      </c>
      <c r="R153" s="58">
        <v>0</v>
      </c>
      <c r="S153" s="58">
        <v>0</v>
      </c>
      <c r="T153" s="58">
        <v>65</v>
      </c>
      <c r="U153" s="58">
        <v>36</v>
      </c>
      <c r="V153" s="62"/>
      <c r="W153" s="62"/>
      <c r="X153" s="63">
        <f>IFERROR(1 -(Master[[#This Row],[Avg Garment Scans per Delivery]]/Master[[#This Row],[Garment Inventory]]), 0)</f>
        <v>0</v>
      </c>
      <c r="Y153" s="62"/>
      <c r="Z153" s="62"/>
      <c r="AA153" s="53">
        <v>19.922222222222221</v>
      </c>
      <c r="AB153" s="53">
        <v>20.311111111111106</v>
      </c>
      <c r="AC153" s="53">
        <v>11.499999999999998</v>
      </c>
      <c r="AD153" s="53">
        <v>29.9</v>
      </c>
      <c r="AE153" s="53" t="str">
        <f>_xlfn.XLOOKUP(Master[[#This Row],[cu_id]],'[1]Customer Revenue'!$Q:$Q,'[1]Customer Revenue'!$K:$K, "None")</f>
        <v>None</v>
      </c>
      <c r="AF153" s="53" t="str">
        <f>_xlfn.XLOOKUP(Master[[#This Row],[cu_id]],'[1]Customer Revenue'!$Q:$Q,'[1]Customer Revenue'!$L:$L, "None")</f>
        <v>None</v>
      </c>
      <c r="AG153" s="53">
        <v>18.458786231884055</v>
      </c>
      <c r="AH153" s="53">
        <v>21.662952898550728</v>
      </c>
      <c r="AI153" s="53">
        <v>20.116666666666664</v>
      </c>
      <c r="AJ153" s="53">
        <v>20.7</v>
      </c>
      <c r="AK153" s="53" t="str">
        <f>_xlfn.XLOOKUP(Master[[#This Row],[cu_id]],'[1]Customer Revenue'!$Q:$Q,'[1]Customer Revenue'!$I:$I, "None")</f>
        <v>None</v>
      </c>
      <c r="AL153" s="53">
        <v>20.060869565217391</v>
      </c>
      <c r="AM153" s="61">
        <v>0.375</v>
      </c>
      <c r="AN153" s="60">
        <v>0.70833333333333337</v>
      </c>
      <c r="AO153" s="60" t="s">
        <v>36</v>
      </c>
      <c r="AP153" s="60" t="s">
        <v>36</v>
      </c>
      <c r="AQ153" s="58" t="s">
        <v>0</v>
      </c>
      <c r="AR153" s="58"/>
      <c r="AS153" s="58"/>
      <c r="AT153" s="52">
        <v>0</v>
      </c>
      <c r="AU153" s="52" t="e">
        <f>IF(Master[[#This Row],[RSP StopTime override]] &lt;&gt; "",Master[[#This Row],[RSP StopTime override]],IF(Master[[#This Row],[Avg stop time helper]] &lt;&gt; 0, Master[[#This Row],[Avg stop time helper]],Average_Stop_Time))</f>
        <v>#DIV/0!</v>
      </c>
      <c r="AV153" s="21"/>
      <c r="AW153" s="20">
        <f>Master[[#This Row],[RSP StopTime override]]-Master[[#This Row],[Avg stop time helper]]</f>
        <v>0</v>
      </c>
    </row>
    <row r="154" spans="1:49" x14ac:dyDescent="0.3">
      <c r="A154" s="66" t="s">
        <v>4268</v>
      </c>
      <c r="B154" s="58">
        <v>6</v>
      </c>
      <c r="C154" s="58" t="s">
        <v>15</v>
      </c>
      <c r="D154" s="65">
        <v>99095</v>
      </c>
      <c r="E154" s="65" t="s">
        <v>1569</v>
      </c>
      <c r="F154" s="65" t="s">
        <v>3236</v>
      </c>
      <c r="G154" s="65" t="s">
        <v>3235</v>
      </c>
      <c r="H154" s="65" t="s">
        <v>7</v>
      </c>
      <c r="I154" s="65" t="s">
        <v>39</v>
      </c>
      <c r="J154" s="65" t="s">
        <v>5</v>
      </c>
      <c r="K154" s="65" t="s">
        <v>3203</v>
      </c>
      <c r="L154" s="64">
        <v>6</v>
      </c>
      <c r="M154" s="58" t="s">
        <v>205</v>
      </c>
      <c r="N154" s="58" t="s">
        <v>2</v>
      </c>
      <c r="O154" s="58">
        <v>120</v>
      </c>
      <c r="P154" s="58">
        <v>0</v>
      </c>
      <c r="Q154" s="58">
        <v>0</v>
      </c>
      <c r="R154" s="58">
        <v>0</v>
      </c>
      <c r="S154" s="58">
        <v>0</v>
      </c>
      <c r="T154" s="58">
        <v>120</v>
      </c>
      <c r="U154" s="58">
        <v>25</v>
      </c>
      <c r="V154" s="62"/>
      <c r="W154" s="62"/>
      <c r="X154" s="63">
        <f>IFERROR(1 -(Master[[#This Row],[Avg Garment Scans per Delivery]]/Master[[#This Row],[Garment Inventory]]), 0)</f>
        <v>0</v>
      </c>
      <c r="Y154" s="62"/>
      <c r="Z154" s="62"/>
      <c r="AA154" s="53">
        <v>24.763333333333335</v>
      </c>
      <c r="AB154" s="53">
        <v>25.596666666666671</v>
      </c>
      <c r="AC154" s="53">
        <v>31.989999999999995</v>
      </c>
      <c r="AD154" s="53">
        <v>33.349999999999994</v>
      </c>
      <c r="AE154" s="53" t="str">
        <f>_xlfn.XLOOKUP(Master[[#This Row],[cu_id]],'[1]Customer Revenue'!$Q:$Q,'[1]Customer Revenue'!$K:$K, "None")</f>
        <v>None</v>
      </c>
      <c r="AF154" s="53" t="str">
        <f>_xlfn.XLOOKUP(Master[[#This Row],[cu_id]],'[1]Customer Revenue'!$Q:$Q,'[1]Customer Revenue'!$L:$L, "None")</f>
        <v>None</v>
      </c>
      <c r="AG154" s="53">
        <v>21.295266272189355</v>
      </c>
      <c r="AH154" s="53">
        <v>28.344733727810652</v>
      </c>
      <c r="AI154" s="53">
        <v>25.180000000000003</v>
      </c>
      <c r="AJ154" s="53">
        <v>32.669999999999995</v>
      </c>
      <c r="AK154" s="53" t="str">
        <f>_xlfn.XLOOKUP(Master[[#This Row],[cu_id]],'[1]Customer Revenue'!$Q:$Q,'[1]Customer Revenue'!$I:$I, "None")</f>
        <v>None</v>
      </c>
      <c r="AL154" s="53">
        <v>24.820000000000004</v>
      </c>
      <c r="AM154" s="61">
        <v>0.375</v>
      </c>
      <c r="AN154" s="60">
        <v>0.70833333333333337</v>
      </c>
      <c r="AO154" s="60" t="s">
        <v>36</v>
      </c>
      <c r="AP154" s="60" t="s">
        <v>36</v>
      </c>
      <c r="AQ154" s="58" t="s">
        <v>0</v>
      </c>
      <c r="AR154" s="58"/>
      <c r="AS154" s="58"/>
      <c r="AT154" s="52">
        <v>0</v>
      </c>
      <c r="AU154" s="52" t="e">
        <f>IF(Master[[#This Row],[RSP StopTime override]] &lt;&gt; "",Master[[#This Row],[RSP StopTime override]],IF(Master[[#This Row],[Avg stop time helper]] &lt;&gt; 0, Master[[#This Row],[Avg stop time helper]],Average_Stop_Time))</f>
        <v>#DIV/0!</v>
      </c>
      <c r="AV154" s="21"/>
      <c r="AW154" s="20">
        <f>Master[[#This Row],[RSP StopTime override]]-Master[[#This Row],[Avg stop time helper]]</f>
        <v>0</v>
      </c>
    </row>
    <row r="155" spans="1:49" x14ac:dyDescent="0.3">
      <c r="A155" s="66" t="s">
        <v>4269</v>
      </c>
      <c r="B155" s="58">
        <v>6</v>
      </c>
      <c r="C155" s="58" t="s">
        <v>15</v>
      </c>
      <c r="D155" s="65">
        <v>99100</v>
      </c>
      <c r="E155" s="65" t="s">
        <v>1158</v>
      </c>
      <c r="F155" s="65" t="s">
        <v>3234</v>
      </c>
      <c r="G155" s="65" t="s">
        <v>3233</v>
      </c>
      <c r="H155" s="65" t="s">
        <v>7</v>
      </c>
      <c r="I155" s="65" t="s">
        <v>39</v>
      </c>
      <c r="J155" s="65" t="s">
        <v>5</v>
      </c>
      <c r="K155" s="65" t="s">
        <v>3203</v>
      </c>
      <c r="L155" s="64" t="s">
        <v>91</v>
      </c>
      <c r="M155" s="58" t="s">
        <v>90</v>
      </c>
      <c r="N155" s="58" t="s">
        <v>2</v>
      </c>
      <c r="O155" s="58">
        <v>85</v>
      </c>
      <c r="P155" s="58">
        <v>0</v>
      </c>
      <c r="Q155" s="58">
        <v>0</v>
      </c>
      <c r="R155" s="58">
        <v>0</v>
      </c>
      <c r="S155" s="58">
        <v>0</v>
      </c>
      <c r="T155" s="58">
        <v>85</v>
      </c>
      <c r="U155" s="58">
        <v>25</v>
      </c>
      <c r="V155" s="62"/>
      <c r="W155" s="62"/>
      <c r="X155" s="63">
        <f>IFERROR(1 -(Master[[#This Row],[Avg Garment Scans per Delivery]]/Master[[#This Row],[Garment Inventory]]), 0)</f>
        <v>0</v>
      </c>
      <c r="Y155" s="62"/>
      <c r="Z155" s="62"/>
      <c r="AA155" s="53">
        <v>28.41</v>
      </c>
      <c r="AB155" s="53">
        <v>29.66</v>
      </c>
      <c r="AC155" s="53">
        <v>33.104693877551021</v>
      </c>
      <c r="AD155" s="53">
        <v>35.00673469387754</v>
      </c>
      <c r="AE155" s="53" t="str">
        <f>_xlfn.XLOOKUP(Master[[#This Row],[cu_id]],'[1]Customer Revenue'!$Q:$Q,'[1]Customer Revenue'!$K:$K, "None")</f>
        <v>None</v>
      </c>
      <c r="AF155" s="53" t="str">
        <f>_xlfn.XLOOKUP(Master[[#This Row],[cu_id]],'[1]Customer Revenue'!$Q:$Q,'[1]Customer Revenue'!$L:$L, "None")</f>
        <v>None</v>
      </c>
      <c r="AG155" s="53">
        <v>24.750813609467464</v>
      </c>
      <c r="AH155" s="53">
        <v>32.94418639053255</v>
      </c>
      <c r="AI155" s="53">
        <v>29.035</v>
      </c>
      <c r="AJ155" s="53">
        <v>34.055714285714281</v>
      </c>
      <c r="AK155" s="53" t="str">
        <f>_xlfn.XLOOKUP(Master[[#This Row],[cu_id]],'[1]Customer Revenue'!$Q:$Q,'[1]Customer Revenue'!$I:$I, "None")</f>
        <v>None</v>
      </c>
      <c r="AL155" s="53">
        <v>28.847500000000007</v>
      </c>
      <c r="AM155" s="61">
        <v>0.375</v>
      </c>
      <c r="AN155" s="60">
        <v>0.70833333333333337</v>
      </c>
      <c r="AO155" s="60" t="s">
        <v>36</v>
      </c>
      <c r="AP155" s="60" t="s">
        <v>36</v>
      </c>
      <c r="AQ155" s="58" t="s">
        <v>0</v>
      </c>
      <c r="AR155" s="58"/>
      <c r="AS155" s="58"/>
      <c r="AT155" s="52">
        <v>0</v>
      </c>
      <c r="AU155" s="52" t="e">
        <f>IF(Master[[#This Row],[RSP StopTime override]] &lt;&gt; "",Master[[#This Row],[RSP StopTime override]],IF(Master[[#This Row],[Avg stop time helper]] &lt;&gt; 0, Master[[#This Row],[Avg stop time helper]],Average_Stop_Time))</f>
        <v>#DIV/0!</v>
      </c>
      <c r="AV155" s="21"/>
      <c r="AW155" s="20">
        <f>Master[[#This Row],[RSP StopTime override]]-Master[[#This Row],[Avg stop time helper]]</f>
        <v>0</v>
      </c>
    </row>
    <row r="156" spans="1:49" x14ac:dyDescent="0.3">
      <c r="A156" s="66" t="s">
        <v>4270</v>
      </c>
      <c r="B156" s="58">
        <v>6</v>
      </c>
      <c r="C156" s="58" t="s">
        <v>15</v>
      </c>
      <c r="D156" s="65">
        <v>99117</v>
      </c>
      <c r="E156" s="65" t="s">
        <v>1572</v>
      </c>
      <c r="F156" s="65" t="s">
        <v>3592</v>
      </c>
      <c r="G156" s="65" t="s">
        <v>3232</v>
      </c>
      <c r="H156" s="65" t="s">
        <v>7</v>
      </c>
      <c r="I156" s="65" t="s">
        <v>39</v>
      </c>
      <c r="J156" s="65" t="s">
        <v>5</v>
      </c>
      <c r="K156" s="65" t="s">
        <v>3203</v>
      </c>
      <c r="L156" s="64" t="s">
        <v>67</v>
      </c>
      <c r="M156" s="58" t="s">
        <v>3</v>
      </c>
      <c r="N156" s="58" t="s">
        <v>2</v>
      </c>
      <c r="O156" s="58">
        <v>35</v>
      </c>
      <c r="P156" s="58">
        <v>0</v>
      </c>
      <c r="Q156" s="58">
        <v>0</v>
      </c>
      <c r="R156" s="58">
        <v>0</v>
      </c>
      <c r="S156" s="58">
        <v>0</v>
      </c>
      <c r="T156" s="58">
        <v>35</v>
      </c>
      <c r="U156" s="58">
        <v>52</v>
      </c>
      <c r="V156" s="62"/>
      <c r="W156" s="62"/>
      <c r="X156" s="63">
        <f>IFERROR(1 -(Master[[#This Row],[Avg Garment Scans per Delivery]]/Master[[#This Row],[Garment Inventory]]), 0)</f>
        <v>0</v>
      </c>
      <c r="Y156" s="62"/>
      <c r="Z156" s="62"/>
      <c r="AA156" s="53">
        <v>44.924166666666679</v>
      </c>
      <c r="AB156" s="53">
        <v>45.919166666666683</v>
      </c>
      <c r="AC156" s="53">
        <v>37.632485207100594</v>
      </c>
      <c r="AD156" s="53">
        <v>45.605976331360942</v>
      </c>
      <c r="AE156" s="53" t="str">
        <f>_xlfn.XLOOKUP(Master[[#This Row],[cu_id]],'[1]Customer Revenue'!$Q:$Q,'[1]Customer Revenue'!$K:$K, "None")</f>
        <v>None</v>
      </c>
      <c r="AF156" s="53" t="str">
        <f>_xlfn.XLOOKUP(Master[[#This Row],[cu_id]],'[1]Customer Revenue'!$Q:$Q,'[1]Customer Revenue'!$L:$L, "None")</f>
        <v>None</v>
      </c>
      <c r="AG156" s="53">
        <v>39.902485207100604</v>
      </c>
      <c r="AH156" s="53">
        <v>46.906745562130176</v>
      </c>
      <c r="AI156" s="53">
        <v>45.421666666666681</v>
      </c>
      <c r="AJ156" s="53">
        <v>41.619230769230768</v>
      </c>
      <c r="AK156" s="53" t="str">
        <f>_xlfn.XLOOKUP(Master[[#This Row],[cu_id]],'[1]Customer Revenue'!$Q:$Q,'[1]Customer Revenue'!$I:$I, "None")</f>
        <v>None</v>
      </c>
      <c r="AL156" s="53">
        <v>43.40461538461539</v>
      </c>
      <c r="AM156" s="61">
        <v>0.20833333333333334</v>
      </c>
      <c r="AN156" s="60">
        <v>0.70833333333333337</v>
      </c>
      <c r="AO156" s="60" t="s">
        <v>36</v>
      </c>
      <c r="AP156" s="60" t="s">
        <v>36</v>
      </c>
      <c r="AQ156" s="58" t="s">
        <v>0</v>
      </c>
      <c r="AR156" s="58"/>
      <c r="AS156" s="58"/>
      <c r="AT156" s="52">
        <v>0</v>
      </c>
      <c r="AU156" s="52" t="e">
        <f>IF(Master[[#This Row],[RSP StopTime override]] &lt;&gt; "",Master[[#This Row],[RSP StopTime override]],IF(Master[[#This Row],[Avg stop time helper]] &lt;&gt; 0, Master[[#This Row],[Avg stop time helper]],Average_Stop_Time))</f>
        <v>#DIV/0!</v>
      </c>
      <c r="AV156" s="21"/>
      <c r="AW156" s="20">
        <f>Master[[#This Row],[RSP StopTime override]]-Master[[#This Row],[Avg stop time helper]]</f>
        <v>0</v>
      </c>
    </row>
    <row r="157" spans="1:49" x14ac:dyDescent="0.3">
      <c r="A157" s="66" t="s">
        <v>4271</v>
      </c>
      <c r="B157" s="58">
        <v>6</v>
      </c>
      <c r="C157" s="58" t="s">
        <v>15</v>
      </c>
      <c r="D157" s="65">
        <v>99133</v>
      </c>
      <c r="E157" s="65" t="s">
        <v>1996</v>
      </c>
      <c r="F157" s="65" t="s">
        <v>1623</v>
      </c>
      <c r="G157" s="65" t="s">
        <v>3231</v>
      </c>
      <c r="H157" s="65" t="s">
        <v>7</v>
      </c>
      <c r="I157" s="65" t="s">
        <v>39</v>
      </c>
      <c r="J157" s="65" t="s">
        <v>5</v>
      </c>
      <c r="K157" s="65" t="s">
        <v>3203</v>
      </c>
      <c r="L157" s="64" t="s">
        <v>67</v>
      </c>
      <c r="M157" s="58" t="s">
        <v>3</v>
      </c>
      <c r="N157" s="58" t="s">
        <v>2</v>
      </c>
      <c r="O157" s="58">
        <v>75</v>
      </c>
      <c r="P157" s="58">
        <v>0</v>
      </c>
      <c r="Q157" s="58">
        <v>0</v>
      </c>
      <c r="R157" s="58">
        <v>0</v>
      </c>
      <c r="S157" s="58">
        <v>0</v>
      </c>
      <c r="T157" s="58">
        <v>75</v>
      </c>
      <c r="U157" s="58">
        <v>52</v>
      </c>
      <c r="V157" s="62"/>
      <c r="W157" s="62"/>
      <c r="X157" s="63">
        <f>IFERROR(1 -(Master[[#This Row],[Avg Garment Scans per Delivery]]/Master[[#This Row],[Garment Inventory]]), 0)</f>
        <v>0</v>
      </c>
      <c r="Y157" s="62"/>
      <c r="Z157" s="62"/>
      <c r="AA157" s="53">
        <v>108.47152777777778</v>
      </c>
      <c r="AB157" s="53">
        <v>109.4768055555556</v>
      </c>
      <c r="AC157" s="53">
        <v>108.4930177514793</v>
      </c>
      <c r="AD157" s="53">
        <v>109.39621301775151</v>
      </c>
      <c r="AE157" s="53" t="str">
        <f>_xlfn.XLOOKUP(Master[[#This Row],[cu_id]],'[1]Customer Revenue'!$Q:$Q,'[1]Customer Revenue'!$K:$K, "None")</f>
        <v>None</v>
      </c>
      <c r="AF157" s="53" t="str">
        <f>_xlfn.XLOOKUP(Master[[#This Row],[cu_id]],'[1]Customer Revenue'!$Q:$Q,'[1]Customer Revenue'!$L:$L, "None")</f>
        <v>None</v>
      </c>
      <c r="AG157" s="53">
        <v>108.57502958579882</v>
      </c>
      <c r="AH157" s="53">
        <v>109.12035502958572</v>
      </c>
      <c r="AI157" s="53">
        <v>108.97416666666669</v>
      </c>
      <c r="AJ157" s="53">
        <v>108.9446153846154</v>
      </c>
      <c r="AK157" s="53" t="str">
        <f>_xlfn.XLOOKUP(Master[[#This Row],[cu_id]],'[1]Customer Revenue'!$Q:$Q,'[1]Customer Revenue'!$I:$I, "None")</f>
        <v>None</v>
      </c>
      <c r="AL157" s="53">
        <v>108.84769230769227</v>
      </c>
      <c r="AM157" s="61">
        <v>0.39583333333333331</v>
      </c>
      <c r="AN157" s="60">
        <v>0.70833333333333337</v>
      </c>
      <c r="AO157" s="60" t="s">
        <v>36</v>
      </c>
      <c r="AP157" s="60" t="s">
        <v>36</v>
      </c>
      <c r="AQ157" s="58" t="s">
        <v>0</v>
      </c>
      <c r="AR157" s="58"/>
      <c r="AS157" s="58"/>
      <c r="AT157" s="52">
        <v>0</v>
      </c>
      <c r="AU157" s="52" t="e">
        <f>IF(Master[[#This Row],[RSP StopTime override]] &lt;&gt; "",Master[[#This Row],[RSP StopTime override]],IF(Master[[#This Row],[Avg stop time helper]] &lt;&gt; 0, Master[[#This Row],[Avg stop time helper]],Average_Stop_Time))</f>
        <v>#DIV/0!</v>
      </c>
      <c r="AV157" s="21"/>
      <c r="AW157" s="20">
        <f>Master[[#This Row],[RSP StopTime override]]-Master[[#This Row],[Avg stop time helper]]</f>
        <v>0</v>
      </c>
    </row>
    <row r="158" spans="1:49" x14ac:dyDescent="0.3">
      <c r="A158" s="66" t="s">
        <v>4272</v>
      </c>
      <c r="B158" s="58">
        <v>6</v>
      </c>
      <c r="C158" s="58" t="s">
        <v>15</v>
      </c>
      <c r="D158" s="65">
        <v>99161</v>
      </c>
      <c r="E158" s="65" t="s">
        <v>683</v>
      </c>
      <c r="F158" s="65" t="s">
        <v>3230</v>
      </c>
      <c r="G158" s="65" t="s">
        <v>3229</v>
      </c>
      <c r="H158" s="65" t="s">
        <v>7</v>
      </c>
      <c r="I158" s="65" t="s">
        <v>39</v>
      </c>
      <c r="J158" s="65" t="s">
        <v>5</v>
      </c>
      <c r="K158" s="65" t="s">
        <v>3203</v>
      </c>
      <c r="L158" s="64" t="s">
        <v>67</v>
      </c>
      <c r="M158" s="58" t="s">
        <v>3</v>
      </c>
      <c r="N158" s="58" t="s">
        <v>2</v>
      </c>
      <c r="O158" s="58">
        <v>1</v>
      </c>
      <c r="P158" s="58">
        <v>0</v>
      </c>
      <c r="Q158" s="58">
        <v>0</v>
      </c>
      <c r="R158" s="58">
        <v>0</v>
      </c>
      <c r="S158" s="58">
        <v>0</v>
      </c>
      <c r="T158" s="58">
        <v>1</v>
      </c>
      <c r="U158" s="58">
        <v>5</v>
      </c>
      <c r="V158" s="62"/>
      <c r="W158" s="62"/>
      <c r="X158" s="63">
        <f>IFERROR(1 -(Master[[#This Row],[Avg Garment Scans per Delivery]]/Master[[#This Row],[Garment Inventory]]), 0)</f>
        <v>0</v>
      </c>
      <c r="Y158" s="62"/>
      <c r="Z158" s="62"/>
      <c r="AA158" s="53">
        <v>17.620000000000005</v>
      </c>
      <c r="AB158" s="53">
        <v>122.18</v>
      </c>
      <c r="AC158" s="53">
        <v>61.78</v>
      </c>
      <c r="AD158" s="53">
        <v>61.78</v>
      </c>
      <c r="AE158" s="53" t="str">
        <f>_xlfn.XLOOKUP(Master[[#This Row],[cu_id]],'[1]Customer Revenue'!$Q:$Q,'[1]Customer Revenue'!$K:$K, "None")</f>
        <v>None</v>
      </c>
      <c r="AF158" s="53" t="str">
        <f>_xlfn.XLOOKUP(Master[[#This Row],[cu_id]],'[1]Customer Revenue'!$Q:$Q,'[1]Customer Revenue'!$L:$L, "None")</f>
        <v>None</v>
      </c>
      <c r="AG158" s="53">
        <v>29.25416666666667</v>
      </c>
      <c r="AH158" s="53">
        <v>134.29916666666668</v>
      </c>
      <c r="AI158" s="53">
        <v>69.900000000000006</v>
      </c>
      <c r="AJ158" s="53">
        <v>61.78</v>
      </c>
      <c r="AK158" s="53" t="str">
        <f>_xlfn.XLOOKUP(Master[[#This Row],[cu_id]],'[1]Customer Revenue'!$Q:$Q,'[1]Customer Revenue'!$I:$I, "None")</f>
        <v>None</v>
      </c>
      <c r="AL158" s="53">
        <v>81.776666666666671</v>
      </c>
      <c r="AM158" s="61">
        <v>0.25</v>
      </c>
      <c r="AN158" s="60">
        <v>0.5</v>
      </c>
      <c r="AO158" s="60" t="s">
        <v>36</v>
      </c>
      <c r="AP158" s="60" t="s">
        <v>36</v>
      </c>
      <c r="AQ158" s="58" t="s">
        <v>0</v>
      </c>
      <c r="AR158" s="58"/>
      <c r="AS158" s="58"/>
      <c r="AT158" s="52">
        <v>0</v>
      </c>
      <c r="AU158" s="52" t="e">
        <f>IF(Master[[#This Row],[RSP StopTime override]] &lt;&gt; "",Master[[#This Row],[RSP StopTime override]],IF(Master[[#This Row],[Avg stop time helper]] &lt;&gt; 0, Master[[#This Row],[Avg stop time helper]],Average_Stop_Time))</f>
        <v>#DIV/0!</v>
      </c>
      <c r="AV158" s="21"/>
      <c r="AW158" s="20">
        <f>Master[[#This Row],[RSP StopTime override]]-Master[[#This Row],[Avg stop time helper]]</f>
        <v>0</v>
      </c>
    </row>
    <row r="159" spans="1:49" x14ac:dyDescent="0.3">
      <c r="A159" s="66" t="s">
        <v>4273</v>
      </c>
      <c r="B159" s="58">
        <v>6</v>
      </c>
      <c r="C159" s="58" t="s">
        <v>15</v>
      </c>
      <c r="D159" s="65">
        <v>499014</v>
      </c>
      <c r="E159" s="65" t="s">
        <v>1826</v>
      </c>
      <c r="F159" s="65" t="s">
        <v>1149</v>
      </c>
      <c r="G159" s="65" t="s">
        <v>3225</v>
      </c>
      <c r="H159" s="65" t="s">
        <v>32</v>
      </c>
      <c r="I159" s="65" t="s">
        <v>3224</v>
      </c>
      <c r="J159" s="65" t="s">
        <v>5</v>
      </c>
      <c r="K159" s="65" t="s">
        <v>38</v>
      </c>
      <c r="L159" s="64" t="s">
        <v>124</v>
      </c>
      <c r="M159" s="58" t="s">
        <v>123</v>
      </c>
      <c r="N159" s="58" t="s">
        <v>2</v>
      </c>
      <c r="O159" s="58">
        <v>100</v>
      </c>
      <c r="P159" s="58">
        <v>0</v>
      </c>
      <c r="Q159" s="58">
        <v>0</v>
      </c>
      <c r="R159" s="58">
        <v>0</v>
      </c>
      <c r="S159" s="58">
        <v>0</v>
      </c>
      <c r="T159" s="58">
        <v>100</v>
      </c>
      <c r="U159" s="58">
        <v>33</v>
      </c>
      <c r="V159" s="62"/>
      <c r="W159" s="62">
        <v>5</v>
      </c>
      <c r="X159" s="63">
        <f>IFERROR(1 -(Master[[#This Row],[Avg Garment Scans per Delivery]]/Master[[#This Row],[Garment Inventory]]), 0)</f>
        <v>0</v>
      </c>
      <c r="Y159" s="62"/>
      <c r="Z159" s="62"/>
      <c r="AA159" s="53">
        <v>33.32222222222223</v>
      </c>
      <c r="AB159" s="53">
        <v>134.22444444444443</v>
      </c>
      <c r="AC159" s="53">
        <v>58.872222222222234</v>
      </c>
      <c r="AD159" s="53">
        <v>106.00111111111113</v>
      </c>
      <c r="AE159" s="53" t="str">
        <f>_xlfn.XLOOKUP(Master[[#This Row],[cu_id]],'[1]Customer Revenue'!$Q:$Q,'[1]Customer Revenue'!$K:$K, "None")</f>
        <v>None</v>
      </c>
      <c r="AF159" s="53" t="str">
        <f>_xlfn.XLOOKUP(Master[[#This Row],[cu_id]],'[1]Customer Revenue'!$Q:$Q,'[1]Customer Revenue'!$L:$L, "None")</f>
        <v>None</v>
      </c>
      <c r="AG159" s="53">
        <v>35.828061224489801</v>
      </c>
      <c r="AH159" s="53">
        <v>94.921938775510199</v>
      </c>
      <c r="AI159" s="53">
        <v>83.773333333333326</v>
      </c>
      <c r="AJ159" s="53">
        <v>82.436666666666682</v>
      </c>
      <c r="AK159" s="53" t="str">
        <f>_xlfn.XLOOKUP(Master[[#This Row],[cu_id]],'[1]Customer Revenue'!$Q:$Q,'[1]Customer Revenue'!$I:$I, "None")</f>
        <v>None</v>
      </c>
      <c r="AL159" s="53">
        <v>65.375</v>
      </c>
      <c r="AM159" s="61">
        <v>0.375</v>
      </c>
      <c r="AN159" s="60">
        <v>0.70833333333333337</v>
      </c>
      <c r="AO159" s="60" t="s">
        <v>36</v>
      </c>
      <c r="AP159" s="60" t="s">
        <v>36</v>
      </c>
      <c r="AQ159" s="58" t="s">
        <v>0</v>
      </c>
      <c r="AR159" s="58"/>
      <c r="AS159" s="58"/>
      <c r="AT159" s="52">
        <v>0</v>
      </c>
      <c r="AU159" s="52" t="e">
        <f>IF(Master[[#This Row],[RSP StopTime override]] &lt;&gt; "",Master[[#This Row],[RSP StopTime override]],IF(Master[[#This Row],[Avg stop time helper]] &lt;&gt; 0, Master[[#This Row],[Avg stop time helper]],Average_Stop_Time))</f>
        <v>#DIV/0!</v>
      </c>
      <c r="AV159" s="21"/>
      <c r="AW159" s="20">
        <f>Master[[#This Row],[RSP StopTime override]]-Master[[#This Row],[Avg stop time helper]]</f>
        <v>0</v>
      </c>
    </row>
    <row r="160" spans="1:49" x14ac:dyDescent="0.3">
      <c r="A160" s="66" t="s">
        <v>4274</v>
      </c>
      <c r="B160" s="58">
        <v>6</v>
      </c>
      <c r="C160" s="58" t="s">
        <v>15</v>
      </c>
      <c r="D160" s="65">
        <v>531844</v>
      </c>
      <c r="E160" s="65" t="s">
        <v>42</v>
      </c>
      <c r="F160" s="65" t="s">
        <v>3223</v>
      </c>
      <c r="G160" s="65" t="s">
        <v>3222</v>
      </c>
      <c r="H160" s="65" t="s">
        <v>7</v>
      </c>
      <c r="I160" s="65" t="s">
        <v>3221</v>
      </c>
      <c r="J160" s="65" t="s">
        <v>5</v>
      </c>
      <c r="K160" s="65" t="s">
        <v>3203</v>
      </c>
      <c r="L160" s="64" t="s">
        <v>91</v>
      </c>
      <c r="M160" s="58" t="s">
        <v>90</v>
      </c>
      <c r="N160" s="58" t="s">
        <v>2</v>
      </c>
      <c r="O160" s="58">
        <v>45</v>
      </c>
      <c r="P160" s="58">
        <v>0</v>
      </c>
      <c r="Q160" s="58">
        <v>0</v>
      </c>
      <c r="R160" s="58">
        <v>0</v>
      </c>
      <c r="S160" s="58">
        <v>0</v>
      </c>
      <c r="T160" s="58">
        <v>45</v>
      </c>
      <c r="U160" s="58">
        <v>24</v>
      </c>
      <c r="V160" s="62"/>
      <c r="W160" s="62"/>
      <c r="X160" s="63">
        <f>IFERROR(1 -(Master[[#This Row],[Avg Garment Scans per Delivery]]/Master[[#This Row],[Garment Inventory]]), 0)</f>
        <v>0</v>
      </c>
      <c r="Y160" s="62"/>
      <c r="Z160" s="62"/>
      <c r="AA160" s="53">
        <v>64.112222222222243</v>
      </c>
      <c r="AB160" s="53">
        <v>73.084444444444443</v>
      </c>
      <c r="AC160" s="53">
        <v>46.672678571428555</v>
      </c>
      <c r="AD160" s="53">
        <v>84.93017857142857</v>
      </c>
      <c r="AE160" s="53" t="str">
        <f>_xlfn.XLOOKUP(Master[[#This Row],[cu_id]],'[1]Customer Revenue'!$Q:$Q,'[1]Customer Revenue'!$K:$K, "None")</f>
        <v>None</v>
      </c>
      <c r="AF160" s="53" t="str">
        <f>_xlfn.XLOOKUP(Master[[#This Row],[cu_id]],'[1]Customer Revenue'!$Q:$Q,'[1]Customer Revenue'!$L:$L, "None")</f>
        <v>None</v>
      </c>
      <c r="AG160" s="53">
        <v>56.936094674556216</v>
      </c>
      <c r="AH160" s="53">
        <v>69.417751479289947</v>
      </c>
      <c r="AI160" s="53">
        <v>68.598333333333343</v>
      </c>
      <c r="AJ160" s="53">
        <v>65.801428571428559</v>
      </c>
      <c r="AK160" s="53" t="str">
        <f>_xlfn.XLOOKUP(Master[[#This Row],[cu_id]],'[1]Customer Revenue'!$Q:$Q,'[1]Customer Revenue'!$I:$I, "None")</f>
        <v>None</v>
      </c>
      <c r="AL160" s="53">
        <v>63.176923076923082</v>
      </c>
      <c r="AM160" s="61">
        <v>0.3125</v>
      </c>
      <c r="AN160" s="60">
        <v>0.70833333333333337</v>
      </c>
      <c r="AO160" s="60" t="s">
        <v>36</v>
      </c>
      <c r="AP160" s="60" t="s">
        <v>36</v>
      </c>
      <c r="AQ160" s="58" t="s">
        <v>0</v>
      </c>
      <c r="AR160" s="58"/>
      <c r="AS160" s="58"/>
      <c r="AT160" s="52">
        <v>0</v>
      </c>
      <c r="AU160" s="52" t="e">
        <f>IF(Master[[#This Row],[RSP StopTime override]] &lt;&gt; "",Master[[#This Row],[RSP StopTime override]],IF(Master[[#This Row],[Avg stop time helper]] &lt;&gt; 0, Master[[#This Row],[Avg stop time helper]],Average_Stop_Time))</f>
        <v>#DIV/0!</v>
      </c>
      <c r="AV160" s="21"/>
      <c r="AW160" s="20">
        <f>Master[[#This Row],[RSP StopTime override]]-Master[[#This Row],[Avg stop time helper]]</f>
        <v>0</v>
      </c>
    </row>
    <row r="161" spans="1:49" x14ac:dyDescent="0.3">
      <c r="A161" s="66" t="s">
        <v>4275</v>
      </c>
      <c r="B161" s="58">
        <v>6</v>
      </c>
      <c r="C161" s="58" t="s">
        <v>15</v>
      </c>
      <c r="D161" s="65">
        <v>532736</v>
      </c>
      <c r="E161" s="65" t="s">
        <v>42</v>
      </c>
      <c r="F161" s="65" t="s">
        <v>3220</v>
      </c>
      <c r="G161" s="65" t="s">
        <v>3219</v>
      </c>
      <c r="H161" s="65" t="s">
        <v>7</v>
      </c>
      <c r="I161" s="65" t="s">
        <v>39</v>
      </c>
      <c r="J161" s="65" t="s">
        <v>5</v>
      </c>
      <c r="K161" s="65" t="s">
        <v>3203</v>
      </c>
      <c r="L161" s="64" t="s">
        <v>67</v>
      </c>
      <c r="M161" s="58" t="s">
        <v>3</v>
      </c>
      <c r="N161" s="58" t="s">
        <v>2</v>
      </c>
      <c r="O161" s="58">
        <v>80</v>
      </c>
      <c r="P161" s="58">
        <v>0</v>
      </c>
      <c r="Q161" s="58">
        <v>0</v>
      </c>
      <c r="R161" s="58">
        <v>0</v>
      </c>
      <c r="S161" s="58">
        <v>0</v>
      </c>
      <c r="T161" s="58">
        <v>80</v>
      </c>
      <c r="U161" s="58">
        <v>52</v>
      </c>
      <c r="V161" s="62"/>
      <c r="W161" s="62"/>
      <c r="X161" s="63">
        <f>IFERROR(1 -(Master[[#This Row],[Avg Garment Scans per Delivery]]/Master[[#This Row],[Garment Inventory]]), 0)</f>
        <v>0</v>
      </c>
      <c r="Y161" s="62"/>
      <c r="Z161" s="62"/>
      <c r="AA161" s="53">
        <v>51.857083333333335</v>
      </c>
      <c r="AB161" s="53">
        <v>85.047916666666666</v>
      </c>
      <c r="AC161" s="53">
        <v>57.550295857988161</v>
      </c>
      <c r="AD161" s="53">
        <v>102.28047337278106</v>
      </c>
      <c r="AE161" s="53" t="str">
        <f>_xlfn.XLOOKUP(Master[[#This Row],[cu_id]],'[1]Customer Revenue'!$Q:$Q,'[1]Customer Revenue'!$K:$K, "None")</f>
        <v>None</v>
      </c>
      <c r="AF161" s="53" t="str">
        <f>_xlfn.XLOOKUP(Master[[#This Row],[cu_id]],'[1]Customer Revenue'!$Q:$Q,'[1]Customer Revenue'!$L:$L, "None")</f>
        <v>None</v>
      </c>
      <c r="AG161" s="53">
        <v>51.766214201183431</v>
      </c>
      <c r="AH161" s="53">
        <v>80.455385798816593</v>
      </c>
      <c r="AI161" s="53">
        <v>68.452500000000001</v>
      </c>
      <c r="AJ161" s="53">
        <v>79.91538461538461</v>
      </c>
      <c r="AK161" s="53" t="str">
        <f>_xlfn.XLOOKUP(Master[[#This Row],[cu_id]],'[1]Customer Revenue'!$Q:$Q,'[1]Customer Revenue'!$I:$I, "None")</f>
        <v>None</v>
      </c>
      <c r="AL161" s="53">
        <v>66.110800000000012</v>
      </c>
      <c r="AM161" s="61">
        <v>0.39583333333333331</v>
      </c>
      <c r="AN161" s="60">
        <v>0.70833333333333337</v>
      </c>
      <c r="AO161" s="60" t="s">
        <v>36</v>
      </c>
      <c r="AP161" s="60" t="s">
        <v>36</v>
      </c>
      <c r="AQ161" s="58" t="s">
        <v>0</v>
      </c>
      <c r="AR161" s="58"/>
      <c r="AS161" s="58"/>
      <c r="AT161" s="52">
        <v>0</v>
      </c>
      <c r="AU161" s="52" t="e">
        <f>IF(Master[[#This Row],[RSP StopTime override]] &lt;&gt; "",Master[[#This Row],[RSP StopTime override]],IF(Master[[#This Row],[Avg stop time helper]] &lt;&gt; 0, Master[[#This Row],[Avg stop time helper]],Average_Stop_Time))</f>
        <v>#DIV/0!</v>
      </c>
      <c r="AV161" s="21"/>
      <c r="AW161" s="20">
        <f>Master[[#This Row],[RSP StopTime override]]-Master[[#This Row],[Avg stop time helper]]</f>
        <v>0</v>
      </c>
    </row>
    <row r="162" spans="1:49" x14ac:dyDescent="0.3">
      <c r="A162" s="66" t="s">
        <v>4276</v>
      </c>
      <c r="B162" s="58">
        <v>6</v>
      </c>
      <c r="C162" s="58" t="s">
        <v>43</v>
      </c>
      <c r="D162" s="65">
        <v>532891</v>
      </c>
      <c r="E162" s="65" t="s">
        <v>42</v>
      </c>
      <c r="F162" s="65" t="s">
        <v>3218</v>
      </c>
      <c r="G162" s="65" t="s">
        <v>3217</v>
      </c>
      <c r="H162" s="65" t="s">
        <v>7</v>
      </c>
      <c r="I162" s="65" t="s">
        <v>39</v>
      </c>
      <c r="J162" s="65" t="s">
        <v>5</v>
      </c>
      <c r="K162" s="65" t="s">
        <v>38</v>
      </c>
      <c r="L162" s="64" t="s">
        <v>67</v>
      </c>
      <c r="M162" s="58" t="s">
        <v>3</v>
      </c>
      <c r="N162" s="58" t="s">
        <v>2</v>
      </c>
      <c r="O162" s="58">
        <v>55</v>
      </c>
      <c r="P162" s="58">
        <v>0</v>
      </c>
      <c r="Q162" s="58">
        <v>0</v>
      </c>
      <c r="R162" s="58">
        <v>0</v>
      </c>
      <c r="S162" s="58">
        <v>0</v>
      </c>
      <c r="T162" s="58">
        <v>55</v>
      </c>
      <c r="U162" s="58">
        <v>54</v>
      </c>
      <c r="V162" s="62"/>
      <c r="W162" s="62"/>
      <c r="X162" s="63">
        <f>IFERROR(1 -(Master[[#This Row],[Avg Garment Scans per Delivery]]/Master[[#This Row],[Garment Inventory]]), 0)</f>
        <v>0</v>
      </c>
      <c r="Y162" s="62"/>
      <c r="Z162" s="62"/>
      <c r="AA162" s="53">
        <v>196.04500000000002</v>
      </c>
      <c r="AB162" s="53">
        <v>219.09666666666669</v>
      </c>
      <c r="AC162" s="53">
        <v>162.50945312499991</v>
      </c>
      <c r="AD162" s="53">
        <v>264.95679687499995</v>
      </c>
      <c r="AE162" s="53" t="str">
        <f>_xlfn.XLOOKUP(Master[[#This Row],[cu_id]],'[1]Customer Revenue'!$Q:$Q,'[1]Customer Revenue'!$K:$K, "None")</f>
        <v>None</v>
      </c>
      <c r="AF162" s="53" t="str">
        <f>_xlfn.XLOOKUP(Master[[#This Row],[cu_id]],'[1]Customer Revenue'!$Q:$Q,'[1]Customer Revenue'!$L:$L, "None")</f>
        <v>None</v>
      </c>
      <c r="AG162" s="53">
        <v>192.4897337278106</v>
      </c>
      <c r="AH162" s="53">
        <v>209.29411242603535</v>
      </c>
      <c r="AI162" s="53">
        <v>207.57083333333335</v>
      </c>
      <c r="AJ162" s="53">
        <v>213.73312499999994</v>
      </c>
      <c r="AK162" s="53" t="str">
        <f>_xlfn.XLOOKUP(Master[[#This Row],[cu_id]],'[1]Customer Revenue'!$Q:$Q,'[1]Customer Revenue'!$I:$I, "None")</f>
        <v>None</v>
      </c>
      <c r="AL162" s="53">
        <v>200.89192307692298</v>
      </c>
      <c r="AM162" s="61" t="s">
        <v>36</v>
      </c>
      <c r="AN162" s="60" t="s">
        <v>36</v>
      </c>
      <c r="AO162" s="60" t="s">
        <v>36</v>
      </c>
      <c r="AP162" s="60" t="s">
        <v>36</v>
      </c>
      <c r="AQ162" s="58" t="s">
        <v>0</v>
      </c>
      <c r="AR162" s="58"/>
      <c r="AS162" s="58"/>
      <c r="AT162" s="52">
        <v>0</v>
      </c>
      <c r="AU162" s="52" t="e">
        <f>IF(Master[[#This Row],[RSP StopTime override]] &lt;&gt; "",Master[[#This Row],[RSP StopTime override]],IF(Master[[#This Row],[Avg stop time helper]] &lt;&gt; 0, Master[[#This Row],[Avg stop time helper]],Average_Stop_Time))</f>
        <v>#DIV/0!</v>
      </c>
      <c r="AV162" s="21"/>
      <c r="AW162" s="20">
        <f>Master[[#This Row],[RSP StopTime override]]-Master[[#This Row],[Avg stop time helper]]</f>
        <v>0</v>
      </c>
    </row>
    <row r="163" spans="1:49" x14ac:dyDescent="0.3">
      <c r="A163" s="66" t="s">
        <v>4277</v>
      </c>
      <c r="B163" s="58">
        <v>6</v>
      </c>
      <c r="C163" s="58" t="s">
        <v>15</v>
      </c>
      <c r="D163" s="65">
        <v>533101</v>
      </c>
      <c r="E163" s="65" t="s">
        <v>686</v>
      </c>
      <c r="F163" s="65" t="s">
        <v>3593</v>
      </c>
      <c r="G163" s="65" t="s">
        <v>3216</v>
      </c>
      <c r="H163" s="65" t="s">
        <v>7</v>
      </c>
      <c r="I163" s="65" t="s">
        <v>39</v>
      </c>
      <c r="J163" s="65" t="s">
        <v>5</v>
      </c>
      <c r="K163" s="65" t="s">
        <v>3203</v>
      </c>
      <c r="L163" s="64" t="s">
        <v>67</v>
      </c>
      <c r="M163" s="58" t="s">
        <v>3</v>
      </c>
      <c r="N163" s="58" t="s">
        <v>2</v>
      </c>
      <c r="O163" s="58">
        <v>30</v>
      </c>
      <c r="P163" s="58">
        <v>0</v>
      </c>
      <c r="Q163" s="58">
        <v>0</v>
      </c>
      <c r="R163" s="58">
        <v>0</v>
      </c>
      <c r="S163" s="58">
        <v>0</v>
      </c>
      <c r="T163" s="58">
        <v>30</v>
      </c>
      <c r="U163" s="58">
        <v>52</v>
      </c>
      <c r="V163" s="62"/>
      <c r="W163" s="62"/>
      <c r="X163" s="63">
        <f>IFERROR(1 -(Master[[#This Row],[Avg Garment Scans per Delivery]]/Master[[#This Row],[Garment Inventory]]), 0)</f>
        <v>0</v>
      </c>
      <c r="Y163" s="62"/>
      <c r="Z163" s="62"/>
      <c r="AA163" s="53">
        <v>66.36333333333333</v>
      </c>
      <c r="AB163" s="53">
        <v>67.196666666666644</v>
      </c>
      <c r="AC163" s="53">
        <v>67.86195266272189</v>
      </c>
      <c r="AD163" s="53">
        <v>69.071893491124271</v>
      </c>
      <c r="AE163" s="53" t="str">
        <f>_xlfn.XLOOKUP(Master[[#This Row],[cu_id]],'[1]Customer Revenue'!$Q:$Q,'[1]Customer Revenue'!$K:$K, "None")</f>
        <v>None</v>
      </c>
      <c r="AF163" s="53" t="str">
        <f>_xlfn.XLOOKUP(Master[[#This Row],[cu_id]],'[1]Customer Revenue'!$Q:$Q,'[1]Customer Revenue'!$L:$L, "None")</f>
        <v>None</v>
      </c>
      <c r="AG163" s="53">
        <v>66.43236686390533</v>
      </c>
      <c r="AH163" s="53">
        <v>66.858402366863871</v>
      </c>
      <c r="AI163" s="53">
        <v>66.779999999999987</v>
      </c>
      <c r="AJ163" s="53">
        <v>68.466923076923081</v>
      </c>
      <c r="AK163" s="53" t="str">
        <f>_xlfn.XLOOKUP(Master[[#This Row],[cu_id]],'[1]Customer Revenue'!$Q:$Q,'[1]Customer Revenue'!$I:$I, "None")</f>
        <v>None</v>
      </c>
      <c r="AL163" s="53">
        <v>66.6453846153846</v>
      </c>
      <c r="AM163" s="61">
        <v>0.20833333333333334</v>
      </c>
      <c r="AN163" s="60">
        <v>0.70833333333333337</v>
      </c>
      <c r="AO163" s="60" t="s">
        <v>36</v>
      </c>
      <c r="AP163" s="60" t="s">
        <v>36</v>
      </c>
      <c r="AQ163" s="58" t="s">
        <v>0</v>
      </c>
      <c r="AR163" s="58"/>
      <c r="AS163" s="58"/>
      <c r="AT163" s="52">
        <v>0</v>
      </c>
      <c r="AU163" s="52" t="e">
        <f>IF(Master[[#This Row],[RSP StopTime override]] &lt;&gt; "",Master[[#This Row],[RSP StopTime override]],IF(Master[[#This Row],[Avg stop time helper]] &lt;&gt; 0, Master[[#This Row],[Avg stop time helper]],Average_Stop_Time))</f>
        <v>#DIV/0!</v>
      </c>
      <c r="AV163" s="21"/>
      <c r="AW163" s="20">
        <f>Master[[#This Row],[RSP StopTime override]]-Master[[#This Row],[Avg stop time helper]]</f>
        <v>0</v>
      </c>
    </row>
    <row r="164" spans="1:49" x14ac:dyDescent="0.3">
      <c r="A164" s="66" t="s">
        <v>3947</v>
      </c>
      <c r="B164" s="58">
        <v>6</v>
      </c>
      <c r="C164" s="58" t="s">
        <v>15</v>
      </c>
      <c r="D164" s="65">
        <v>533101</v>
      </c>
      <c r="E164" s="65" t="s">
        <v>1158</v>
      </c>
      <c r="F164" s="65" t="s">
        <v>3593</v>
      </c>
      <c r="G164" s="65" t="s">
        <v>3215</v>
      </c>
      <c r="H164" s="65" t="s">
        <v>7</v>
      </c>
      <c r="I164" s="65" t="s">
        <v>39</v>
      </c>
      <c r="J164" s="65" t="s">
        <v>5</v>
      </c>
      <c r="K164" s="65" t="s">
        <v>38</v>
      </c>
      <c r="L164" s="64" t="s">
        <v>67</v>
      </c>
      <c r="M164" s="58" t="s">
        <v>3</v>
      </c>
      <c r="N164" s="58" t="s">
        <v>2</v>
      </c>
      <c r="O164" s="58">
        <v>60</v>
      </c>
      <c r="P164" s="58">
        <v>0</v>
      </c>
      <c r="Q164" s="58">
        <v>0</v>
      </c>
      <c r="R164" s="58">
        <v>0</v>
      </c>
      <c r="S164" s="58">
        <v>0</v>
      </c>
      <c r="T164" s="58">
        <v>60</v>
      </c>
      <c r="U164" s="58">
        <v>45</v>
      </c>
      <c r="V164" s="62"/>
      <c r="W164" s="62"/>
      <c r="X164" s="63">
        <f>IFERROR(1 -(Master[[#This Row],[Avg Garment Scans per Delivery]]/Master[[#This Row],[Garment Inventory]]), 0)</f>
        <v>0</v>
      </c>
      <c r="Y164" s="62"/>
      <c r="Z164" s="62"/>
      <c r="AA164" s="53">
        <v>43.523333333333333</v>
      </c>
      <c r="AB164" s="53">
        <v>44.356666666666662</v>
      </c>
      <c r="AC164" s="53">
        <v>45.027869822485208</v>
      </c>
      <c r="AD164" s="53">
        <v>46.195207100591723</v>
      </c>
      <c r="AE164" s="53" t="str">
        <f>_xlfn.XLOOKUP(Master[[#This Row],[cu_id]],'[1]Customer Revenue'!$Q:$Q,'[1]Customer Revenue'!$K:$K, "None")</f>
        <v>None</v>
      </c>
      <c r="AF164" s="53" t="str">
        <f>_xlfn.XLOOKUP(Master[[#This Row],[cu_id]],'[1]Customer Revenue'!$Q:$Q,'[1]Customer Revenue'!$L:$L, "None")</f>
        <v>None</v>
      </c>
      <c r="AG164" s="53">
        <v>42.653550295857997</v>
      </c>
      <c r="AH164" s="53">
        <v>48.844911242603601</v>
      </c>
      <c r="AI164" s="53">
        <v>43.94</v>
      </c>
      <c r="AJ164" s="53">
        <v>45.611538461538466</v>
      </c>
      <c r="AK164" s="53" t="str">
        <f>_xlfn.XLOOKUP(Master[[#This Row],[cu_id]],'[1]Customer Revenue'!$Q:$Q,'[1]Customer Revenue'!$I:$I, "None")</f>
        <v>None</v>
      </c>
      <c r="AL164" s="53">
        <v>45.749230769230799</v>
      </c>
      <c r="AM164" s="61">
        <v>0.20833333333333334</v>
      </c>
      <c r="AN164" s="60">
        <v>0.70833333333333337</v>
      </c>
      <c r="AO164" s="60" t="s">
        <v>36</v>
      </c>
      <c r="AP164" s="60" t="s">
        <v>36</v>
      </c>
      <c r="AQ164" s="58" t="s">
        <v>0</v>
      </c>
      <c r="AR164" s="58"/>
      <c r="AS164" s="58"/>
      <c r="AT164" s="52">
        <v>0</v>
      </c>
      <c r="AU164" s="52" t="e">
        <f>IF(Master[[#This Row],[RSP StopTime override]] &lt;&gt; "",Master[[#This Row],[RSP StopTime override]],IF(Master[[#This Row],[Avg stop time helper]] &lt;&gt; 0, Master[[#This Row],[Avg stop time helper]],Average_Stop_Time))</f>
        <v>#DIV/0!</v>
      </c>
      <c r="AV164" s="21"/>
      <c r="AW164" s="20">
        <f>Master[[#This Row],[RSP StopTime override]]-Master[[#This Row],[Avg stop time helper]]</f>
        <v>0</v>
      </c>
    </row>
    <row r="165" spans="1:49" x14ac:dyDescent="0.3">
      <c r="A165" s="66" t="s">
        <v>4278</v>
      </c>
      <c r="B165" s="58">
        <v>6</v>
      </c>
      <c r="C165" s="58" t="s">
        <v>15</v>
      </c>
      <c r="D165" s="65">
        <v>533101</v>
      </c>
      <c r="E165" s="65" t="s">
        <v>1569</v>
      </c>
      <c r="F165" s="65" t="s">
        <v>3594</v>
      </c>
      <c r="G165" s="65" t="s">
        <v>3214</v>
      </c>
      <c r="H165" s="65" t="s">
        <v>3213</v>
      </c>
      <c r="I165" s="65" t="s">
        <v>39</v>
      </c>
      <c r="J165" s="65" t="s">
        <v>5</v>
      </c>
      <c r="K165" s="65" t="s">
        <v>3203</v>
      </c>
      <c r="L165" s="64" t="s">
        <v>67</v>
      </c>
      <c r="M165" s="58" t="s">
        <v>3</v>
      </c>
      <c r="N165" s="58" t="s">
        <v>2</v>
      </c>
      <c r="O165" s="58">
        <v>107</v>
      </c>
      <c r="P165" s="58">
        <v>0</v>
      </c>
      <c r="Q165" s="58">
        <v>0</v>
      </c>
      <c r="R165" s="58">
        <v>0</v>
      </c>
      <c r="S165" s="58">
        <v>0</v>
      </c>
      <c r="T165" s="58">
        <v>107</v>
      </c>
      <c r="U165" s="58">
        <v>2</v>
      </c>
      <c r="V165" s="62"/>
      <c r="W165" s="62"/>
      <c r="X165" s="63">
        <f>IFERROR(1 -(Master[[#This Row],[Avg Garment Scans per Delivery]]/Master[[#This Row],[Garment Inventory]]), 0)</f>
        <v>0</v>
      </c>
      <c r="Y165" s="62"/>
      <c r="Z165" s="62"/>
      <c r="AA165" s="53">
        <v>88.43</v>
      </c>
      <c r="AB165" s="53">
        <v>88.43</v>
      </c>
      <c r="AC165" s="53">
        <v>71.287514792899429</v>
      </c>
      <c r="AD165" s="53">
        <v>104.08633136094676</v>
      </c>
      <c r="AE165" s="53" t="str">
        <f>_xlfn.XLOOKUP(Master[[#This Row],[cu_id]],'[1]Customer Revenue'!$Q:$Q,'[1]Customer Revenue'!$K:$K, "None")</f>
        <v>None</v>
      </c>
      <c r="AF165" s="53" t="str">
        <f>_xlfn.XLOOKUP(Master[[#This Row],[cu_id]],'[1]Customer Revenue'!$Q:$Q,'[1]Customer Revenue'!$L:$L, "None")</f>
        <v>None</v>
      </c>
      <c r="AG165" s="53">
        <v>88.43</v>
      </c>
      <c r="AH165" s="53">
        <v>88.43</v>
      </c>
      <c r="AI165" s="53">
        <v>88.43</v>
      </c>
      <c r="AJ165" s="53">
        <v>87.686923076923094</v>
      </c>
      <c r="AK165" s="53" t="str">
        <f>_xlfn.XLOOKUP(Master[[#This Row],[cu_id]],'[1]Customer Revenue'!$Q:$Q,'[1]Customer Revenue'!$I:$I, "None")</f>
        <v>None</v>
      </c>
      <c r="AL165" s="53">
        <v>88.43</v>
      </c>
      <c r="AM165" s="61">
        <v>0.25</v>
      </c>
      <c r="AN165" s="60">
        <v>0.70833333333333337</v>
      </c>
      <c r="AO165" s="60" t="s">
        <v>36</v>
      </c>
      <c r="AP165" s="60" t="s">
        <v>36</v>
      </c>
      <c r="AQ165" s="58" t="s">
        <v>0</v>
      </c>
      <c r="AR165" s="58"/>
      <c r="AS165" s="58"/>
      <c r="AT165" s="52">
        <v>0</v>
      </c>
      <c r="AU165" s="52" t="e">
        <f>IF(Master[[#This Row],[RSP StopTime override]] &lt;&gt; "",Master[[#This Row],[RSP StopTime override]],IF(Master[[#This Row],[Avg stop time helper]] &lt;&gt; 0, Master[[#This Row],[Avg stop time helper]],Average_Stop_Time))</f>
        <v>#DIV/0!</v>
      </c>
      <c r="AV165" s="21"/>
      <c r="AW165" s="20">
        <f>Master[[#This Row],[RSP StopTime override]]-Master[[#This Row],[Avg stop time helper]]</f>
        <v>0</v>
      </c>
    </row>
    <row r="166" spans="1:49" x14ac:dyDescent="0.3">
      <c r="A166" s="66" t="s">
        <v>4279</v>
      </c>
      <c r="B166" s="58">
        <v>6</v>
      </c>
      <c r="C166" s="58" t="s">
        <v>15</v>
      </c>
      <c r="D166" s="65">
        <v>533167</v>
      </c>
      <c r="E166" s="65" t="s">
        <v>42</v>
      </c>
      <c r="F166" s="65" t="s">
        <v>3212</v>
      </c>
      <c r="G166" s="65" t="s">
        <v>3211</v>
      </c>
      <c r="H166" s="65" t="s">
        <v>3210</v>
      </c>
      <c r="I166" s="65" t="s">
        <v>39</v>
      </c>
      <c r="J166" s="65" t="s">
        <v>5</v>
      </c>
      <c r="K166" s="65" t="s">
        <v>3203</v>
      </c>
      <c r="L166" s="64" t="s">
        <v>67</v>
      </c>
      <c r="M166" s="58" t="s">
        <v>3</v>
      </c>
      <c r="N166" s="58" t="s">
        <v>2</v>
      </c>
      <c r="O166" s="58">
        <v>3</v>
      </c>
      <c r="P166" s="58">
        <v>0</v>
      </c>
      <c r="Q166" s="58">
        <v>0</v>
      </c>
      <c r="R166" s="58">
        <v>0</v>
      </c>
      <c r="S166" s="58">
        <v>0</v>
      </c>
      <c r="T166" s="58">
        <v>3</v>
      </c>
      <c r="U166" s="58">
        <v>52</v>
      </c>
      <c r="V166" s="62">
        <v>163</v>
      </c>
      <c r="W166" s="62">
        <v>25</v>
      </c>
      <c r="X166" s="63">
        <f>IFERROR(1 -(Master[[#This Row],[Avg Garment Scans per Delivery]]/Master[[#This Row],[Garment Inventory]]), 0)</f>
        <v>0.84662576687116564</v>
      </c>
      <c r="Y166" s="62">
        <v>5</v>
      </c>
      <c r="Z166" s="62">
        <v>164</v>
      </c>
      <c r="AA166" s="53">
        <v>174.64564364207223</v>
      </c>
      <c r="AB166" s="53">
        <v>228.06666405023549</v>
      </c>
      <c r="AC166" s="53">
        <v>204.54804733727815</v>
      </c>
      <c r="AD166" s="53">
        <v>213.13502958579886</v>
      </c>
      <c r="AE166" s="53" t="str">
        <f>_xlfn.XLOOKUP(Master[[#This Row],[cu_id]],'[1]Customer Revenue'!$Q:$Q,'[1]Customer Revenue'!$K:$K, "None")</f>
        <v>None</v>
      </c>
      <c r="AF166" s="53" t="str">
        <f>_xlfn.XLOOKUP(Master[[#This Row],[cu_id]],'[1]Customer Revenue'!$Q:$Q,'[1]Customer Revenue'!$L:$L, "None")</f>
        <v>None</v>
      </c>
      <c r="AG166" s="53">
        <v>186.3301081565898</v>
      </c>
      <c r="AH166" s="53">
        <v>215.28758415110269</v>
      </c>
      <c r="AI166" s="53">
        <v>201.35615384615386</v>
      </c>
      <c r="AJ166" s="53">
        <v>208.84153846153851</v>
      </c>
      <c r="AK166" s="53" t="str">
        <f>_xlfn.XLOOKUP(Master[[#This Row],[cu_id]],'[1]Customer Revenue'!$Q:$Q,'[1]Customer Revenue'!$I:$I, "None")</f>
        <v>None</v>
      </c>
      <c r="AL166" s="53">
        <v>200.80884615384625</v>
      </c>
      <c r="AM166" s="61">
        <v>0.29166666666666669</v>
      </c>
      <c r="AN166" s="60">
        <v>0.70833333333333337</v>
      </c>
      <c r="AO166" s="60" t="s">
        <v>36</v>
      </c>
      <c r="AP166" s="60" t="s">
        <v>36</v>
      </c>
      <c r="AQ166" s="58" t="s">
        <v>0</v>
      </c>
      <c r="AR166" s="58"/>
      <c r="AS166" s="58"/>
      <c r="AT166" s="52">
        <v>0</v>
      </c>
      <c r="AU166" s="52" t="e">
        <f>IF(Master[[#This Row],[RSP StopTime override]] &lt;&gt; "",Master[[#This Row],[RSP StopTime override]],IF(Master[[#This Row],[Avg stop time helper]] &lt;&gt; 0, Master[[#This Row],[Avg stop time helper]],Average_Stop_Time))</f>
        <v>#DIV/0!</v>
      </c>
      <c r="AV166" s="21"/>
      <c r="AW166" s="20">
        <f>Master[[#This Row],[RSP StopTime override]]-Master[[#This Row],[Avg stop time helper]]</f>
        <v>0</v>
      </c>
    </row>
    <row r="167" spans="1:49" x14ac:dyDescent="0.3">
      <c r="A167" s="66" t="s">
        <v>4280</v>
      </c>
      <c r="B167" s="58">
        <v>6</v>
      </c>
      <c r="C167" s="58" t="s">
        <v>15</v>
      </c>
      <c r="D167" s="65">
        <v>533181</v>
      </c>
      <c r="E167" s="65" t="s">
        <v>42</v>
      </c>
      <c r="F167" s="65" t="s">
        <v>3209</v>
      </c>
      <c r="G167" s="65" t="s">
        <v>3208</v>
      </c>
      <c r="H167" s="65" t="s">
        <v>7</v>
      </c>
      <c r="I167" s="65" t="s">
        <v>39</v>
      </c>
      <c r="J167" s="65" t="s">
        <v>5</v>
      </c>
      <c r="K167" s="65" t="s">
        <v>38</v>
      </c>
      <c r="L167" s="64" t="s">
        <v>67</v>
      </c>
      <c r="M167" s="58" t="s">
        <v>3</v>
      </c>
      <c r="N167" s="58" t="s">
        <v>2</v>
      </c>
      <c r="O167" s="58">
        <v>50</v>
      </c>
      <c r="P167" s="58">
        <v>0</v>
      </c>
      <c r="Q167" s="58">
        <v>0</v>
      </c>
      <c r="R167" s="58">
        <v>0</v>
      </c>
      <c r="S167" s="58">
        <v>0</v>
      </c>
      <c r="T167" s="58">
        <v>50</v>
      </c>
      <c r="U167" s="58">
        <v>53</v>
      </c>
      <c r="V167" s="62">
        <v>140</v>
      </c>
      <c r="W167" s="62">
        <v>17</v>
      </c>
      <c r="X167" s="63">
        <f>IFERROR(1 -(Master[[#This Row],[Avg Garment Scans per Delivery]]/Master[[#This Row],[Garment Inventory]]), 0)</f>
        <v>0.87857142857142856</v>
      </c>
      <c r="Y167" s="62">
        <v>5</v>
      </c>
      <c r="Z167" s="62">
        <v>140</v>
      </c>
      <c r="AA167" s="53">
        <v>428.56333333333333</v>
      </c>
      <c r="AB167" s="53">
        <v>504.35666666666674</v>
      </c>
      <c r="AC167" s="53">
        <v>470.10816568047341</v>
      </c>
      <c r="AD167" s="53">
        <v>522.58721893491133</v>
      </c>
      <c r="AE167" s="53" t="str">
        <f>_xlfn.XLOOKUP(Master[[#This Row],[cu_id]],'[1]Customer Revenue'!$Q:$Q,'[1]Customer Revenue'!$K:$K, "None")</f>
        <v>None</v>
      </c>
      <c r="AF167" s="53" t="str">
        <f>_xlfn.XLOOKUP(Master[[#This Row],[cu_id]],'[1]Customer Revenue'!$Q:$Q,'[1]Customer Revenue'!$L:$L, "None")</f>
        <v>None</v>
      </c>
      <c r="AG167" s="53">
        <v>432.32142011834316</v>
      </c>
      <c r="AH167" s="53">
        <v>493.2908875739642</v>
      </c>
      <c r="AI167" s="53">
        <v>466.46000000000004</v>
      </c>
      <c r="AJ167" s="53">
        <v>496.34769230769234</v>
      </c>
      <c r="AK167" s="53" t="str">
        <f>_xlfn.XLOOKUP(Master[[#This Row],[cu_id]],'[1]Customer Revenue'!$Q:$Q,'[1]Customer Revenue'!$I:$I, "None")</f>
        <v>None</v>
      </c>
      <c r="AL167" s="53">
        <v>462.80615384615368</v>
      </c>
      <c r="AM167" s="61" t="s">
        <v>36</v>
      </c>
      <c r="AN167" s="60" t="s">
        <v>36</v>
      </c>
      <c r="AO167" s="60" t="s">
        <v>36</v>
      </c>
      <c r="AP167" s="60" t="s">
        <v>36</v>
      </c>
      <c r="AQ167" s="58" t="s">
        <v>0</v>
      </c>
      <c r="AR167" s="58"/>
      <c r="AS167" s="58"/>
      <c r="AT167" s="52">
        <v>0</v>
      </c>
      <c r="AU167" s="52" t="e">
        <f>IF(Master[[#This Row],[RSP StopTime override]] &lt;&gt; "",Master[[#This Row],[RSP StopTime override]],IF(Master[[#This Row],[Avg stop time helper]] &lt;&gt; 0, Master[[#This Row],[Avg stop time helper]],Average_Stop_Time))</f>
        <v>#DIV/0!</v>
      </c>
      <c r="AV167" s="21"/>
      <c r="AW167" s="20">
        <f>Master[[#This Row],[RSP StopTime override]]-Master[[#This Row],[Avg stop time helper]]</f>
        <v>0</v>
      </c>
    </row>
    <row r="168" spans="1:49" x14ac:dyDescent="0.3">
      <c r="A168" s="81" t="s">
        <v>4281</v>
      </c>
      <c r="B168" s="79">
        <v>6</v>
      </c>
      <c r="C168" s="79" t="s">
        <v>15</v>
      </c>
      <c r="D168" s="80">
        <v>533632</v>
      </c>
      <c r="E168" s="80">
        <v>0</v>
      </c>
      <c r="F168" s="79" t="s">
        <v>3207</v>
      </c>
      <c r="G168" s="79" t="s">
        <v>3206</v>
      </c>
      <c r="H168" s="79" t="s">
        <v>7</v>
      </c>
      <c r="I168" s="79" t="s">
        <v>39</v>
      </c>
      <c r="J168" s="79" t="s">
        <v>5</v>
      </c>
      <c r="K168" s="79" t="s">
        <v>1879</v>
      </c>
      <c r="L168" s="79">
        <v>7</v>
      </c>
      <c r="M168" s="79" t="s">
        <v>3</v>
      </c>
      <c r="N168" s="79" t="s">
        <v>2</v>
      </c>
      <c r="O168" s="58">
        <v>72</v>
      </c>
      <c r="P168" s="79">
        <v>0</v>
      </c>
      <c r="Q168" s="79">
        <v>0</v>
      </c>
      <c r="R168" s="79">
        <v>0</v>
      </c>
      <c r="S168" s="79">
        <v>0</v>
      </c>
      <c r="T168" s="79">
        <v>72</v>
      </c>
      <c r="U168" s="79">
        <v>1</v>
      </c>
      <c r="V168" s="79"/>
      <c r="W168" s="79"/>
      <c r="X168" s="79"/>
      <c r="Y168" s="79"/>
      <c r="Z168" s="79"/>
      <c r="AA168" s="78">
        <v>281.85000000000002</v>
      </c>
      <c r="AB168" s="78"/>
      <c r="AC168" s="78"/>
      <c r="AD168" s="78"/>
      <c r="AE168" s="53" t="str">
        <f>_xlfn.XLOOKUP(Master[[#This Row],[cu_id]],'[1]Customer Revenue'!$Q:$Q,'[1]Customer Revenue'!$K:$K, "None")</f>
        <v>None</v>
      </c>
      <c r="AF168" s="53" t="str">
        <f>_xlfn.XLOOKUP(Master[[#This Row],[cu_id]],'[1]Customer Revenue'!$Q:$Q,'[1]Customer Revenue'!$L:$L, "None")</f>
        <v>None</v>
      </c>
      <c r="AG168" s="78"/>
      <c r="AH168" s="78"/>
      <c r="AI168" s="78"/>
      <c r="AJ168" s="78">
        <v>249.57</v>
      </c>
      <c r="AK168" s="53" t="str">
        <f>_xlfn.XLOOKUP(Master[[#This Row],[cu_id]],'[1]Customer Revenue'!$Q:$Q,'[1]Customer Revenue'!$I:$I, "None")</f>
        <v>None</v>
      </c>
      <c r="AL168" s="78"/>
      <c r="AM168" s="77" t="s">
        <v>1</v>
      </c>
      <c r="AN168" s="77" t="s">
        <v>1</v>
      </c>
      <c r="AO168" s="77" t="s">
        <v>36</v>
      </c>
      <c r="AP168" s="77" t="s">
        <v>36</v>
      </c>
      <c r="AQ168" s="77" t="s">
        <v>0</v>
      </c>
      <c r="AR168" s="77"/>
      <c r="AS168" s="76"/>
      <c r="AT168" s="76"/>
      <c r="AU168" s="76"/>
      <c r="AV168" s="75"/>
      <c r="AW168" s="20">
        <f>Master[[#This Row],[RSP StopTime override]]-Master[[#This Row],[Avg stop time helper]]</f>
        <v>0</v>
      </c>
    </row>
    <row r="169" spans="1:49" x14ac:dyDescent="0.3">
      <c r="A169" s="66" t="s">
        <v>4282</v>
      </c>
      <c r="B169" s="58">
        <v>6</v>
      </c>
      <c r="C169" s="58" t="s">
        <v>15</v>
      </c>
      <c r="D169" s="65">
        <v>886085</v>
      </c>
      <c r="E169" s="65" t="s">
        <v>3205</v>
      </c>
      <c r="F169" s="65" t="s">
        <v>3595</v>
      </c>
      <c r="G169" s="65" t="s">
        <v>3204</v>
      </c>
      <c r="H169" s="65" t="s">
        <v>7</v>
      </c>
      <c r="I169" s="65" t="s">
        <v>39</v>
      </c>
      <c r="J169" s="65" t="s">
        <v>5</v>
      </c>
      <c r="K169" s="65" t="s">
        <v>3203</v>
      </c>
      <c r="L169" s="64" t="s">
        <v>91</v>
      </c>
      <c r="M169" s="58" t="s">
        <v>90</v>
      </c>
      <c r="N169" s="58" t="s">
        <v>2</v>
      </c>
      <c r="O169" s="58">
        <v>45</v>
      </c>
      <c r="P169" s="58">
        <v>0</v>
      </c>
      <c r="Q169" s="58">
        <v>0</v>
      </c>
      <c r="R169" s="58">
        <v>0</v>
      </c>
      <c r="S169" s="58">
        <v>0</v>
      </c>
      <c r="T169" s="58">
        <v>45</v>
      </c>
      <c r="U169" s="58">
        <v>33</v>
      </c>
      <c r="V169" s="62"/>
      <c r="W169" s="62"/>
      <c r="X169" s="63">
        <f>IFERROR(1 -(Master[[#This Row],[Avg Garment Scans per Delivery]]/Master[[#This Row],[Garment Inventory]]), 0)</f>
        <v>0</v>
      </c>
      <c r="Y169" s="62"/>
      <c r="Z169" s="62"/>
      <c r="AA169" s="53">
        <v>43.541388888888882</v>
      </c>
      <c r="AB169" s="53">
        <v>44.955277777777773</v>
      </c>
      <c r="AC169" s="53">
        <v>31.894409171075832</v>
      </c>
      <c r="AD169" s="53">
        <v>65.594162257495583</v>
      </c>
      <c r="AE169" s="53" t="str">
        <f>_xlfn.XLOOKUP(Master[[#This Row],[cu_id]],'[1]Customer Revenue'!$Q:$Q,'[1]Customer Revenue'!$K:$K, "None")</f>
        <v>None</v>
      </c>
      <c r="AF169" s="53" t="str">
        <f>_xlfn.XLOOKUP(Master[[#This Row],[cu_id]],'[1]Customer Revenue'!$Q:$Q,'[1]Customer Revenue'!$L:$L, "None")</f>
        <v>None</v>
      </c>
      <c r="AG169" s="53">
        <v>33.46303209876541</v>
      </c>
      <c r="AH169" s="53">
        <v>52.252167901234571</v>
      </c>
      <c r="AI169" s="53">
        <v>44.248333333333328</v>
      </c>
      <c r="AJ169" s="53">
        <v>48.744285714285709</v>
      </c>
      <c r="AK169" s="53" t="str">
        <f>_xlfn.XLOOKUP(Master[[#This Row],[cu_id]],'[1]Customer Revenue'!$Q:$Q,'[1]Customer Revenue'!$I:$I, "None")</f>
        <v>None</v>
      </c>
      <c r="AL169" s="53">
        <v>42.857599999999991</v>
      </c>
      <c r="AM169" s="61">
        <v>0.39583333333333331</v>
      </c>
      <c r="AN169" s="60">
        <v>0.70833333333333337</v>
      </c>
      <c r="AO169" s="60" t="s">
        <v>36</v>
      </c>
      <c r="AP169" s="60" t="s">
        <v>36</v>
      </c>
      <c r="AQ169" s="58" t="s">
        <v>0</v>
      </c>
      <c r="AR169" s="58"/>
      <c r="AS169" s="58"/>
      <c r="AT169" s="52">
        <v>0</v>
      </c>
      <c r="AU169" s="52" t="e">
        <f>IF(Master[[#This Row],[RSP StopTime override]] &lt;&gt; "",Master[[#This Row],[RSP StopTime override]],IF(Master[[#This Row],[Avg stop time helper]] &lt;&gt; 0, Master[[#This Row],[Avg stop time helper]],Average_Stop_Time))</f>
        <v>#DIV/0!</v>
      </c>
      <c r="AV169" s="21"/>
      <c r="AW169" s="20">
        <f>Master[[#This Row],[RSP StopTime override]]-Master[[#This Row],[Avg stop time helper]]</f>
        <v>0</v>
      </c>
    </row>
    <row r="170" spans="1:49" x14ac:dyDescent="0.3">
      <c r="A170" s="66" t="s">
        <v>4283</v>
      </c>
      <c r="B170" s="58">
        <v>12</v>
      </c>
      <c r="C170" s="58" t="s">
        <v>24</v>
      </c>
      <c r="D170" s="65">
        <v>99033</v>
      </c>
      <c r="E170" s="65" t="s">
        <v>3202</v>
      </c>
      <c r="F170" s="65" t="s">
        <v>3201</v>
      </c>
      <c r="G170" s="65" t="s">
        <v>3200</v>
      </c>
      <c r="H170" s="65" t="s">
        <v>32</v>
      </c>
      <c r="I170" s="65" t="s">
        <v>1600</v>
      </c>
      <c r="J170" s="65" t="s">
        <v>5</v>
      </c>
      <c r="K170" s="65" t="s">
        <v>1599</v>
      </c>
      <c r="L170" s="64" t="s">
        <v>77</v>
      </c>
      <c r="M170" s="58" t="s">
        <v>29</v>
      </c>
      <c r="N170" s="58" t="s">
        <v>2</v>
      </c>
      <c r="O170" s="58">
        <v>70</v>
      </c>
      <c r="P170" s="58">
        <v>70</v>
      </c>
      <c r="Q170" s="58">
        <v>0</v>
      </c>
      <c r="R170" s="58">
        <v>0</v>
      </c>
      <c r="S170" s="58">
        <v>0</v>
      </c>
      <c r="T170" s="58">
        <v>0</v>
      </c>
      <c r="U170" s="58">
        <v>21</v>
      </c>
      <c r="V170" s="62"/>
      <c r="W170" s="62"/>
      <c r="X170" s="63">
        <f>IFERROR(1 -(Master[[#This Row],[Avg Garment Scans per Delivery]]/Master[[#This Row],[Garment Inventory]]), 0)</f>
        <v>0</v>
      </c>
      <c r="Y170" s="62"/>
      <c r="Z170" s="62"/>
      <c r="AA170" s="53">
        <v>23.68</v>
      </c>
      <c r="AB170" s="53">
        <v>23.680000000000007</v>
      </c>
      <c r="AC170" s="53">
        <v>14.014693877551021</v>
      </c>
      <c r="AD170" s="53">
        <v>33.345306122448974</v>
      </c>
      <c r="AE170" s="53" t="str">
        <f>_xlfn.XLOOKUP(Master[[#This Row],[cu_id]],'[1]Customer Revenue'!$Q:$Q,'[1]Customer Revenue'!$K:$K, "None")</f>
        <v>None</v>
      </c>
      <c r="AF170" s="53" t="str">
        <f>_xlfn.XLOOKUP(Master[[#This Row],[cu_id]],'[1]Customer Revenue'!$Q:$Q,'[1]Customer Revenue'!$L:$L, "None")</f>
        <v>None</v>
      </c>
      <c r="AG170" s="53">
        <v>19.542534516765286</v>
      </c>
      <c r="AH170" s="53">
        <v>26.714132149901381</v>
      </c>
      <c r="AI170" s="53">
        <v>23.680000000000003</v>
      </c>
      <c r="AJ170" s="53">
        <v>23.68</v>
      </c>
      <c r="AK170" s="53" t="str">
        <f>_xlfn.XLOOKUP(Master[[#This Row],[cu_id]],'[1]Customer Revenue'!$Q:$Q,'[1]Customer Revenue'!$I:$I, "None")</f>
        <v>None</v>
      </c>
      <c r="AL170" s="53">
        <v>23.128333333333334</v>
      </c>
      <c r="AM170" s="61">
        <v>0.3125</v>
      </c>
      <c r="AN170" s="60">
        <v>0.625</v>
      </c>
      <c r="AO170" s="60" t="s">
        <v>36</v>
      </c>
      <c r="AP170" s="60" t="s">
        <v>36</v>
      </c>
      <c r="AQ170" s="58" t="s">
        <v>0</v>
      </c>
      <c r="AR170" s="58"/>
      <c r="AS170" s="58"/>
      <c r="AT170" s="52">
        <v>0</v>
      </c>
      <c r="AU170" s="52" t="e">
        <f>IF(Master[[#This Row],[RSP StopTime override]] &lt;&gt; "",Master[[#This Row],[RSP StopTime override]],IF(Master[[#This Row],[Avg stop time helper]] &lt;&gt; 0, Master[[#This Row],[Avg stop time helper]],Average_Stop_Time))</f>
        <v>#DIV/0!</v>
      </c>
      <c r="AV170" s="21"/>
      <c r="AW170" s="20">
        <f>Master[[#This Row],[RSP StopTime override]]-Master[[#This Row],[Avg stop time helper]]</f>
        <v>0</v>
      </c>
    </row>
    <row r="171" spans="1:49" x14ac:dyDescent="0.3">
      <c r="A171" s="66" t="s">
        <v>4284</v>
      </c>
      <c r="B171" s="58">
        <v>12</v>
      </c>
      <c r="C171" s="58" t="s">
        <v>24</v>
      </c>
      <c r="D171" s="65">
        <v>99059</v>
      </c>
      <c r="E171" s="65" t="s">
        <v>42</v>
      </c>
      <c r="F171" s="65" t="s">
        <v>3596</v>
      </c>
      <c r="G171" s="65" t="s">
        <v>3199</v>
      </c>
      <c r="H171" s="65" t="s">
        <v>32</v>
      </c>
      <c r="I171" s="65" t="s">
        <v>1637</v>
      </c>
      <c r="J171" s="65" t="s">
        <v>5</v>
      </c>
      <c r="K171" s="65" t="s">
        <v>1599</v>
      </c>
      <c r="L171" s="64" t="s">
        <v>67</v>
      </c>
      <c r="M171" s="58" t="s">
        <v>3</v>
      </c>
      <c r="N171" s="58" t="s">
        <v>2</v>
      </c>
      <c r="O171" s="58">
        <v>85</v>
      </c>
      <c r="P171" s="58">
        <v>85</v>
      </c>
      <c r="Q171" s="58">
        <v>0</v>
      </c>
      <c r="R171" s="58">
        <v>0</v>
      </c>
      <c r="S171" s="58">
        <v>0</v>
      </c>
      <c r="T171" s="58">
        <v>0</v>
      </c>
      <c r="U171" s="58">
        <v>54</v>
      </c>
      <c r="V171" s="62">
        <v>42</v>
      </c>
      <c r="W171" s="62">
        <v>10</v>
      </c>
      <c r="X171" s="63">
        <f>IFERROR(1 -(Master[[#This Row],[Avg Garment Scans per Delivery]]/Master[[#This Row],[Garment Inventory]]), 0)</f>
        <v>0.76190476190476186</v>
      </c>
      <c r="Y171" s="62">
        <v>4</v>
      </c>
      <c r="Z171" s="62">
        <v>43</v>
      </c>
      <c r="AA171" s="53">
        <v>148.2408875739645</v>
      </c>
      <c r="AB171" s="53">
        <v>174.30218934911241</v>
      </c>
      <c r="AC171" s="53">
        <v>141.41887573964493</v>
      </c>
      <c r="AD171" s="53">
        <v>190.79189349112426</v>
      </c>
      <c r="AE171" s="53" t="str">
        <f>_xlfn.XLOOKUP(Master[[#This Row],[cu_id]],'[1]Customer Revenue'!$Q:$Q,'[1]Customer Revenue'!$K:$K, "None")</f>
        <v>None</v>
      </c>
      <c r="AF171" s="53" t="str">
        <f>_xlfn.XLOOKUP(Master[[#This Row],[cu_id]],'[1]Customer Revenue'!$Q:$Q,'[1]Customer Revenue'!$L:$L, "None")</f>
        <v>None</v>
      </c>
      <c r="AG171" s="53">
        <v>138.58000000000004</v>
      </c>
      <c r="AH171" s="53">
        <v>179.23692307692312</v>
      </c>
      <c r="AI171" s="53">
        <v>161.27153846153846</v>
      </c>
      <c r="AJ171" s="53">
        <v>166.10538461538459</v>
      </c>
      <c r="AK171" s="53" t="str">
        <f>_xlfn.XLOOKUP(Master[[#This Row],[cu_id]],'[1]Customer Revenue'!$Q:$Q,'[1]Customer Revenue'!$I:$I, "None")</f>
        <v>None</v>
      </c>
      <c r="AL171" s="53">
        <v>158.90846153846158</v>
      </c>
      <c r="AM171" s="61">
        <v>0.25</v>
      </c>
      <c r="AN171" s="60">
        <v>0.70833333333333337</v>
      </c>
      <c r="AO171" s="60" t="s">
        <v>36</v>
      </c>
      <c r="AP171" s="60" t="s">
        <v>36</v>
      </c>
      <c r="AQ171" s="58" t="s">
        <v>0</v>
      </c>
      <c r="AR171" s="58"/>
      <c r="AS171" s="58"/>
      <c r="AT171" s="52">
        <v>0</v>
      </c>
      <c r="AU171" s="52" t="e">
        <f>IF(Master[[#This Row],[RSP StopTime override]] &lt;&gt; "",Master[[#This Row],[RSP StopTime override]],IF(Master[[#This Row],[Avg stop time helper]] &lt;&gt; 0, Master[[#This Row],[Avg stop time helper]],Average_Stop_Time))</f>
        <v>#DIV/0!</v>
      </c>
      <c r="AV171" s="21"/>
      <c r="AW171" s="20">
        <f>Master[[#This Row],[RSP StopTime override]]-Master[[#This Row],[Avg stop time helper]]</f>
        <v>0</v>
      </c>
    </row>
    <row r="172" spans="1:49" x14ac:dyDescent="0.3">
      <c r="A172" s="66" t="s">
        <v>4285</v>
      </c>
      <c r="B172" s="58">
        <v>12</v>
      </c>
      <c r="C172" s="58" t="s">
        <v>24</v>
      </c>
      <c r="D172" s="65">
        <v>99097</v>
      </c>
      <c r="E172" s="65" t="s">
        <v>1826</v>
      </c>
      <c r="F172" s="65" t="s">
        <v>3597</v>
      </c>
      <c r="G172" s="65" t="s">
        <v>3198</v>
      </c>
      <c r="H172" s="65" t="s">
        <v>7</v>
      </c>
      <c r="I172" s="65" t="s">
        <v>12</v>
      </c>
      <c r="J172" s="65" t="s">
        <v>5</v>
      </c>
      <c r="K172" s="65" t="s">
        <v>2031</v>
      </c>
      <c r="L172" s="64" t="s">
        <v>67</v>
      </c>
      <c r="M172" s="58" t="s">
        <v>3</v>
      </c>
      <c r="N172" s="58" t="s">
        <v>2</v>
      </c>
      <c r="O172" s="58">
        <v>145</v>
      </c>
      <c r="P172" s="58">
        <v>145</v>
      </c>
      <c r="Q172" s="58">
        <v>0</v>
      </c>
      <c r="R172" s="58">
        <v>0</v>
      </c>
      <c r="S172" s="58">
        <v>0</v>
      </c>
      <c r="T172" s="58">
        <v>0</v>
      </c>
      <c r="U172" s="58">
        <v>52</v>
      </c>
      <c r="V172" s="62">
        <v>30</v>
      </c>
      <c r="W172" s="62">
        <v>3</v>
      </c>
      <c r="X172" s="63">
        <f>IFERROR(1 -(Master[[#This Row],[Avg Garment Scans per Delivery]]/Master[[#This Row],[Garment Inventory]]), 0)</f>
        <v>0.9</v>
      </c>
      <c r="Y172" s="62">
        <v>1</v>
      </c>
      <c r="Z172" s="62">
        <v>34</v>
      </c>
      <c r="AA172" s="53">
        <v>52.458934911242622</v>
      </c>
      <c r="AB172" s="53">
        <v>63.805680473372789</v>
      </c>
      <c r="AC172" s="53">
        <v>39.986028257456852</v>
      </c>
      <c r="AD172" s="53">
        <v>52.217048665620098</v>
      </c>
      <c r="AE172" s="53" t="str">
        <f>_xlfn.XLOOKUP(Master[[#This Row],[cu_id]],'[1]Customer Revenue'!$Q:$Q,'[1]Customer Revenue'!$K:$K, "None")</f>
        <v>None</v>
      </c>
      <c r="AF172" s="53" t="str">
        <f>_xlfn.XLOOKUP(Master[[#This Row],[cu_id]],'[1]Customer Revenue'!$Q:$Q,'[1]Customer Revenue'!$L:$L, "None")</f>
        <v>None</v>
      </c>
      <c r="AG172" s="53">
        <v>45.423491124260359</v>
      </c>
      <c r="AH172" s="53">
        <v>62.427278106508872</v>
      </c>
      <c r="AI172" s="53">
        <v>58.132307692307705</v>
      </c>
      <c r="AJ172" s="53">
        <v>46.101538461538475</v>
      </c>
      <c r="AK172" s="53" t="str">
        <f>_xlfn.XLOOKUP(Master[[#This Row],[cu_id]],'[1]Customer Revenue'!$Q:$Q,'[1]Customer Revenue'!$I:$I, "None")</f>
        <v>None</v>
      </c>
      <c r="AL172" s="53">
        <v>53.925384615384615</v>
      </c>
      <c r="AM172" s="61">
        <v>0.25</v>
      </c>
      <c r="AN172" s="60">
        <v>0.70833333333333337</v>
      </c>
      <c r="AO172" s="60" t="s">
        <v>36</v>
      </c>
      <c r="AP172" s="60" t="s">
        <v>36</v>
      </c>
      <c r="AQ172" s="58" t="s">
        <v>0</v>
      </c>
      <c r="AR172" s="58"/>
      <c r="AS172" s="58"/>
      <c r="AT172" s="52">
        <v>0</v>
      </c>
      <c r="AU172" s="52" t="e">
        <f>IF(Master[[#This Row],[RSP StopTime override]] &lt;&gt; "",Master[[#This Row],[RSP StopTime override]],IF(Master[[#This Row],[Avg stop time helper]] &lt;&gt; 0, Master[[#This Row],[Avg stop time helper]],Average_Stop_Time))</f>
        <v>#DIV/0!</v>
      </c>
      <c r="AV172" s="21"/>
      <c r="AW172" s="20">
        <f>Master[[#This Row],[RSP StopTime override]]-Master[[#This Row],[Avg stop time helper]]</f>
        <v>0</v>
      </c>
    </row>
    <row r="173" spans="1:49" x14ac:dyDescent="0.3">
      <c r="A173" s="66" t="s">
        <v>4286</v>
      </c>
      <c r="B173" s="58">
        <v>12</v>
      </c>
      <c r="C173" s="58" t="s">
        <v>24</v>
      </c>
      <c r="D173" s="65">
        <v>99097</v>
      </c>
      <c r="E173" s="65" t="s">
        <v>2173</v>
      </c>
      <c r="F173" s="65" t="s">
        <v>3598</v>
      </c>
      <c r="G173" s="65" t="s">
        <v>3197</v>
      </c>
      <c r="H173" s="65" t="s">
        <v>7</v>
      </c>
      <c r="I173" s="65" t="s">
        <v>1600</v>
      </c>
      <c r="J173" s="65" t="s">
        <v>5</v>
      </c>
      <c r="K173" s="65" t="s">
        <v>1599</v>
      </c>
      <c r="L173" s="64" t="s">
        <v>67</v>
      </c>
      <c r="M173" s="58" t="s">
        <v>3</v>
      </c>
      <c r="N173" s="58" t="s">
        <v>2</v>
      </c>
      <c r="O173" s="58">
        <v>86</v>
      </c>
      <c r="P173" s="58">
        <v>86</v>
      </c>
      <c r="Q173" s="58">
        <v>0</v>
      </c>
      <c r="R173" s="58">
        <v>0</v>
      </c>
      <c r="S173" s="58">
        <v>0</v>
      </c>
      <c r="T173" s="58">
        <v>0</v>
      </c>
      <c r="U173" s="58">
        <v>52</v>
      </c>
      <c r="V173" s="62">
        <v>32</v>
      </c>
      <c r="W173" s="62">
        <v>0</v>
      </c>
      <c r="X173" s="63">
        <f>IFERROR(1 -(Master[[#This Row],[Avg Garment Scans per Delivery]]/Master[[#This Row],[Garment Inventory]]), 0)</f>
        <v>1</v>
      </c>
      <c r="Y173" s="62">
        <v>1</v>
      </c>
      <c r="Z173" s="62">
        <v>35</v>
      </c>
      <c r="AA173" s="53">
        <v>62.701834319526618</v>
      </c>
      <c r="AB173" s="53">
        <v>68.893550295857992</v>
      </c>
      <c r="AC173" s="53">
        <v>58.989408284023689</v>
      </c>
      <c r="AD173" s="53">
        <v>59.713668639053289</v>
      </c>
      <c r="AE173" s="53" t="str">
        <f>_xlfn.XLOOKUP(Master[[#This Row],[cu_id]],'[1]Customer Revenue'!$Q:$Q,'[1]Customer Revenue'!$K:$K, "None")</f>
        <v>None</v>
      </c>
      <c r="AF173" s="53" t="str">
        <f>_xlfn.XLOOKUP(Master[[#This Row],[cu_id]],'[1]Customer Revenue'!$Q:$Q,'[1]Customer Revenue'!$L:$L, "None")</f>
        <v>None</v>
      </c>
      <c r="AG173" s="53">
        <v>58.372781065088724</v>
      </c>
      <c r="AH173" s="53">
        <v>68.159526627218909</v>
      </c>
      <c r="AI173" s="53">
        <v>65.797692307692301</v>
      </c>
      <c r="AJ173" s="53">
        <v>59.351538461538489</v>
      </c>
      <c r="AK173" s="53" t="str">
        <f>_xlfn.XLOOKUP(Master[[#This Row],[cu_id]],'[1]Customer Revenue'!$Q:$Q,'[1]Customer Revenue'!$I:$I, "None")</f>
        <v>None</v>
      </c>
      <c r="AL173" s="53">
        <v>63.266153846153813</v>
      </c>
      <c r="AM173" s="61">
        <v>0.25</v>
      </c>
      <c r="AN173" s="60">
        <v>0.70833333333333337</v>
      </c>
      <c r="AO173" s="60" t="s">
        <v>36</v>
      </c>
      <c r="AP173" s="60" t="s">
        <v>36</v>
      </c>
      <c r="AQ173" s="58" t="s">
        <v>0</v>
      </c>
      <c r="AR173" s="58"/>
      <c r="AS173" s="58"/>
      <c r="AT173" s="52">
        <v>0</v>
      </c>
      <c r="AU173" s="52" t="e">
        <f>IF(Master[[#This Row],[RSP StopTime override]] &lt;&gt; "",Master[[#This Row],[RSP StopTime override]],IF(Master[[#This Row],[Avg stop time helper]] &lt;&gt; 0, Master[[#This Row],[Avg stop time helper]],Average_Stop_Time))</f>
        <v>#DIV/0!</v>
      </c>
      <c r="AV173" s="21"/>
      <c r="AW173" s="20">
        <f>Master[[#This Row],[RSP StopTime override]]-Master[[#This Row],[Avg stop time helper]]</f>
        <v>0</v>
      </c>
    </row>
    <row r="174" spans="1:49" x14ac:dyDescent="0.3">
      <c r="A174" s="66" t="s">
        <v>4287</v>
      </c>
      <c r="B174" s="58">
        <v>12</v>
      </c>
      <c r="C174" s="58" t="s">
        <v>24</v>
      </c>
      <c r="D174" s="65">
        <v>99098</v>
      </c>
      <c r="E174" s="65" t="s">
        <v>42</v>
      </c>
      <c r="F174" s="65" t="s">
        <v>3196</v>
      </c>
      <c r="G174" s="65" t="s">
        <v>3195</v>
      </c>
      <c r="H174" s="65" t="s">
        <v>32</v>
      </c>
      <c r="I174" s="65" t="s">
        <v>50</v>
      </c>
      <c r="J174" s="65" t="s">
        <v>5</v>
      </c>
      <c r="K174" s="65" t="s">
        <v>49</v>
      </c>
      <c r="L174" s="64" t="s">
        <v>67</v>
      </c>
      <c r="M174" s="58" t="s">
        <v>3</v>
      </c>
      <c r="N174" s="58" t="s">
        <v>2</v>
      </c>
      <c r="O174" s="58">
        <v>185</v>
      </c>
      <c r="P174" s="58">
        <v>185</v>
      </c>
      <c r="Q174" s="58">
        <v>0</v>
      </c>
      <c r="R174" s="58">
        <v>0</v>
      </c>
      <c r="S174" s="58">
        <v>0</v>
      </c>
      <c r="T174" s="58">
        <v>0</v>
      </c>
      <c r="U174" s="58">
        <v>52</v>
      </c>
      <c r="V174" s="62"/>
      <c r="W174" s="62"/>
      <c r="X174" s="63">
        <f>IFERROR(1 -(Master[[#This Row],[Avg Garment Scans per Delivery]]/Master[[#This Row],[Garment Inventory]]), 0)</f>
        <v>0</v>
      </c>
      <c r="Y174" s="62"/>
      <c r="Z174" s="62"/>
      <c r="AA174" s="53">
        <v>306.45692307692298</v>
      </c>
      <c r="AB174" s="53">
        <v>324.70307692307688</v>
      </c>
      <c r="AC174" s="53">
        <v>323.77970414201178</v>
      </c>
      <c r="AD174" s="53">
        <v>324.86183431952651</v>
      </c>
      <c r="AE174" s="53" t="str">
        <f>_xlfn.XLOOKUP(Master[[#This Row],[cu_id]],'[1]Customer Revenue'!$Q:$Q,'[1]Customer Revenue'!$K:$K, "None")</f>
        <v>None</v>
      </c>
      <c r="AF174" s="53" t="str">
        <f>_xlfn.XLOOKUP(Master[[#This Row],[cu_id]],'[1]Customer Revenue'!$Q:$Q,'[1]Customer Revenue'!$L:$L, "None")</f>
        <v>None</v>
      </c>
      <c r="AG174" s="53">
        <v>287.56248285322397</v>
      </c>
      <c r="AH174" s="53">
        <v>331.73751714677644</v>
      </c>
      <c r="AI174" s="53">
        <v>315.57999999999993</v>
      </c>
      <c r="AJ174" s="53">
        <v>324.32076923076914</v>
      </c>
      <c r="AK174" s="53" t="str">
        <f>_xlfn.XLOOKUP(Master[[#This Row],[cu_id]],'[1]Customer Revenue'!$Q:$Q,'[1]Customer Revenue'!$I:$I, "None")</f>
        <v>None</v>
      </c>
      <c r="AL174" s="53">
        <v>309.6500000000002</v>
      </c>
      <c r="AM174" s="61">
        <v>0.25</v>
      </c>
      <c r="AN174" s="60">
        <v>0.70833333333333337</v>
      </c>
      <c r="AO174" s="60" t="s">
        <v>36</v>
      </c>
      <c r="AP174" s="60" t="s">
        <v>36</v>
      </c>
      <c r="AQ174" s="58" t="s">
        <v>0</v>
      </c>
      <c r="AR174" s="58"/>
      <c r="AS174" s="58"/>
      <c r="AT174" s="52">
        <v>0</v>
      </c>
      <c r="AU174" s="52" t="e">
        <f>IF(Master[[#This Row],[RSP StopTime override]] &lt;&gt; "",Master[[#This Row],[RSP StopTime override]],IF(Master[[#This Row],[Avg stop time helper]] &lt;&gt; 0, Master[[#This Row],[Avg stop time helper]],Average_Stop_Time))</f>
        <v>#DIV/0!</v>
      </c>
      <c r="AV174" s="21"/>
      <c r="AW174" s="20">
        <f>Master[[#This Row],[RSP StopTime override]]-Master[[#This Row],[Avg stop time helper]]</f>
        <v>0</v>
      </c>
    </row>
    <row r="175" spans="1:49" x14ac:dyDescent="0.3">
      <c r="A175" s="66" t="s">
        <v>4288</v>
      </c>
      <c r="B175" s="58">
        <v>12</v>
      </c>
      <c r="C175" s="58" t="s">
        <v>24</v>
      </c>
      <c r="D175" s="65">
        <v>99098</v>
      </c>
      <c r="E175" s="65" t="s">
        <v>686</v>
      </c>
      <c r="F175" s="65" t="s">
        <v>3194</v>
      </c>
      <c r="G175" s="65" t="s">
        <v>3193</v>
      </c>
      <c r="H175" s="65" t="s">
        <v>32</v>
      </c>
      <c r="I175" s="65" t="s">
        <v>50</v>
      </c>
      <c r="J175" s="65" t="s">
        <v>5</v>
      </c>
      <c r="K175" s="65" t="s">
        <v>2031</v>
      </c>
      <c r="L175" s="64" t="s">
        <v>67</v>
      </c>
      <c r="M175" s="58" t="s">
        <v>3</v>
      </c>
      <c r="N175" s="58" t="s">
        <v>2</v>
      </c>
      <c r="O175" s="58">
        <v>180</v>
      </c>
      <c r="P175" s="58">
        <v>180</v>
      </c>
      <c r="Q175" s="58">
        <v>0</v>
      </c>
      <c r="R175" s="58">
        <v>0</v>
      </c>
      <c r="S175" s="58">
        <v>0</v>
      </c>
      <c r="T175" s="58">
        <v>0</v>
      </c>
      <c r="U175" s="58">
        <v>52</v>
      </c>
      <c r="V175" s="62"/>
      <c r="W175" s="62"/>
      <c r="X175" s="63">
        <f>IFERROR(1 -(Master[[#This Row],[Avg Garment Scans per Delivery]]/Master[[#This Row],[Garment Inventory]]), 0)</f>
        <v>0</v>
      </c>
      <c r="Y175" s="62"/>
      <c r="Z175" s="62"/>
      <c r="AA175" s="53">
        <v>126.24792899408284</v>
      </c>
      <c r="AB175" s="53">
        <v>133.76745562130176</v>
      </c>
      <c r="AC175" s="53">
        <v>133.85207100591717</v>
      </c>
      <c r="AD175" s="53">
        <v>134.91715976331361</v>
      </c>
      <c r="AE175" s="53" t="str">
        <f>_xlfn.XLOOKUP(Master[[#This Row],[cu_id]],'[1]Customer Revenue'!$Q:$Q,'[1]Customer Revenue'!$K:$K, "None")</f>
        <v>None</v>
      </c>
      <c r="AF175" s="53" t="str">
        <f>_xlfn.XLOOKUP(Master[[#This Row],[cu_id]],'[1]Customer Revenue'!$Q:$Q,'[1]Customer Revenue'!$L:$L, "None")</f>
        <v>None</v>
      </c>
      <c r="AG175" s="53">
        <v>124.18005917159761</v>
      </c>
      <c r="AH175" s="53">
        <v>130.94763313609462</v>
      </c>
      <c r="AI175" s="53">
        <v>130.00769230769231</v>
      </c>
      <c r="AJ175" s="53">
        <v>134.38461538461539</v>
      </c>
      <c r="AK175" s="53" t="str">
        <f>_xlfn.XLOOKUP(Master[[#This Row],[cu_id]],'[1]Customer Revenue'!$Q:$Q,'[1]Customer Revenue'!$I:$I, "None")</f>
        <v>None</v>
      </c>
      <c r="AL175" s="53">
        <v>127.56384615384611</v>
      </c>
      <c r="AM175" s="61">
        <v>0.25</v>
      </c>
      <c r="AN175" s="60">
        <v>0.70833333333333337</v>
      </c>
      <c r="AO175" s="60" t="s">
        <v>36</v>
      </c>
      <c r="AP175" s="60" t="s">
        <v>36</v>
      </c>
      <c r="AQ175" s="58" t="s">
        <v>0</v>
      </c>
      <c r="AR175" s="58"/>
      <c r="AS175" s="58"/>
      <c r="AT175" s="52">
        <v>0</v>
      </c>
      <c r="AU175" s="52" t="e">
        <f>IF(Master[[#This Row],[RSP StopTime override]] &lt;&gt; "",Master[[#This Row],[RSP StopTime override]],IF(Master[[#This Row],[Avg stop time helper]] &lt;&gt; 0, Master[[#This Row],[Avg stop time helper]],Average_Stop_Time))</f>
        <v>#DIV/0!</v>
      </c>
      <c r="AV175" s="21"/>
      <c r="AW175" s="20">
        <f>Master[[#This Row],[RSP StopTime override]]-Master[[#This Row],[Avg stop time helper]]</f>
        <v>0</v>
      </c>
    </row>
    <row r="176" spans="1:49" x14ac:dyDescent="0.3">
      <c r="A176" s="66" t="s">
        <v>4289</v>
      </c>
      <c r="B176" s="58">
        <v>12</v>
      </c>
      <c r="C176" s="58" t="s">
        <v>24</v>
      </c>
      <c r="D176" s="65">
        <v>99098</v>
      </c>
      <c r="E176" s="65" t="s">
        <v>1455</v>
      </c>
      <c r="F176" s="65" t="s">
        <v>3192</v>
      </c>
      <c r="G176" s="65" t="s">
        <v>3191</v>
      </c>
      <c r="H176" s="65" t="s">
        <v>32</v>
      </c>
      <c r="I176" s="65" t="s">
        <v>1600</v>
      </c>
      <c r="J176" s="65" t="s">
        <v>5</v>
      </c>
      <c r="K176" s="65" t="s">
        <v>2031</v>
      </c>
      <c r="L176" s="64" t="s">
        <v>67</v>
      </c>
      <c r="M176" s="58" t="s">
        <v>3</v>
      </c>
      <c r="N176" s="58" t="s">
        <v>2</v>
      </c>
      <c r="O176" s="58">
        <v>175</v>
      </c>
      <c r="P176" s="58">
        <v>175</v>
      </c>
      <c r="Q176" s="58">
        <v>0</v>
      </c>
      <c r="R176" s="58">
        <v>0</v>
      </c>
      <c r="S176" s="58">
        <v>0</v>
      </c>
      <c r="T176" s="58">
        <v>0</v>
      </c>
      <c r="U176" s="58">
        <v>54</v>
      </c>
      <c r="V176" s="62"/>
      <c r="W176" s="62"/>
      <c r="X176" s="63">
        <f>IFERROR(1 -(Master[[#This Row],[Avg Garment Scans per Delivery]]/Master[[#This Row],[Garment Inventory]]), 0)</f>
        <v>0</v>
      </c>
      <c r="Y176" s="62"/>
      <c r="Z176" s="62"/>
      <c r="AA176" s="53">
        <v>511.13627218934914</v>
      </c>
      <c r="AB176" s="53">
        <v>639.55757396449724</v>
      </c>
      <c r="AC176" s="53">
        <v>527.41899408284019</v>
      </c>
      <c r="AD176" s="53">
        <v>622.8502366863903</v>
      </c>
      <c r="AE176" s="53" t="str">
        <f>_xlfn.XLOOKUP(Master[[#This Row],[cu_id]],'[1]Customer Revenue'!$Q:$Q,'[1]Customer Revenue'!$K:$K, "None")</f>
        <v>None</v>
      </c>
      <c r="AF176" s="53" t="str">
        <f>_xlfn.XLOOKUP(Master[[#This Row],[cu_id]],'[1]Customer Revenue'!$Q:$Q,'[1]Customer Revenue'!$L:$L, "None")</f>
        <v>None</v>
      </c>
      <c r="AG176" s="53">
        <v>490.30822605965466</v>
      </c>
      <c r="AH176" s="53">
        <v>646.87638932496077</v>
      </c>
      <c r="AI176" s="53">
        <v>575.34692307692319</v>
      </c>
      <c r="AJ176" s="53">
        <v>575.13461538461524</v>
      </c>
      <c r="AK176" s="53" t="str">
        <f>_xlfn.XLOOKUP(Master[[#This Row],[cu_id]],'[1]Customer Revenue'!$Q:$Q,'[1]Customer Revenue'!$I:$I, "None")</f>
        <v>None</v>
      </c>
      <c r="AL176" s="53">
        <v>568.59230769230771</v>
      </c>
      <c r="AM176" s="61">
        <v>0.25</v>
      </c>
      <c r="AN176" s="60">
        <v>0.70833333333333337</v>
      </c>
      <c r="AO176" s="60" t="s">
        <v>36</v>
      </c>
      <c r="AP176" s="60" t="s">
        <v>36</v>
      </c>
      <c r="AQ176" s="58" t="s">
        <v>0</v>
      </c>
      <c r="AR176" s="58"/>
      <c r="AS176" s="58"/>
      <c r="AT176" s="52">
        <v>0</v>
      </c>
      <c r="AU176" s="52" t="e">
        <f>IF(Master[[#This Row],[RSP StopTime override]] &lt;&gt; "",Master[[#This Row],[RSP StopTime override]],IF(Master[[#This Row],[Avg stop time helper]] &lt;&gt; 0, Master[[#This Row],[Avg stop time helper]],Average_Stop_Time))</f>
        <v>#DIV/0!</v>
      </c>
      <c r="AV176" s="21"/>
      <c r="AW176" s="20">
        <f>Master[[#This Row],[RSP StopTime override]]-Master[[#This Row],[Avg stop time helper]]</f>
        <v>0</v>
      </c>
    </row>
    <row r="177" spans="1:49" x14ac:dyDescent="0.3">
      <c r="A177" s="66" t="s">
        <v>4290</v>
      </c>
      <c r="B177" s="58">
        <v>12</v>
      </c>
      <c r="C177" s="58" t="s">
        <v>24</v>
      </c>
      <c r="D177" s="65">
        <v>433444</v>
      </c>
      <c r="E177" s="65" t="s">
        <v>42</v>
      </c>
      <c r="F177" s="65" t="s">
        <v>3190</v>
      </c>
      <c r="G177" s="65" t="s">
        <v>3189</v>
      </c>
      <c r="H177" s="65" t="s">
        <v>7</v>
      </c>
      <c r="I177" s="65" t="s">
        <v>1600</v>
      </c>
      <c r="J177" s="65" t="s">
        <v>5</v>
      </c>
      <c r="K177" s="65" t="s">
        <v>2031</v>
      </c>
      <c r="L177" s="64" t="s">
        <v>67</v>
      </c>
      <c r="M177" s="58" t="s">
        <v>3</v>
      </c>
      <c r="N177" s="58" t="s">
        <v>2</v>
      </c>
      <c r="O177" s="58">
        <v>60</v>
      </c>
      <c r="P177" s="58">
        <v>60</v>
      </c>
      <c r="Q177" s="58">
        <v>0</v>
      </c>
      <c r="R177" s="58">
        <v>0</v>
      </c>
      <c r="S177" s="58">
        <v>0</v>
      </c>
      <c r="T177" s="58">
        <v>0</v>
      </c>
      <c r="U177" s="58">
        <v>34</v>
      </c>
      <c r="V177" s="62"/>
      <c r="W177" s="62"/>
      <c r="X177" s="63">
        <f>IFERROR(1 -(Master[[#This Row],[Avg Garment Scans per Delivery]]/Master[[#This Row],[Garment Inventory]]), 0)</f>
        <v>0</v>
      </c>
      <c r="Y177" s="62"/>
      <c r="Z177" s="62"/>
      <c r="AA177" s="53">
        <v>63.992307692307712</v>
      </c>
      <c r="AB177" s="53">
        <v>71.607692307692304</v>
      </c>
      <c r="AC177" s="53">
        <v>71.578994082840239</v>
      </c>
      <c r="AD177" s="53">
        <v>73.530236686390538</v>
      </c>
      <c r="AE177" s="53" t="str">
        <f>_xlfn.XLOOKUP(Master[[#This Row],[cu_id]],'[1]Customer Revenue'!$Q:$Q,'[1]Customer Revenue'!$K:$K, "None")</f>
        <v>None</v>
      </c>
      <c r="AF177" s="53" t="str">
        <f>_xlfn.XLOOKUP(Master[[#This Row],[cu_id]],'[1]Customer Revenue'!$Q:$Q,'[1]Customer Revenue'!$L:$L, "None")</f>
        <v>None</v>
      </c>
      <c r="AG177" s="53">
        <v>58.598076923076889</v>
      </c>
      <c r="AH177" s="53">
        <v>68.751923076923035</v>
      </c>
      <c r="AI177" s="53">
        <v>67.800000000000011</v>
      </c>
      <c r="AJ177" s="53">
        <v>72.554615384615389</v>
      </c>
      <c r="AK177" s="53" t="str">
        <f>_xlfn.XLOOKUP(Master[[#This Row],[cu_id]],'[1]Customer Revenue'!$Q:$Q,'[1]Customer Revenue'!$I:$I, "None")</f>
        <v>None</v>
      </c>
      <c r="AL177" s="53">
        <v>63.674999999999962</v>
      </c>
      <c r="AM177" s="61">
        <v>0.20833333333333334</v>
      </c>
      <c r="AN177" s="60">
        <v>0.70833333333333337</v>
      </c>
      <c r="AO177" s="60" t="s">
        <v>36</v>
      </c>
      <c r="AP177" s="60" t="s">
        <v>36</v>
      </c>
      <c r="AQ177" s="58" t="s">
        <v>0</v>
      </c>
      <c r="AR177" s="58"/>
      <c r="AS177" s="58"/>
      <c r="AT177" s="52">
        <v>0</v>
      </c>
      <c r="AU177" s="52" t="e">
        <f>IF(Master[[#This Row],[RSP StopTime override]] &lt;&gt; "",Master[[#This Row],[RSP StopTime override]],IF(Master[[#This Row],[Avg stop time helper]] &lt;&gt; 0, Master[[#This Row],[Avg stop time helper]],Average_Stop_Time))</f>
        <v>#DIV/0!</v>
      </c>
      <c r="AV177" s="21"/>
      <c r="AW177" s="20">
        <f>Master[[#This Row],[RSP StopTime override]]-Master[[#This Row],[Avg stop time helper]]</f>
        <v>0</v>
      </c>
    </row>
    <row r="178" spans="1:49" x14ac:dyDescent="0.3">
      <c r="A178" s="66" t="s">
        <v>4291</v>
      </c>
      <c r="B178" s="58">
        <v>12</v>
      </c>
      <c r="C178" s="58" t="s">
        <v>24</v>
      </c>
      <c r="D178" s="65">
        <v>508009</v>
      </c>
      <c r="E178" s="65" t="s">
        <v>42</v>
      </c>
      <c r="F178" s="65" t="s">
        <v>3188</v>
      </c>
      <c r="G178" s="65" t="s">
        <v>3187</v>
      </c>
      <c r="H178" s="65" t="s">
        <v>32</v>
      </c>
      <c r="I178" s="65" t="s">
        <v>12</v>
      </c>
      <c r="J178" s="65" t="s">
        <v>5</v>
      </c>
      <c r="K178" s="65" t="s">
        <v>2031</v>
      </c>
      <c r="L178" s="64" t="s">
        <v>67</v>
      </c>
      <c r="M178" s="58" t="s">
        <v>3</v>
      </c>
      <c r="N178" s="58" t="s">
        <v>2</v>
      </c>
      <c r="O178" s="58">
        <v>125</v>
      </c>
      <c r="P178" s="58">
        <v>125</v>
      </c>
      <c r="Q178" s="58">
        <v>0</v>
      </c>
      <c r="R178" s="58">
        <v>0</v>
      </c>
      <c r="S178" s="58">
        <v>0</v>
      </c>
      <c r="T178" s="58">
        <v>0</v>
      </c>
      <c r="U178" s="58">
        <v>55</v>
      </c>
      <c r="V178" s="62"/>
      <c r="W178" s="62"/>
      <c r="X178" s="63">
        <f>IFERROR(1 -(Master[[#This Row],[Avg Garment Scans per Delivery]]/Master[[#This Row],[Garment Inventory]]), 0)</f>
        <v>0</v>
      </c>
      <c r="Y178" s="62"/>
      <c r="Z178" s="62"/>
      <c r="AA178" s="53">
        <v>105.79426035502958</v>
      </c>
      <c r="AB178" s="53">
        <v>204.58881656804738</v>
      </c>
      <c r="AC178" s="53">
        <v>125.95846153846156</v>
      </c>
      <c r="AD178" s="53">
        <v>223.88153846153847</v>
      </c>
      <c r="AE178" s="53" t="str">
        <f>_xlfn.XLOOKUP(Master[[#This Row],[cu_id]],'[1]Customer Revenue'!$Q:$Q,'[1]Customer Revenue'!$K:$K, "None")</f>
        <v>None</v>
      </c>
      <c r="AF178" s="53" t="str">
        <f>_xlfn.XLOOKUP(Master[[#This Row],[cu_id]],'[1]Customer Revenue'!$Q:$Q,'[1]Customer Revenue'!$L:$L, "None")</f>
        <v>None</v>
      </c>
      <c r="AG178" s="53">
        <v>111.37816568047342</v>
      </c>
      <c r="AH178" s="53">
        <v>197.91875739644976</v>
      </c>
      <c r="AI178" s="53">
        <v>155.19153846153847</v>
      </c>
      <c r="AJ178" s="53">
        <v>174.92000000000002</v>
      </c>
      <c r="AK178" s="53" t="str">
        <f>_xlfn.XLOOKUP(Master[[#This Row],[cu_id]],'[1]Customer Revenue'!$Q:$Q,'[1]Customer Revenue'!$I:$I, "None")</f>
        <v>None</v>
      </c>
      <c r="AL178" s="53">
        <v>154.64846153846159</v>
      </c>
      <c r="AM178" s="61" t="s">
        <v>36</v>
      </c>
      <c r="AN178" s="60" t="s">
        <v>36</v>
      </c>
      <c r="AO178" s="60" t="s">
        <v>36</v>
      </c>
      <c r="AP178" s="60" t="s">
        <v>36</v>
      </c>
      <c r="AQ178" s="58" t="s">
        <v>0</v>
      </c>
      <c r="AR178" s="58"/>
      <c r="AS178" s="58"/>
      <c r="AT178" s="52">
        <v>0</v>
      </c>
      <c r="AU178" s="52" t="e">
        <f>IF(Master[[#This Row],[RSP StopTime override]] &lt;&gt; "",Master[[#This Row],[RSP StopTime override]],IF(Master[[#This Row],[Avg stop time helper]] &lt;&gt; 0, Master[[#This Row],[Avg stop time helper]],Average_Stop_Time))</f>
        <v>#DIV/0!</v>
      </c>
      <c r="AV178" s="21"/>
      <c r="AW178" s="20">
        <f>Master[[#This Row],[RSP StopTime override]]-Master[[#This Row],[Avg stop time helper]]</f>
        <v>0</v>
      </c>
    </row>
    <row r="179" spans="1:49" x14ac:dyDescent="0.3">
      <c r="A179" s="66" t="s">
        <v>4292</v>
      </c>
      <c r="B179" s="58">
        <v>12</v>
      </c>
      <c r="C179" s="58" t="s">
        <v>24</v>
      </c>
      <c r="D179" s="65">
        <v>511070</v>
      </c>
      <c r="E179" s="65" t="s">
        <v>42</v>
      </c>
      <c r="F179" s="65" t="s">
        <v>3186</v>
      </c>
      <c r="G179" s="65" t="s">
        <v>3185</v>
      </c>
      <c r="H179" s="65" t="s">
        <v>32</v>
      </c>
      <c r="I179" s="65" t="s">
        <v>50</v>
      </c>
      <c r="J179" s="65" t="s">
        <v>5</v>
      </c>
      <c r="K179" s="65" t="s">
        <v>3184</v>
      </c>
      <c r="L179" s="64" t="s">
        <v>194</v>
      </c>
      <c r="M179" s="58" t="s">
        <v>193</v>
      </c>
      <c r="N179" s="58" t="s">
        <v>2</v>
      </c>
      <c r="O179" s="58">
        <v>40</v>
      </c>
      <c r="P179" s="58">
        <v>40</v>
      </c>
      <c r="Q179" s="58">
        <v>0</v>
      </c>
      <c r="R179" s="58">
        <v>0</v>
      </c>
      <c r="S179" s="58">
        <v>0</v>
      </c>
      <c r="T179" s="58">
        <v>0</v>
      </c>
      <c r="U179" s="58">
        <v>13</v>
      </c>
      <c r="V179" s="62"/>
      <c r="W179" s="62"/>
      <c r="X179" s="63">
        <f>IFERROR(1 -(Master[[#This Row],[Avg Garment Scans per Delivery]]/Master[[#This Row],[Garment Inventory]]), 0)</f>
        <v>0</v>
      </c>
      <c r="Y179" s="62"/>
      <c r="Z179" s="62"/>
      <c r="AA179" s="53">
        <v>60.748750000000001</v>
      </c>
      <c r="AB179" s="53">
        <v>62.436250000000001</v>
      </c>
      <c r="AC179" s="53">
        <v>62.893333333333331</v>
      </c>
      <c r="AD179" s="53">
        <v>65.986666666666665</v>
      </c>
      <c r="AE179" s="53" t="str">
        <f>_xlfn.XLOOKUP(Master[[#This Row],[cu_id]],'[1]Customer Revenue'!$Q:$Q,'[1]Customer Revenue'!$K:$K, "None")</f>
        <v>None</v>
      </c>
      <c r="AF179" s="53" t="str">
        <f>_xlfn.XLOOKUP(Master[[#This Row],[cu_id]],'[1]Customer Revenue'!$Q:$Q,'[1]Customer Revenue'!$L:$L, "None")</f>
        <v>None</v>
      </c>
      <c r="AG179" s="53">
        <v>60.142857142857125</v>
      </c>
      <c r="AH179" s="53">
        <v>61.737142857142857</v>
      </c>
      <c r="AI179" s="53">
        <v>61.592500000000001</v>
      </c>
      <c r="AJ179" s="53">
        <v>64.44</v>
      </c>
      <c r="AK179" s="53" t="str">
        <f>_xlfn.XLOOKUP(Master[[#This Row],[cu_id]],'[1]Customer Revenue'!$Q:$Q,'[1]Customer Revenue'!$I:$I, "None")</f>
        <v>None</v>
      </c>
      <c r="AL179" s="53">
        <v>60.939999999999991</v>
      </c>
      <c r="AM179" s="61">
        <v>0.35416666666666669</v>
      </c>
      <c r="AN179" s="60">
        <v>0.6875</v>
      </c>
      <c r="AO179" s="60" t="s">
        <v>36</v>
      </c>
      <c r="AP179" s="60" t="s">
        <v>36</v>
      </c>
      <c r="AQ179" s="58" t="s">
        <v>0</v>
      </c>
      <c r="AR179" s="58"/>
      <c r="AS179" s="58"/>
      <c r="AT179" s="52">
        <v>0</v>
      </c>
      <c r="AU179" s="52" t="e">
        <f>IF(Master[[#This Row],[RSP StopTime override]] &lt;&gt; "",Master[[#This Row],[RSP StopTime override]],IF(Master[[#This Row],[Avg stop time helper]] &lt;&gt; 0, Master[[#This Row],[Avg stop time helper]],Average_Stop_Time))</f>
        <v>#DIV/0!</v>
      </c>
      <c r="AV179" s="21"/>
      <c r="AW179" s="20">
        <f>Master[[#This Row],[RSP StopTime override]]-Master[[#This Row],[Avg stop time helper]]</f>
        <v>0</v>
      </c>
    </row>
    <row r="180" spans="1:49" x14ac:dyDescent="0.3">
      <c r="A180" s="66" t="s">
        <v>4293</v>
      </c>
      <c r="B180" s="58">
        <v>12</v>
      </c>
      <c r="C180" s="58" t="s">
        <v>24</v>
      </c>
      <c r="D180" s="65">
        <v>512330</v>
      </c>
      <c r="E180" s="65" t="s">
        <v>42</v>
      </c>
      <c r="F180" s="65" t="s">
        <v>3183</v>
      </c>
      <c r="G180" s="65" t="s">
        <v>3182</v>
      </c>
      <c r="H180" s="65" t="s">
        <v>32</v>
      </c>
      <c r="I180" s="65" t="s">
        <v>50</v>
      </c>
      <c r="J180" s="65" t="s">
        <v>5</v>
      </c>
      <c r="K180" s="65" t="s">
        <v>2031</v>
      </c>
      <c r="L180" s="64" t="s">
        <v>91</v>
      </c>
      <c r="M180" s="58" t="s">
        <v>90</v>
      </c>
      <c r="N180" s="58" t="s">
        <v>2</v>
      </c>
      <c r="O180" s="58">
        <v>35</v>
      </c>
      <c r="P180" s="58">
        <v>35</v>
      </c>
      <c r="Q180" s="58">
        <v>0</v>
      </c>
      <c r="R180" s="58">
        <v>0</v>
      </c>
      <c r="S180" s="58">
        <v>0</v>
      </c>
      <c r="T180" s="58">
        <v>0</v>
      </c>
      <c r="U180" s="58">
        <v>26</v>
      </c>
      <c r="V180" s="62"/>
      <c r="W180" s="62"/>
      <c r="X180" s="63">
        <f>IFERROR(1 -(Master[[#This Row],[Avg Garment Scans per Delivery]]/Master[[#This Row],[Garment Inventory]]), 0)</f>
        <v>0</v>
      </c>
      <c r="Y180" s="62"/>
      <c r="Z180" s="62"/>
      <c r="AA180" s="53">
        <v>44.854489795918369</v>
      </c>
      <c r="AB180" s="53">
        <v>46.691224489795928</v>
      </c>
      <c r="AC180" s="53">
        <v>47.083333333333336</v>
      </c>
      <c r="AD180" s="53">
        <v>49.456666666666671</v>
      </c>
      <c r="AE180" s="53" t="str">
        <f>_xlfn.XLOOKUP(Master[[#This Row],[cu_id]],'[1]Customer Revenue'!$Q:$Q,'[1]Customer Revenue'!$K:$K, "None")</f>
        <v>None</v>
      </c>
      <c r="AF180" s="53" t="str">
        <f>_xlfn.XLOOKUP(Master[[#This Row],[cu_id]],'[1]Customer Revenue'!$Q:$Q,'[1]Customer Revenue'!$L:$L, "None")</f>
        <v>None</v>
      </c>
      <c r="AG180" s="53">
        <v>44.890355029585798</v>
      </c>
      <c r="AH180" s="53">
        <v>46.0619526627219</v>
      </c>
      <c r="AI180" s="53">
        <v>45.772857142857148</v>
      </c>
      <c r="AJ180" s="53">
        <v>48.27</v>
      </c>
      <c r="AK180" s="53" t="str">
        <f>_xlfn.XLOOKUP(Master[[#This Row],[cu_id]],'[1]Customer Revenue'!$Q:$Q,'[1]Customer Revenue'!$I:$I, "None")</f>
        <v>None</v>
      </c>
      <c r="AL180" s="53">
        <v>45.476153846153849</v>
      </c>
      <c r="AM180" s="61">
        <v>0.33333333333333331</v>
      </c>
      <c r="AN180" s="60">
        <v>0.70833333333333337</v>
      </c>
      <c r="AO180" s="60" t="s">
        <v>36</v>
      </c>
      <c r="AP180" s="60" t="s">
        <v>36</v>
      </c>
      <c r="AQ180" s="58" t="s">
        <v>0</v>
      </c>
      <c r="AR180" s="58"/>
      <c r="AS180" s="58"/>
      <c r="AT180" s="52">
        <v>0</v>
      </c>
      <c r="AU180" s="52" t="e">
        <f>IF(Master[[#This Row],[RSP StopTime override]] &lt;&gt; "",Master[[#This Row],[RSP StopTime override]],IF(Master[[#This Row],[Avg stop time helper]] &lt;&gt; 0, Master[[#This Row],[Avg stop time helper]],Average_Stop_Time))</f>
        <v>#DIV/0!</v>
      </c>
      <c r="AV180" s="21"/>
      <c r="AW180" s="20">
        <f>Master[[#This Row],[RSP StopTime override]]-Master[[#This Row],[Avg stop time helper]]</f>
        <v>0</v>
      </c>
    </row>
    <row r="181" spans="1:49" x14ac:dyDescent="0.3">
      <c r="A181" s="66" t="s">
        <v>4294</v>
      </c>
      <c r="B181" s="58">
        <v>12</v>
      </c>
      <c r="C181" s="58" t="s">
        <v>24</v>
      </c>
      <c r="D181" s="65">
        <v>519763</v>
      </c>
      <c r="E181" s="65" t="s">
        <v>42</v>
      </c>
      <c r="F181" s="65" t="s">
        <v>3181</v>
      </c>
      <c r="G181" s="65" t="s">
        <v>3180</v>
      </c>
      <c r="H181" s="65" t="s">
        <v>32</v>
      </c>
      <c r="I181" s="65" t="s">
        <v>50</v>
      </c>
      <c r="J181" s="65" t="s">
        <v>5</v>
      </c>
      <c r="K181" s="65" t="s">
        <v>2031</v>
      </c>
      <c r="L181" s="64" t="s">
        <v>77</v>
      </c>
      <c r="M181" s="58" t="s">
        <v>29</v>
      </c>
      <c r="N181" s="58" t="s">
        <v>2</v>
      </c>
      <c r="O181" s="58">
        <v>40</v>
      </c>
      <c r="P181" s="58">
        <v>40</v>
      </c>
      <c r="Q181" s="58">
        <v>0</v>
      </c>
      <c r="R181" s="58">
        <v>0</v>
      </c>
      <c r="S181" s="58">
        <v>0</v>
      </c>
      <c r="T181" s="58">
        <v>0</v>
      </c>
      <c r="U181" s="58">
        <v>26</v>
      </c>
      <c r="V181" s="62"/>
      <c r="W181" s="62"/>
      <c r="X181" s="63">
        <f>IFERROR(1 -(Master[[#This Row],[Avg Garment Scans per Delivery]]/Master[[#This Row],[Garment Inventory]]), 0)</f>
        <v>0</v>
      </c>
      <c r="Y181" s="62"/>
      <c r="Z181" s="62"/>
      <c r="AA181" s="53">
        <v>96.51</v>
      </c>
      <c r="AB181" s="53">
        <v>97.76</v>
      </c>
      <c r="AC181" s="53">
        <v>103.71959183673468</v>
      </c>
      <c r="AD181" s="53">
        <v>123.24612244897958</v>
      </c>
      <c r="AE181" s="53" t="str">
        <f>_xlfn.XLOOKUP(Master[[#This Row],[cu_id]],'[1]Customer Revenue'!$Q:$Q,'[1]Customer Revenue'!$K:$K, "None")</f>
        <v>None</v>
      </c>
      <c r="AF181" s="53" t="str">
        <f>_xlfn.XLOOKUP(Master[[#This Row],[cu_id]],'[1]Customer Revenue'!$Q:$Q,'[1]Customer Revenue'!$L:$L, "None")</f>
        <v>None</v>
      </c>
      <c r="AG181" s="53">
        <v>96.613550295857991</v>
      </c>
      <c r="AH181" s="53">
        <v>97.252603550295859</v>
      </c>
      <c r="AI181" s="53">
        <v>97.135000000000005</v>
      </c>
      <c r="AJ181" s="53">
        <v>113.48285714285713</v>
      </c>
      <c r="AK181" s="53" t="str">
        <f>_xlfn.XLOOKUP(Master[[#This Row],[cu_id]],'[1]Customer Revenue'!$Q:$Q,'[1]Customer Revenue'!$I:$I, "None")</f>
        <v>None</v>
      </c>
      <c r="AL181" s="53">
        <v>96.933076923076925</v>
      </c>
      <c r="AM181" s="61">
        <v>0.35416666666666669</v>
      </c>
      <c r="AN181" s="60">
        <v>0.6875</v>
      </c>
      <c r="AO181" s="60" t="s">
        <v>36</v>
      </c>
      <c r="AP181" s="60" t="s">
        <v>36</v>
      </c>
      <c r="AQ181" s="58" t="s">
        <v>0</v>
      </c>
      <c r="AR181" s="58"/>
      <c r="AS181" s="58"/>
      <c r="AT181" s="52">
        <v>0</v>
      </c>
      <c r="AU181" s="52" t="e">
        <f>IF(Master[[#This Row],[RSP StopTime override]] &lt;&gt; "",Master[[#This Row],[RSP StopTime override]],IF(Master[[#This Row],[Avg stop time helper]] &lt;&gt; 0, Master[[#This Row],[Avg stop time helper]],Average_Stop_Time))</f>
        <v>#DIV/0!</v>
      </c>
      <c r="AV181" s="21"/>
      <c r="AW181" s="20">
        <f>Master[[#This Row],[RSP StopTime override]]-Master[[#This Row],[Avg stop time helper]]</f>
        <v>0</v>
      </c>
    </row>
    <row r="182" spans="1:49" x14ac:dyDescent="0.3">
      <c r="A182" s="66" t="s">
        <v>4295</v>
      </c>
      <c r="B182" s="58">
        <v>12</v>
      </c>
      <c r="C182" s="58" t="s">
        <v>24</v>
      </c>
      <c r="D182" s="65">
        <v>520445</v>
      </c>
      <c r="E182" s="65" t="s">
        <v>42</v>
      </c>
      <c r="F182" s="65" t="s">
        <v>3179</v>
      </c>
      <c r="G182" s="65" t="s">
        <v>3178</v>
      </c>
      <c r="H182" s="65" t="s">
        <v>32</v>
      </c>
      <c r="I182" s="65" t="s">
        <v>1637</v>
      </c>
      <c r="J182" s="65" t="s">
        <v>5</v>
      </c>
      <c r="K182" s="65" t="s">
        <v>1599</v>
      </c>
      <c r="L182" s="64" t="s">
        <v>67</v>
      </c>
      <c r="M182" s="58" t="s">
        <v>3</v>
      </c>
      <c r="N182" s="58" t="s">
        <v>2</v>
      </c>
      <c r="O182" s="58">
        <v>105</v>
      </c>
      <c r="P182" s="58">
        <v>105</v>
      </c>
      <c r="Q182" s="58">
        <v>0</v>
      </c>
      <c r="R182" s="58">
        <v>0</v>
      </c>
      <c r="S182" s="58">
        <v>0</v>
      </c>
      <c r="T182" s="58">
        <v>0</v>
      </c>
      <c r="U182" s="58">
        <v>52</v>
      </c>
      <c r="V182" s="62"/>
      <c r="W182" s="62"/>
      <c r="X182" s="63">
        <f>IFERROR(1 -(Master[[#This Row],[Avg Garment Scans per Delivery]]/Master[[#This Row],[Garment Inventory]]), 0)</f>
        <v>0</v>
      </c>
      <c r="Y182" s="62"/>
      <c r="Z182" s="62"/>
      <c r="AA182" s="53">
        <v>139.80041420118343</v>
      </c>
      <c r="AB182" s="53">
        <v>141.39804733727809</v>
      </c>
      <c r="AC182" s="53">
        <v>142.80076923076925</v>
      </c>
      <c r="AD182" s="53">
        <v>146.73923076923077</v>
      </c>
      <c r="AE182" s="53" t="str">
        <f>_xlfn.XLOOKUP(Master[[#This Row],[cu_id]],'[1]Customer Revenue'!$Q:$Q,'[1]Customer Revenue'!$K:$K, "None")</f>
        <v>None</v>
      </c>
      <c r="AF182" s="53" t="str">
        <f>_xlfn.XLOOKUP(Master[[#This Row],[cu_id]],'[1]Customer Revenue'!$Q:$Q,'[1]Customer Revenue'!$L:$L, "None")</f>
        <v>None</v>
      </c>
      <c r="AG182" s="53">
        <v>120.35686451408669</v>
      </c>
      <c r="AH182" s="53">
        <v>147.59159702437478</v>
      </c>
      <c r="AI182" s="53">
        <v>140.59923076923076</v>
      </c>
      <c r="AJ182" s="53">
        <v>144.77000000000001</v>
      </c>
      <c r="AK182" s="53" t="str">
        <f>_xlfn.XLOOKUP(Master[[#This Row],[cu_id]],'[1]Customer Revenue'!$Q:$Q,'[1]Customer Revenue'!$I:$I, "None")</f>
        <v>None</v>
      </c>
      <c r="AL182" s="53">
        <v>133.97423076923073</v>
      </c>
      <c r="AM182" s="61">
        <v>0.3125</v>
      </c>
      <c r="AN182" s="60">
        <v>0.6875</v>
      </c>
      <c r="AO182" s="60" t="s">
        <v>36</v>
      </c>
      <c r="AP182" s="60" t="s">
        <v>36</v>
      </c>
      <c r="AQ182" s="58" t="s">
        <v>0</v>
      </c>
      <c r="AR182" s="58"/>
      <c r="AS182" s="58"/>
      <c r="AT182" s="52">
        <v>0</v>
      </c>
      <c r="AU182" s="52" t="e">
        <f>IF(Master[[#This Row],[RSP StopTime override]] &lt;&gt; "",Master[[#This Row],[RSP StopTime override]],IF(Master[[#This Row],[Avg stop time helper]] &lt;&gt; 0, Master[[#This Row],[Avg stop time helper]],Average_Stop_Time))</f>
        <v>#DIV/0!</v>
      </c>
      <c r="AV182" s="21"/>
      <c r="AW182" s="20">
        <f>Master[[#This Row],[RSP StopTime override]]-Master[[#This Row],[Avg stop time helper]]</f>
        <v>0</v>
      </c>
    </row>
    <row r="183" spans="1:49" x14ac:dyDescent="0.3">
      <c r="A183" s="66" t="s">
        <v>4296</v>
      </c>
      <c r="B183" s="58">
        <v>12</v>
      </c>
      <c r="C183" s="58" t="s">
        <v>24</v>
      </c>
      <c r="D183" s="65">
        <v>526653</v>
      </c>
      <c r="E183" s="65" t="s">
        <v>1455</v>
      </c>
      <c r="F183" s="65" t="s">
        <v>3177</v>
      </c>
      <c r="G183" s="65" t="s">
        <v>3176</v>
      </c>
      <c r="H183" s="65" t="s">
        <v>32</v>
      </c>
      <c r="I183" s="65" t="s">
        <v>1600</v>
      </c>
      <c r="J183" s="65" t="s">
        <v>5</v>
      </c>
      <c r="K183" s="65" t="s">
        <v>2031</v>
      </c>
      <c r="L183" s="64" t="s">
        <v>77</v>
      </c>
      <c r="M183" s="58" t="s">
        <v>29</v>
      </c>
      <c r="N183" s="58" t="s">
        <v>2</v>
      </c>
      <c r="O183" s="58">
        <v>50</v>
      </c>
      <c r="P183" s="58">
        <v>50</v>
      </c>
      <c r="Q183" s="58">
        <v>0</v>
      </c>
      <c r="R183" s="58">
        <v>0</v>
      </c>
      <c r="S183" s="58">
        <v>0</v>
      </c>
      <c r="T183" s="58">
        <v>0</v>
      </c>
      <c r="U183" s="58">
        <v>20</v>
      </c>
      <c r="V183" s="62"/>
      <c r="W183" s="62"/>
      <c r="X183" s="63">
        <f>IFERROR(1 -(Master[[#This Row],[Avg Garment Scans per Delivery]]/Master[[#This Row],[Garment Inventory]]), 0)</f>
        <v>0</v>
      </c>
      <c r="Y183" s="62"/>
      <c r="Z183" s="62"/>
      <c r="AA183" s="53">
        <v>15.894444444444446</v>
      </c>
      <c r="AB183" s="53">
        <v>16.422222222222224</v>
      </c>
      <c r="AC183" s="53">
        <v>10.59375</v>
      </c>
      <c r="AD183" s="53">
        <v>23.306249999999999</v>
      </c>
      <c r="AE183" s="53" t="str">
        <f>_xlfn.XLOOKUP(Master[[#This Row],[cu_id]],'[1]Customer Revenue'!$Q:$Q,'[1]Customer Revenue'!$K:$K, "None")</f>
        <v>None</v>
      </c>
      <c r="AF183" s="53" t="str">
        <f>_xlfn.XLOOKUP(Master[[#This Row],[cu_id]],'[1]Customer Revenue'!$Q:$Q,'[1]Customer Revenue'!$L:$L, "None")</f>
        <v>None</v>
      </c>
      <c r="AG183" s="53">
        <v>15.938165680473373</v>
      </c>
      <c r="AH183" s="53">
        <v>16.207988165680472</v>
      </c>
      <c r="AI183" s="53">
        <v>16.158333333333335</v>
      </c>
      <c r="AJ183" s="53">
        <v>16.95</v>
      </c>
      <c r="AK183" s="53" t="str">
        <f>_xlfn.XLOOKUP(Master[[#This Row],[cu_id]],'[1]Customer Revenue'!$Q:$Q,'[1]Customer Revenue'!$I:$I, "None")</f>
        <v>None</v>
      </c>
      <c r="AL183" s="53">
        <v>16.073076923076922</v>
      </c>
      <c r="AM183" s="61">
        <v>0.29166666666666669</v>
      </c>
      <c r="AN183" s="60">
        <v>0.625</v>
      </c>
      <c r="AO183" s="60" t="s">
        <v>36</v>
      </c>
      <c r="AP183" s="60" t="s">
        <v>36</v>
      </c>
      <c r="AQ183" s="58" t="s">
        <v>0</v>
      </c>
      <c r="AR183" s="58"/>
      <c r="AS183" s="58"/>
      <c r="AT183" s="52">
        <v>0</v>
      </c>
      <c r="AU183" s="52" t="e">
        <f>IF(Master[[#This Row],[RSP StopTime override]] &lt;&gt; "",Master[[#This Row],[RSP StopTime override]],IF(Master[[#This Row],[Avg stop time helper]] &lt;&gt; 0, Master[[#This Row],[Avg stop time helper]],Average_Stop_Time))</f>
        <v>#DIV/0!</v>
      </c>
      <c r="AV183" s="21"/>
      <c r="AW183" s="20">
        <f>Master[[#This Row],[RSP StopTime override]]-Master[[#This Row],[Avg stop time helper]]</f>
        <v>0</v>
      </c>
    </row>
    <row r="184" spans="1:49" x14ac:dyDescent="0.3">
      <c r="A184" s="66" t="s">
        <v>4297</v>
      </c>
      <c r="B184" s="58">
        <v>12</v>
      </c>
      <c r="C184" s="58" t="s">
        <v>24</v>
      </c>
      <c r="D184" s="65">
        <v>527395</v>
      </c>
      <c r="E184" s="65" t="s">
        <v>42</v>
      </c>
      <c r="F184" s="65" t="s">
        <v>3175</v>
      </c>
      <c r="G184" s="65" t="s">
        <v>3174</v>
      </c>
      <c r="H184" s="65" t="s">
        <v>32</v>
      </c>
      <c r="I184" s="65" t="s">
        <v>50</v>
      </c>
      <c r="J184" s="65" t="s">
        <v>5</v>
      </c>
      <c r="K184" s="65" t="s">
        <v>1599</v>
      </c>
      <c r="L184" s="64" t="s">
        <v>77</v>
      </c>
      <c r="M184" s="58" t="s">
        <v>29</v>
      </c>
      <c r="N184" s="58" t="s">
        <v>2</v>
      </c>
      <c r="O184" s="58">
        <v>73</v>
      </c>
      <c r="P184" s="58">
        <v>73</v>
      </c>
      <c r="Q184" s="58">
        <v>0</v>
      </c>
      <c r="R184" s="58">
        <v>0</v>
      </c>
      <c r="S184" s="58">
        <v>0</v>
      </c>
      <c r="T184" s="58">
        <v>0</v>
      </c>
      <c r="U184" s="58">
        <v>25</v>
      </c>
      <c r="V184" s="62"/>
      <c r="W184" s="62"/>
      <c r="X184" s="63">
        <f>IFERROR(1 -(Master[[#This Row],[Avg Garment Scans per Delivery]]/Master[[#This Row],[Garment Inventory]]), 0)</f>
        <v>0</v>
      </c>
      <c r="Y184" s="62"/>
      <c r="Z184" s="62"/>
      <c r="AA184" s="53">
        <v>77.567777777777778</v>
      </c>
      <c r="AB184" s="53">
        <v>101.67888888888889</v>
      </c>
      <c r="AC184" s="53">
        <v>80.369591836734685</v>
      </c>
      <c r="AD184" s="53">
        <v>115.03897959183672</v>
      </c>
      <c r="AE184" s="53" t="str">
        <f>_xlfn.XLOOKUP(Master[[#This Row],[cu_id]],'[1]Customer Revenue'!$Q:$Q,'[1]Customer Revenue'!$K:$K, "None")</f>
        <v>None</v>
      </c>
      <c r="AF184" s="53" t="str">
        <f>_xlfn.XLOOKUP(Master[[#This Row],[cu_id]],'[1]Customer Revenue'!$Q:$Q,'[1]Customer Revenue'!$L:$L, "None")</f>
        <v>None</v>
      </c>
      <c r="AG184" s="53">
        <v>76.744142011834327</v>
      </c>
      <c r="AH184" s="53">
        <v>107.7204733727811</v>
      </c>
      <c r="AI184" s="53">
        <v>89.623333333333335</v>
      </c>
      <c r="AJ184" s="53">
        <v>97.704285714285703</v>
      </c>
      <c r="AK184" s="53" t="str">
        <f>_xlfn.XLOOKUP(Master[[#This Row],[cu_id]],'[1]Customer Revenue'!$Q:$Q,'[1]Customer Revenue'!$I:$I, "None")</f>
        <v>None</v>
      </c>
      <c r="AL184" s="53">
        <v>92.232307692307714</v>
      </c>
      <c r="AM184" s="61">
        <v>0.33333333333333331</v>
      </c>
      <c r="AN184" s="60">
        <v>0.6875</v>
      </c>
      <c r="AO184" s="60" t="s">
        <v>36</v>
      </c>
      <c r="AP184" s="60" t="s">
        <v>36</v>
      </c>
      <c r="AQ184" s="58" t="s">
        <v>0</v>
      </c>
      <c r="AR184" s="58"/>
      <c r="AS184" s="58"/>
      <c r="AT184" s="52">
        <v>0</v>
      </c>
      <c r="AU184" s="52" t="e">
        <f>IF(Master[[#This Row],[RSP StopTime override]] &lt;&gt; "",Master[[#This Row],[RSP StopTime override]],IF(Master[[#This Row],[Avg stop time helper]] &lt;&gt; 0, Master[[#This Row],[Avg stop time helper]],Average_Stop_Time))</f>
        <v>#DIV/0!</v>
      </c>
      <c r="AV184" s="21"/>
      <c r="AW184" s="20">
        <f>Master[[#This Row],[RSP StopTime override]]-Master[[#This Row],[Avg stop time helper]]</f>
        <v>0</v>
      </c>
    </row>
    <row r="185" spans="1:49" x14ac:dyDescent="0.3">
      <c r="A185" s="66" t="s">
        <v>4298</v>
      </c>
      <c r="B185" s="58">
        <v>12</v>
      </c>
      <c r="C185" s="58" t="s">
        <v>24</v>
      </c>
      <c r="D185" s="65">
        <v>528595</v>
      </c>
      <c r="E185" s="65" t="s">
        <v>42</v>
      </c>
      <c r="F185" s="65" t="s">
        <v>3173</v>
      </c>
      <c r="G185" s="65" t="s">
        <v>3172</v>
      </c>
      <c r="H185" s="65" t="s">
        <v>32</v>
      </c>
      <c r="I185" s="65" t="s">
        <v>50</v>
      </c>
      <c r="J185" s="65" t="s">
        <v>5</v>
      </c>
      <c r="K185" s="65" t="s">
        <v>2031</v>
      </c>
      <c r="L185" s="64" t="s">
        <v>67</v>
      </c>
      <c r="M185" s="58" t="s">
        <v>3</v>
      </c>
      <c r="N185" s="58" t="s">
        <v>2</v>
      </c>
      <c r="O185" s="58">
        <v>170</v>
      </c>
      <c r="P185" s="58">
        <v>170</v>
      </c>
      <c r="Q185" s="58">
        <v>0</v>
      </c>
      <c r="R185" s="58">
        <v>0</v>
      </c>
      <c r="S185" s="58">
        <v>0</v>
      </c>
      <c r="T185" s="58">
        <v>0</v>
      </c>
      <c r="U185" s="58">
        <v>53</v>
      </c>
      <c r="V185" s="62">
        <v>434</v>
      </c>
      <c r="W185" s="62">
        <v>62</v>
      </c>
      <c r="X185" s="63">
        <f>IFERROR(1 -(Master[[#This Row],[Avg Garment Scans per Delivery]]/Master[[#This Row],[Garment Inventory]]), 0)</f>
        <v>0.85714285714285721</v>
      </c>
      <c r="Y185" s="62">
        <v>17</v>
      </c>
      <c r="Z185" s="62">
        <v>440</v>
      </c>
      <c r="AA185" s="53">
        <v>352.01964497041422</v>
      </c>
      <c r="AB185" s="53">
        <v>400.60804733727821</v>
      </c>
      <c r="AC185" s="53">
        <v>358.15846153846149</v>
      </c>
      <c r="AD185" s="53">
        <v>364.56153846153842</v>
      </c>
      <c r="AE185" s="53" t="str">
        <f>_xlfn.XLOOKUP(Master[[#This Row],[cu_id]],'[1]Customer Revenue'!$Q:$Q,'[1]Customer Revenue'!$K:$K, "None")</f>
        <v>None</v>
      </c>
      <c r="AF185" s="53" t="str">
        <f>_xlfn.XLOOKUP(Master[[#This Row],[cu_id]],'[1]Customer Revenue'!$Q:$Q,'[1]Customer Revenue'!$L:$L, "None")</f>
        <v>None</v>
      </c>
      <c r="AG185" s="53">
        <v>337.45703281629187</v>
      </c>
      <c r="AH185" s="53">
        <v>421.7768133375539</v>
      </c>
      <c r="AI185" s="53">
        <v>376.31384615384621</v>
      </c>
      <c r="AJ185" s="53">
        <v>361.35999999999996</v>
      </c>
      <c r="AK185" s="53" t="str">
        <f>_xlfn.XLOOKUP(Master[[#This Row],[cu_id]],'[1]Customer Revenue'!$Q:$Q,'[1]Customer Revenue'!$I:$I, "None")</f>
        <v>None</v>
      </c>
      <c r="AL185" s="53">
        <v>379.61692307692289</v>
      </c>
      <c r="AM185" s="61">
        <v>0.29166666666666669</v>
      </c>
      <c r="AN185" s="60">
        <v>0.6875</v>
      </c>
      <c r="AO185" s="60" t="s">
        <v>36</v>
      </c>
      <c r="AP185" s="60" t="s">
        <v>36</v>
      </c>
      <c r="AQ185" s="58" t="s">
        <v>0</v>
      </c>
      <c r="AR185" s="58"/>
      <c r="AS185" s="58"/>
      <c r="AT185" s="52">
        <v>0</v>
      </c>
      <c r="AU185" s="52" t="e">
        <f>IF(Master[[#This Row],[RSP StopTime override]] &lt;&gt; "",Master[[#This Row],[RSP StopTime override]],IF(Master[[#This Row],[Avg stop time helper]] &lt;&gt; 0, Master[[#This Row],[Avg stop time helper]],Average_Stop_Time))</f>
        <v>#DIV/0!</v>
      </c>
      <c r="AV185" s="21"/>
      <c r="AW185" s="20">
        <f>Master[[#This Row],[RSP StopTime override]]-Master[[#This Row],[Avg stop time helper]]</f>
        <v>0</v>
      </c>
    </row>
    <row r="186" spans="1:49" x14ac:dyDescent="0.3">
      <c r="A186" s="66" t="s">
        <v>4299</v>
      </c>
      <c r="B186" s="58">
        <v>12</v>
      </c>
      <c r="C186" s="58" t="s">
        <v>24</v>
      </c>
      <c r="D186" s="65">
        <v>530739</v>
      </c>
      <c r="E186" s="65" t="s">
        <v>42</v>
      </c>
      <c r="F186" s="65" t="s">
        <v>3171</v>
      </c>
      <c r="G186" s="65" t="s">
        <v>3170</v>
      </c>
      <c r="H186" s="65" t="s">
        <v>544</v>
      </c>
      <c r="I186" s="65" t="s">
        <v>12</v>
      </c>
      <c r="J186" s="65" t="s">
        <v>5</v>
      </c>
      <c r="K186" s="65" t="s">
        <v>2031</v>
      </c>
      <c r="L186" s="64" t="s">
        <v>67</v>
      </c>
      <c r="M186" s="58" t="s">
        <v>3</v>
      </c>
      <c r="N186" s="58" t="s">
        <v>2</v>
      </c>
      <c r="O186" s="58">
        <v>160</v>
      </c>
      <c r="P186" s="58">
        <v>160</v>
      </c>
      <c r="Q186" s="58">
        <v>0</v>
      </c>
      <c r="R186" s="58">
        <v>0</v>
      </c>
      <c r="S186" s="58">
        <v>0</v>
      </c>
      <c r="T186" s="58">
        <v>0</v>
      </c>
      <c r="U186" s="58">
        <v>52</v>
      </c>
      <c r="V186" s="62">
        <v>200</v>
      </c>
      <c r="W186" s="62">
        <v>11</v>
      </c>
      <c r="X186" s="63">
        <f>IFERROR(1 -(Master[[#This Row],[Avg Garment Scans per Delivery]]/Master[[#This Row],[Garment Inventory]]), 0)</f>
        <v>0.94499999999999995</v>
      </c>
      <c r="Y186" s="62">
        <v>10</v>
      </c>
      <c r="Z186" s="62">
        <v>202</v>
      </c>
      <c r="AA186" s="53">
        <v>90.36550295857991</v>
      </c>
      <c r="AB186" s="53">
        <v>96.186804733727868</v>
      </c>
      <c r="AC186" s="53">
        <v>92.074378698224848</v>
      </c>
      <c r="AD186" s="53">
        <v>92.474852071005898</v>
      </c>
      <c r="AE186" s="53" t="str">
        <f>_xlfn.XLOOKUP(Master[[#This Row],[cu_id]],'[1]Customer Revenue'!$Q:$Q,'[1]Customer Revenue'!$K:$K, "None")</f>
        <v>None</v>
      </c>
      <c r="AF186" s="53" t="str">
        <f>_xlfn.XLOOKUP(Master[[#This Row],[cu_id]],'[1]Customer Revenue'!$Q:$Q,'[1]Customer Revenue'!$L:$L, "None")</f>
        <v>None</v>
      </c>
      <c r="AG186" s="53">
        <v>87.83770655270655</v>
      </c>
      <c r="AH186" s="53">
        <v>102.4984472934473</v>
      </c>
      <c r="AI186" s="53">
        <v>93.276153846153889</v>
      </c>
      <c r="AJ186" s="53">
        <v>92.274615384615373</v>
      </c>
      <c r="AK186" s="53" t="str">
        <f>_xlfn.XLOOKUP(Master[[#This Row],[cu_id]],'[1]Customer Revenue'!$Q:$Q,'[1]Customer Revenue'!$I:$I, "None")</f>
        <v>None</v>
      </c>
      <c r="AL186" s="53">
        <v>95.168076923076924</v>
      </c>
      <c r="AM186" s="61">
        <v>0.33333333333333331</v>
      </c>
      <c r="AN186" s="60">
        <v>0.6875</v>
      </c>
      <c r="AO186" s="60" t="s">
        <v>36</v>
      </c>
      <c r="AP186" s="60" t="s">
        <v>36</v>
      </c>
      <c r="AQ186" s="58" t="s">
        <v>0</v>
      </c>
      <c r="AR186" s="58"/>
      <c r="AS186" s="58"/>
      <c r="AT186" s="52">
        <v>0</v>
      </c>
      <c r="AU186" s="52" t="e">
        <f>IF(Master[[#This Row],[RSP StopTime override]] &lt;&gt; "",Master[[#This Row],[RSP StopTime override]],IF(Master[[#This Row],[Avg stop time helper]] &lt;&gt; 0, Master[[#This Row],[Avg stop time helper]],Average_Stop_Time))</f>
        <v>#DIV/0!</v>
      </c>
      <c r="AV186" s="21"/>
      <c r="AW186" s="20">
        <f>Master[[#This Row],[RSP StopTime override]]-Master[[#This Row],[Avg stop time helper]]</f>
        <v>0</v>
      </c>
    </row>
    <row r="187" spans="1:49" x14ac:dyDescent="0.3">
      <c r="A187" s="66" t="s">
        <v>4300</v>
      </c>
      <c r="B187" s="58">
        <v>12</v>
      </c>
      <c r="C187" s="58" t="s">
        <v>24</v>
      </c>
      <c r="D187" s="65">
        <v>531390</v>
      </c>
      <c r="E187" s="65" t="s">
        <v>42</v>
      </c>
      <c r="F187" s="65" t="s">
        <v>3169</v>
      </c>
      <c r="G187" s="65" t="s">
        <v>3168</v>
      </c>
      <c r="H187" s="65" t="s">
        <v>7</v>
      </c>
      <c r="I187" s="65" t="s">
        <v>2966</v>
      </c>
      <c r="J187" s="65" t="s">
        <v>5</v>
      </c>
      <c r="K187" s="65" t="s">
        <v>2031</v>
      </c>
      <c r="L187" s="64" t="s">
        <v>91</v>
      </c>
      <c r="M187" s="58" t="s">
        <v>90</v>
      </c>
      <c r="N187" s="58" t="s">
        <v>2</v>
      </c>
      <c r="O187" s="58">
        <v>55</v>
      </c>
      <c r="P187" s="58">
        <v>55</v>
      </c>
      <c r="Q187" s="58">
        <v>0</v>
      </c>
      <c r="R187" s="58">
        <v>0</v>
      </c>
      <c r="S187" s="58">
        <v>0</v>
      </c>
      <c r="T187" s="58">
        <v>0</v>
      </c>
      <c r="U187" s="58">
        <v>24</v>
      </c>
      <c r="V187" s="62"/>
      <c r="W187" s="62"/>
      <c r="X187" s="63">
        <f>IFERROR(1 -(Master[[#This Row],[Avg Garment Scans per Delivery]]/Master[[#This Row],[Garment Inventory]]), 0)</f>
        <v>0</v>
      </c>
      <c r="Y187" s="62"/>
      <c r="Z187" s="62"/>
      <c r="AA187" s="53">
        <v>26.466938775510194</v>
      </c>
      <c r="AB187" s="53">
        <v>62.97306122448979</v>
      </c>
      <c r="AC187" s="53">
        <v>47.08</v>
      </c>
      <c r="AD187" s="53">
        <v>47.08</v>
      </c>
      <c r="AE187" s="53" t="str">
        <f>_xlfn.XLOOKUP(Master[[#This Row],[cu_id]],'[1]Customer Revenue'!$Q:$Q,'[1]Customer Revenue'!$K:$K, "None")</f>
        <v>None</v>
      </c>
      <c r="AF187" s="53" t="str">
        <f>_xlfn.XLOOKUP(Master[[#This Row],[cu_id]],'[1]Customer Revenue'!$Q:$Q,'[1]Customer Revenue'!$L:$L, "None")</f>
        <v>None</v>
      </c>
      <c r="AG187" s="53">
        <v>33.121301775147913</v>
      </c>
      <c r="AH187" s="53">
        <v>56.438698224852075</v>
      </c>
      <c r="AI187" s="53">
        <v>44.719999999999992</v>
      </c>
      <c r="AJ187" s="53">
        <v>47.08</v>
      </c>
      <c r="AK187" s="53" t="str">
        <f>_xlfn.XLOOKUP(Master[[#This Row],[cu_id]],'[1]Customer Revenue'!$Q:$Q,'[1]Customer Revenue'!$I:$I, "None")</f>
        <v>None</v>
      </c>
      <c r="AL187" s="53">
        <v>44.779999999999994</v>
      </c>
      <c r="AM187" s="61">
        <v>0.4375</v>
      </c>
      <c r="AN187" s="60">
        <v>0.70833333333333337</v>
      </c>
      <c r="AO187" s="60" t="s">
        <v>36</v>
      </c>
      <c r="AP187" s="60" t="s">
        <v>36</v>
      </c>
      <c r="AQ187" s="58" t="s">
        <v>0</v>
      </c>
      <c r="AR187" s="58"/>
      <c r="AS187" s="58"/>
      <c r="AT187" s="52">
        <v>0</v>
      </c>
      <c r="AU187" s="52" t="e">
        <f>IF(Master[[#This Row],[RSP StopTime override]] &lt;&gt; "",Master[[#This Row],[RSP StopTime override]],IF(Master[[#This Row],[Avg stop time helper]] &lt;&gt; 0, Master[[#This Row],[Avg stop time helper]],Average_Stop_Time))</f>
        <v>#DIV/0!</v>
      </c>
      <c r="AV187" s="21"/>
      <c r="AW187" s="20">
        <f>Master[[#This Row],[RSP StopTime override]]-Master[[#This Row],[Avg stop time helper]]</f>
        <v>0</v>
      </c>
    </row>
    <row r="188" spans="1:49" x14ac:dyDescent="0.3">
      <c r="A188" s="66" t="s">
        <v>4301</v>
      </c>
      <c r="B188" s="58">
        <v>12</v>
      </c>
      <c r="C188" s="58" t="s">
        <v>24</v>
      </c>
      <c r="D188" s="65">
        <v>531877</v>
      </c>
      <c r="E188" s="65" t="s">
        <v>42</v>
      </c>
      <c r="F188" s="65" t="s">
        <v>3167</v>
      </c>
      <c r="G188" s="65" t="s">
        <v>3166</v>
      </c>
      <c r="H188" s="65" t="s">
        <v>7</v>
      </c>
      <c r="I188" s="65" t="s">
        <v>1600</v>
      </c>
      <c r="J188" s="65" t="s">
        <v>5</v>
      </c>
      <c r="K188" s="65" t="s">
        <v>2031</v>
      </c>
      <c r="L188" s="64" t="s">
        <v>91</v>
      </c>
      <c r="M188" s="58" t="s">
        <v>90</v>
      </c>
      <c r="N188" s="58" t="s">
        <v>2</v>
      </c>
      <c r="O188" s="58">
        <v>56</v>
      </c>
      <c r="P188" s="58">
        <v>56</v>
      </c>
      <c r="Q188" s="58">
        <v>0</v>
      </c>
      <c r="R188" s="58">
        <v>0</v>
      </c>
      <c r="S188" s="58">
        <v>0</v>
      </c>
      <c r="T188" s="58">
        <v>0</v>
      </c>
      <c r="U188" s="58">
        <v>26</v>
      </c>
      <c r="V188" s="62"/>
      <c r="W188" s="62"/>
      <c r="X188" s="63">
        <f>IFERROR(1 -(Master[[#This Row],[Avg Garment Scans per Delivery]]/Master[[#This Row],[Garment Inventory]]), 0)</f>
        <v>0</v>
      </c>
      <c r="Y188" s="62"/>
      <c r="Z188" s="62"/>
      <c r="AA188" s="53">
        <v>126.1434693877551</v>
      </c>
      <c r="AB188" s="53">
        <v>132.16795918367347</v>
      </c>
      <c r="AC188" s="53">
        <v>99.126111111111086</v>
      </c>
      <c r="AD188" s="53">
        <v>134.93055555555554</v>
      </c>
      <c r="AE188" s="53" t="str">
        <f>_xlfn.XLOOKUP(Master[[#This Row],[cu_id]],'[1]Customer Revenue'!$Q:$Q,'[1]Customer Revenue'!$K:$K, "None")</f>
        <v>None</v>
      </c>
      <c r="AF188" s="53" t="str">
        <f>_xlfn.XLOOKUP(Master[[#This Row],[cu_id]],'[1]Customer Revenue'!$Q:$Q,'[1]Customer Revenue'!$L:$L, "None")</f>
        <v>None</v>
      </c>
      <c r="AG188" s="53">
        <v>79.825811965811994</v>
      </c>
      <c r="AH188" s="53">
        <v>151.20803418803419</v>
      </c>
      <c r="AI188" s="53">
        <v>129.15571428571428</v>
      </c>
      <c r="AJ188" s="53">
        <v>117.02833333333331</v>
      </c>
      <c r="AK188" s="53" t="str">
        <f>_xlfn.XLOOKUP(Master[[#This Row],[cu_id]],'[1]Customer Revenue'!$Q:$Q,'[1]Customer Revenue'!$I:$I, "None")</f>
        <v>None</v>
      </c>
      <c r="AL188" s="53">
        <v>115.51692307692309</v>
      </c>
      <c r="AM188" s="61">
        <v>0.4375</v>
      </c>
      <c r="AN188" s="60">
        <v>0.70833333333333337</v>
      </c>
      <c r="AO188" s="60" t="s">
        <v>36</v>
      </c>
      <c r="AP188" s="60" t="s">
        <v>36</v>
      </c>
      <c r="AQ188" s="58" t="s">
        <v>0</v>
      </c>
      <c r="AR188" s="58"/>
      <c r="AS188" s="58"/>
      <c r="AT188" s="52">
        <v>0</v>
      </c>
      <c r="AU188" s="52" t="e">
        <f>IF(Master[[#This Row],[RSP StopTime override]] &lt;&gt; "",Master[[#This Row],[RSP StopTime override]],IF(Master[[#This Row],[Avg stop time helper]] &lt;&gt; 0, Master[[#This Row],[Avg stop time helper]],Average_Stop_Time))</f>
        <v>#DIV/0!</v>
      </c>
      <c r="AV188" s="21"/>
      <c r="AW188" s="20">
        <f>Master[[#This Row],[RSP StopTime override]]-Master[[#This Row],[Avg stop time helper]]</f>
        <v>0</v>
      </c>
    </row>
    <row r="189" spans="1:49" x14ac:dyDescent="0.3">
      <c r="A189" s="66" t="s">
        <v>4302</v>
      </c>
      <c r="B189" s="58">
        <v>12</v>
      </c>
      <c r="C189" s="58" t="s">
        <v>24</v>
      </c>
      <c r="D189" s="65">
        <v>532100</v>
      </c>
      <c r="E189" s="65" t="s">
        <v>42</v>
      </c>
      <c r="F189" s="65" t="s">
        <v>3165</v>
      </c>
      <c r="G189" s="65" t="s">
        <v>3164</v>
      </c>
      <c r="H189" s="65" t="s">
        <v>7</v>
      </c>
      <c r="I189" s="65" t="s">
        <v>2966</v>
      </c>
      <c r="J189" s="65" t="s">
        <v>5</v>
      </c>
      <c r="K189" s="65" t="s">
        <v>2031</v>
      </c>
      <c r="L189" s="64" t="s">
        <v>91</v>
      </c>
      <c r="M189" s="58" t="s">
        <v>90</v>
      </c>
      <c r="N189" s="58" t="s">
        <v>2</v>
      </c>
      <c r="O189" s="58">
        <v>142</v>
      </c>
      <c r="P189" s="58">
        <v>142</v>
      </c>
      <c r="Q189" s="58">
        <v>0</v>
      </c>
      <c r="R189" s="58">
        <v>0</v>
      </c>
      <c r="S189" s="58">
        <v>0</v>
      </c>
      <c r="T189" s="58">
        <v>0</v>
      </c>
      <c r="U189" s="58">
        <v>26</v>
      </c>
      <c r="V189" s="62"/>
      <c r="W189" s="62"/>
      <c r="X189" s="63">
        <f>IFERROR(1 -(Master[[#This Row],[Avg Garment Scans per Delivery]]/Master[[#This Row],[Garment Inventory]]), 0)</f>
        <v>0</v>
      </c>
      <c r="Y189" s="62"/>
      <c r="Z189" s="62"/>
      <c r="AA189" s="53">
        <v>89.626326530612246</v>
      </c>
      <c r="AB189" s="53">
        <v>90.850816326530619</v>
      </c>
      <c r="AC189" s="53">
        <v>88.136666666666656</v>
      </c>
      <c r="AD189" s="53">
        <v>94.213333333333338</v>
      </c>
      <c r="AE189" s="53" t="str">
        <f>_xlfn.XLOOKUP(Master[[#This Row],[cu_id]],'[1]Customer Revenue'!$Q:$Q,'[1]Customer Revenue'!$K:$K, "None")</f>
        <v>None</v>
      </c>
      <c r="AF189" s="53" t="str">
        <f>_xlfn.XLOOKUP(Master[[#This Row],[cu_id]],'[1]Customer Revenue'!$Q:$Q,'[1]Customer Revenue'!$L:$L, "None")</f>
        <v>None</v>
      </c>
      <c r="AG189" s="53">
        <v>84.840118343195257</v>
      </c>
      <c r="AH189" s="53">
        <v>100.66142011834313</v>
      </c>
      <c r="AI189" s="53">
        <v>90.238571428571433</v>
      </c>
      <c r="AJ189" s="53">
        <v>91.174999999999997</v>
      </c>
      <c r="AK189" s="53" t="str">
        <f>_xlfn.XLOOKUP(Master[[#This Row],[cu_id]],'[1]Customer Revenue'!$Q:$Q,'[1]Customer Revenue'!$I:$I, "None")</f>
        <v>None</v>
      </c>
      <c r="AL189" s="53">
        <v>92.750769230769194</v>
      </c>
      <c r="AM189" s="61">
        <v>0.4375</v>
      </c>
      <c r="AN189" s="60">
        <v>0.70833333333333337</v>
      </c>
      <c r="AO189" s="60" t="s">
        <v>36</v>
      </c>
      <c r="AP189" s="60" t="s">
        <v>36</v>
      </c>
      <c r="AQ189" s="58" t="s">
        <v>0</v>
      </c>
      <c r="AR189" s="58"/>
      <c r="AS189" s="58"/>
      <c r="AT189" s="52">
        <v>0</v>
      </c>
      <c r="AU189" s="52" t="e">
        <f>IF(Master[[#This Row],[RSP StopTime override]] &lt;&gt; "",Master[[#This Row],[RSP StopTime override]],IF(Master[[#This Row],[Avg stop time helper]] &lt;&gt; 0, Master[[#This Row],[Avg stop time helper]],Average_Stop_Time))</f>
        <v>#DIV/0!</v>
      </c>
      <c r="AV189" s="21"/>
      <c r="AW189" s="20">
        <f>Master[[#This Row],[RSP StopTime override]]-Master[[#This Row],[Avg stop time helper]]</f>
        <v>0</v>
      </c>
    </row>
    <row r="190" spans="1:49" x14ac:dyDescent="0.3">
      <c r="A190" s="66" t="s">
        <v>4303</v>
      </c>
      <c r="B190" s="58">
        <v>12</v>
      </c>
      <c r="C190" s="58" t="s">
        <v>24</v>
      </c>
      <c r="D190" s="65">
        <v>533235</v>
      </c>
      <c r="E190" s="65" t="s">
        <v>42</v>
      </c>
      <c r="F190" s="65" t="s">
        <v>3163</v>
      </c>
      <c r="G190" s="65" t="s">
        <v>3162</v>
      </c>
      <c r="H190" s="65" t="s">
        <v>7</v>
      </c>
      <c r="I190" s="65" t="s">
        <v>12</v>
      </c>
      <c r="J190" s="65" t="s">
        <v>5</v>
      </c>
      <c r="K190" s="65" t="s">
        <v>2031</v>
      </c>
      <c r="L190" s="64" t="s">
        <v>67</v>
      </c>
      <c r="M190" s="58" t="s">
        <v>3</v>
      </c>
      <c r="N190" s="58" t="s">
        <v>2</v>
      </c>
      <c r="O190" s="58">
        <v>130</v>
      </c>
      <c r="P190" s="58">
        <v>130</v>
      </c>
      <c r="Q190" s="58">
        <v>0</v>
      </c>
      <c r="R190" s="58">
        <v>0</v>
      </c>
      <c r="S190" s="58">
        <v>0</v>
      </c>
      <c r="T190" s="58">
        <v>0</v>
      </c>
      <c r="U190" s="58">
        <v>52</v>
      </c>
      <c r="V190" s="62">
        <v>36</v>
      </c>
      <c r="W190" s="62">
        <v>8</v>
      </c>
      <c r="X190" s="63">
        <f>IFERROR(1 -(Master[[#This Row],[Avg Garment Scans per Delivery]]/Master[[#This Row],[Garment Inventory]]), 0)</f>
        <v>0.77777777777777779</v>
      </c>
      <c r="Y190" s="62">
        <v>4</v>
      </c>
      <c r="Z190" s="62">
        <v>36</v>
      </c>
      <c r="AA190" s="53">
        <v>65.650414201183452</v>
      </c>
      <c r="AB190" s="53">
        <v>67.248047337278138</v>
      </c>
      <c r="AC190" s="53">
        <v>67.307810650887575</v>
      </c>
      <c r="AD190" s="53">
        <v>73.587573964497039</v>
      </c>
      <c r="AE190" s="53" t="str">
        <f>_xlfn.XLOOKUP(Master[[#This Row],[cu_id]],'[1]Customer Revenue'!$Q:$Q,'[1]Customer Revenue'!$K:$K, "None")</f>
        <v>None</v>
      </c>
      <c r="AF190" s="53" t="str">
        <f>_xlfn.XLOOKUP(Master[[#This Row],[cu_id]],'[1]Customer Revenue'!$Q:$Q,'[1]Customer Revenue'!$L:$L, "None")</f>
        <v>None</v>
      </c>
      <c r="AG190" s="53">
        <v>61.468271077345236</v>
      </c>
      <c r="AH190" s="53">
        <v>70.910959691885637</v>
      </c>
      <c r="AI190" s="53">
        <v>66.449230769230795</v>
      </c>
      <c r="AJ190" s="53">
        <v>70.447692307692307</v>
      </c>
      <c r="AK190" s="53" t="str">
        <f>_xlfn.XLOOKUP(Master[[#This Row],[cu_id]],'[1]Customer Revenue'!$Q:$Q,'[1]Customer Revenue'!$I:$I, "None")</f>
        <v>None</v>
      </c>
      <c r="AL190" s="53">
        <v>66.189615384615436</v>
      </c>
      <c r="AM190" s="61">
        <v>0.35416666666666669</v>
      </c>
      <c r="AN190" s="60">
        <v>0.70833333333333337</v>
      </c>
      <c r="AO190" s="60" t="s">
        <v>36</v>
      </c>
      <c r="AP190" s="60" t="s">
        <v>36</v>
      </c>
      <c r="AQ190" s="58" t="s">
        <v>0</v>
      </c>
      <c r="AR190" s="58"/>
      <c r="AS190" s="58"/>
      <c r="AT190" s="52">
        <v>0</v>
      </c>
      <c r="AU190" s="52" t="e">
        <f>IF(Master[[#This Row],[RSP StopTime override]] &lt;&gt; "",Master[[#This Row],[RSP StopTime override]],IF(Master[[#This Row],[Avg stop time helper]] &lt;&gt; 0, Master[[#This Row],[Avg stop time helper]],Average_Stop_Time))</f>
        <v>#DIV/0!</v>
      </c>
      <c r="AV190" s="21"/>
      <c r="AW190" s="20">
        <f>Master[[#This Row],[RSP StopTime override]]-Master[[#This Row],[Avg stop time helper]]</f>
        <v>0</v>
      </c>
    </row>
    <row r="191" spans="1:49" x14ac:dyDescent="0.3">
      <c r="A191" s="66" t="s">
        <v>4304</v>
      </c>
      <c r="B191" s="58">
        <v>12</v>
      </c>
      <c r="C191" s="58" t="s">
        <v>24</v>
      </c>
      <c r="D191" s="65">
        <v>533421</v>
      </c>
      <c r="E191" s="65" t="s">
        <v>42</v>
      </c>
      <c r="F191" s="65" t="s">
        <v>3161</v>
      </c>
      <c r="G191" s="65" t="s">
        <v>3160</v>
      </c>
      <c r="H191" s="65" t="s">
        <v>7</v>
      </c>
      <c r="I191" s="65" t="s">
        <v>2966</v>
      </c>
      <c r="J191" s="65" t="s">
        <v>5</v>
      </c>
      <c r="K191" s="65" t="s">
        <v>2031</v>
      </c>
      <c r="L191" s="64" t="s">
        <v>91</v>
      </c>
      <c r="M191" s="58" t="s">
        <v>90</v>
      </c>
      <c r="N191" s="58" t="s">
        <v>2</v>
      </c>
      <c r="O191" s="58">
        <v>135</v>
      </c>
      <c r="P191" s="58">
        <v>135</v>
      </c>
      <c r="Q191" s="58">
        <v>0</v>
      </c>
      <c r="R191" s="58">
        <v>0</v>
      </c>
      <c r="S191" s="58">
        <v>0</v>
      </c>
      <c r="T191" s="58">
        <v>0</v>
      </c>
      <c r="U191" s="58">
        <v>23</v>
      </c>
      <c r="V191" s="62"/>
      <c r="W191" s="62"/>
      <c r="X191" s="63">
        <f>IFERROR(1 -(Master[[#This Row],[Avg Garment Scans per Delivery]]/Master[[#This Row],[Garment Inventory]]), 0)</f>
        <v>0</v>
      </c>
      <c r="Y191" s="62"/>
      <c r="Z191" s="62"/>
      <c r="AA191" s="53">
        <v>58.936122448979589</v>
      </c>
      <c r="AB191" s="53">
        <v>77.386734693877557</v>
      </c>
      <c r="AC191" s="53">
        <v>51.660555555555547</v>
      </c>
      <c r="AD191" s="53">
        <v>91.399444444444455</v>
      </c>
      <c r="AE191" s="53" t="str">
        <f>_xlfn.XLOOKUP(Master[[#This Row],[cu_id]],'[1]Customer Revenue'!$Q:$Q,'[1]Customer Revenue'!$K:$K, "None")</f>
        <v>None</v>
      </c>
      <c r="AF191" s="53" t="str">
        <f>_xlfn.XLOOKUP(Master[[#This Row],[cu_id]],'[1]Customer Revenue'!$Q:$Q,'[1]Customer Revenue'!$L:$L, "None")</f>
        <v>None</v>
      </c>
      <c r="AG191" s="53">
        <v>59.92869822485207</v>
      </c>
      <c r="AH191" s="53">
        <v>70.734378698224816</v>
      </c>
      <c r="AI191" s="53">
        <v>68.161428571428573</v>
      </c>
      <c r="AJ191" s="53">
        <v>71.53</v>
      </c>
      <c r="AK191" s="53" t="str">
        <f>_xlfn.XLOOKUP(Master[[#This Row],[cu_id]],'[1]Customer Revenue'!$Q:$Q,'[1]Customer Revenue'!$I:$I, "None")</f>
        <v>None</v>
      </c>
      <c r="AL191" s="53">
        <v>65.331538461538443</v>
      </c>
      <c r="AM191" s="61" t="s">
        <v>36</v>
      </c>
      <c r="AN191" s="60" t="s">
        <v>36</v>
      </c>
      <c r="AO191" s="60" t="s">
        <v>36</v>
      </c>
      <c r="AP191" s="60" t="s">
        <v>36</v>
      </c>
      <c r="AQ191" s="58" t="s">
        <v>0</v>
      </c>
      <c r="AR191" s="58"/>
      <c r="AS191" s="58"/>
      <c r="AT191" s="52">
        <v>0</v>
      </c>
      <c r="AU191" s="52" t="e">
        <f>IF(Master[[#This Row],[RSP StopTime override]] &lt;&gt; "",Master[[#This Row],[RSP StopTime override]],IF(Master[[#This Row],[Avg stop time helper]] &lt;&gt; 0, Master[[#This Row],[Avg stop time helper]],Average_Stop_Time))</f>
        <v>#DIV/0!</v>
      </c>
      <c r="AV191" s="21"/>
      <c r="AW191" s="20">
        <f>Master[[#This Row],[RSP StopTime override]]-Master[[#This Row],[Avg stop time helper]]</f>
        <v>0</v>
      </c>
    </row>
    <row r="192" spans="1:49" x14ac:dyDescent="0.3">
      <c r="A192" s="73" t="s">
        <v>4305</v>
      </c>
      <c r="B192" s="64">
        <v>12</v>
      </c>
      <c r="C192" s="64" t="s">
        <v>24</v>
      </c>
      <c r="D192" s="65">
        <v>533627</v>
      </c>
      <c r="E192" s="65" t="s">
        <v>42</v>
      </c>
      <c r="F192" s="65" t="s">
        <v>3159</v>
      </c>
      <c r="G192" s="65" t="s">
        <v>3158</v>
      </c>
      <c r="H192" s="65" t="s">
        <v>3157</v>
      </c>
      <c r="I192" s="65" t="s">
        <v>12</v>
      </c>
      <c r="J192" s="65" t="s">
        <v>5</v>
      </c>
      <c r="K192" s="65" t="s">
        <v>1954</v>
      </c>
      <c r="L192" s="64" t="s">
        <v>67</v>
      </c>
      <c r="M192" s="65" t="s">
        <v>3</v>
      </c>
      <c r="N192" s="65" t="s">
        <v>2</v>
      </c>
      <c r="O192" s="65">
        <v>1</v>
      </c>
      <c r="P192" s="65">
        <v>1</v>
      </c>
      <c r="Q192" s="65">
        <v>0</v>
      </c>
      <c r="R192" s="65">
        <v>0</v>
      </c>
      <c r="S192" s="65">
        <v>0</v>
      </c>
      <c r="T192" s="65">
        <v>0</v>
      </c>
      <c r="U192" s="65"/>
      <c r="V192" s="65">
        <v>140</v>
      </c>
      <c r="W192" s="65"/>
      <c r="X192" s="72">
        <f>IFERROR(1 -(Master[[#This Row],[Avg Garment Scans per Delivery]]/Master[[#This Row],[Garment Inventory]]), 0)</f>
        <v>1</v>
      </c>
      <c r="Y192" s="65"/>
      <c r="Z192" s="65"/>
      <c r="AA192" s="53">
        <v>130</v>
      </c>
      <c r="AB192" s="53">
        <v>130</v>
      </c>
      <c r="AC192" s="53">
        <v>130</v>
      </c>
      <c r="AD192" s="53">
        <v>130</v>
      </c>
      <c r="AE192" s="53" t="str">
        <f>_xlfn.XLOOKUP(Master[[#This Row],[cu_id]],'[1]Customer Revenue'!$Q:$Q,'[1]Customer Revenue'!$K:$K, "None")</f>
        <v>None</v>
      </c>
      <c r="AF192" s="53" t="str">
        <f>_xlfn.XLOOKUP(Master[[#This Row],[cu_id]],'[1]Customer Revenue'!$Q:$Q,'[1]Customer Revenue'!$L:$L, "None")</f>
        <v>None</v>
      </c>
      <c r="AG192" s="53">
        <v>130</v>
      </c>
      <c r="AH192" s="53">
        <v>130</v>
      </c>
      <c r="AI192" s="53">
        <v>130</v>
      </c>
      <c r="AJ192" s="53">
        <v>130</v>
      </c>
      <c r="AK192" s="53" t="str">
        <f>_xlfn.XLOOKUP(Master[[#This Row],[cu_id]],'[1]Customer Revenue'!$Q:$Q,'[1]Customer Revenue'!$I:$I, "None")</f>
        <v>None</v>
      </c>
      <c r="AL192" s="53">
        <v>130</v>
      </c>
      <c r="AM192" s="71" t="s">
        <v>1</v>
      </c>
      <c r="AN192" s="71" t="s">
        <v>1</v>
      </c>
      <c r="AO192" s="71" t="s">
        <v>36</v>
      </c>
      <c r="AP192" s="71" t="s">
        <v>36</v>
      </c>
      <c r="AQ192" s="64" t="s">
        <v>0</v>
      </c>
      <c r="AR192" s="64"/>
      <c r="AS192" s="65"/>
      <c r="AT192" s="52">
        <v>0</v>
      </c>
      <c r="AU192" s="52" t="e">
        <f>IF(Master[[#This Row],[RSP StopTime override]] &lt;&gt; "",Master[[#This Row],[RSP StopTime override]],IF(Master[[#This Row],[Avg stop time helper]] &lt;&gt; 0, Master[[#This Row],[Avg stop time helper]],Average_Stop_Time))</f>
        <v>#DIV/0!</v>
      </c>
      <c r="AV192" s="21"/>
      <c r="AW192" s="20">
        <f>Master[[#This Row],[RSP StopTime override]]-Master[[#This Row],[Avg stop time helper]]</f>
        <v>0</v>
      </c>
    </row>
    <row r="193" spans="1:49" x14ac:dyDescent="0.3">
      <c r="A193" s="66" t="s">
        <v>4306</v>
      </c>
      <c r="B193" s="58">
        <v>12</v>
      </c>
      <c r="C193" s="58" t="s">
        <v>24</v>
      </c>
      <c r="D193" s="65">
        <v>599000</v>
      </c>
      <c r="E193" s="65" t="s">
        <v>1455</v>
      </c>
      <c r="F193" s="65" t="s">
        <v>1645</v>
      </c>
      <c r="G193" s="65" t="s">
        <v>3156</v>
      </c>
      <c r="H193" s="65" t="s">
        <v>32</v>
      </c>
      <c r="I193" s="65" t="s">
        <v>50</v>
      </c>
      <c r="J193" s="65" t="s">
        <v>5</v>
      </c>
      <c r="K193" s="65" t="s">
        <v>1972</v>
      </c>
      <c r="L193" s="64" t="s">
        <v>67</v>
      </c>
      <c r="M193" s="58" t="s">
        <v>3</v>
      </c>
      <c r="N193" s="58" t="s">
        <v>2</v>
      </c>
      <c r="O193" s="58">
        <v>30</v>
      </c>
      <c r="P193" s="58">
        <v>30</v>
      </c>
      <c r="Q193" s="58">
        <v>0</v>
      </c>
      <c r="R193" s="58">
        <v>0</v>
      </c>
      <c r="S193" s="58">
        <v>0</v>
      </c>
      <c r="T193" s="58">
        <v>0</v>
      </c>
      <c r="U193" s="58">
        <v>52</v>
      </c>
      <c r="V193" s="62">
        <v>40</v>
      </c>
      <c r="W193" s="62">
        <v>10</v>
      </c>
      <c r="X193" s="63">
        <f>IFERROR(1 -(Master[[#This Row],[Avg Garment Scans per Delivery]]/Master[[#This Row],[Garment Inventory]]), 0)</f>
        <v>0.75</v>
      </c>
      <c r="Y193" s="62">
        <v>2</v>
      </c>
      <c r="Z193" s="62">
        <v>35</v>
      </c>
      <c r="AA193" s="53">
        <v>40.963609467455619</v>
      </c>
      <c r="AB193" s="53">
        <v>42.028698224852057</v>
      </c>
      <c r="AC193" s="53">
        <v>42.478402366863904</v>
      </c>
      <c r="AD193" s="53">
        <v>43.71390532544379</v>
      </c>
      <c r="AE193" s="53" t="str">
        <f>_xlfn.XLOOKUP(Master[[#This Row],[cu_id]],'[1]Customer Revenue'!$Q:$Q,'[1]Customer Revenue'!$K:$K, "None")</f>
        <v>None</v>
      </c>
      <c r="AF193" s="53" t="str">
        <f>_xlfn.XLOOKUP(Master[[#This Row],[cu_id]],'[1]Customer Revenue'!$Q:$Q,'[1]Customer Revenue'!$L:$L, "None")</f>
        <v>None</v>
      </c>
      <c r="AG193" s="53">
        <v>41.016863905325444</v>
      </c>
      <c r="AH193" s="53">
        <v>41.629289940828393</v>
      </c>
      <c r="AI193" s="53">
        <v>41.496153846153838</v>
      </c>
      <c r="AJ193" s="53">
        <v>43.096153846153847</v>
      </c>
      <c r="AK193" s="53" t="str">
        <f>_xlfn.XLOOKUP(Master[[#This Row],[cu_id]],'[1]Customer Revenue'!$Q:$Q,'[1]Customer Revenue'!$I:$I, "None")</f>
        <v>None</v>
      </c>
      <c r="AL193" s="53">
        <v>41.323076923076918</v>
      </c>
      <c r="AM193" s="61">
        <v>0.25</v>
      </c>
      <c r="AN193" s="60">
        <v>0.60416666666666663</v>
      </c>
      <c r="AO193" s="60" t="s">
        <v>36</v>
      </c>
      <c r="AP193" s="60" t="s">
        <v>36</v>
      </c>
      <c r="AQ193" s="58" t="s">
        <v>0</v>
      </c>
      <c r="AR193" s="58"/>
      <c r="AS193" s="58"/>
      <c r="AT193" s="52">
        <v>0</v>
      </c>
      <c r="AU193" s="52" t="e">
        <f>IF(Master[[#This Row],[RSP StopTime override]] &lt;&gt; "",Master[[#This Row],[RSP StopTime override]],IF(Master[[#This Row],[Avg stop time helper]] &lt;&gt; 0, Master[[#This Row],[Avg stop time helper]],Average_Stop_Time))</f>
        <v>#DIV/0!</v>
      </c>
      <c r="AV193" s="21"/>
      <c r="AW193" s="20">
        <f>Master[[#This Row],[RSP StopTime override]]-Master[[#This Row],[Avg stop time helper]]</f>
        <v>0</v>
      </c>
    </row>
    <row r="194" spans="1:49" x14ac:dyDescent="0.3">
      <c r="A194" s="66" t="s">
        <v>4307</v>
      </c>
      <c r="B194" s="58">
        <v>12</v>
      </c>
      <c r="C194" s="58" t="s">
        <v>24</v>
      </c>
      <c r="D194" s="65">
        <v>599000</v>
      </c>
      <c r="E194" s="65" t="s">
        <v>1569</v>
      </c>
      <c r="F194" s="65" t="s">
        <v>2386</v>
      </c>
      <c r="G194" s="65" t="s">
        <v>3155</v>
      </c>
      <c r="H194" s="65" t="s">
        <v>32</v>
      </c>
      <c r="I194" s="65" t="s">
        <v>50</v>
      </c>
      <c r="J194" s="65" t="s">
        <v>5</v>
      </c>
      <c r="K194" s="65" t="s">
        <v>1972</v>
      </c>
      <c r="L194" s="64" t="s">
        <v>67</v>
      </c>
      <c r="M194" s="58" t="s">
        <v>3</v>
      </c>
      <c r="N194" s="58" t="s">
        <v>2</v>
      </c>
      <c r="O194" s="58">
        <v>140</v>
      </c>
      <c r="P194" s="58">
        <v>140</v>
      </c>
      <c r="Q194" s="58">
        <v>0</v>
      </c>
      <c r="R194" s="58">
        <v>0</v>
      </c>
      <c r="S194" s="58">
        <v>0</v>
      </c>
      <c r="T194" s="58">
        <v>0</v>
      </c>
      <c r="U194" s="58">
        <v>52</v>
      </c>
      <c r="V194" s="62">
        <v>94</v>
      </c>
      <c r="W194" s="62">
        <v>34</v>
      </c>
      <c r="X194" s="63">
        <f>IFERROR(1 -(Master[[#This Row],[Avg Garment Scans per Delivery]]/Master[[#This Row],[Garment Inventory]]), 0)</f>
        <v>0.63829787234042556</v>
      </c>
      <c r="Y194" s="62">
        <v>3</v>
      </c>
      <c r="Z194" s="62">
        <v>94</v>
      </c>
      <c r="AA194" s="53">
        <v>57.825367521367518</v>
      </c>
      <c r="AB194" s="53">
        <v>93.648478632478628</v>
      </c>
      <c r="AC194" s="53">
        <v>76.448402366863903</v>
      </c>
      <c r="AD194" s="53">
        <v>77.683905325443774</v>
      </c>
      <c r="AE194" s="53" t="str">
        <f>_xlfn.XLOOKUP(Master[[#This Row],[cu_id]],'[1]Customer Revenue'!$Q:$Q,'[1]Customer Revenue'!$K:$K, "None")</f>
        <v>None</v>
      </c>
      <c r="AF194" s="53" t="str">
        <f>_xlfn.XLOOKUP(Master[[#This Row],[cu_id]],'[1]Customer Revenue'!$Q:$Q,'[1]Customer Revenue'!$L:$L, "None")</f>
        <v>None</v>
      </c>
      <c r="AG194" s="53">
        <v>61.447945447409694</v>
      </c>
      <c r="AH194" s="53">
        <v>84.876669937205634</v>
      </c>
      <c r="AI194" s="53">
        <v>75.736923076923077</v>
      </c>
      <c r="AJ194" s="53">
        <v>77.066153846153838</v>
      </c>
      <c r="AK194" s="53" t="str">
        <f>_xlfn.XLOOKUP(Master[[#This Row],[cu_id]],'[1]Customer Revenue'!$Q:$Q,'[1]Customer Revenue'!$I:$I, "None")</f>
        <v>None</v>
      </c>
      <c r="AL194" s="53">
        <v>73.162307692307664</v>
      </c>
      <c r="AM194" s="61">
        <v>0.25</v>
      </c>
      <c r="AN194" s="60">
        <v>0.60416666666666663</v>
      </c>
      <c r="AO194" s="60" t="s">
        <v>36</v>
      </c>
      <c r="AP194" s="60" t="s">
        <v>36</v>
      </c>
      <c r="AQ194" s="58" t="s">
        <v>0</v>
      </c>
      <c r="AR194" s="58"/>
      <c r="AS194" s="58"/>
      <c r="AT194" s="52">
        <v>0</v>
      </c>
      <c r="AU194" s="52" t="e">
        <f>IF(Master[[#This Row],[RSP StopTime override]] &lt;&gt; "",Master[[#This Row],[RSP StopTime override]],IF(Master[[#This Row],[Avg stop time helper]] &lt;&gt; 0, Master[[#This Row],[Avg stop time helper]],Average_Stop_Time))</f>
        <v>#DIV/0!</v>
      </c>
      <c r="AV194" s="21"/>
      <c r="AW194" s="20">
        <f>Master[[#This Row],[RSP StopTime override]]-Master[[#This Row],[Avg stop time helper]]</f>
        <v>0</v>
      </c>
    </row>
    <row r="195" spans="1:49" x14ac:dyDescent="0.3">
      <c r="A195" s="66" t="s">
        <v>4308</v>
      </c>
      <c r="B195" s="58">
        <v>12</v>
      </c>
      <c r="C195" s="58" t="s">
        <v>35</v>
      </c>
      <c r="D195" s="65">
        <v>27828</v>
      </c>
      <c r="E195" s="65" t="s">
        <v>2590</v>
      </c>
      <c r="F195" s="65" t="s">
        <v>3154</v>
      </c>
      <c r="G195" s="65" t="s">
        <v>3153</v>
      </c>
      <c r="H195" s="65" t="s">
        <v>7</v>
      </c>
      <c r="I195" s="65" t="s">
        <v>12</v>
      </c>
      <c r="J195" s="65" t="s">
        <v>5</v>
      </c>
      <c r="K195" s="65" t="s">
        <v>1972</v>
      </c>
      <c r="L195" s="64" t="s">
        <v>67</v>
      </c>
      <c r="M195" s="58" t="s">
        <v>3</v>
      </c>
      <c r="N195" s="58" t="s">
        <v>2</v>
      </c>
      <c r="O195" s="58">
        <v>120</v>
      </c>
      <c r="P195" s="58">
        <v>0</v>
      </c>
      <c r="Q195" s="58">
        <v>120</v>
      </c>
      <c r="R195" s="58">
        <v>0</v>
      </c>
      <c r="S195" s="58">
        <v>0</v>
      </c>
      <c r="T195" s="58">
        <v>0</v>
      </c>
      <c r="U195" s="58">
        <v>53</v>
      </c>
      <c r="V195" s="62"/>
      <c r="W195" s="62"/>
      <c r="X195" s="63">
        <f>IFERROR(1 -(Master[[#This Row],[Avg Garment Scans per Delivery]]/Master[[#This Row],[Garment Inventory]]), 0)</f>
        <v>0</v>
      </c>
      <c r="Y195" s="62"/>
      <c r="Z195" s="62"/>
      <c r="AA195" s="53">
        <v>158.21952662721893</v>
      </c>
      <c r="AB195" s="53">
        <v>222.0112426035503</v>
      </c>
      <c r="AC195" s="53">
        <v>172.0155621301775</v>
      </c>
      <c r="AD195" s="53">
        <v>308.97059171597641</v>
      </c>
      <c r="AE195" s="53" t="str">
        <f>_xlfn.XLOOKUP(Master[[#This Row],[cu_id]],'[1]Customer Revenue'!$Q:$Q,'[1]Customer Revenue'!$K:$K, "None")</f>
        <v>None</v>
      </c>
      <c r="AF195" s="53" t="str">
        <f>_xlfn.XLOOKUP(Master[[#This Row],[cu_id]],'[1]Customer Revenue'!$Q:$Q,'[1]Customer Revenue'!$L:$L, "None")</f>
        <v>None</v>
      </c>
      <c r="AG195" s="53">
        <v>168.97325443786985</v>
      </c>
      <c r="AH195" s="53">
        <v>264.92443786982255</v>
      </c>
      <c r="AI195" s="53">
        <v>190.11538461538461</v>
      </c>
      <c r="AJ195" s="53">
        <v>240.49307692307696</v>
      </c>
      <c r="AK195" s="53" t="str">
        <f>_xlfn.XLOOKUP(Master[[#This Row],[cu_id]],'[1]Customer Revenue'!$Q:$Q,'[1]Customer Revenue'!$I:$I, "None")</f>
        <v>None</v>
      </c>
      <c r="AL195" s="53">
        <v>216.9488461538462</v>
      </c>
      <c r="AM195" s="61">
        <v>0.3125</v>
      </c>
      <c r="AN195" s="60">
        <v>0.70833333333333337</v>
      </c>
      <c r="AO195" s="60" t="s">
        <v>36</v>
      </c>
      <c r="AP195" s="60" t="s">
        <v>36</v>
      </c>
      <c r="AQ195" s="58" t="s">
        <v>0</v>
      </c>
      <c r="AR195" s="58"/>
      <c r="AS195" s="58"/>
      <c r="AT195" s="52">
        <v>0</v>
      </c>
      <c r="AU195" s="52" t="e">
        <f>IF(Master[[#This Row],[RSP StopTime override]] &lt;&gt; "",Master[[#This Row],[RSP StopTime override]],IF(Master[[#This Row],[Avg stop time helper]] &lt;&gt; 0, Master[[#This Row],[Avg stop time helper]],Average_Stop_Time))</f>
        <v>#DIV/0!</v>
      </c>
      <c r="AV195" s="21"/>
      <c r="AW195" s="20">
        <f>Master[[#This Row],[RSP StopTime override]]-Master[[#This Row],[Avg stop time helper]]</f>
        <v>0</v>
      </c>
    </row>
    <row r="196" spans="1:49" x14ac:dyDescent="0.3">
      <c r="A196" s="66" t="s">
        <v>4309</v>
      </c>
      <c r="B196" s="58">
        <v>12</v>
      </c>
      <c r="C196" s="58" t="s">
        <v>35</v>
      </c>
      <c r="D196" s="65">
        <v>99033</v>
      </c>
      <c r="E196" s="65" t="s">
        <v>1358</v>
      </c>
      <c r="F196" s="65" t="s">
        <v>3152</v>
      </c>
      <c r="G196" s="65" t="s">
        <v>3151</v>
      </c>
      <c r="H196" s="65" t="s">
        <v>32</v>
      </c>
      <c r="I196" s="65" t="s">
        <v>1600</v>
      </c>
      <c r="J196" s="65" t="s">
        <v>5</v>
      </c>
      <c r="K196" s="65" t="s">
        <v>2031</v>
      </c>
      <c r="L196" s="64" t="s">
        <v>67</v>
      </c>
      <c r="M196" s="58" t="s">
        <v>3</v>
      </c>
      <c r="N196" s="58" t="s">
        <v>2</v>
      </c>
      <c r="O196" s="58">
        <v>2</v>
      </c>
      <c r="P196" s="58">
        <v>0</v>
      </c>
      <c r="Q196" s="58">
        <v>2</v>
      </c>
      <c r="R196" s="58">
        <v>0</v>
      </c>
      <c r="S196" s="58">
        <v>0</v>
      </c>
      <c r="T196" s="58">
        <v>0</v>
      </c>
      <c r="U196" s="58">
        <v>42</v>
      </c>
      <c r="V196" s="62"/>
      <c r="W196" s="62"/>
      <c r="X196" s="63">
        <f>IFERROR(1 -(Master[[#This Row],[Avg Garment Scans per Delivery]]/Master[[#This Row],[Garment Inventory]]), 0)</f>
        <v>0</v>
      </c>
      <c r="Y196" s="62"/>
      <c r="Z196" s="62"/>
      <c r="AA196" s="53">
        <v>27</v>
      </c>
      <c r="AB196" s="53">
        <v>27</v>
      </c>
      <c r="AC196" s="53">
        <v>14.218934911242602</v>
      </c>
      <c r="AD196" s="53">
        <v>39.781065088757401</v>
      </c>
      <c r="AE196" s="53" t="str">
        <f>_xlfn.XLOOKUP(Master[[#This Row],[cu_id]],'[1]Customer Revenue'!$Q:$Q,'[1]Customer Revenue'!$K:$K, "None")</f>
        <v>None</v>
      </c>
      <c r="AF196" s="53" t="str">
        <f>_xlfn.XLOOKUP(Master[[#This Row],[cu_id]],'[1]Customer Revenue'!$Q:$Q,'[1]Customer Revenue'!$L:$L, "None")</f>
        <v>None</v>
      </c>
      <c r="AG196" s="53">
        <v>21.488165680473372</v>
      </c>
      <c r="AH196" s="53">
        <v>32.511834319526628</v>
      </c>
      <c r="AI196" s="53">
        <v>27</v>
      </c>
      <c r="AJ196" s="53">
        <v>27</v>
      </c>
      <c r="AK196" s="53" t="str">
        <f>_xlfn.XLOOKUP(Master[[#This Row],[cu_id]],'[1]Customer Revenue'!$Q:$Q,'[1]Customer Revenue'!$I:$I, "None")</f>
        <v>None</v>
      </c>
      <c r="AL196" s="53">
        <v>27</v>
      </c>
      <c r="AM196" s="61">
        <v>0.29166666666666669</v>
      </c>
      <c r="AN196" s="60">
        <v>0.625</v>
      </c>
      <c r="AO196" s="60" t="s">
        <v>36</v>
      </c>
      <c r="AP196" s="60" t="s">
        <v>36</v>
      </c>
      <c r="AQ196" s="58" t="s">
        <v>0</v>
      </c>
      <c r="AR196" s="58"/>
      <c r="AS196" s="58"/>
      <c r="AT196" s="52">
        <v>0</v>
      </c>
      <c r="AU196" s="52" t="e">
        <f>IF(Master[[#This Row],[RSP StopTime override]] &lt;&gt; "",Master[[#This Row],[RSP StopTime override]],IF(Master[[#This Row],[Avg stop time helper]] &lt;&gt; 0, Master[[#This Row],[Avg stop time helper]],Average_Stop_Time))</f>
        <v>#DIV/0!</v>
      </c>
      <c r="AV196" s="21"/>
      <c r="AW196" s="20">
        <f>Master[[#This Row],[RSP StopTime override]]-Master[[#This Row],[Avg stop time helper]]</f>
        <v>0</v>
      </c>
    </row>
    <row r="197" spans="1:49" x14ac:dyDescent="0.3">
      <c r="A197" s="66" t="s">
        <v>4310</v>
      </c>
      <c r="B197" s="58">
        <v>12</v>
      </c>
      <c r="C197" s="58" t="s">
        <v>35</v>
      </c>
      <c r="D197" s="65">
        <v>99033</v>
      </c>
      <c r="E197" s="65" t="s">
        <v>1357</v>
      </c>
      <c r="F197" s="65" t="s">
        <v>3150</v>
      </c>
      <c r="G197" s="65" t="s">
        <v>3149</v>
      </c>
      <c r="H197" s="65" t="s">
        <v>32</v>
      </c>
      <c r="I197" s="65" t="s">
        <v>12</v>
      </c>
      <c r="J197" s="65" t="s">
        <v>5</v>
      </c>
      <c r="K197" s="65" t="s">
        <v>2031</v>
      </c>
      <c r="L197" s="64" t="s">
        <v>67</v>
      </c>
      <c r="M197" s="58" t="s">
        <v>3</v>
      </c>
      <c r="N197" s="58" t="s">
        <v>2</v>
      </c>
      <c r="O197" s="58">
        <v>1</v>
      </c>
      <c r="P197" s="58">
        <v>0</v>
      </c>
      <c r="Q197" s="58">
        <v>1</v>
      </c>
      <c r="R197" s="58">
        <v>0</v>
      </c>
      <c r="S197" s="58">
        <v>0</v>
      </c>
      <c r="T197" s="58">
        <v>0</v>
      </c>
      <c r="U197" s="58">
        <v>40</v>
      </c>
      <c r="V197" s="62"/>
      <c r="W197" s="62"/>
      <c r="X197" s="63">
        <f>IFERROR(1 -(Master[[#This Row],[Avg Garment Scans per Delivery]]/Master[[#This Row],[Garment Inventory]]), 0)</f>
        <v>0</v>
      </c>
      <c r="Y197" s="62"/>
      <c r="Z197" s="62"/>
      <c r="AA197" s="53">
        <v>28.319999999999993</v>
      </c>
      <c r="AB197" s="53">
        <v>28.32</v>
      </c>
      <c r="AC197" s="53">
        <v>14.914082840236684</v>
      </c>
      <c r="AD197" s="53">
        <v>41.725917159763313</v>
      </c>
      <c r="AE197" s="53" t="str">
        <f>_xlfn.XLOOKUP(Master[[#This Row],[cu_id]],'[1]Customer Revenue'!$Q:$Q,'[1]Customer Revenue'!$K:$K, "None")</f>
        <v>None</v>
      </c>
      <c r="AF197" s="53" t="str">
        <f>_xlfn.XLOOKUP(Master[[#This Row],[cu_id]],'[1]Customer Revenue'!$Q:$Q,'[1]Customer Revenue'!$L:$L, "None")</f>
        <v>None</v>
      </c>
      <c r="AG197" s="53">
        <v>22.53869822485208</v>
      </c>
      <c r="AH197" s="53">
        <v>34.101301775147931</v>
      </c>
      <c r="AI197" s="53">
        <v>28.319999999999997</v>
      </c>
      <c r="AJ197" s="53">
        <v>28.319999999999997</v>
      </c>
      <c r="AK197" s="53" t="str">
        <f>_xlfn.XLOOKUP(Master[[#This Row],[cu_id]],'[1]Customer Revenue'!$Q:$Q,'[1]Customer Revenue'!$I:$I, "None")</f>
        <v>None</v>
      </c>
      <c r="AL197" s="53">
        <v>28.320000000000004</v>
      </c>
      <c r="AM197" s="61">
        <v>0.29166666666666669</v>
      </c>
      <c r="AN197" s="60">
        <v>0.625</v>
      </c>
      <c r="AO197" s="60" t="s">
        <v>36</v>
      </c>
      <c r="AP197" s="60" t="s">
        <v>36</v>
      </c>
      <c r="AQ197" s="58" t="s">
        <v>0</v>
      </c>
      <c r="AR197" s="58"/>
      <c r="AS197" s="58"/>
      <c r="AT197" s="52">
        <v>0</v>
      </c>
      <c r="AU197" s="52" t="e">
        <f>IF(Master[[#This Row],[RSP StopTime override]] &lt;&gt; "",Master[[#This Row],[RSP StopTime override]],IF(Master[[#This Row],[Avg stop time helper]] &lt;&gt; 0, Master[[#This Row],[Avg stop time helper]],Average_Stop_Time))</f>
        <v>#DIV/0!</v>
      </c>
      <c r="AV197" s="21"/>
      <c r="AW197" s="20">
        <f>Master[[#This Row],[RSP StopTime override]]-Master[[#This Row],[Avg stop time helper]]</f>
        <v>0</v>
      </c>
    </row>
    <row r="198" spans="1:49" x14ac:dyDescent="0.3">
      <c r="A198" s="66" t="s">
        <v>4311</v>
      </c>
      <c r="B198" s="58">
        <v>12</v>
      </c>
      <c r="C198" s="58" t="s">
        <v>35</v>
      </c>
      <c r="D198" s="65">
        <v>99033</v>
      </c>
      <c r="E198" s="65" t="s">
        <v>3148</v>
      </c>
      <c r="F198" s="65" t="s">
        <v>3147</v>
      </c>
      <c r="G198" s="65" t="s">
        <v>3146</v>
      </c>
      <c r="H198" s="65" t="s">
        <v>32</v>
      </c>
      <c r="I198" s="65" t="s">
        <v>12</v>
      </c>
      <c r="J198" s="65" t="s">
        <v>5</v>
      </c>
      <c r="K198" s="65" t="s">
        <v>1972</v>
      </c>
      <c r="L198" s="64" t="s">
        <v>67</v>
      </c>
      <c r="M198" s="58" t="s">
        <v>3</v>
      </c>
      <c r="N198" s="58" t="s">
        <v>2</v>
      </c>
      <c r="O198" s="58">
        <v>5</v>
      </c>
      <c r="P198" s="58">
        <v>0</v>
      </c>
      <c r="Q198" s="58">
        <v>5</v>
      </c>
      <c r="R198" s="58">
        <v>0</v>
      </c>
      <c r="S198" s="58">
        <v>0</v>
      </c>
      <c r="T198" s="58">
        <v>0</v>
      </c>
      <c r="U198" s="58">
        <v>53</v>
      </c>
      <c r="V198" s="62"/>
      <c r="W198" s="62"/>
      <c r="X198" s="63">
        <f>IFERROR(1 -(Master[[#This Row],[Avg Garment Scans per Delivery]]/Master[[#This Row],[Garment Inventory]]), 0)</f>
        <v>0</v>
      </c>
      <c r="Y198" s="62"/>
      <c r="Z198" s="62"/>
      <c r="AA198" s="53">
        <v>89.008264462809905</v>
      </c>
      <c r="AB198" s="53">
        <v>156.59537190082645</v>
      </c>
      <c r="AC198" s="53">
        <v>125.73295857988165</v>
      </c>
      <c r="AD198" s="53">
        <v>211.05011834319527</v>
      </c>
      <c r="AE198" s="53" t="str">
        <f>_xlfn.XLOOKUP(Master[[#This Row],[cu_id]],'[1]Customer Revenue'!$Q:$Q,'[1]Customer Revenue'!$K:$K, "None")</f>
        <v>None</v>
      </c>
      <c r="AF198" s="53" t="str">
        <f>_xlfn.XLOOKUP(Master[[#This Row],[cu_id]],'[1]Customer Revenue'!$Q:$Q,'[1]Customer Revenue'!$L:$L, "None")</f>
        <v>None</v>
      </c>
      <c r="AG198" s="53">
        <v>91.955902777777794</v>
      </c>
      <c r="AH198" s="53">
        <v>133.3524305555556</v>
      </c>
      <c r="AI198" s="53">
        <v>122.80181818181818</v>
      </c>
      <c r="AJ198" s="53">
        <v>168.39153846153846</v>
      </c>
      <c r="AK198" s="53" t="str">
        <f>_xlfn.XLOOKUP(Master[[#This Row],[cu_id]],'[1]Customer Revenue'!$Q:$Q,'[1]Customer Revenue'!$I:$I, "None")</f>
        <v>None</v>
      </c>
      <c r="AL198" s="53">
        <v>112.6541666666667</v>
      </c>
      <c r="AM198" s="61">
        <v>0.29166666666666669</v>
      </c>
      <c r="AN198" s="60">
        <v>0.60416666666666663</v>
      </c>
      <c r="AO198" s="60" t="s">
        <v>36</v>
      </c>
      <c r="AP198" s="60" t="s">
        <v>36</v>
      </c>
      <c r="AQ198" s="58" t="s">
        <v>0</v>
      </c>
      <c r="AR198" s="58"/>
      <c r="AS198" s="58"/>
      <c r="AT198" s="52">
        <v>0</v>
      </c>
      <c r="AU198" s="52" t="e">
        <f>IF(Master[[#This Row],[RSP StopTime override]] &lt;&gt; "",Master[[#This Row],[RSP StopTime override]],IF(Master[[#This Row],[Avg stop time helper]] &lt;&gt; 0, Master[[#This Row],[Avg stop time helper]],Average_Stop_Time))</f>
        <v>#DIV/0!</v>
      </c>
      <c r="AV198" s="21"/>
      <c r="AW198" s="20">
        <f>Master[[#This Row],[RSP StopTime override]]-Master[[#This Row],[Avg stop time helper]]</f>
        <v>0</v>
      </c>
    </row>
    <row r="199" spans="1:49" x14ac:dyDescent="0.3">
      <c r="A199" s="66" t="s">
        <v>4312</v>
      </c>
      <c r="B199" s="58">
        <v>12</v>
      </c>
      <c r="C199" s="58" t="s">
        <v>35</v>
      </c>
      <c r="D199" s="65">
        <v>99033</v>
      </c>
      <c r="E199" s="65" t="s">
        <v>1981</v>
      </c>
      <c r="F199" s="65" t="s">
        <v>3145</v>
      </c>
      <c r="G199" s="65" t="s">
        <v>3144</v>
      </c>
      <c r="H199" s="65" t="s">
        <v>32</v>
      </c>
      <c r="I199" s="65" t="s">
        <v>12</v>
      </c>
      <c r="J199" s="65" t="s">
        <v>5</v>
      </c>
      <c r="K199" s="65" t="s">
        <v>1972</v>
      </c>
      <c r="L199" s="64" t="s">
        <v>67</v>
      </c>
      <c r="M199" s="58" t="s">
        <v>3</v>
      </c>
      <c r="N199" s="58" t="s">
        <v>2</v>
      </c>
      <c r="O199" s="58">
        <v>4</v>
      </c>
      <c r="P199" s="58">
        <v>0</v>
      </c>
      <c r="Q199" s="58">
        <v>4</v>
      </c>
      <c r="R199" s="58">
        <v>0</v>
      </c>
      <c r="S199" s="58">
        <v>0</v>
      </c>
      <c r="T199" s="58">
        <v>0</v>
      </c>
      <c r="U199" s="58">
        <v>48</v>
      </c>
      <c r="V199" s="62"/>
      <c r="W199" s="62"/>
      <c r="X199" s="63">
        <f>IFERROR(1 -(Master[[#This Row],[Avg Garment Scans per Delivery]]/Master[[#This Row],[Garment Inventory]]), 0)</f>
        <v>0</v>
      </c>
      <c r="Y199" s="62"/>
      <c r="Z199" s="62"/>
      <c r="AA199" s="53">
        <v>101.67615384615388</v>
      </c>
      <c r="AB199" s="53">
        <v>139.57615384615386</v>
      </c>
      <c r="AC199" s="53">
        <v>121.1744378698225</v>
      </c>
      <c r="AD199" s="53">
        <v>214.05325443786984</v>
      </c>
      <c r="AE199" s="53" t="str">
        <f>_xlfn.XLOOKUP(Master[[#This Row],[cu_id]],'[1]Customer Revenue'!$Q:$Q,'[1]Customer Revenue'!$K:$K, "None")</f>
        <v>None</v>
      </c>
      <c r="AF199" s="53" t="str">
        <f>_xlfn.XLOOKUP(Master[[#This Row],[cu_id]],'[1]Customer Revenue'!$Q:$Q,'[1]Customer Revenue'!$L:$L, "None")</f>
        <v>None</v>
      </c>
      <c r="AG199" s="53">
        <v>86.353133030990236</v>
      </c>
      <c r="AH199" s="53">
        <v>126.99945956160245</v>
      </c>
      <c r="AI199" s="53">
        <v>120.62615384615387</v>
      </c>
      <c r="AJ199" s="53">
        <v>167.61384615384617</v>
      </c>
      <c r="AK199" s="53" t="str">
        <f>_xlfn.XLOOKUP(Master[[#This Row],[cu_id]],'[1]Customer Revenue'!$Q:$Q,'[1]Customer Revenue'!$I:$I, "None")</f>
        <v>None</v>
      </c>
      <c r="AL199" s="53">
        <v>106.67629629629634</v>
      </c>
      <c r="AM199" s="61">
        <v>0.29166666666666669</v>
      </c>
      <c r="AN199" s="60">
        <v>0.60416666666666663</v>
      </c>
      <c r="AO199" s="60" t="s">
        <v>36</v>
      </c>
      <c r="AP199" s="60" t="s">
        <v>36</v>
      </c>
      <c r="AQ199" s="58" t="s">
        <v>0</v>
      </c>
      <c r="AR199" s="58"/>
      <c r="AS199" s="58"/>
      <c r="AT199" s="52">
        <v>0</v>
      </c>
      <c r="AU199" s="52" t="e">
        <f>IF(Master[[#This Row],[RSP StopTime override]] &lt;&gt; "",Master[[#This Row],[RSP StopTime override]],IF(Master[[#This Row],[Avg stop time helper]] &lt;&gt; 0, Master[[#This Row],[Avg stop time helper]],Average_Stop_Time))</f>
        <v>#DIV/0!</v>
      </c>
      <c r="AV199" s="21"/>
      <c r="AW199" s="20">
        <f>Master[[#This Row],[RSP StopTime override]]-Master[[#This Row],[Avg stop time helper]]</f>
        <v>0</v>
      </c>
    </row>
    <row r="200" spans="1:49" x14ac:dyDescent="0.3">
      <c r="A200" s="66" t="s">
        <v>4313</v>
      </c>
      <c r="B200" s="58">
        <v>12</v>
      </c>
      <c r="C200" s="58" t="s">
        <v>35</v>
      </c>
      <c r="D200" s="65">
        <v>99045</v>
      </c>
      <c r="E200" s="65" t="s">
        <v>1341</v>
      </c>
      <c r="F200" s="65" t="s">
        <v>1464</v>
      </c>
      <c r="G200" s="65" t="s">
        <v>3143</v>
      </c>
      <c r="H200" s="65" t="s">
        <v>7</v>
      </c>
      <c r="I200" s="65" t="s">
        <v>12</v>
      </c>
      <c r="J200" s="65" t="s">
        <v>5</v>
      </c>
      <c r="K200" s="65" t="s">
        <v>57</v>
      </c>
      <c r="L200" s="64" t="s">
        <v>91</v>
      </c>
      <c r="M200" s="58" t="s">
        <v>90</v>
      </c>
      <c r="N200" s="58" t="s">
        <v>2</v>
      </c>
      <c r="O200" s="58">
        <v>50</v>
      </c>
      <c r="P200" s="58">
        <v>0</v>
      </c>
      <c r="Q200" s="58">
        <v>50</v>
      </c>
      <c r="R200" s="58">
        <v>0</v>
      </c>
      <c r="S200" s="58">
        <v>0</v>
      </c>
      <c r="T200" s="58">
        <v>0</v>
      </c>
      <c r="U200" s="58">
        <v>26</v>
      </c>
      <c r="V200" s="62"/>
      <c r="W200" s="62"/>
      <c r="X200" s="63">
        <f>IFERROR(1 -(Master[[#This Row],[Avg Garment Scans per Delivery]]/Master[[#This Row],[Garment Inventory]]), 0)</f>
        <v>0</v>
      </c>
      <c r="Y200" s="62"/>
      <c r="Z200" s="62"/>
      <c r="AA200" s="53">
        <v>26.77448979591837</v>
      </c>
      <c r="AB200" s="53">
        <v>28.611224489795923</v>
      </c>
      <c r="AC200" s="53">
        <v>18.29388888888889</v>
      </c>
      <c r="AD200" s="53">
        <v>30.829444444444444</v>
      </c>
      <c r="AE200" s="53" t="str">
        <f>_xlfn.XLOOKUP(Master[[#This Row],[cu_id]],'[1]Customer Revenue'!$Q:$Q,'[1]Customer Revenue'!$K:$K, "None")</f>
        <v>None</v>
      </c>
      <c r="AF200" s="53" t="str">
        <f>_xlfn.XLOOKUP(Master[[#This Row],[cu_id]],'[1]Customer Revenue'!$Q:$Q,'[1]Customer Revenue'!$L:$L, "None")</f>
        <v>None</v>
      </c>
      <c r="AG200" s="53">
        <v>26.810355029585804</v>
      </c>
      <c r="AH200" s="53">
        <v>27.981952662721906</v>
      </c>
      <c r="AI200" s="53">
        <v>27.692857142857147</v>
      </c>
      <c r="AJ200" s="53">
        <v>24.561666666666667</v>
      </c>
      <c r="AK200" s="53" t="str">
        <f>_xlfn.XLOOKUP(Master[[#This Row],[cu_id]],'[1]Customer Revenue'!$Q:$Q,'[1]Customer Revenue'!$I:$I, "None")</f>
        <v>None</v>
      </c>
      <c r="AL200" s="53">
        <v>27.396153846153855</v>
      </c>
      <c r="AM200" s="61">
        <v>0.375</v>
      </c>
      <c r="AN200" s="60">
        <v>0.70833333333333337</v>
      </c>
      <c r="AO200" s="60" t="s">
        <v>36</v>
      </c>
      <c r="AP200" s="60" t="s">
        <v>36</v>
      </c>
      <c r="AQ200" s="58" t="s">
        <v>0</v>
      </c>
      <c r="AR200" s="58"/>
      <c r="AS200" s="58"/>
      <c r="AT200" s="52">
        <v>0</v>
      </c>
      <c r="AU200" s="52" t="e">
        <f>IF(Master[[#This Row],[RSP StopTime override]] &lt;&gt; "",Master[[#This Row],[RSP StopTime override]],IF(Master[[#This Row],[Avg stop time helper]] &lt;&gt; 0, Master[[#This Row],[Avg stop time helper]],Average_Stop_Time))</f>
        <v>#DIV/0!</v>
      </c>
      <c r="AV200" s="21"/>
      <c r="AW200" s="20">
        <f>Master[[#This Row],[RSP StopTime override]]-Master[[#This Row],[Avg stop time helper]]</f>
        <v>0</v>
      </c>
    </row>
    <row r="201" spans="1:49" x14ac:dyDescent="0.3">
      <c r="A201" s="66" t="s">
        <v>3933</v>
      </c>
      <c r="B201" s="58">
        <v>12</v>
      </c>
      <c r="C201" s="58" t="s">
        <v>35</v>
      </c>
      <c r="D201" s="65">
        <v>99061</v>
      </c>
      <c r="E201" s="65" t="s">
        <v>3126</v>
      </c>
      <c r="F201" s="65" t="s">
        <v>3599</v>
      </c>
      <c r="G201" s="65" t="s">
        <v>3125</v>
      </c>
      <c r="H201" s="65" t="s">
        <v>32</v>
      </c>
      <c r="I201" s="65" t="s">
        <v>2966</v>
      </c>
      <c r="J201" s="65" t="s">
        <v>5</v>
      </c>
      <c r="K201" s="65" t="s">
        <v>1972</v>
      </c>
      <c r="L201" s="64" t="s">
        <v>67</v>
      </c>
      <c r="M201" s="58" t="s">
        <v>3</v>
      </c>
      <c r="N201" s="58" t="s">
        <v>2</v>
      </c>
      <c r="O201" s="58">
        <v>100</v>
      </c>
      <c r="P201" s="58">
        <v>0</v>
      </c>
      <c r="Q201" s="58">
        <v>100</v>
      </c>
      <c r="R201" s="58">
        <v>0</v>
      </c>
      <c r="S201" s="58">
        <v>0</v>
      </c>
      <c r="T201" s="58">
        <v>0</v>
      </c>
      <c r="U201" s="58">
        <v>53</v>
      </c>
      <c r="V201" s="62">
        <v>34</v>
      </c>
      <c r="W201" s="62">
        <v>7</v>
      </c>
      <c r="X201" s="63">
        <f>IFERROR(1 -(Master[[#This Row],[Avg Garment Scans per Delivery]]/Master[[#This Row],[Garment Inventory]]), 0)</f>
        <v>0.79411764705882359</v>
      </c>
      <c r="Y201" s="62">
        <v>3</v>
      </c>
      <c r="Z201" s="62">
        <v>45</v>
      </c>
      <c r="AA201" s="53">
        <v>85.144113029827295</v>
      </c>
      <c r="AB201" s="53">
        <v>111.18819466248037</v>
      </c>
      <c r="AC201" s="53">
        <v>83.282071005917132</v>
      </c>
      <c r="AD201" s="53">
        <v>122.53177514792897</v>
      </c>
      <c r="AE201" s="53" t="str">
        <f>_xlfn.XLOOKUP(Master[[#This Row],[cu_id]],'[1]Customer Revenue'!$Q:$Q,'[1]Customer Revenue'!$K:$K, "None")</f>
        <v>None</v>
      </c>
      <c r="AF201" s="53" t="str">
        <f>_xlfn.XLOOKUP(Master[[#This Row],[cu_id]],'[1]Customer Revenue'!$Q:$Q,'[1]Customer Revenue'!$L:$L, "None")</f>
        <v>None</v>
      </c>
      <c r="AG201" s="53">
        <v>85.345534979423874</v>
      </c>
      <c r="AH201" s="53">
        <v>105.04446502057614</v>
      </c>
      <c r="AI201" s="53">
        <v>98.166153846153833</v>
      </c>
      <c r="AJ201" s="53">
        <v>102.90692307692305</v>
      </c>
      <c r="AK201" s="53" t="str">
        <f>_xlfn.XLOOKUP(Master[[#This Row],[cu_id]],'[1]Customer Revenue'!$Q:$Q,'[1]Customer Revenue'!$I:$I, "None")</f>
        <v>None</v>
      </c>
      <c r="AL201" s="53">
        <v>95.195000000000007</v>
      </c>
      <c r="AM201" s="61">
        <v>0.25</v>
      </c>
      <c r="AN201" s="60">
        <v>0</v>
      </c>
      <c r="AO201" s="60" t="s">
        <v>36</v>
      </c>
      <c r="AP201" s="60" t="s">
        <v>36</v>
      </c>
      <c r="AQ201" s="58" t="s">
        <v>305</v>
      </c>
      <c r="AR201" s="58"/>
      <c r="AS201" s="58"/>
      <c r="AT201" s="52">
        <v>0</v>
      </c>
      <c r="AU201" s="52" t="e">
        <f>IF(Master[[#This Row],[RSP StopTime override]] &lt;&gt; "",Master[[#This Row],[RSP StopTime override]],IF(Master[[#This Row],[Avg stop time helper]] &lt;&gt; 0, Master[[#This Row],[Avg stop time helper]],Average_Stop_Time))</f>
        <v>#DIV/0!</v>
      </c>
      <c r="AV201" s="21"/>
      <c r="AW201" s="20">
        <f>Master[[#This Row],[RSP StopTime override]]-Master[[#This Row],[Avg stop time helper]]</f>
        <v>0</v>
      </c>
    </row>
    <row r="202" spans="1:49" x14ac:dyDescent="0.3">
      <c r="A202" s="66" t="s">
        <v>4314</v>
      </c>
      <c r="B202" s="58">
        <v>12</v>
      </c>
      <c r="C202" s="58" t="s">
        <v>35</v>
      </c>
      <c r="D202" s="65">
        <v>99061</v>
      </c>
      <c r="E202" s="65" t="s">
        <v>1696</v>
      </c>
      <c r="F202" s="65" t="s">
        <v>3142</v>
      </c>
      <c r="G202" s="65" t="s">
        <v>3127</v>
      </c>
      <c r="H202" s="65" t="s">
        <v>32</v>
      </c>
      <c r="I202" s="65" t="s">
        <v>1824</v>
      </c>
      <c r="J202" s="65" t="s">
        <v>5</v>
      </c>
      <c r="K202" s="65" t="s">
        <v>57</v>
      </c>
      <c r="L202" s="64" t="s">
        <v>67</v>
      </c>
      <c r="M202" s="58" t="s">
        <v>3</v>
      </c>
      <c r="N202" s="58" t="s">
        <v>2</v>
      </c>
      <c r="O202" s="58">
        <v>76</v>
      </c>
      <c r="P202" s="58">
        <v>0</v>
      </c>
      <c r="Q202" s="58">
        <v>76</v>
      </c>
      <c r="R202" s="58">
        <v>0</v>
      </c>
      <c r="S202" s="58">
        <v>0</v>
      </c>
      <c r="T202" s="58">
        <v>0</v>
      </c>
      <c r="U202" s="58">
        <v>52</v>
      </c>
      <c r="V202" s="62"/>
      <c r="W202" s="62"/>
      <c r="X202" s="63">
        <f>IFERROR(1 -(Master[[#This Row],[Avg Garment Scans per Delivery]]/Master[[#This Row],[Garment Inventory]]), 0)</f>
        <v>0</v>
      </c>
      <c r="Y202" s="62"/>
      <c r="Z202" s="62"/>
      <c r="AA202" s="53">
        <v>40.146272189349112</v>
      </c>
      <c r="AB202" s="53">
        <v>51.1891124260355</v>
      </c>
      <c r="AC202" s="53">
        <v>48.734082840236674</v>
      </c>
      <c r="AD202" s="53">
        <v>55.915147928994081</v>
      </c>
      <c r="AE202" s="53" t="str">
        <f>_xlfn.XLOOKUP(Master[[#This Row],[cu_id]],'[1]Customer Revenue'!$Q:$Q,'[1]Customer Revenue'!$K:$K, "None")</f>
        <v>None</v>
      </c>
      <c r="AF202" s="53" t="str">
        <f>_xlfn.XLOOKUP(Master[[#This Row],[cu_id]],'[1]Customer Revenue'!$Q:$Q,'[1]Customer Revenue'!$L:$L, "None")</f>
        <v>None</v>
      </c>
      <c r="AG202" s="53">
        <v>39.686035502958575</v>
      </c>
      <c r="AH202" s="53">
        <v>46.723195266272171</v>
      </c>
      <c r="AI202" s="53">
        <v>45.667692307692306</v>
      </c>
      <c r="AJ202" s="53">
        <v>52.324615384615377</v>
      </c>
      <c r="AK202" s="53" t="str">
        <f>_xlfn.XLOOKUP(Master[[#This Row],[cu_id]],'[1]Customer Revenue'!$Q:$Q,'[1]Customer Revenue'!$I:$I, "None")</f>
        <v>None</v>
      </c>
      <c r="AL202" s="53">
        <v>43.204615384615373</v>
      </c>
      <c r="AM202" s="61">
        <v>0.25</v>
      </c>
      <c r="AN202" s="60">
        <v>0</v>
      </c>
      <c r="AO202" s="60" t="s">
        <v>36</v>
      </c>
      <c r="AP202" s="60" t="s">
        <v>36</v>
      </c>
      <c r="AQ202" s="58" t="s">
        <v>305</v>
      </c>
      <c r="AR202" s="58"/>
      <c r="AS202" s="58"/>
      <c r="AT202" s="52">
        <v>0</v>
      </c>
      <c r="AU202" s="52" t="e">
        <f>IF(Master[[#This Row],[RSP StopTime override]] &lt;&gt; "",Master[[#This Row],[RSP StopTime override]],IF(Master[[#This Row],[Avg stop time helper]] &lt;&gt; 0, Master[[#This Row],[Avg stop time helper]],Average_Stop_Time))</f>
        <v>#DIV/0!</v>
      </c>
      <c r="AV202" s="21"/>
      <c r="AW202" s="20">
        <f>Master[[#This Row],[RSP StopTime override]]-Master[[#This Row],[Avg stop time helper]]</f>
        <v>0</v>
      </c>
    </row>
    <row r="203" spans="1:49" x14ac:dyDescent="0.3">
      <c r="A203" s="66" t="s">
        <v>4315</v>
      </c>
      <c r="B203" s="58">
        <v>12</v>
      </c>
      <c r="C203" s="58" t="s">
        <v>35</v>
      </c>
      <c r="D203" s="65">
        <v>99061</v>
      </c>
      <c r="E203" s="65" t="s">
        <v>2297</v>
      </c>
      <c r="F203" s="65" t="s">
        <v>3141</v>
      </c>
      <c r="G203" s="65" t="s">
        <v>3127</v>
      </c>
      <c r="H203" s="65" t="s">
        <v>32</v>
      </c>
      <c r="I203" s="65" t="s">
        <v>1824</v>
      </c>
      <c r="J203" s="65" t="s">
        <v>5</v>
      </c>
      <c r="K203" s="65" t="s">
        <v>57</v>
      </c>
      <c r="L203" s="64" t="s">
        <v>67</v>
      </c>
      <c r="M203" s="58" t="s">
        <v>3</v>
      </c>
      <c r="N203" s="58" t="s">
        <v>2</v>
      </c>
      <c r="O203" s="58">
        <v>73</v>
      </c>
      <c r="P203" s="58">
        <v>0</v>
      </c>
      <c r="Q203" s="58">
        <v>73</v>
      </c>
      <c r="R203" s="58">
        <v>0</v>
      </c>
      <c r="S203" s="58">
        <v>0</v>
      </c>
      <c r="T203" s="58">
        <v>0</v>
      </c>
      <c r="U203" s="58">
        <v>52</v>
      </c>
      <c r="V203" s="62"/>
      <c r="W203" s="62"/>
      <c r="X203" s="63">
        <f>IFERROR(1 -(Master[[#This Row],[Avg Garment Scans per Delivery]]/Master[[#This Row],[Garment Inventory]]), 0)</f>
        <v>0</v>
      </c>
      <c r="Y203" s="62"/>
      <c r="Z203" s="62"/>
      <c r="AA203" s="53">
        <v>104.56999999999991</v>
      </c>
      <c r="AB203" s="53">
        <v>104.57</v>
      </c>
      <c r="AC203" s="53">
        <v>46.068343195266273</v>
      </c>
      <c r="AD203" s="53">
        <v>96.939349112426044</v>
      </c>
      <c r="AE203" s="53" t="str">
        <f>_xlfn.XLOOKUP(Master[[#This Row],[cu_id]],'[1]Customer Revenue'!$Q:$Q,'[1]Customer Revenue'!$K:$K, "None")</f>
        <v>None</v>
      </c>
      <c r="AF203" s="53" t="str">
        <f>_xlfn.XLOOKUP(Master[[#This Row],[cu_id]],'[1]Customer Revenue'!$Q:$Q,'[1]Customer Revenue'!$L:$L, "None")</f>
        <v>None</v>
      </c>
      <c r="AG203" s="53">
        <v>101.76437869822487</v>
      </c>
      <c r="AH203" s="53">
        <v>104.86023668639055</v>
      </c>
      <c r="AI203" s="53">
        <v>104.56999999999995</v>
      </c>
      <c r="AJ203" s="53">
        <v>71.503846153846155</v>
      </c>
      <c r="AK203" s="53" t="str">
        <f>_xlfn.XLOOKUP(Master[[#This Row],[cu_id]],'[1]Customer Revenue'!$Q:$Q,'[1]Customer Revenue'!$I:$I, "None")</f>
        <v>None</v>
      </c>
      <c r="AL203" s="53">
        <v>103.31230769230771</v>
      </c>
      <c r="AM203" s="61">
        <v>0.25</v>
      </c>
      <c r="AN203" s="60">
        <v>0</v>
      </c>
      <c r="AO203" s="60" t="s">
        <v>36</v>
      </c>
      <c r="AP203" s="60" t="s">
        <v>36</v>
      </c>
      <c r="AQ203" s="58" t="s">
        <v>305</v>
      </c>
      <c r="AR203" s="58"/>
      <c r="AS203" s="58"/>
      <c r="AT203" s="52">
        <v>0</v>
      </c>
      <c r="AU203" s="52" t="e">
        <f>IF(Master[[#This Row],[RSP StopTime override]] &lt;&gt; "",Master[[#This Row],[RSP StopTime override]],IF(Master[[#This Row],[Avg stop time helper]] &lt;&gt; 0, Master[[#This Row],[Avg stop time helper]],Average_Stop_Time))</f>
        <v>#DIV/0!</v>
      </c>
      <c r="AV203" s="21"/>
      <c r="AW203" s="20">
        <f>Master[[#This Row],[RSP StopTime override]]-Master[[#This Row],[Avg stop time helper]]</f>
        <v>0</v>
      </c>
    </row>
    <row r="204" spans="1:49" x14ac:dyDescent="0.3">
      <c r="A204" s="66" t="s">
        <v>4316</v>
      </c>
      <c r="B204" s="58">
        <v>12</v>
      </c>
      <c r="C204" s="58" t="s">
        <v>35</v>
      </c>
      <c r="D204" s="65">
        <v>99061</v>
      </c>
      <c r="E204" s="65" t="s">
        <v>1253</v>
      </c>
      <c r="F204" s="65" t="s">
        <v>3140</v>
      </c>
      <c r="G204" s="65" t="s">
        <v>3127</v>
      </c>
      <c r="H204" s="65" t="s">
        <v>32</v>
      </c>
      <c r="I204" s="65" t="s">
        <v>1824</v>
      </c>
      <c r="J204" s="65" t="s">
        <v>5</v>
      </c>
      <c r="K204" s="65" t="s">
        <v>57</v>
      </c>
      <c r="L204" s="64" t="s">
        <v>67</v>
      </c>
      <c r="M204" s="58" t="s">
        <v>3</v>
      </c>
      <c r="N204" s="58" t="s">
        <v>2</v>
      </c>
      <c r="O204" s="58">
        <v>72</v>
      </c>
      <c r="P204" s="58">
        <v>0</v>
      </c>
      <c r="Q204" s="58">
        <v>72</v>
      </c>
      <c r="R204" s="58">
        <v>0</v>
      </c>
      <c r="S204" s="58">
        <v>0</v>
      </c>
      <c r="T204" s="58">
        <v>0</v>
      </c>
      <c r="U204" s="58">
        <v>53</v>
      </c>
      <c r="V204" s="62"/>
      <c r="W204" s="62"/>
      <c r="X204" s="63">
        <f>IFERROR(1 -(Master[[#This Row],[Avg Garment Scans per Delivery]]/Master[[#This Row],[Garment Inventory]]), 0)</f>
        <v>0</v>
      </c>
      <c r="Y204" s="62"/>
      <c r="Z204" s="62"/>
      <c r="AA204" s="53">
        <v>46.389644970414203</v>
      </c>
      <c r="AB204" s="53">
        <v>49.618047337278121</v>
      </c>
      <c r="AC204" s="53">
        <v>32.79781065088757</v>
      </c>
      <c r="AD204" s="53">
        <v>53.539112426035501</v>
      </c>
      <c r="AE204" s="53" t="str">
        <f>_xlfn.XLOOKUP(Master[[#This Row],[cu_id]],'[1]Customer Revenue'!$Q:$Q,'[1]Customer Revenue'!$K:$K, "None")</f>
        <v>None</v>
      </c>
      <c r="AF204" s="53" t="str">
        <f>_xlfn.XLOOKUP(Master[[#This Row],[cu_id]],'[1]Customer Revenue'!$Q:$Q,'[1]Customer Revenue'!$L:$L, "None")</f>
        <v>None</v>
      </c>
      <c r="AG204" s="53">
        <v>45.91597633136093</v>
      </c>
      <c r="AH204" s="53">
        <v>48.02248520710058</v>
      </c>
      <c r="AI204" s="53">
        <v>48.003846153846162</v>
      </c>
      <c r="AJ204" s="53">
        <v>43.168461538461536</v>
      </c>
      <c r="AK204" s="53" t="str">
        <f>_xlfn.XLOOKUP(Master[[#This Row],[cu_id]],'[1]Customer Revenue'!$Q:$Q,'[1]Customer Revenue'!$I:$I, "None")</f>
        <v>None</v>
      </c>
      <c r="AL204" s="53">
        <v>46.969230769230755</v>
      </c>
      <c r="AM204" s="61">
        <v>0.25</v>
      </c>
      <c r="AN204" s="60">
        <v>0</v>
      </c>
      <c r="AO204" s="60" t="s">
        <v>36</v>
      </c>
      <c r="AP204" s="60" t="s">
        <v>36</v>
      </c>
      <c r="AQ204" s="58" t="s">
        <v>305</v>
      </c>
      <c r="AR204" s="58"/>
      <c r="AS204" s="58"/>
      <c r="AT204" s="52">
        <v>0</v>
      </c>
      <c r="AU204" s="52" t="e">
        <f>IF(Master[[#This Row],[RSP StopTime override]] &lt;&gt; "",Master[[#This Row],[RSP StopTime override]],IF(Master[[#This Row],[Avg stop time helper]] &lt;&gt; 0, Master[[#This Row],[Avg stop time helper]],Average_Stop_Time))</f>
        <v>#DIV/0!</v>
      </c>
      <c r="AV204" s="21"/>
      <c r="AW204" s="20">
        <f>Master[[#This Row],[RSP StopTime override]]-Master[[#This Row],[Avg stop time helper]]</f>
        <v>0</v>
      </c>
    </row>
    <row r="205" spans="1:49" x14ac:dyDescent="0.3">
      <c r="A205" s="66" t="s">
        <v>4317</v>
      </c>
      <c r="B205" s="58">
        <v>12</v>
      </c>
      <c r="C205" s="58" t="s">
        <v>35</v>
      </c>
      <c r="D205" s="65">
        <v>99061</v>
      </c>
      <c r="E205" s="65" t="s">
        <v>2107</v>
      </c>
      <c r="F205" s="65" t="s">
        <v>3139</v>
      </c>
      <c r="G205" s="65" t="s">
        <v>3127</v>
      </c>
      <c r="H205" s="65" t="s">
        <v>32</v>
      </c>
      <c r="I205" s="65" t="s">
        <v>1824</v>
      </c>
      <c r="J205" s="65" t="s">
        <v>5</v>
      </c>
      <c r="K205" s="65" t="s">
        <v>57</v>
      </c>
      <c r="L205" s="64" t="s">
        <v>67</v>
      </c>
      <c r="M205" s="58" t="s">
        <v>3</v>
      </c>
      <c r="N205" s="58" t="s">
        <v>2</v>
      </c>
      <c r="O205" s="58">
        <v>71</v>
      </c>
      <c r="P205" s="58">
        <v>0</v>
      </c>
      <c r="Q205" s="58">
        <v>71</v>
      </c>
      <c r="R205" s="58">
        <v>0</v>
      </c>
      <c r="S205" s="58">
        <v>0</v>
      </c>
      <c r="T205" s="58">
        <v>0</v>
      </c>
      <c r="U205" s="58">
        <v>52</v>
      </c>
      <c r="V205" s="62">
        <v>21</v>
      </c>
      <c r="W205" s="62">
        <v>3</v>
      </c>
      <c r="X205" s="63">
        <f>IFERROR(1 -(Master[[#This Row],[Avg Garment Scans per Delivery]]/Master[[#This Row],[Garment Inventory]]), 0)</f>
        <v>0.85714285714285721</v>
      </c>
      <c r="Y205" s="62">
        <v>1</v>
      </c>
      <c r="Z205" s="62">
        <v>22</v>
      </c>
      <c r="AA205" s="53">
        <v>83.029999999999973</v>
      </c>
      <c r="AB205" s="53">
        <v>83.03</v>
      </c>
      <c r="AC205" s="53">
        <v>53.593964497041426</v>
      </c>
      <c r="AD205" s="53">
        <v>79.202958579881667</v>
      </c>
      <c r="AE205" s="53" t="str">
        <f>_xlfn.XLOOKUP(Master[[#This Row],[cu_id]],'[1]Customer Revenue'!$Q:$Q,'[1]Customer Revenue'!$K:$K, "None")</f>
        <v>None</v>
      </c>
      <c r="AF205" s="53" t="str">
        <f>_xlfn.XLOOKUP(Master[[#This Row],[cu_id]],'[1]Customer Revenue'!$Q:$Q,'[1]Customer Revenue'!$L:$L, "None")</f>
        <v>None</v>
      </c>
      <c r="AG205" s="53">
        <v>75.093846153846101</v>
      </c>
      <c r="AH205" s="53">
        <v>84.186153846153843</v>
      </c>
      <c r="AI205" s="53">
        <v>83.029999999999987</v>
      </c>
      <c r="AJ205" s="53">
        <v>66.398461538461547</v>
      </c>
      <c r="AK205" s="53" t="str">
        <f>_xlfn.XLOOKUP(Master[[#This Row],[cu_id]],'[1]Customer Revenue'!$Q:$Q,'[1]Customer Revenue'!$I:$I, "None")</f>
        <v>None</v>
      </c>
      <c r="AL205" s="53">
        <v>79.639999999999972</v>
      </c>
      <c r="AM205" s="61">
        <v>0.25</v>
      </c>
      <c r="AN205" s="60">
        <v>0</v>
      </c>
      <c r="AO205" s="60" t="s">
        <v>36</v>
      </c>
      <c r="AP205" s="60" t="s">
        <v>36</v>
      </c>
      <c r="AQ205" s="58" t="s">
        <v>305</v>
      </c>
      <c r="AR205" s="58"/>
      <c r="AS205" s="58"/>
      <c r="AT205" s="52">
        <v>0</v>
      </c>
      <c r="AU205" s="52" t="e">
        <f>IF(Master[[#This Row],[RSP StopTime override]] &lt;&gt; "",Master[[#This Row],[RSP StopTime override]],IF(Master[[#This Row],[Avg stop time helper]] &lt;&gt; 0, Master[[#This Row],[Avg stop time helper]],Average_Stop_Time))</f>
        <v>#DIV/0!</v>
      </c>
      <c r="AV205" s="21"/>
      <c r="AW205" s="20">
        <f>Master[[#This Row],[RSP StopTime override]]-Master[[#This Row],[Avg stop time helper]]</f>
        <v>0</v>
      </c>
    </row>
    <row r="206" spans="1:49" x14ac:dyDescent="0.3">
      <c r="A206" s="66" t="s">
        <v>4318</v>
      </c>
      <c r="B206" s="58">
        <v>12</v>
      </c>
      <c r="C206" s="58" t="s">
        <v>35</v>
      </c>
      <c r="D206" s="65">
        <v>99061</v>
      </c>
      <c r="E206" s="65" t="s">
        <v>2084</v>
      </c>
      <c r="F206" s="65" t="s">
        <v>3138</v>
      </c>
      <c r="G206" s="65" t="s">
        <v>3127</v>
      </c>
      <c r="H206" s="65" t="s">
        <v>32</v>
      </c>
      <c r="I206" s="65" t="s">
        <v>1824</v>
      </c>
      <c r="J206" s="65" t="s">
        <v>5</v>
      </c>
      <c r="K206" s="65" t="s">
        <v>57</v>
      </c>
      <c r="L206" s="64" t="s">
        <v>67</v>
      </c>
      <c r="M206" s="58" t="s">
        <v>3</v>
      </c>
      <c r="N206" s="58" t="s">
        <v>2</v>
      </c>
      <c r="O206" s="58">
        <v>75</v>
      </c>
      <c r="P206" s="58">
        <v>0</v>
      </c>
      <c r="Q206" s="58">
        <v>75</v>
      </c>
      <c r="R206" s="58">
        <v>0</v>
      </c>
      <c r="S206" s="58">
        <v>0</v>
      </c>
      <c r="T206" s="58">
        <v>0</v>
      </c>
      <c r="U206" s="58">
        <v>52</v>
      </c>
      <c r="V206" s="62"/>
      <c r="W206" s="62"/>
      <c r="X206" s="63">
        <f>IFERROR(1 -(Master[[#This Row],[Avg Garment Scans per Delivery]]/Master[[#This Row],[Garment Inventory]]), 0)</f>
        <v>0</v>
      </c>
      <c r="Y206" s="62"/>
      <c r="Z206" s="62"/>
      <c r="AA206" s="53">
        <v>58.966923076923052</v>
      </c>
      <c r="AB206" s="53">
        <v>64.973076923076917</v>
      </c>
      <c r="AC206" s="53">
        <v>56.151428571428568</v>
      </c>
      <c r="AD206" s="53">
        <v>101.26857142857142</v>
      </c>
      <c r="AE206" s="53" t="str">
        <f>_xlfn.XLOOKUP(Master[[#This Row],[cu_id]],'[1]Customer Revenue'!$Q:$Q,'[1]Customer Revenue'!$K:$K, "None")</f>
        <v>None</v>
      </c>
      <c r="AF206" s="53" t="str">
        <f>_xlfn.XLOOKUP(Master[[#This Row],[cu_id]],'[1]Customer Revenue'!$Q:$Q,'[1]Customer Revenue'!$L:$L, "None")</f>
        <v>None</v>
      </c>
      <c r="AG206" s="53">
        <v>47.831538461538472</v>
      </c>
      <c r="AH206" s="53">
        <v>63.259230769230783</v>
      </c>
      <c r="AI206" s="53">
        <v>61.969999999999985</v>
      </c>
      <c r="AJ206" s="53">
        <v>78.709999999999994</v>
      </c>
      <c r="AK206" s="53" t="str">
        <f>_xlfn.XLOOKUP(Master[[#This Row],[cu_id]],'[1]Customer Revenue'!$Q:$Q,'[1]Customer Revenue'!$I:$I, "None")</f>
        <v>None</v>
      </c>
      <c r="AL206" s="53">
        <v>55.545384615384627</v>
      </c>
      <c r="AM206" s="61">
        <v>0.25</v>
      </c>
      <c r="AN206" s="60">
        <v>0</v>
      </c>
      <c r="AO206" s="60" t="s">
        <v>36</v>
      </c>
      <c r="AP206" s="60" t="s">
        <v>36</v>
      </c>
      <c r="AQ206" s="58" t="s">
        <v>305</v>
      </c>
      <c r="AR206" s="58"/>
      <c r="AS206" s="58"/>
      <c r="AT206" s="52">
        <v>0</v>
      </c>
      <c r="AU206" s="52" t="e">
        <f>IF(Master[[#This Row],[RSP StopTime override]] &lt;&gt; "",Master[[#This Row],[RSP StopTime override]],IF(Master[[#This Row],[Avg stop time helper]] &lt;&gt; 0, Master[[#This Row],[Avg stop time helper]],Average_Stop_Time))</f>
        <v>#DIV/0!</v>
      </c>
      <c r="AV206" s="21"/>
      <c r="AW206" s="20">
        <f>Master[[#This Row],[RSP StopTime override]]-Master[[#This Row],[Avg stop time helper]]</f>
        <v>0</v>
      </c>
    </row>
    <row r="207" spans="1:49" x14ac:dyDescent="0.3">
      <c r="A207" s="66" t="s">
        <v>4319</v>
      </c>
      <c r="B207" s="58">
        <v>12</v>
      </c>
      <c r="C207" s="58" t="s">
        <v>35</v>
      </c>
      <c r="D207" s="65">
        <v>99061</v>
      </c>
      <c r="E207" s="65" t="s">
        <v>2230</v>
      </c>
      <c r="F207" s="65" t="s">
        <v>3137</v>
      </c>
      <c r="G207" s="65" t="s">
        <v>3127</v>
      </c>
      <c r="H207" s="65" t="s">
        <v>32</v>
      </c>
      <c r="I207" s="65" t="s">
        <v>1824</v>
      </c>
      <c r="J207" s="65" t="s">
        <v>5</v>
      </c>
      <c r="K207" s="65" t="s">
        <v>57</v>
      </c>
      <c r="L207" s="64" t="s">
        <v>67</v>
      </c>
      <c r="M207" s="58" t="s">
        <v>3</v>
      </c>
      <c r="N207" s="58" t="s">
        <v>2</v>
      </c>
      <c r="O207" s="58">
        <v>74</v>
      </c>
      <c r="P207" s="58">
        <v>0</v>
      </c>
      <c r="Q207" s="58">
        <v>74</v>
      </c>
      <c r="R207" s="58">
        <v>0</v>
      </c>
      <c r="S207" s="58">
        <v>0</v>
      </c>
      <c r="T207" s="58">
        <v>0</v>
      </c>
      <c r="U207" s="58">
        <v>52</v>
      </c>
      <c r="V207" s="62"/>
      <c r="W207" s="62"/>
      <c r="X207" s="63">
        <f>IFERROR(1 -(Master[[#This Row],[Avg Garment Scans per Delivery]]/Master[[#This Row],[Garment Inventory]]), 0)</f>
        <v>0</v>
      </c>
      <c r="Y207" s="62"/>
      <c r="Z207" s="62"/>
      <c r="AA207" s="53">
        <v>18.599999999999994</v>
      </c>
      <c r="AB207" s="53">
        <v>18.600000000000001</v>
      </c>
      <c r="AC207" s="53">
        <v>10.72195266272189</v>
      </c>
      <c r="AD207" s="53">
        <v>18.827278106508874</v>
      </c>
      <c r="AE207" s="53" t="str">
        <f>_xlfn.XLOOKUP(Master[[#This Row],[cu_id]],'[1]Customer Revenue'!$Q:$Q,'[1]Customer Revenue'!$K:$K, "None")</f>
        <v>None</v>
      </c>
      <c r="AF207" s="53" t="str">
        <f>_xlfn.XLOOKUP(Master[[#This Row],[cu_id]],'[1]Customer Revenue'!$Q:$Q,'[1]Customer Revenue'!$L:$L, "None")</f>
        <v>None</v>
      </c>
      <c r="AG207" s="53">
        <v>18.085207100591727</v>
      </c>
      <c r="AH207" s="53">
        <v>18.65325443786983</v>
      </c>
      <c r="AI207" s="53">
        <v>18.599999999999998</v>
      </c>
      <c r="AJ207" s="53">
        <v>14.774615384615382</v>
      </c>
      <c r="AK207" s="53" t="str">
        <f>_xlfn.XLOOKUP(Master[[#This Row],[cu_id]],'[1]Customer Revenue'!$Q:$Q,'[1]Customer Revenue'!$I:$I, "None")</f>
        <v>None</v>
      </c>
      <c r="AL207" s="53">
        <v>18.369230769230779</v>
      </c>
      <c r="AM207" s="61">
        <v>0.25</v>
      </c>
      <c r="AN207" s="60">
        <v>0</v>
      </c>
      <c r="AO207" s="60" t="s">
        <v>36</v>
      </c>
      <c r="AP207" s="60" t="s">
        <v>36</v>
      </c>
      <c r="AQ207" s="58" t="s">
        <v>305</v>
      </c>
      <c r="AR207" s="58"/>
      <c r="AS207" s="58"/>
      <c r="AT207" s="52">
        <v>0</v>
      </c>
      <c r="AU207" s="52" t="e">
        <f>IF(Master[[#This Row],[RSP StopTime override]] &lt;&gt; "",Master[[#This Row],[RSP StopTime override]],IF(Master[[#This Row],[Avg stop time helper]] &lt;&gt; 0, Master[[#This Row],[Avg stop time helper]],Average_Stop_Time))</f>
        <v>#DIV/0!</v>
      </c>
      <c r="AV207" s="21"/>
      <c r="AW207" s="20">
        <f>Master[[#This Row],[RSP StopTime override]]-Master[[#This Row],[Avg stop time helper]]</f>
        <v>0</v>
      </c>
    </row>
    <row r="208" spans="1:49" x14ac:dyDescent="0.3">
      <c r="A208" s="66" t="s">
        <v>4320</v>
      </c>
      <c r="B208" s="58">
        <v>12</v>
      </c>
      <c r="C208" s="58" t="s">
        <v>35</v>
      </c>
      <c r="D208" s="65">
        <v>99061</v>
      </c>
      <c r="E208" s="65" t="s">
        <v>2701</v>
      </c>
      <c r="F208" s="65" t="s">
        <v>3136</v>
      </c>
      <c r="G208" s="65" t="s">
        <v>3124</v>
      </c>
      <c r="H208" s="65" t="s">
        <v>32</v>
      </c>
      <c r="I208" s="65" t="s">
        <v>1582</v>
      </c>
      <c r="J208" s="65" t="s">
        <v>5</v>
      </c>
      <c r="K208" s="65" t="s">
        <v>57</v>
      </c>
      <c r="L208" s="64" t="s">
        <v>67</v>
      </c>
      <c r="M208" s="58" t="s">
        <v>3</v>
      </c>
      <c r="N208" s="58" t="s">
        <v>2</v>
      </c>
      <c r="O208" s="58">
        <v>60</v>
      </c>
      <c r="P208" s="58">
        <v>0</v>
      </c>
      <c r="Q208" s="58">
        <v>60</v>
      </c>
      <c r="R208" s="58">
        <v>0</v>
      </c>
      <c r="S208" s="58">
        <v>0</v>
      </c>
      <c r="T208" s="58">
        <v>0</v>
      </c>
      <c r="U208" s="58">
        <v>52</v>
      </c>
      <c r="V208" s="62"/>
      <c r="W208" s="62"/>
      <c r="X208" s="63">
        <f>IFERROR(1 -(Master[[#This Row],[Avg Garment Scans per Delivery]]/Master[[#This Row],[Garment Inventory]]), 0)</f>
        <v>0</v>
      </c>
      <c r="Y208" s="62"/>
      <c r="Z208" s="62"/>
      <c r="AA208" s="53">
        <v>26.23183431952663</v>
      </c>
      <c r="AB208" s="53">
        <v>26.565088757396456</v>
      </c>
      <c r="AC208" s="53">
        <v>29.641952662721895</v>
      </c>
      <c r="AD208" s="53">
        <v>30.445739644970413</v>
      </c>
      <c r="AE208" s="53" t="str">
        <f>_xlfn.XLOOKUP(Master[[#This Row],[cu_id]],'[1]Customer Revenue'!$Q:$Q,'[1]Customer Revenue'!$K:$K, "None")</f>
        <v>None</v>
      </c>
      <c r="AF208" s="53" t="str">
        <f>_xlfn.XLOOKUP(Master[[#This Row],[cu_id]],'[1]Customer Revenue'!$Q:$Q,'[1]Customer Revenue'!$L:$L, "None")</f>
        <v>None</v>
      </c>
      <c r="AG208" s="53">
        <v>23.959289940828405</v>
      </c>
      <c r="AH208" s="53">
        <v>27.453017751479294</v>
      </c>
      <c r="AI208" s="53">
        <v>26.398461538461543</v>
      </c>
      <c r="AJ208" s="53">
        <v>30.043846153846154</v>
      </c>
      <c r="AK208" s="53" t="str">
        <f>_xlfn.XLOOKUP(Master[[#This Row],[cu_id]],'[1]Customer Revenue'!$Q:$Q,'[1]Customer Revenue'!$I:$I, "None")</f>
        <v>None</v>
      </c>
      <c r="AL208" s="53">
        <v>25.70615384615385</v>
      </c>
      <c r="AM208" s="61">
        <v>0.25</v>
      </c>
      <c r="AN208" s="60">
        <v>0</v>
      </c>
      <c r="AO208" s="60" t="s">
        <v>36</v>
      </c>
      <c r="AP208" s="60" t="s">
        <v>36</v>
      </c>
      <c r="AQ208" s="58" t="s">
        <v>305</v>
      </c>
      <c r="AR208" s="58"/>
      <c r="AS208" s="58"/>
      <c r="AT208" s="52">
        <v>0</v>
      </c>
      <c r="AU208" s="52" t="e">
        <f>IF(Master[[#This Row],[RSP StopTime override]] &lt;&gt; "",Master[[#This Row],[RSP StopTime override]],IF(Master[[#This Row],[Avg stop time helper]] &lt;&gt; 0, Master[[#This Row],[Avg stop time helper]],Average_Stop_Time))</f>
        <v>#DIV/0!</v>
      </c>
      <c r="AV208" s="21"/>
      <c r="AW208" s="20">
        <f>Master[[#This Row],[RSP StopTime override]]-Master[[#This Row],[Avg stop time helper]]</f>
        <v>0</v>
      </c>
    </row>
    <row r="209" spans="1:49" x14ac:dyDescent="0.3">
      <c r="A209" s="66" t="s">
        <v>4321</v>
      </c>
      <c r="B209" s="58">
        <v>12</v>
      </c>
      <c r="C209" s="58" t="s">
        <v>35</v>
      </c>
      <c r="D209" s="65">
        <v>99094</v>
      </c>
      <c r="E209" s="65" t="s">
        <v>2297</v>
      </c>
      <c r="F209" s="65" t="s">
        <v>3135</v>
      </c>
      <c r="G209" s="65" t="s">
        <v>3134</v>
      </c>
      <c r="H209" s="65" t="s">
        <v>7</v>
      </c>
      <c r="I209" s="65" t="s">
        <v>2966</v>
      </c>
      <c r="J209" s="65" t="s">
        <v>5</v>
      </c>
      <c r="K209" s="65" t="s">
        <v>1972</v>
      </c>
      <c r="L209" s="64" t="s">
        <v>91</v>
      </c>
      <c r="M209" s="58" t="s">
        <v>90</v>
      </c>
      <c r="N209" s="58" t="s">
        <v>2</v>
      </c>
      <c r="O209" s="58">
        <v>130</v>
      </c>
      <c r="P209" s="58">
        <v>0</v>
      </c>
      <c r="Q209" s="58">
        <v>130</v>
      </c>
      <c r="R209" s="58">
        <v>0</v>
      </c>
      <c r="S209" s="58">
        <v>0</v>
      </c>
      <c r="T209" s="58">
        <v>0</v>
      </c>
      <c r="U209" s="58">
        <v>27</v>
      </c>
      <c r="V209" s="62"/>
      <c r="W209" s="62"/>
      <c r="X209" s="63">
        <f>IFERROR(1 -(Master[[#This Row],[Avg Garment Scans per Delivery]]/Master[[#This Row],[Garment Inventory]]), 0)</f>
        <v>0</v>
      </c>
      <c r="Y209" s="62"/>
      <c r="Z209" s="62"/>
      <c r="AA209" s="53">
        <v>20</v>
      </c>
      <c r="AB209" s="53">
        <v>20</v>
      </c>
      <c r="AC209" s="53">
        <v>11.111111111111112</v>
      </c>
      <c r="AD209" s="53">
        <v>28.888888888888886</v>
      </c>
      <c r="AE209" s="53" t="str">
        <f>_xlfn.XLOOKUP(Master[[#This Row],[cu_id]],'[1]Customer Revenue'!$Q:$Q,'[1]Customer Revenue'!$K:$K, "None")</f>
        <v>None</v>
      </c>
      <c r="AF209" s="53" t="str">
        <f>_xlfn.XLOOKUP(Master[[#This Row],[cu_id]],'[1]Customer Revenue'!$Q:$Q,'[1]Customer Revenue'!$L:$L, "None")</f>
        <v>None</v>
      </c>
      <c r="AG209" s="53">
        <v>18.336483931947068</v>
      </c>
      <c r="AH209" s="53">
        <v>21.663516068052932</v>
      </c>
      <c r="AI209" s="53">
        <v>20</v>
      </c>
      <c r="AJ209" s="53">
        <v>20</v>
      </c>
      <c r="AK209" s="53" t="str">
        <f>_xlfn.XLOOKUP(Master[[#This Row],[cu_id]],'[1]Customer Revenue'!$Q:$Q,'[1]Customer Revenue'!$I:$I, "None")</f>
        <v>None</v>
      </c>
      <c r="AL209" s="53">
        <v>20</v>
      </c>
      <c r="AM209" s="61">
        <v>0.375</v>
      </c>
      <c r="AN209" s="60">
        <v>0.70833333333333337</v>
      </c>
      <c r="AO209" s="60" t="s">
        <v>36</v>
      </c>
      <c r="AP209" s="60" t="s">
        <v>36</v>
      </c>
      <c r="AQ209" s="58" t="s">
        <v>0</v>
      </c>
      <c r="AR209" s="58"/>
      <c r="AS209" s="58"/>
      <c r="AT209" s="52">
        <v>0</v>
      </c>
      <c r="AU209" s="52" t="e">
        <f>IF(Master[[#This Row],[RSP StopTime override]] &lt;&gt; "",Master[[#This Row],[RSP StopTime override]],IF(Master[[#This Row],[Avg stop time helper]] &lt;&gt; 0, Master[[#This Row],[Avg stop time helper]],Average_Stop_Time))</f>
        <v>#DIV/0!</v>
      </c>
      <c r="AV209" s="21"/>
      <c r="AW209" s="20">
        <f>Master[[#This Row],[RSP StopTime override]]-Master[[#This Row],[Avg stop time helper]]</f>
        <v>0</v>
      </c>
    </row>
    <row r="210" spans="1:49" x14ac:dyDescent="0.3">
      <c r="A210" s="66" t="s">
        <v>4322</v>
      </c>
      <c r="B210" s="58">
        <v>12</v>
      </c>
      <c r="C210" s="58" t="s">
        <v>35</v>
      </c>
      <c r="D210" s="65">
        <v>99097</v>
      </c>
      <c r="E210" s="65" t="s">
        <v>1334</v>
      </c>
      <c r="F210" s="65" t="s">
        <v>3600</v>
      </c>
      <c r="G210" s="65" t="s">
        <v>3133</v>
      </c>
      <c r="H210" s="65" t="s">
        <v>7</v>
      </c>
      <c r="I210" s="65" t="s">
        <v>12</v>
      </c>
      <c r="J210" s="65" t="s">
        <v>5</v>
      </c>
      <c r="K210" s="65" t="s">
        <v>197</v>
      </c>
      <c r="L210" s="64" t="s">
        <v>67</v>
      </c>
      <c r="M210" s="58" t="s">
        <v>3</v>
      </c>
      <c r="N210" s="58" t="s">
        <v>2</v>
      </c>
      <c r="O210" s="58">
        <v>10</v>
      </c>
      <c r="P210" s="58">
        <v>0</v>
      </c>
      <c r="Q210" s="58">
        <v>10</v>
      </c>
      <c r="R210" s="58">
        <v>0</v>
      </c>
      <c r="S210" s="58">
        <v>0</v>
      </c>
      <c r="T210" s="58">
        <v>0</v>
      </c>
      <c r="U210" s="58">
        <v>52</v>
      </c>
      <c r="V210" s="62">
        <v>28</v>
      </c>
      <c r="W210" s="62">
        <v>2</v>
      </c>
      <c r="X210" s="63">
        <f>IFERROR(1 -(Master[[#This Row],[Avg Garment Scans per Delivery]]/Master[[#This Row],[Garment Inventory]]), 0)</f>
        <v>0.9285714285714286</v>
      </c>
      <c r="Y210" s="62">
        <v>1</v>
      </c>
      <c r="Z210" s="62">
        <v>44</v>
      </c>
      <c r="AA210" s="53">
        <v>50.391065088757429</v>
      </c>
      <c r="AB210" s="53">
        <v>55.004319526627228</v>
      </c>
      <c r="AC210" s="53">
        <v>47.599408284023667</v>
      </c>
      <c r="AD210" s="53">
        <v>48.323668639053238</v>
      </c>
      <c r="AE210" s="53" t="str">
        <f>_xlfn.XLOOKUP(Master[[#This Row],[cu_id]],'[1]Customer Revenue'!$Q:$Q,'[1]Customer Revenue'!$K:$K, "None")</f>
        <v>None</v>
      </c>
      <c r="AF210" s="53" t="str">
        <f>_xlfn.XLOOKUP(Master[[#This Row],[cu_id]],'[1]Customer Revenue'!$Q:$Q,'[1]Customer Revenue'!$L:$L, "None")</f>
        <v>None</v>
      </c>
      <c r="AG210" s="53">
        <v>46.192189349112432</v>
      </c>
      <c r="AH210" s="53">
        <v>54.46473372781066</v>
      </c>
      <c r="AI210" s="53">
        <v>52.697692307692328</v>
      </c>
      <c r="AJ210" s="53">
        <v>47.961538461538453</v>
      </c>
      <c r="AK210" s="53" t="str">
        <f>_xlfn.XLOOKUP(Master[[#This Row],[cu_id]],'[1]Customer Revenue'!$Q:$Q,'[1]Customer Revenue'!$I:$I, "None")</f>
        <v>None</v>
      </c>
      <c r="AL210" s="53">
        <v>50.328461538461546</v>
      </c>
      <c r="AM210" s="61">
        <v>0.25</v>
      </c>
      <c r="AN210" s="60">
        <v>0.70833333333333337</v>
      </c>
      <c r="AO210" s="60" t="s">
        <v>36</v>
      </c>
      <c r="AP210" s="60" t="s">
        <v>36</v>
      </c>
      <c r="AQ210" s="58" t="s">
        <v>0</v>
      </c>
      <c r="AR210" s="58"/>
      <c r="AS210" s="58"/>
      <c r="AT210" s="52">
        <v>0</v>
      </c>
      <c r="AU210" s="52" t="e">
        <f>IF(Master[[#This Row],[RSP StopTime override]] &lt;&gt; "",Master[[#This Row],[RSP StopTime override]],IF(Master[[#This Row],[Avg stop time helper]] &lt;&gt; 0, Master[[#This Row],[Avg stop time helper]],Average_Stop_Time))</f>
        <v>#DIV/0!</v>
      </c>
      <c r="AV210" s="21"/>
      <c r="AW210" s="20">
        <f>Master[[#This Row],[RSP StopTime override]]-Master[[#This Row],[Avg stop time helper]]</f>
        <v>0</v>
      </c>
    </row>
    <row r="211" spans="1:49" x14ac:dyDescent="0.3">
      <c r="A211" s="66" t="s">
        <v>4323</v>
      </c>
      <c r="B211" s="58">
        <v>12</v>
      </c>
      <c r="C211" s="58" t="s">
        <v>35</v>
      </c>
      <c r="D211" s="65">
        <v>99097</v>
      </c>
      <c r="E211" s="65" t="s">
        <v>1350</v>
      </c>
      <c r="F211" s="65" t="s">
        <v>3601</v>
      </c>
      <c r="G211" s="65" t="s">
        <v>3132</v>
      </c>
      <c r="H211" s="65" t="s">
        <v>7</v>
      </c>
      <c r="I211" s="65" t="s">
        <v>12</v>
      </c>
      <c r="J211" s="65" t="s">
        <v>5</v>
      </c>
      <c r="K211" s="65" t="s">
        <v>1972</v>
      </c>
      <c r="L211" s="64" t="s">
        <v>67</v>
      </c>
      <c r="M211" s="58" t="s">
        <v>3</v>
      </c>
      <c r="N211" s="58" t="s">
        <v>2</v>
      </c>
      <c r="O211" s="58">
        <v>80</v>
      </c>
      <c r="P211" s="58">
        <v>0</v>
      </c>
      <c r="Q211" s="58">
        <v>80</v>
      </c>
      <c r="R211" s="58">
        <v>0</v>
      </c>
      <c r="S211" s="58">
        <v>0</v>
      </c>
      <c r="T211" s="58">
        <v>0</v>
      </c>
      <c r="U211" s="58">
        <v>52</v>
      </c>
      <c r="V211" s="62">
        <v>26</v>
      </c>
      <c r="W211" s="62">
        <v>2</v>
      </c>
      <c r="X211" s="63">
        <f>IFERROR(1 -(Master[[#This Row],[Avg Garment Scans per Delivery]]/Master[[#This Row],[Garment Inventory]]), 0)</f>
        <v>0.92307692307692313</v>
      </c>
      <c r="Y211" s="62">
        <v>1</v>
      </c>
      <c r="Z211" s="62">
        <v>30</v>
      </c>
      <c r="AA211" s="53">
        <v>59.013491124260355</v>
      </c>
      <c r="AB211" s="53">
        <v>60.223431952662722</v>
      </c>
      <c r="AC211" s="53">
        <v>59.149408284023671</v>
      </c>
      <c r="AD211" s="53">
        <v>59.873668639053271</v>
      </c>
      <c r="AE211" s="53" t="str">
        <f>_xlfn.XLOOKUP(Master[[#This Row],[cu_id]],'[1]Customer Revenue'!$Q:$Q,'[1]Customer Revenue'!$K:$K, "None")</f>
        <v>None</v>
      </c>
      <c r="AF211" s="53" t="str">
        <f>_xlfn.XLOOKUP(Master[[#This Row],[cu_id]],'[1]Customer Revenue'!$Q:$Q,'[1]Customer Revenue'!$L:$L, "None")</f>
        <v>None</v>
      </c>
      <c r="AG211" s="53">
        <v>56.155266272189344</v>
      </c>
      <c r="AH211" s="53">
        <v>59.73396449704142</v>
      </c>
      <c r="AI211" s="53">
        <v>59.618461538461538</v>
      </c>
      <c r="AJ211" s="53">
        <v>59.511538461538471</v>
      </c>
      <c r="AK211" s="53" t="str">
        <f>_xlfn.XLOOKUP(Master[[#This Row],[cu_id]],'[1]Customer Revenue'!$Q:$Q,'[1]Customer Revenue'!$I:$I, "None")</f>
        <v>None</v>
      </c>
      <c r="AL211" s="53">
        <v>57.944615384615382</v>
      </c>
      <c r="AM211" s="61">
        <v>0.25</v>
      </c>
      <c r="AN211" s="60">
        <v>0.70833333333333337</v>
      </c>
      <c r="AO211" s="60" t="s">
        <v>36</v>
      </c>
      <c r="AP211" s="60" t="s">
        <v>36</v>
      </c>
      <c r="AQ211" s="58" t="s">
        <v>0</v>
      </c>
      <c r="AR211" s="58"/>
      <c r="AS211" s="58"/>
      <c r="AT211" s="52">
        <v>0</v>
      </c>
      <c r="AU211" s="52" t="e">
        <f>IF(Master[[#This Row],[RSP StopTime override]] &lt;&gt; "",Master[[#This Row],[RSP StopTime override]],IF(Master[[#This Row],[Avg stop time helper]] &lt;&gt; 0, Master[[#This Row],[Avg stop time helper]],Average_Stop_Time))</f>
        <v>#DIV/0!</v>
      </c>
      <c r="AV211" s="21"/>
      <c r="AW211" s="20">
        <f>Master[[#This Row],[RSP StopTime override]]-Master[[#This Row],[Avg stop time helper]]</f>
        <v>0</v>
      </c>
    </row>
    <row r="212" spans="1:49" x14ac:dyDescent="0.3">
      <c r="A212" s="66" t="s">
        <v>4324</v>
      </c>
      <c r="B212" s="58">
        <v>12</v>
      </c>
      <c r="C212" s="58" t="s">
        <v>35</v>
      </c>
      <c r="D212" s="65">
        <v>99098</v>
      </c>
      <c r="E212" s="65" t="s">
        <v>1996</v>
      </c>
      <c r="F212" s="65" t="s">
        <v>3131</v>
      </c>
      <c r="G212" s="65" t="s">
        <v>3130</v>
      </c>
      <c r="H212" s="65" t="s">
        <v>7</v>
      </c>
      <c r="I212" s="65" t="s">
        <v>3129</v>
      </c>
      <c r="J212" s="65" t="s">
        <v>5</v>
      </c>
      <c r="K212" s="65" t="s">
        <v>2031</v>
      </c>
      <c r="L212" s="64" t="s">
        <v>67</v>
      </c>
      <c r="M212" s="58" t="s">
        <v>3</v>
      </c>
      <c r="N212" s="58" t="s">
        <v>2</v>
      </c>
      <c r="O212" s="58">
        <v>3</v>
      </c>
      <c r="P212" s="58">
        <v>0</v>
      </c>
      <c r="Q212" s="58">
        <v>3</v>
      </c>
      <c r="R212" s="58">
        <v>0</v>
      </c>
      <c r="S212" s="58">
        <v>0</v>
      </c>
      <c r="T212" s="58">
        <v>0</v>
      </c>
      <c r="U212" s="58">
        <v>52</v>
      </c>
      <c r="V212" s="62"/>
      <c r="W212" s="62"/>
      <c r="X212" s="63">
        <f>IFERROR(1 -(Master[[#This Row],[Avg Garment Scans per Delivery]]/Master[[#This Row],[Garment Inventory]]), 0)</f>
        <v>0</v>
      </c>
      <c r="Y212" s="62"/>
      <c r="Z212" s="62"/>
      <c r="AA212" s="53">
        <v>130.80810650887568</v>
      </c>
      <c r="AB212" s="53">
        <v>137.77804733727808</v>
      </c>
      <c r="AC212" s="53">
        <v>145.50088757396449</v>
      </c>
      <c r="AD212" s="53">
        <v>148.29757396449705</v>
      </c>
      <c r="AE212" s="53" t="str">
        <f>_xlfn.XLOOKUP(Master[[#This Row],[cu_id]],'[1]Customer Revenue'!$Q:$Q,'[1]Customer Revenue'!$K:$K, "None")</f>
        <v>None</v>
      </c>
      <c r="AF212" s="53" t="str">
        <f>_xlfn.XLOOKUP(Master[[#This Row],[cu_id]],'[1]Customer Revenue'!$Q:$Q,'[1]Customer Revenue'!$L:$L, "None")</f>
        <v>None</v>
      </c>
      <c r="AG212" s="53">
        <v>127.75875739644971</v>
      </c>
      <c r="AH212" s="53">
        <v>135.16431952662725</v>
      </c>
      <c r="AI212" s="53">
        <v>134.29307692307688</v>
      </c>
      <c r="AJ212" s="53">
        <v>146.89923076923077</v>
      </c>
      <c r="AK212" s="53" t="str">
        <f>_xlfn.XLOOKUP(Master[[#This Row],[cu_id]],'[1]Customer Revenue'!$Q:$Q,'[1]Customer Revenue'!$I:$I, "None")</f>
        <v>None</v>
      </c>
      <c r="AL212" s="53">
        <v>131.46153846153848</v>
      </c>
      <c r="AM212" s="61">
        <v>0.29166666666666669</v>
      </c>
      <c r="AN212" s="60">
        <v>0.64583333333333337</v>
      </c>
      <c r="AO212" s="60" t="s">
        <v>36</v>
      </c>
      <c r="AP212" s="60" t="s">
        <v>36</v>
      </c>
      <c r="AQ212" s="58" t="s">
        <v>305</v>
      </c>
      <c r="AR212" s="58"/>
      <c r="AS212" s="58"/>
      <c r="AT212" s="52">
        <v>0</v>
      </c>
      <c r="AU212" s="52" t="e">
        <f>IF(Master[[#This Row],[RSP StopTime override]] &lt;&gt; "",Master[[#This Row],[RSP StopTime override]],IF(Master[[#This Row],[Avg stop time helper]] &lt;&gt; 0, Master[[#This Row],[Avg stop time helper]],Average_Stop_Time))</f>
        <v>#DIV/0!</v>
      </c>
      <c r="AV212" s="21"/>
      <c r="AW212" s="20">
        <f>Master[[#This Row],[RSP StopTime override]]-Master[[#This Row],[Avg stop time helper]]</f>
        <v>0</v>
      </c>
    </row>
    <row r="213" spans="1:49" x14ac:dyDescent="0.3">
      <c r="A213" s="66" t="s">
        <v>4325</v>
      </c>
      <c r="B213" s="58">
        <v>12</v>
      </c>
      <c r="C213" s="58" t="s">
        <v>35</v>
      </c>
      <c r="D213" s="65">
        <v>99161</v>
      </c>
      <c r="E213" s="65" t="s">
        <v>1696</v>
      </c>
      <c r="F213" s="65" t="s">
        <v>3128</v>
      </c>
      <c r="G213" s="65" t="s">
        <v>3127</v>
      </c>
      <c r="H213" s="65" t="s">
        <v>7</v>
      </c>
      <c r="I213" s="65" t="s">
        <v>1824</v>
      </c>
      <c r="J213" s="65" t="s">
        <v>5</v>
      </c>
      <c r="K213" s="65" t="s">
        <v>57</v>
      </c>
      <c r="L213" s="64" t="s">
        <v>67</v>
      </c>
      <c r="M213" s="58" t="s">
        <v>3</v>
      </c>
      <c r="N213" s="58" t="s">
        <v>2</v>
      </c>
      <c r="O213" s="58">
        <v>1</v>
      </c>
      <c r="P213" s="58">
        <v>0</v>
      </c>
      <c r="Q213" s="58">
        <v>1</v>
      </c>
      <c r="R213" s="58">
        <v>0</v>
      </c>
      <c r="S213" s="58">
        <v>0</v>
      </c>
      <c r="T213" s="58">
        <v>0</v>
      </c>
      <c r="U213" s="58">
        <v>2</v>
      </c>
      <c r="V213" s="62"/>
      <c r="W213" s="62"/>
      <c r="X213" s="63">
        <f>IFERROR(1 -(Master[[#This Row],[Avg Garment Scans per Delivery]]/Master[[#This Row],[Garment Inventory]]), 0)</f>
        <v>0</v>
      </c>
      <c r="Y213" s="62"/>
      <c r="Z213" s="62"/>
      <c r="AA213" s="53"/>
      <c r="AB213" s="53"/>
      <c r="AC213" s="53">
        <v>184.53</v>
      </c>
      <c r="AD213" s="53">
        <v>184.53</v>
      </c>
      <c r="AE213" s="53" t="str">
        <f>_xlfn.XLOOKUP(Master[[#This Row],[cu_id]],'[1]Customer Revenue'!$Q:$Q,'[1]Customer Revenue'!$K:$K, "None")</f>
        <v>None</v>
      </c>
      <c r="AF213" s="53" t="str">
        <f>_xlfn.XLOOKUP(Master[[#This Row],[cu_id]],'[1]Customer Revenue'!$Q:$Q,'[1]Customer Revenue'!$L:$L, "None")</f>
        <v>None</v>
      </c>
      <c r="AG213" s="53">
        <v>183.16</v>
      </c>
      <c r="AH213" s="53">
        <v>183.16</v>
      </c>
      <c r="AI213" s="53"/>
      <c r="AJ213" s="53">
        <v>184.53</v>
      </c>
      <c r="AK213" s="53" t="str">
        <f>_xlfn.XLOOKUP(Master[[#This Row],[cu_id]],'[1]Customer Revenue'!$Q:$Q,'[1]Customer Revenue'!$I:$I, "None")</f>
        <v>None</v>
      </c>
      <c r="AL213" s="53">
        <v>183.16</v>
      </c>
      <c r="AM213" s="61">
        <v>0.375</v>
      </c>
      <c r="AN213" s="60">
        <v>0</v>
      </c>
      <c r="AO213" s="60" t="s">
        <v>36</v>
      </c>
      <c r="AP213" s="60" t="s">
        <v>36</v>
      </c>
      <c r="AQ213" s="58" t="s">
        <v>305</v>
      </c>
      <c r="AR213" s="58"/>
      <c r="AS213" s="58"/>
      <c r="AT213" s="52">
        <v>0</v>
      </c>
      <c r="AU213" s="52" t="e">
        <f>IF(Master[[#This Row],[RSP StopTime override]] &lt;&gt; "",Master[[#This Row],[RSP StopTime override]],IF(Master[[#This Row],[Avg stop time helper]] &lt;&gt; 0, Master[[#This Row],[Avg stop time helper]],Average_Stop_Time))</f>
        <v>#DIV/0!</v>
      </c>
      <c r="AV213" s="21"/>
      <c r="AW213" s="20">
        <f>Master[[#This Row],[RSP StopTime override]]-Master[[#This Row],[Avg stop time helper]]</f>
        <v>0</v>
      </c>
    </row>
    <row r="214" spans="1:49" x14ac:dyDescent="0.3">
      <c r="A214" s="66" t="s">
        <v>4003</v>
      </c>
      <c r="B214" s="58">
        <v>12</v>
      </c>
      <c r="C214" s="58" t="s">
        <v>35</v>
      </c>
      <c r="D214" s="65">
        <v>99161</v>
      </c>
      <c r="E214" s="65" t="s">
        <v>3126</v>
      </c>
      <c r="F214" s="65" t="s">
        <v>3602</v>
      </c>
      <c r="G214" s="65" t="s">
        <v>3125</v>
      </c>
      <c r="H214" s="65" t="s">
        <v>7</v>
      </c>
      <c r="I214" s="65" t="s">
        <v>2966</v>
      </c>
      <c r="J214" s="65" t="s">
        <v>5</v>
      </c>
      <c r="K214" s="65" t="s">
        <v>1972</v>
      </c>
      <c r="L214" s="64" t="s">
        <v>67</v>
      </c>
      <c r="M214" s="58" t="s">
        <v>3</v>
      </c>
      <c r="N214" s="58" t="s">
        <v>2</v>
      </c>
      <c r="O214" s="58">
        <v>1</v>
      </c>
      <c r="P214" s="58">
        <v>0</v>
      </c>
      <c r="Q214" s="58">
        <v>1</v>
      </c>
      <c r="R214" s="58">
        <v>0</v>
      </c>
      <c r="S214" s="58">
        <v>0</v>
      </c>
      <c r="T214" s="58">
        <v>0</v>
      </c>
      <c r="U214" s="58">
        <v>3</v>
      </c>
      <c r="V214" s="62"/>
      <c r="W214" s="62"/>
      <c r="X214" s="63">
        <f>IFERROR(1 -(Master[[#This Row],[Avg Garment Scans per Delivery]]/Master[[#This Row],[Garment Inventory]]), 0)</f>
        <v>0</v>
      </c>
      <c r="Y214" s="62"/>
      <c r="Z214" s="62"/>
      <c r="AA214" s="53">
        <v>269.38</v>
      </c>
      <c r="AB214" s="53">
        <v>269.38</v>
      </c>
      <c r="AC214" s="53">
        <v>534.33000000000004</v>
      </c>
      <c r="AD214" s="53">
        <v>534.33000000000004</v>
      </c>
      <c r="AE214" s="53" t="str">
        <f>_xlfn.XLOOKUP(Master[[#This Row],[cu_id]],'[1]Customer Revenue'!$Q:$Q,'[1]Customer Revenue'!$K:$K, "None")</f>
        <v>None</v>
      </c>
      <c r="AF214" s="53" t="str">
        <f>_xlfn.XLOOKUP(Master[[#This Row],[cu_id]],'[1]Customer Revenue'!$Q:$Q,'[1]Customer Revenue'!$L:$L, "None")</f>
        <v>None</v>
      </c>
      <c r="AG214" s="53">
        <v>269.38</v>
      </c>
      <c r="AH214" s="53">
        <v>269.38</v>
      </c>
      <c r="AI214" s="53">
        <v>269.38</v>
      </c>
      <c r="AJ214" s="53">
        <v>534.33000000000004</v>
      </c>
      <c r="AK214" s="53" t="str">
        <f>_xlfn.XLOOKUP(Master[[#This Row],[cu_id]],'[1]Customer Revenue'!$Q:$Q,'[1]Customer Revenue'!$I:$I, "None")</f>
        <v>None</v>
      </c>
      <c r="AL214" s="53">
        <v>269.38</v>
      </c>
      <c r="AM214" s="61">
        <v>0.25</v>
      </c>
      <c r="AN214" s="60">
        <v>0.5</v>
      </c>
      <c r="AO214" s="60" t="s">
        <v>36</v>
      </c>
      <c r="AP214" s="60" t="s">
        <v>36</v>
      </c>
      <c r="AQ214" s="58" t="s">
        <v>305</v>
      </c>
      <c r="AR214" s="58"/>
      <c r="AS214" s="58"/>
      <c r="AT214" s="52">
        <v>0</v>
      </c>
      <c r="AU214" s="52" t="e">
        <f>IF(Master[[#This Row],[RSP StopTime override]] &lt;&gt; "",Master[[#This Row],[RSP StopTime override]],IF(Master[[#This Row],[Avg stop time helper]] &lt;&gt; 0, Master[[#This Row],[Avg stop time helper]],Average_Stop_Time))</f>
        <v>#DIV/0!</v>
      </c>
      <c r="AV214" s="21"/>
      <c r="AW214" s="20">
        <f>Master[[#This Row],[RSP StopTime override]]-Master[[#This Row],[Avg stop time helper]]</f>
        <v>0</v>
      </c>
    </row>
    <row r="215" spans="1:49" x14ac:dyDescent="0.3">
      <c r="A215" s="73" t="s">
        <v>4005</v>
      </c>
      <c r="B215" s="64">
        <v>12</v>
      </c>
      <c r="C215" s="64" t="s">
        <v>35</v>
      </c>
      <c r="D215" s="65">
        <v>99169</v>
      </c>
      <c r="E215" s="65" t="s">
        <v>1455</v>
      </c>
      <c r="F215" s="65" t="s">
        <v>1855</v>
      </c>
      <c r="G215" s="65" t="s">
        <v>3123</v>
      </c>
      <c r="H215" s="65" t="s">
        <v>7</v>
      </c>
      <c r="I215" s="65" t="s">
        <v>12</v>
      </c>
      <c r="J215" s="65" t="s">
        <v>5</v>
      </c>
      <c r="K215" s="65" t="s">
        <v>1972</v>
      </c>
      <c r="L215" s="64" t="s">
        <v>67</v>
      </c>
      <c r="M215" s="65" t="s">
        <v>3</v>
      </c>
      <c r="N215" s="65" t="s">
        <v>2</v>
      </c>
      <c r="O215" s="65">
        <v>1</v>
      </c>
      <c r="P215" s="65">
        <v>0</v>
      </c>
      <c r="Q215" s="65">
        <v>1</v>
      </c>
      <c r="R215" s="65">
        <v>0</v>
      </c>
      <c r="S215" s="65">
        <v>0</v>
      </c>
      <c r="T215" s="65">
        <v>0</v>
      </c>
      <c r="U215" s="65">
        <v>4</v>
      </c>
      <c r="V215" s="65">
        <v>140</v>
      </c>
      <c r="W215" s="65"/>
      <c r="X215" s="72">
        <f>IFERROR(1 -(Master[[#This Row],[Avg Garment Scans per Delivery]]/Master[[#This Row],[Garment Inventory]]), 0)</f>
        <v>1</v>
      </c>
      <c r="Y215" s="65"/>
      <c r="Z215" s="65"/>
      <c r="AA215" s="53">
        <v>126</v>
      </c>
      <c r="AB215" s="53">
        <v>126</v>
      </c>
      <c r="AC215" s="53">
        <v>126</v>
      </c>
      <c r="AD215" s="53">
        <v>126</v>
      </c>
      <c r="AE215" s="53" t="str">
        <f>_xlfn.XLOOKUP(Master[[#This Row],[cu_id]],'[1]Customer Revenue'!$Q:$Q,'[1]Customer Revenue'!$K:$K, "None")</f>
        <v>None</v>
      </c>
      <c r="AF215" s="53" t="str">
        <f>_xlfn.XLOOKUP(Master[[#This Row],[cu_id]],'[1]Customer Revenue'!$Q:$Q,'[1]Customer Revenue'!$L:$L, "None")</f>
        <v>None</v>
      </c>
      <c r="AG215" s="53">
        <v>126</v>
      </c>
      <c r="AH215" s="53">
        <v>126</v>
      </c>
      <c r="AI215" s="53">
        <v>126</v>
      </c>
      <c r="AJ215" s="53">
        <v>126</v>
      </c>
      <c r="AK215" s="53" t="str">
        <f>_xlfn.XLOOKUP(Master[[#This Row],[cu_id]],'[1]Customer Revenue'!$Q:$Q,'[1]Customer Revenue'!$I:$I, "None")</f>
        <v>None</v>
      </c>
      <c r="AL215" s="53">
        <v>126</v>
      </c>
      <c r="AM215" s="71" t="s">
        <v>1</v>
      </c>
      <c r="AN215" s="71" t="s">
        <v>1</v>
      </c>
      <c r="AO215" s="71" t="s">
        <v>36</v>
      </c>
      <c r="AP215" s="71" t="s">
        <v>36</v>
      </c>
      <c r="AQ215" s="64" t="s">
        <v>0</v>
      </c>
      <c r="AR215" s="64"/>
      <c r="AS215" s="65"/>
      <c r="AT215" s="52">
        <v>0</v>
      </c>
      <c r="AU215" s="52" t="e">
        <f>IF(Master[[#This Row],[RSP StopTime override]] &lt;&gt; "",Master[[#This Row],[RSP StopTime override]],IF(Master[[#This Row],[Avg stop time helper]] &lt;&gt; 0, Master[[#This Row],[Avg stop time helper]],Average_Stop_Time))</f>
        <v>#DIV/0!</v>
      </c>
      <c r="AV215" s="21"/>
      <c r="AW215" s="20">
        <f>Master[[#This Row],[RSP StopTime override]]-Master[[#This Row],[Avg stop time helper]]</f>
        <v>0</v>
      </c>
    </row>
    <row r="216" spans="1:49" x14ac:dyDescent="0.3">
      <c r="A216" s="66" t="s">
        <v>4326</v>
      </c>
      <c r="B216" s="58">
        <v>12</v>
      </c>
      <c r="C216" s="58" t="s">
        <v>35</v>
      </c>
      <c r="D216" s="65">
        <v>499014</v>
      </c>
      <c r="E216" s="65" t="s">
        <v>1467</v>
      </c>
      <c r="F216" s="65" t="s">
        <v>2170</v>
      </c>
      <c r="G216" s="65" t="s">
        <v>3122</v>
      </c>
      <c r="H216" s="65" t="s">
        <v>32</v>
      </c>
      <c r="I216" s="65" t="s">
        <v>50</v>
      </c>
      <c r="J216" s="65" t="s">
        <v>5</v>
      </c>
      <c r="K216" s="65" t="s">
        <v>1972</v>
      </c>
      <c r="L216" s="64" t="s">
        <v>194</v>
      </c>
      <c r="M216" s="58" t="s">
        <v>193</v>
      </c>
      <c r="N216" s="58" t="s">
        <v>2</v>
      </c>
      <c r="O216" s="58">
        <v>110</v>
      </c>
      <c r="P216" s="58">
        <v>0</v>
      </c>
      <c r="Q216" s="58">
        <v>110</v>
      </c>
      <c r="R216" s="58">
        <v>0</v>
      </c>
      <c r="S216" s="58">
        <v>0</v>
      </c>
      <c r="T216" s="58">
        <v>0</v>
      </c>
      <c r="U216" s="58">
        <v>13</v>
      </c>
      <c r="V216" s="62"/>
      <c r="W216" s="62"/>
      <c r="X216" s="63">
        <f>IFERROR(1 -(Master[[#This Row],[Avg Garment Scans per Delivery]]/Master[[#This Row],[Garment Inventory]]), 0)</f>
        <v>0</v>
      </c>
      <c r="Y216" s="62"/>
      <c r="Z216" s="62"/>
      <c r="AA216" s="53">
        <v>42.308750000000003</v>
      </c>
      <c r="AB216" s="53">
        <v>43.996250000000003</v>
      </c>
      <c r="AC216" s="53">
        <v>43.536666666666669</v>
      </c>
      <c r="AD216" s="53">
        <v>47.843333333333341</v>
      </c>
      <c r="AE216" s="53" t="str">
        <f>_xlfn.XLOOKUP(Master[[#This Row],[cu_id]],'[1]Customer Revenue'!$Q:$Q,'[1]Customer Revenue'!$K:$K, "None")</f>
        <v>None</v>
      </c>
      <c r="AF216" s="53" t="str">
        <f>_xlfn.XLOOKUP(Master[[#This Row],[cu_id]],'[1]Customer Revenue'!$Q:$Q,'[1]Customer Revenue'!$L:$L, "None")</f>
        <v>None</v>
      </c>
      <c r="AG216" s="53">
        <v>31.305306122449</v>
      </c>
      <c r="AH216" s="53">
        <v>87.271836734693892</v>
      </c>
      <c r="AI216" s="53">
        <v>43.152500000000003</v>
      </c>
      <c r="AJ216" s="53">
        <v>45.690000000000005</v>
      </c>
      <c r="AK216" s="53" t="str">
        <f>_xlfn.XLOOKUP(Master[[#This Row],[cu_id]],'[1]Customer Revenue'!$Q:$Q,'[1]Customer Revenue'!$I:$I, "None")</f>
        <v>None</v>
      </c>
      <c r="AL216" s="53">
        <v>59.288571428571444</v>
      </c>
      <c r="AM216" s="61">
        <v>0.375</v>
      </c>
      <c r="AN216" s="60">
        <v>0.70833333333333337</v>
      </c>
      <c r="AO216" s="60" t="s">
        <v>36</v>
      </c>
      <c r="AP216" s="60" t="s">
        <v>36</v>
      </c>
      <c r="AQ216" s="58" t="s">
        <v>0</v>
      </c>
      <c r="AR216" s="58"/>
      <c r="AS216" s="58"/>
      <c r="AT216" s="52">
        <v>0</v>
      </c>
      <c r="AU216" s="52" t="e">
        <f>IF(Master[[#This Row],[RSP StopTime override]] &lt;&gt; "",Master[[#This Row],[RSP StopTime override]],IF(Master[[#This Row],[Avg stop time helper]] &lt;&gt; 0, Master[[#This Row],[Avg stop time helper]],Average_Stop_Time))</f>
        <v>#DIV/0!</v>
      </c>
      <c r="AV216" s="21"/>
      <c r="AW216" s="20">
        <f>Master[[#This Row],[RSP StopTime override]]-Master[[#This Row],[Avg stop time helper]]</f>
        <v>0</v>
      </c>
    </row>
    <row r="217" spans="1:49" x14ac:dyDescent="0.3">
      <c r="A217" s="66" t="s">
        <v>4327</v>
      </c>
      <c r="B217" s="58">
        <v>12</v>
      </c>
      <c r="C217" s="58" t="s">
        <v>35</v>
      </c>
      <c r="D217" s="65">
        <v>499014</v>
      </c>
      <c r="E217" s="65" t="s">
        <v>1181</v>
      </c>
      <c r="F217" s="65" t="s">
        <v>1149</v>
      </c>
      <c r="G217" s="65" t="s">
        <v>3121</v>
      </c>
      <c r="H217" s="65" t="s">
        <v>32</v>
      </c>
      <c r="I217" s="65" t="s">
        <v>12</v>
      </c>
      <c r="J217" s="65" t="s">
        <v>5</v>
      </c>
      <c r="K217" s="65" t="s">
        <v>57</v>
      </c>
      <c r="L217" s="64" t="s">
        <v>141</v>
      </c>
      <c r="M217" s="58" t="s">
        <v>140</v>
      </c>
      <c r="N217" s="58" t="s">
        <v>2</v>
      </c>
      <c r="O217" s="58">
        <v>90</v>
      </c>
      <c r="P217" s="58">
        <v>0</v>
      </c>
      <c r="Q217" s="58">
        <v>90</v>
      </c>
      <c r="R217" s="58">
        <v>0</v>
      </c>
      <c r="S217" s="58">
        <v>0</v>
      </c>
      <c r="T217" s="58">
        <v>0</v>
      </c>
      <c r="U217" s="58">
        <v>33</v>
      </c>
      <c r="V217" s="62"/>
      <c r="W217" s="62">
        <v>3</v>
      </c>
      <c r="X217" s="63">
        <f>IFERROR(1 -(Master[[#This Row],[Avg Garment Scans per Delivery]]/Master[[#This Row],[Garment Inventory]]), 0)</f>
        <v>0</v>
      </c>
      <c r="Y217" s="62"/>
      <c r="Z217" s="62"/>
      <c r="AA217" s="53">
        <v>29.99</v>
      </c>
      <c r="AB217" s="53">
        <v>31.99</v>
      </c>
      <c r="AC217" s="53">
        <v>40.026666666666657</v>
      </c>
      <c r="AD217" s="53">
        <v>75.493333333333325</v>
      </c>
      <c r="AE217" s="53" t="str">
        <f>_xlfn.XLOOKUP(Master[[#This Row],[cu_id]],'[1]Customer Revenue'!$Q:$Q,'[1]Customer Revenue'!$K:$K, "None")</f>
        <v>None</v>
      </c>
      <c r="AF217" s="53" t="str">
        <f>_xlfn.XLOOKUP(Master[[#This Row],[cu_id]],'[1]Customer Revenue'!$Q:$Q,'[1]Customer Revenue'!$L:$L, "None")</f>
        <v>None</v>
      </c>
      <c r="AG217" s="53">
        <v>16.391111111111101</v>
      </c>
      <c r="AH217" s="53">
        <v>87.885555555555555</v>
      </c>
      <c r="AI217" s="53">
        <v>30.99</v>
      </c>
      <c r="AJ217" s="53">
        <v>57.759999999999991</v>
      </c>
      <c r="AK217" s="53" t="str">
        <f>_xlfn.XLOOKUP(Master[[#This Row],[cu_id]],'[1]Customer Revenue'!$Q:$Q,'[1]Customer Revenue'!$I:$I, "None")</f>
        <v>None</v>
      </c>
      <c r="AL217" s="53">
        <v>52.138333333333328</v>
      </c>
      <c r="AM217" s="61">
        <v>0.375</v>
      </c>
      <c r="AN217" s="60">
        <v>0.70833333333333337</v>
      </c>
      <c r="AO217" s="60" t="s">
        <v>36</v>
      </c>
      <c r="AP217" s="60" t="s">
        <v>36</v>
      </c>
      <c r="AQ217" s="58" t="s">
        <v>0</v>
      </c>
      <c r="AR217" s="58"/>
      <c r="AS217" s="58"/>
      <c r="AT217" s="52">
        <v>0</v>
      </c>
      <c r="AU217" s="52" t="e">
        <f>IF(Master[[#This Row],[RSP StopTime override]] &lt;&gt; "",Master[[#This Row],[RSP StopTime override]],IF(Master[[#This Row],[Avg stop time helper]] &lt;&gt; 0, Master[[#This Row],[Avg stop time helper]],Average_Stop_Time))</f>
        <v>#DIV/0!</v>
      </c>
      <c r="AV217" s="21"/>
      <c r="AW217" s="20">
        <f>Master[[#This Row],[RSP StopTime override]]-Master[[#This Row],[Avg stop time helper]]</f>
        <v>0</v>
      </c>
    </row>
    <row r="218" spans="1:49" x14ac:dyDescent="0.3">
      <c r="A218" s="66" t="s">
        <v>4328</v>
      </c>
      <c r="B218" s="58">
        <v>12</v>
      </c>
      <c r="C218" s="58" t="s">
        <v>35</v>
      </c>
      <c r="D218" s="65">
        <v>520421</v>
      </c>
      <c r="E218" s="65" t="s">
        <v>42</v>
      </c>
      <c r="F218" s="65" t="s">
        <v>3120</v>
      </c>
      <c r="G218" s="65" t="s">
        <v>3119</v>
      </c>
      <c r="H218" s="65" t="s">
        <v>32</v>
      </c>
      <c r="I218" s="65" t="s">
        <v>50</v>
      </c>
      <c r="J218" s="65" t="s">
        <v>5</v>
      </c>
      <c r="K218" s="65" t="s">
        <v>1972</v>
      </c>
      <c r="L218" s="64" t="s">
        <v>141</v>
      </c>
      <c r="M218" s="58" t="s">
        <v>140</v>
      </c>
      <c r="N218" s="58" t="s">
        <v>2</v>
      </c>
      <c r="O218" s="58">
        <v>55</v>
      </c>
      <c r="P218" s="58">
        <v>0</v>
      </c>
      <c r="Q218" s="58">
        <v>55</v>
      </c>
      <c r="R218" s="58">
        <v>0</v>
      </c>
      <c r="S218" s="58">
        <v>0</v>
      </c>
      <c r="T218" s="58">
        <v>0</v>
      </c>
      <c r="U218" s="58">
        <v>14</v>
      </c>
      <c r="V218" s="62"/>
      <c r="W218" s="62"/>
      <c r="X218" s="63">
        <f>IFERROR(1 -(Master[[#This Row],[Avg Garment Scans per Delivery]]/Master[[#This Row],[Garment Inventory]]), 0)</f>
        <v>0</v>
      </c>
      <c r="Y218" s="62"/>
      <c r="Z218" s="62"/>
      <c r="AA218" s="53">
        <v>108.92555555555555</v>
      </c>
      <c r="AB218" s="53">
        <v>173.80111111111114</v>
      </c>
      <c r="AC218" s="53">
        <v>107.54666666666665</v>
      </c>
      <c r="AD218" s="53">
        <v>192.45333333333335</v>
      </c>
      <c r="AE218" s="53" t="str">
        <f>_xlfn.XLOOKUP(Master[[#This Row],[cu_id]],'[1]Customer Revenue'!$Q:$Q,'[1]Customer Revenue'!$K:$K, "None")</f>
        <v>None</v>
      </c>
      <c r="AF218" s="53" t="str">
        <f>_xlfn.XLOOKUP(Master[[#This Row],[cu_id]],'[1]Customer Revenue'!$Q:$Q,'[1]Customer Revenue'!$L:$L, "None")</f>
        <v>None</v>
      </c>
      <c r="AG218" s="53">
        <v>98.715714285714284</v>
      </c>
      <c r="AH218" s="53">
        <v>216.34428571428572</v>
      </c>
      <c r="AI218" s="53">
        <v>141.36333333333334</v>
      </c>
      <c r="AJ218" s="53">
        <v>150</v>
      </c>
      <c r="AK218" s="53" t="str">
        <f>_xlfn.XLOOKUP(Master[[#This Row],[cu_id]],'[1]Customer Revenue'!$Q:$Q,'[1]Customer Revenue'!$I:$I, "None")</f>
        <v>None</v>
      </c>
      <c r="AL218" s="53">
        <v>157.53</v>
      </c>
      <c r="AM218" s="61">
        <v>0.375</v>
      </c>
      <c r="AN218" s="60">
        <v>0.70833333333333337</v>
      </c>
      <c r="AO218" s="60" t="s">
        <v>36</v>
      </c>
      <c r="AP218" s="60" t="s">
        <v>36</v>
      </c>
      <c r="AQ218" s="58" t="s">
        <v>0</v>
      </c>
      <c r="AR218" s="58"/>
      <c r="AS218" s="58"/>
      <c r="AT218" s="52">
        <v>0</v>
      </c>
      <c r="AU218" s="52" t="e">
        <f>IF(Master[[#This Row],[RSP StopTime override]] &lt;&gt; "",Master[[#This Row],[RSP StopTime override]],IF(Master[[#This Row],[Avg stop time helper]] &lt;&gt; 0, Master[[#This Row],[Avg stop time helper]],Average_Stop_Time))</f>
        <v>#DIV/0!</v>
      </c>
      <c r="AV218" s="21"/>
      <c r="AW218" s="20">
        <f>Master[[#This Row],[RSP StopTime override]]-Master[[#This Row],[Avg stop time helper]]</f>
        <v>0</v>
      </c>
    </row>
    <row r="219" spans="1:49" x14ac:dyDescent="0.3">
      <c r="A219" s="66" t="s">
        <v>4329</v>
      </c>
      <c r="B219" s="58">
        <v>12</v>
      </c>
      <c r="C219" s="58" t="s">
        <v>35</v>
      </c>
      <c r="D219" s="65">
        <v>524327</v>
      </c>
      <c r="E219" s="65" t="s">
        <v>1416</v>
      </c>
      <c r="F219" s="65" t="s">
        <v>3603</v>
      </c>
      <c r="G219" s="65" t="s">
        <v>3118</v>
      </c>
      <c r="H219" s="65" t="s">
        <v>32</v>
      </c>
      <c r="I219" s="65" t="s">
        <v>50</v>
      </c>
      <c r="J219" s="65" t="s">
        <v>5</v>
      </c>
      <c r="K219" s="65" t="s">
        <v>57</v>
      </c>
      <c r="L219" s="64" t="s">
        <v>67</v>
      </c>
      <c r="M219" s="58" t="s">
        <v>3</v>
      </c>
      <c r="N219" s="58" t="s">
        <v>2</v>
      </c>
      <c r="O219" s="58">
        <v>40</v>
      </c>
      <c r="P219" s="58">
        <v>0</v>
      </c>
      <c r="Q219" s="58">
        <v>40</v>
      </c>
      <c r="R219" s="58">
        <v>0</v>
      </c>
      <c r="S219" s="58">
        <v>0</v>
      </c>
      <c r="T219" s="58">
        <v>0</v>
      </c>
      <c r="U219" s="58">
        <v>52</v>
      </c>
      <c r="V219" s="62"/>
      <c r="W219" s="62"/>
      <c r="X219" s="63">
        <f>IFERROR(1 -(Master[[#This Row],[Avg Garment Scans per Delivery]]/Master[[#This Row],[Garment Inventory]]), 0)</f>
        <v>0</v>
      </c>
      <c r="Y219" s="62"/>
      <c r="Z219" s="62"/>
      <c r="AA219" s="53">
        <v>100.28041420118342</v>
      </c>
      <c r="AB219" s="53">
        <v>101.87804733727808</v>
      </c>
      <c r="AC219" s="53">
        <v>102.42775147928992</v>
      </c>
      <c r="AD219" s="53">
        <v>105.17994082840232</v>
      </c>
      <c r="AE219" s="53" t="str">
        <f>_xlfn.XLOOKUP(Master[[#This Row],[cu_id]],'[1]Customer Revenue'!$Q:$Q,'[1]Customer Revenue'!$K:$K, "None")</f>
        <v>None</v>
      </c>
      <c r="AF219" s="53" t="str">
        <f>_xlfn.XLOOKUP(Master[[#This Row],[cu_id]],'[1]Customer Revenue'!$Q:$Q,'[1]Customer Revenue'!$L:$L, "None")</f>
        <v>None</v>
      </c>
      <c r="AG219" s="53">
        <v>100.36029585798816</v>
      </c>
      <c r="AH219" s="53">
        <v>101.27893491124253</v>
      </c>
      <c r="AI219" s="53">
        <v>101.07923076923075</v>
      </c>
      <c r="AJ219" s="53">
        <v>103.80384615384612</v>
      </c>
      <c r="AK219" s="53" t="str">
        <f>_xlfn.XLOOKUP(Master[[#This Row],[cu_id]],'[1]Customer Revenue'!$Q:$Q,'[1]Customer Revenue'!$I:$I, "None")</f>
        <v>None</v>
      </c>
      <c r="AL219" s="53">
        <v>100.81961538461535</v>
      </c>
      <c r="AM219" s="61">
        <v>0.375</v>
      </c>
      <c r="AN219" s="60">
        <v>0.70833333333333337</v>
      </c>
      <c r="AO219" s="60" t="s">
        <v>36</v>
      </c>
      <c r="AP219" s="60" t="s">
        <v>36</v>
      </c>
      <c r="AQ219" s="58" t="s">
        <v>0</v>
      </c>
      <c r="AR219" s="58"/>
      <c r="AS219" s="58"/>
      <c r="AT219" s="52">
        <v>0</v>
      </c>
      <c r="AU219" s="52" t="e">
        <f>IF(Master[[#This Row],[RSP StopTime override]] &lt;&gt; "",Master[[#This Row],[RSP StopTime override]],IF(Master[[#This Row],[Avg stop time helper]] &lt;&gt; 0, Master[[#This Row],[Avg stop time helper]],Average_Stop_Time))</f>
        <v>#DIV/0!</v>
      </c>
      <c r="AV219" s="21"/>
      <c r="AW219" s="20">
        <f>Master[[#This Row],[RSP StopTime override]]-Master[[#This Row],[Avg stop time helper]]</f>
        <v>0</v>
      </c>
    </row>
    <row r="220" spans="1:49" x14ac:dyDescent="0.3">
      <c r="A220" s="66" t="s">
        <v>4330</v>
      </c>
      <c r="B220" s="58">
        <v>12</v>
      </c>
      <c r="C220" s="58" t="s">
        <v>35</v>
      </c>
      <c r="D220" s="65">
        <v>526653</v>
      </c>
      <c r="E220" s="65" t="s">
        <v>1996</v>
      </c>
      <c r="F220" s="65" t="s">
        <v>3117</v>
      </c>
      <c r="G220" s="65" t="s">
        <v>3116</v>
      </c>
      <c r="H220" s="65" t="s">
        <v>32</v>
      </c>
      <c r="I220" s="65" t="s">
        <v>12</v>
      </c>
      <c r="J220" s="65" t="s">
        <v>5</v>
      </c>
      <c r="K220" s="65" t="s">
        <v>57</v>
      </c>
      <c r="L220" s="64">
        <v>6</v>
      </c>
      <c r="M220" s="58" t="s">
        <v>90</v>
      </c>
      <c r="N220" s="58" t="s">
        <v>2</v>
      </c>
      <c r="O220" s="58">
        <v>20</v>
      </c>
      <c r="P220" s="58">
        <v>0</v>
      </c>
      <c r="Q220" s="58">
        <v>20</v>
      </c>
      <c r="R220" s="58">
        <v>0</v>
      </c>
      <c r="S220" s="58">
        <v>0</v>
      </c>
      <c r="T220" s="58">
        <v>0</v>
      </c>
      <c r="U220" s="58">
        <v>20</v>
      </c>
      <c r="V220" s="62"/>
      <c r="W220" s="62"/>
      <c r="X220" s="63">
        <f>IFERROR(1 -(Master[[#This Row],[Avg Garment Scans per Delivery]]/Master[[#This Row],[Garment Inventory]]), 0)</f>
        <v>0</v>
      </c>
      <c r="Y220" s="62"/>
      <c r="Z220" s="62"/>
      <c r="AA220" s="53">
        <v>22.87265306122449</v>
      </c>
      <c r="AB220" s="53">
        <v>23.721632653061221</v>
      </c>
      <c r="AC220" s="53">
        <v>13.355555555555554</v>
      </c>
      <c r="AD220" s="53">
        <v>34.724444444444444</v>
      </c>
      <c r="AE220" s="53" t="str">
        <f>_xlfn.XLOOKUP(Master[[#This Row],[cu_id]],'[1]Customer Revenue'!$Q:$Q,'[1]Customer Revenue'!$K:$K, "None")</f>
        <v>None</v>
      </c>
      <c r="AF220" s="53" t="str">
        <f>_xlfn.XLOOKUP(Master[[#This Row],[cu_id]],'[1]Customer Revenue'!$Q:$Q,'[1]Customer Revenue'!$L:$L, "None")</f>
        <v>None</v>
      </c>
      <c r="AG220" s="53">
        <v>19.882445759368835</v>
      </c>
      <c r="AH220" s="53">
        <v>26.464220907297829</v>
      </c>
      <c r="AI220" s="53">
        <v>23.297142857142855</v>
      </c>
      <c r="AJ220" s="53">
        <v>24.04</v>
      </c>
      <c r="AK220" s="53" t="str">
        <f>_xlfn.XLOOKUP(Master[[#This Row],[cu_id]],'[1]Customer Revenue'!$Q:$Q,'[1]Customer Revenue'!$I:$I, "None")</f>
        <v>None</v>
      </c>
      <c r="AL220" s="53">
        <v>23.173333333333332</v>
      </c>
      <c r="AM220" s="61">
        <v>0.29166666666666669</v>
      </c>
      <c r="AN220" s="60">
        <v>0.58333333333333337</v>
      </c>
      <c r="AO220" s="60" t="s">
        <v>36</v>
      </c>
      <c r="AP220" s="60" t="s">
        <v>36</v>
      </c>
      <c r="AQ220" s="58" t="s">
        <v>0</v>
      </c>
      <c r="AR220" s="58"/>
      <c r="AS220" s="58"/>
      <c r="AT220" s="52">
        <v>0</v>
      </c>
      <c r="AU220" s="52" t="e">
        <f>IF(Master[[#This Row],[RSP StopTime override]] &lt;&gt; "",Master[[#This Row],[RSP StopTime override]],IF(Master[[#This Row],[Avg stop time helper]] &lt;&gt; 0, Master[[#This Row],[Avg stop time helper]],Average_Stop_Time))</f>
        <v>#DIV/0!</v>
      </c>
      <c r="AV220" s="21"/>
      <c r="AW220" s="20">
        <f>Master[[#This Row],[RSP StopTime override]]-Master[[#This Row],[Avg stop time helper]]</f>
        <v>0</v>
      </c>
    </row>
    <row r="221" spans="1:49" x14ac:dyDescent="0.3">
      <c r="A221" s="66" t="s">
        <v>4331</v>
      </c>
      <c r="B221" s="58">
        <v>12</v>
      </c>
      <c r="C221" s="58" t="s">
        <v>35</v>
      </c>
      <c r="D221" s="65">
        <v>528135</v>
      </c>
      <c r="E221" s="65" t="s">
        <v>686</v>
      </c>
      <c r="F221" s="65" t="s">
        <v>3115</v>
      </c>
      <c r="G221" s="65" t="s">
        <v>3114</v>
      </c>
      <c r="H221" s="65" t="s">
        <v>32</v>
      </c>
      <c r="I221" s="65" t="s">
        <v>12</v>
      </c>
      <c r="J221" s="65" t="s">
        <v>5</v>
      </c>
      <c r="K221" s="65" t="s">
        <v>197</v>
      </c>
      <c r="L221" s="64" t="s">
        <v>194</v>
      </c>
      <c r="M221" s="58" t="s">
        <v>193</v>
      </c>
      <c r="N221" s="58" t="s">
        <v>2</v>
      </c>
      <c r="O221" s="58">
        <v>30</v>
      </c>
      <c r="P221" s="58">
        <v>0</v>
      </c>
      <c r="Q221" s="58">
        <v>30</v>
      </c>
      <c r="R221" s="58">
        <v>0</v>
      </c>
      <c r="S221" s="58">
        <v>0</v>
      </c>
      <c r="T221" s="58">
        <v>0</v>
      </c>
      <c r="U221" s="58">
        <v>13</v>
      </c>
      <c r="V221" s="62"/>
      <c r="W221" s="62"/>
      <c r="X221" s="63">
        <f>IFERROR(1 -(Master[[#This Row],[Avg Garment Scans per Delivery]]/Master[[#This Row],[Garment Inventory]]), 0)</f>
        <v>0</v>
      </c>
      <c r="Y221" s="62"/>
      <c r="Z221" s="62"/>
      <c r="AA221" s="53">
        <v>30.588750000000001</v>
      </c>
      <c r="AB221" s="53">
        <v>32.276249999999997</v>
      </c>
      <c r="AC221" s="53">
        <v>32.808888888888887</v>
      </c>
      <c r="AD221" s="53">
        <v>35.297777777777782</v>
      </c>
      <c r="AE221" s="53" t="str">
        <f>_xlfn.XLOOKUP(Master[[#This Row],[cu_id]],'[1]Customer Revenue'!$Q:$Q,'[1]Customer Revenue'!$K:$K, "None")</f>
        <v>None</v>
      </c>
      <c r="AF221" s="53" t="str">
        <f>_xlfn.XLOOKUP(Master[[#This Row],[cu_id]],'[1]Customer Revenue'!$Q:$Q,'[1]Customer Revenue'!$L:$L, "None")</f>
        <v>None</v>
      </c>
      <c r="AG221" s="53">
        <v>30.423673469387758</v>
      </c>
      <c r="AH221" s="53">
        <v>31.622040816326532</v>
      </c>
      <c r="AI221" s="53">
        <v>31.432499999999997</v>
      </c>
      <c r="AJ221" s="53">
        <v>34.053333333333335</v>
      </c>
      <c r="AK221" s="53" t="str">
        <f>_xlfn.XLOOKUP(Master[[#This Row],[cu_id]],'[1]Customer Revenue'!$Q:$Q,'[1]Customer Revenue'!$I:$I, "None")</f>
        <v>None</v>
      </c>
      <c r="AL221" s="53">
        <v>31.022857142857145</v>
      </c>
      <c r="AM221" s="61">
        <v>0.375</v>
      </c>
      <c r="AN221" s="60">
        <v>0.70833333333333337</v>
      </c>
      <c r="AO221" s="60" t="s">
        <v>36</v>
      </c>
      <c r="AP221" s="60" t="s">
        <v>36</v>
      </c>
      <c r="AQ221" s="58" t="s">
        <v>0</v>
      </c>
      <c r="AR221" s="58"/>
      <c r="AS221" s="58"/>
      <c r="AT221" s="52">
        <v>0</v>
      </c>
      <c r="AU221" s="52" t="e">
        <f>IF(Master[[#This Row],[RSP StopTime override]] &lt;&gt; "",Master[[#This Row],[RSP StopTime override]],IF(Master[[#This Row],[Avg stop time helper]] &lt;&gt; 0, Master[[#This Row],[Avg stop time helper]],Average_Stop_Time))</f>
        <v>#DIV/0!</v>
      </c>
      <c r="AV221" s="21"/>
      <c r="AW221" s="20">
        <f>Master[[#This Row],[RSP StopTime override]]-Master[[#This Row],[Avg stop time helper]]</f>
        <v>0</v>
      </c>
    </row>
    <row r="222" spans="1:49" x14ac:dyDescent="0.3">
      <c r="A222" s="66" t="s">
        <v>4332</v>
      </c>
      <c r="B222" s="58">
        <v>12</v>
      </c>
      <c r="C222" s="58" t="s">
        <v>35</v>
      </c>
      <c r="D222" s="65">
        <v>529086</v>
      </c>
      <c r="E222" s="65" t="s">
        <v>42</v>
      </c>
      <c r="F222" s="65" t="s">
        <v>3113</v>
      </c>
      <c r="G222" s="65" t="s">
        <v>3112</v>
      </c>
      <c r="H222" s="65" t="s">
        <v>32</v>
      </c>
      <c r="I222" s="65" t="s">
        <v>50</v>
      </c>
      <c r="J222" s="65" t="s">
        <v>5</v>
      </c>
      <c r="K222" s="65" t="s">
        <v>2215</v>
      </c>
      <c r="L222" s="64" t="s">
        <v>77</v>
      </c>
      <c r="M222" s="58" t="s">
        <v>29</v>
      </c>
      <c r="N222" s="58" t="s">
        <v>2</v>
      </c>
      <c r="O222" s="58">
        <v>70</v>
      </c>
      <c r="P222" s="58">
        <v>0</v>
      </c>
      <c r="Q222" s="58">
        <v>70</v>
      </c>
      <c r="R222" s="58">
        <v>0</v>
      </c>
      <c r="S222" s="58">
        <v>0</v>
      </c>
      <c r="T222" s="58">
        <v>0</v>
      </c>
      <c r="U222" s="58">
        <v>26</v>
      </c>
      <c r="V222" s="62"/>
      <c r="W222" s="62"/>
      <c r="X222" s="63">
        <f>IFERROR(1 -(Master[[#This Row],[Avg Garment Scans per Delivery]]/Master[[#This Row],[Garment Inventory]]), 0)</f>
        <v>0</v>
      </c>
      <c r="Y222" s="62"/>
      <c r="Z222" s="62"/>
      <c r="AA222" s="53">
        <v>62.110000000000007</v>
      </c>
      <c r="AB222" s="53">
        <v>101.31666666666666</v>
      </c>
      <c r="AC222" s="53">
        <v>63.250816326530611</v>
      </c>
      <c r="AD222" s="53">
        <v>99.392040816326528</v>
      </c>
      <c r="AE222" s="53" t="str">
        <f>_xlfn.XLOOKUP(Master[[#This Row],[cu_id]],'[1]Customer Revenue'!$Q:$Q,'[1]Customer Revenue'!$K:$K, "None")</f>
        <v>None</v>
      </c>
      <c r="AF222" s="53" t="str">
        <f>_xlfn.XLOOKUP(Master[[#This Row],[cu_id]],'[1]Customer Revenue'!$Q:$Q,'[1]Customer Revenue'!$L:$L, "None")</f>
        <v>None</v>
      </c>
      <c r="AG222" s="53">
        <v>54.367080062794358</v>
      </c>
      <c r="AH222" s="53">
        <v>107.34830455259028</v>
      </c>
      <c r="AI222" s="53">
        <v>81.713333333333338</v>
      </c>
      <c r="AJ222" s="53">
        <v>81.321428571428569</v>
      </c>
      <c r="AK222" s="53" t="str">
        <f>_xlfn.XLOOKUP(Master[[#This Row],[cu_id]],'[1]Customer Revenue'!$Q:$Q,'[1]Customer Revenue'!$I:$I, "None")</f>
        <v>None</v>
      </c>
      <c r="AL222" s="53">
        <v>80.857692307692318</v>
      </c>
      <c r="AM222" s="61">
        <v>0.4375</v>
      </c>
      <c r="AN222" s="60">
        <v>0.58333333333333337</v>
      </c>
      <c r="AO222" s="60" t="s">
        <v>36</v>
      </c>
      <c r="AP222" s="60" t="s">
        <v>36</v>
      </c>
      <c r="AQ222" s="58" t="s">
        <v>174</v>
      </c>
      <c r="AR222" s="58"/>
      <c r="AS222" s="58"/>
      <c r="AT222" s="52">
        <v>0</v>
      </c>
      <c r="AU222" s="52" t="e">
        <f>IF(Master[[#This Row],[RSP StopTime override]] &lt;&gt; "",Master[[#This Row],[RSP StopTime override]],IF(Master[[#This Row],[Avg stop time helper]] &lt;&gt; 0, Master[[#This Row],[Avg stop time helper]],Average_Stop_Time))</f>
        <v>#DIV/0!</v>
      </c>
      <c r="AV222" s="21"/>
      <c r="AW222" s="20">
        <f>Master[[#This Row],[RSP StopTime override]]-Master[[#This Row],[Avg stop time helper]]</f>
        <v>0</v>
      </c>
    </row>
    <row r="223" spans="1:49" x14ac:dyDescent="0.3">
      <c r="A223" s="66" t="s">
        <v>4333</v>
      </c>
      <c r="B223" s="58">
        <v>12</v>
      </c>
      <c r="C223" s="58" t="s">
        <v>35</v>
      </c>
      <c r="D223" s="65">
        <v>529736</v>
      </c>
      <c r="E223" s="65" t="s">
        <v>42</v>
      </c>
      <c r="F223" s="65" t="s">
        <v>3111</v>
      </c>
      <c r="G223" s="65" t="s">
        <v>3110</v>
      </c>
      <c r="H223" s="65" t="s">
        <v>7</v>
      </c>
      <c r="I223" s="65" t="s">
        <v>2966</v>
      </c>
      <c r="J223" s="65" t="s">
        <v>5</v>
      </c>
      <c r="K223" s="65" t="s">
        <v>1972</v>
      </c>
      <c r="L223" s="64" t="s">
        <v>67</v>
      </c>
      <c r="M223" s="58" t="s">
        <v>3</v>
      </c>
      <c r="N223" s="58" t="s">
        <v>2</v>
      </c>
      <c r="O223" s="58">
        <v>95</v>
      </c>
      <c r="P223" s="58">
        <v>0</v>
      </c>
      <c r="Q223" s="58">
        <v>95</v>
      </c>
      <c r="R223" s="58">
        <v>0</v>
      </c>
      <c r="S223" s="58">
        <v>0</v>
      </c>
      <c r="T223" s="58">
        <v>0</v>
      </c>
      <c r="U223" s="58">
        <v>31</v>
      </c>
      <c r="V223" s="62"/>
      <c r="W223" s="62"/>
      <c r="X223" s="63">
        <f>IFERROR(1 -(Master[[#This Row],[Avg Garment Scans per Delivery]]/Master[[#This Row],[Garment Inventory]]), 0)</f>
        <v>0</v>
      </c>
      <c r="Y223" s="62"/>
      <c r="Z223" s="62"/>
      <c r="AA223" s="53">
        <v>71.428994082840234</v>
      </c>
      <c r="AB223" s="53">
        <v>73.020236686390518</v>
      </c>
      <c r="AC223" s="53">
        <v>76.092603550295863</v>
      </c>
      <c r="AD223" s="53">
        <v>83.108934911242599</v>
      </c>
      <c r="AE223" s="53" t="str">
        <f>_xlfn.XLOOKUP(Master[[#This Row],[cu_id]],'[1]Customer Revenue'!$Q:$Q,'[1]Customer Revenue'!$K:$K, "None")</f>
        <v>None</v>
      </c>
      <c r="AF223" s="53" t="str">
        <f>_xlfn.XLOOKUP(Master[[#This Row],[cu_id]],'[1]Customer Revenue'!$Q:$Q,'[1]Customer Revenue'!$L:$L, "None")</f>
        <v>None</v>
      </c>
      <c r="AG223" s="53">
        <v>44.396215976331391</v>
      </c>
      <c r="AH223" s="53">
        <v>93.272784023668649</v>
      </c>
      <c r="AI223" s="53">
        <v>72.224615384615376</v>
      </c>
      <c r="AJ223" s="53">
        <v>79.600769230769231</v>
      </c>
      <c r="AK223" s="53" t="str">
        <f>_xlfn.XLOOKUP(Master[[#This Row],[cu_id]],'[1]Customer Revenue'!$Q:$Q,'[1]Customer Revenue'!$I:$I, "None")</f>
        <v>None</v>
      </c>
      <c r="AL223" s="53">
        <v>68.83450000000002</v>
      </c>
      <c r="AM223" s="61">
        <v>0.33333333333333331</v>
      </c>
      <c r="AN223" s="60">
        <v>0</v>
      </c>
      <c r="AO223" s="60" t="s">
        <v>36</v>
      </c>
      <c r="AP223" s="60" t="s">
        <v>36</v>
      </c>
      <c r="AQ223" s="58" t="s">
        <v>0</v>
      </c>
      <c r="AR223" s="58"/>
      <c r="AS223" s="58"/>
      <c r="AT223" s="52">
        <v>0</v>
      </c>
      <c r="AU223" s="52" t="e">
        <f>IF(Master[[#This Row],[RSP StopTime override]] &lt;&gt; "",Master[[#This Row],[RSP StopTime override]],IF(Master[[#This Row],[Avg stop time helper]] &lt;&gt; 0, Master[[#This Row],[Avg stop time helper]],Average_Stop_Time))</f>
        <v>#DIV/0!</v>
      </c>
      <c r="AV223" s="21"/>
      <c r="AW223" s="20">
        <f>Master[[#This Row],[RSP StopTime override]]-Master[[#This Row],[Avg stop time helper]]</f>
        <v>0</v>
      </c>
    </row>
    <row r="224" spans="1:49" x14ac:dyDescent="0.3">
      <c r="A224" s="66" t="s">
        <v>4334</v>
      </c>
      <c r="B224" s="58">
        <v>12</v>
      </c>
      <c r="C224" s="58" t="s">
        <v>35</v>
      </c>
      <c r="D224" s="65">
        <v>531450</v>
      </c>
      <c r="E224" s="65" t="s">
        <v>42</v>
      </c>
      <c r="F224" s="65" t="s">
        <v>3109</v>
      </c>
      <c r="G224" s="65" t="s">
        <v>3108</v>
      </c>
      <c r="H224" s="65" t="s">
        <v>7</v>
      </c>
      <c r="I224" s="65" t="s">
        <v>12</v>
      </c>
      <c r="J224" s="65" t="s">
        <v>5</v>
      </c>
      <c r="K224" s="65" t="s">
        <v>1972</v>
      </c>
      <c r="L224" s="64" t="s">
        <v>67</v>
      </c>
      <c r="M224" s="58" t="s">
        <v>3</v>
      </c>
      <c r="N224" s="58" t="s">
        <v>2</v>
      </c>
      <c r="O224" s="58">
        <v>180</v>
      </c>
      <c r="P224" s="58">
        <v>0</v>
      </c>
      <c r="Q224" s="58">
        <v>180</v>
      </c>
      <c r="R224" s="58">
        <v>0</v>
      </c>
      <c r="S224" s="58">
        <v>0</v>
      </c>
      <c r="T224" s="58">
        <v>0</v>
      </c>
      <c r="U224" s="58">
        <v>52</v>
      </c>
      <c r="V224" s="62"/>
      <c r="W224" s="62"/>
      <c r="X224" s="63">
        <f>IFERROR(1 -(Master[[#This Row],[Avg Garment Scans per Delivery]]/Master[[#This Row],[Garment Inventory]]), 0)</f>
        <v>0</v>
      </c>
      <c r="Y224" s="62"/>
      <c r="Z224" s="62"/>
      <c r="AA224" s="53">
        <v>63.623313609467459</v>
      </c>
      <c r="AB224" s="53">
        <v>75.139763313609507</v>
      </c>
      <c r="AC224" s="53">
        <v>61.071597633136086</v>
      </c>
      <c r="AD224" s="53">
        <v>95.463786982248479</v>
      </c>
      <c r="AE224" s="53" t="str">
        <f>_xlfn.XLOOKUP(Master[[#This Row],[cu_id]],'[1]Customer Revenue'!$Q:$Q,'[1]Customer Revenue'!$K:$K, "None")</f>
        <v>None</v>
      </c>
      <c r="AF224" s="53" t="str">
        <f>_xlfn.XLOOKUP(Master[[#This Row],[cu_id]],'[1]Customer Revenue'!$Q:$Q,'[1]Customer Revenue'!$L:$L, "None")</f>
        <v>None</v>
      </c>
      <c r="AG224" s="53">
        <v>59.777396449704149</v>
      </c>
      <c r="AH224" s="53">
        <v>87.365680473372805</v>
      </c>
      <c r="AI224" s="53">
        <v>69.381538461538483</v>
      </c>
      <c r="AJ224" s="53">
        <v>78.267692307692286</v>
      </c>
      <c r="AK224" s="53" t="str">
        <f>_xlfn.XLOOKUP(Master[[#This Row],[cu_id]],'[1]Customer Revenue'!$Q:$Q,'[1]Customer Revenue'!$I:$I, "None")</f>
        <v>None</v>
      </c>
      <c r="AL224" s="53">
        <v>73.571538461538481</v>
      </c>
      <c r="AM224" s="61">
        <v>2.0833333333333332E-2</v>
      </c>
      <c r="AN224" s="60">
        <v>0.70833333333333337</v>
      </c>
      <c r="AO224" s="60" t="s">
        <v>36</v>
      </c>
      <c r="AP224" s="60" t="s">
        <v>36</v>
      </c>
      <c r="AQ224" s="58" t="s">
        <v>0</v>
      </c>
      <c r="AR224" s="58"/>
      <c r="AS224" s="58"/>
      <c r="AT224" s="52">
        <v>0</v>
      </c>
      <c r="AU224" s="52" t="e">
        <f>IF(Master[[#This Row],[RSP StopTime override]] &lt;&gt; "",Master[[#This Row],[RSP StopTime override]],IF(Master[[#This Row],[Avg stop time helper]] &lt;&gt; 0, Master[[#This Row],[Avg stop time helper]],Average_Stop_Time))</f>
        <v>#DIV/0!</v>
      </c>
      <c r="AV224" s="21"/>
      <c r="AW224" s="20">
        <f>Master[[#This Row],[RSP StopTime override]]-Master[[#This Row],[Avg stop time helper]]</f>
        <v>0</v>
      </c>
    </row>
    <row r="225" spans="1:49" x14ac:dyDescent="0.3">
      <c r="A225" s="66" t="s">
        <v>4335</v>
      </c>
      <c r="B225" s="58">
        <v>12</v>
      </c>
      <c r="C225" s="58" t="s">
        <v>35</v>
      </c>
      <c r="D225" s="65">
        <v>532360</v>
      </c>
      <c r="E225" s="65" t="s">
        <v>42</v>
      </c>
      <c r="F225" s="65" t="s">
        <v>3107</v>
      </c>
      <c r="G225" s="65" t="s">
        <v>3106</v>
      </c>
      <c r="H225" s="65" t="s">
        <v>7</v>
      </c>
      <c r="I225" s="65" t="s">
        <v>12</v>
      </c>
      <c r="J225" s="65" t="s">
        <v>5</v>
      </c>
      <c r="K225" s="65" t="s">
        <v>3105</v>
      </c>
      <c r="L225" s="64" t="s">
        <v>91</v>
      </c>
      <c r="M225" s="58" t="s">
        <v>90</v>
      </c>
      <c r="N225" s="58" t="s">
        <v>2</v>
      </c>
      <c r="O225" s="58">
        <v>90</v>
      </c>
      <c r="P225" s="58">
        <v>0</v>
      </c>
      <c r="Q225" s="58">
        <v>90</v>
      </c>
      <c r="R225" s="58">
        <v>0</v>
      </c>
      <c r="S225" s="58">
        <v>0</v>
      </c>
      <c r="T225" s="58">
        <v>0</v>
      </c>
      <c r="U225" s="58">
        <v>17</v>
      </c>
      <c r="V225" s="62"/>
      <c r="W225" s="62"/>
      <c r="X225" s="63">
        <f>IFERROR(1 -(Master[[#This Row],[Avg Garment Scans per Delivery]]/Master[[#This Row],[Garment Inventory]]), 0)</f>
        <v>0</v>
      </c>
      <c r="Y225" s="62"/>
      <c r="Z225" s="62"/>
      <c r="AA225" s="53">
        <v>44.40857142857142</v>
      </c>
      <c r="AB225" s="53">
        <v>45.951428571428565</v>
      </c>
      <c r="AC225" s="53">
        <v>45.321111111111108</v>
      </c>
      <c r="AD225" s="53">
        <v>51.392222222222216</v>
      </c>
      <c r="AE225" s="53" t="str">
        <f>_xlfn.XLOOKUP(Master[[#This Row],[cu_id]],'[1]Customer Revenue'!$Q:$Q,'[1]Customer Revenue'!$K:$K, "None")</f>
        <v>None</v>
      </c>
      <c r="AF225" s="53" t="str">
        <f>_xlfn.XLOOKUP(Master[[#This Row],[cu_id]],'[1]Customer Revenue'!$Q:$Q,'[1]Customer Revenue'!$L:$L, "None")</f>
        <v>None</v>
      </c>
      <c r="AG225" s="53">
        <v>29.197810650887572</v>
      </c>
      <c r="AH225" s="53">
        <v>61.342189349112417</v>
      </c>
      <c r="AI225" s="53">
        <v>45.179999999999993</v>
      </c>
      <c r="AJ225" s="53">
        <v>48.356666666666662</v>
      </c>
      <c r="AK225" s="53" t="str">
        <f>_xlfn.XLOOKUP(Master[[#This Row],[cu_id]],'[1]Customer Revenue'!$Q:$Q,'[1]Customer Revenue'!$I:$I, "None")</f>
        <v>None</v>
      </c>
      <c r="AL225" s="53">
        <v>45.269999999999996</v>
      </c>
      <c r="AM225" s="61">
        <v>0.4375</v>
      </c>
      <c r="AN225" s="60">
        <v>0.70833333333333337</v>
      </c>
      <c r="AO225" s="60" t="s">
        <v>36</v>
      </c>
      <c r="AP225" s="60" t="s">
        <v>36</v>
      </c>
      <c r="AQ225" s="58" t="s">
        <v>0</v>
      </c>
      <c r="AR225" s="58"/>
      <c r="AS225" s="58"/>
      <c r="AT225" s="52">
        <v>0</v>
      </c>
      <c r="AU225" s="52" t="e">
        <f>IF(Master[[#This Row],[RSP StopTime override]] &lt;&gt; "",Master[[#This Row],[RSP StopTime override]],IF(Master[[#This Row],[Avg stop time helper]] &lt;&gt; 0, Master[[#This Row],[Avg stop time helper]],Average_Stop_Time))</f>
        <v>#DIV/0!</v>
      </c>
      <c r="AV225" s="21"/>
      <c r="AW225" s="20">
        <f>Master[[#This Row],[RSP StopTime override]]-Master[[#This Row],[Avg stop time helper]]</f>
        <v>0</v>
      </c>
    </row>
    <row r="226" spans="1:49" x14ac:dyDescent="0.3">
      <c r="A226" s="95" t="s">
        <v>4007</v>
      </c>
      <c r="B226" s="96">
        <v>51</v>
      </c>
      <c r="C226" s="96" t="s">
        <v>10</v>
      </c>
      <c r="D226" s="97">
        <v>520888</v>
      </c>
      <c r="E226" s="97" t="s">
        <v>42</v>
      </c>
      <c r="F226" s="97" t="s">
        <v>52</v>
      </c>
      <c r="G226" s="65" t="s">
        <v>51</v>
      </c>
      <c r="H226" s="65" t="s">
        <v>32</v>
      </c>
      <c r="I226" s="65" t="s">
        <v>50</v>
      </c>
      <c r="J226" s="65" t="s">
        <v>5</v>
      </c>
      <c r="K226" s="65" t="s">
        <v>49</v>
      </c>
      <c r="L226" s="64" t="s">
        <v>37</v>
      </c>
      <c r="M226" s="58" t="s">
        <v>3</v>
      </c>
      <c r="N226" s="58" t="s">
        <v>2</v>
      </c>
      <c r="O226" s="58">
        <v>105</v>
      </c>
      <c r="P226" s="58">
        <v>105</v>
      </c>
      <c r="Q226" s="58">
        <v>0</v>
      </c>
      <c r="R226" s="58">
        <v>70</v>
      </c>
      <c r="S226" s="58">
        <v>0</v>
      </c>
      <c r="T226" s="58">
        <v>280</v>
      </c>
      <c r="U226" s="58">
        <v>28</v>
      </c>
      <c r="V226" s="62"/>
      <c r="W226" s="62"/>
      <c r="X226" s="63">
        <v>0</v>
      </c>
      <c r="Y226" s="62"/>
      <c r="Z226" s="62"/>
      <c r="AA226" s="53"/>
      <c r="AB226" s="53"/>
      <c r="AC226" s="53">
        <v>250</v>
      </c>
      <c r="AD226" s="53">
        <v>540</v>
      </c>
      <c r="AE226" s="53">
        <v>196.39</v>
      </c>
      <c r="AF226" s="53">
        <v>539.73</v>
      </c>
      <c r="AG226" s="53"/>
      <c r="AH226" s="53"/>
      <c r="AI226" s="53"/>
      <c r="AJ226" s="53">
        <v>303.89333333333337</v>
      </c>
      <c r="AK226" s="53">
        <v>368</v>
      </c>
      <c r="AL226" s="53" t="e">
        <f>_xlfn.XLOOKUP(Master[[#This Row],[cu_id]],[1]!Customer_Revenue[cuid],  [1]!Customer_Revenue[Q4 Mean], "None")</f>
        <v>#REF!</v>
      </c>
      <c r="AM226" s="61">
        <v>0.25</v>
      </c>
      <c r="AN226" s="60">
        <v>0.83333333333333337</v>
      </c>
      <c r="AO226" s="60" t="s">
        <v>36</v>
      </c>
      <c r="AP226" s="60" t="s">
        <v>36</v>
      </c>
      <c r="AQ226" s="99" t="s">
        <v>44</v>
      </c>
      <c r="AR226" s="99"/>
      <c r="AS226" s="99"/>
      <c r="AT226" s="52">
        <v>0</v>
      </c>
      <c r="AU226" s="100"/>
      <c r="AV226" s="21">
        <v>0</v>
      </c>
    </row>
    <row r="227" spans="1:49" x14ac:dyDescent="0.3">
      <c r="A227" s="81" t="s">
        <v>4336</v>
      </c>
      <c r="B227" s="79">
        <v>12</v>
      </c>
      <c r="C227" s="79" t="s">
        <v>35</v>
      </c>
      <c r="D227" s="80">
        <v>533628</v>
      </c>
      <c r="E227" s="80">
        <v>0</v>
      </c>
      <c r="F227" s="79" t="s">
        <v>3104</v>
      </c>
      <c r="G227" s="79" t="s">
        <v>3103</v>
      </c>
      <c r="H227" s="79" t="s">
        <v>7</v>
      </c>
      <c r="I227" s="79" t="s">
        <v>1600</v>
      </c>
      <c r="J227" s="79" t="s">
        <v>5</v>
      </c>
      <c r="K227" s="79" t="s">
        <v>2031</v>
      </c>
      <c r="L227" s="79">
        <v>7</v>
      </c>
      <c r="M227" s="79" t="s">
        <v>3</v>
      </c>
      <c r="N227" s="79" t="s">
        <v>2</v>
      </c>
      <c r="O227" s="58">
        <v>1</v>
      </c>
      <c r="P227" s="79">
        <v>0</v>
      </c>
      <c r="Q227" s="79">
        <v>1</v>
      </c>
      <c r="R227" s="79">
        <v>0</v>
      </c>
      <c r="S227" s="79">
        <v>0</v>
      </c>
      <c r="T227" s="79">
        <v>0</v>
      </c>
      <c r="U227" s="79">
        <v>2</v>
      </c>
      <c r="V227" s="79"/>
      <c r="W227" s="79"/>
      <c r="X227" s="79"/>
      <c r="Y227" s="79"/>
      <c r="Z227" s="79"/>
      <c r="AA227" s="78">
        <v>120</v>
      </c>
      <c r="AB227" s="78"/>
      <c r="AC227" s="78"/>
      <c r="AD227" s="78"/>
      <c r="AE227" s="53" t="str">
        <f>_xlfn.XLOOKUP(Master[[#This Row],[cu_id]],'[1]Customer Revenue'!$Q:$Q,'[1]Customer Revenue'!$K:$K, "None")</f>
        <v>None</v>
      </c>
      <c r="AF227" s="53" t="str">
        <f>_xlfn.XLOOKUP(Master[[#This Row],[cu_id]],'[1]Customer Revenue'!$Q:$Q,'[1]Customer Revenue'!$L:$L, "None")</f>
        <v>None</v>
      </c>
      <c r="AG227" s="78"/>
      <c r="AH227" s="78"/>
      <c r="AI227" s="78"/>
      <c r="AJ227" s="78">
        <v>127.91500000000001</v>
      </c>
      <c r="AK227" s="53" t="str">
        <f>_xlfn.XLOOKUP(Master[[#This Row],[cu_id]],'[1]Customer Revenue'!$Q:$Q,'[1]Customer Revenue'!$I:$I, "None")</f>
        <v>None</v>
      </c>
      <c r="AL227" s="78"/>
      <c r="AM227" s="77" t="s">
        <v>1</v>
      </c>
      <c r="AN227" s="77" t="s">
        <v>1</v>
      </c>
      <c r="AO227" s="77" t="s">
        <v>36</v>
      </c>
      <c r="AP227" s="77" t="s">
        <v>36</v>
      </c>
      <c r="AQ227" s="77" t="s">
        <v>0</v>
      </c>
      <c r="AR227" s="77"/>
      <c r="AS227" s="76"/>
      <c r="AT227" s="76"/>
      <c r="AU227" s="76"/>
      <c r="AV227" s="75"/>
      <c r="AW227" s="20">
        <f>Master[[#This Row],[RSP StopTime override]]-Master[[#This Row],[Avg stop time helper]]</f>
        <v>0</v>
      </c>
    </row>
    <row r="228" spans="1:49" x14ac:dyDescent="0.3">
      <c r="A228" s="66" t="s">
        <v>4337</v>
      </c>
      <c r="B228" s="58">
        <v>12</v>
      </c>
      <c r="C228" s="58" t="s">
        <v>10</v>
      </c>
      <c r="D228" s="65">
        <v>99033</v>
      </c>
      <c r="E228" s="65" t="s">
        <v>3102</v>
      </c>
      <c r="F228" s="65" t="s">
        <v>3101</v>
      </c>
      <c r="G228" s="65" t="s">
        <v>3100</v>
      </c>
      <c r="H228" s="65" t="s">
        <v>32</v>
      </c>
      <c r="I228" s="65" t="s">
        <v>12</v>
      </c>
      <c r="J228" s="65" t="s">
        <v>5</v>
      </c>
      <c r="K228" s="65" t="s">
        <v>197</v>
      </c>
      <c r="L228" s="64" t="s">
        <v>67</v>
      </c>
      <c r="M228" s="58" t="s">
        <v>3</v>
      </c>
      <c r="N228" s="58" t="s">
        <v>2</v>
      </c>
      <c r="O228" s="58">
        <v>72</v>
      </c>
      <c r="P228" s="58">
        <v>0</v>
      </c>
      <c r="Q228" s="58">
        <v>0</v>
      </c>
      <c r="R228" s="58">
        <v>72</v>
      </c>
      <c r="S228" s="58">
        <v>0</v>
      </c>
      <c r="T228" s="58">
        <v>0</v>
      </c>
      <c r="U228" s="58">
        <v>58</v>
      </c>
      <c r="V228" s="62"/>
      <c r="W228" s="62"/>
      <c r="X228" s="63">
        <f>IFERROR(1 -(Master[[#This Row],[Avg Garment Scans per Delivery]]/Master[[#This Row],[Garment Inventory]]), 0)</f>
        <v>0</v>
      </c>
      <c r="Y228" s="62"/>
      <c r="Z228" s="62"/>
      <c r="AA228" s="53">
        <v>87.226568047337281</v>
      </c>
      <c r="AB228" s="53">
        <v>134.12881656804731</v>
      </c>
      <c r="AC228" s="53">
        <v>96.662222222222226</v>
      </c>
      <c r="AD228" s="53">
        <v>109.65777777777777</v>
      </c>
      <c r="AE228" s="53" t="str">
        <f>_xlfn.XLOOKUP(Master[[#This Row],[cu_id]],'[1]Customer Revenue'!$Q:$Q,'[1]Customer Revenue'!$K:$K, "None")</f>
        <v>None</v>
      </c>
      <c r="AF228" s="53" t="str">
        <f>_xlfn.XLOOKUP(Master[[#This Row],[cu_id]],'[1]Customer Revenue'!$Q:$Q,'[1]Customer Revenue'!$L:$L, "None")</f>
        <v>None</v>
      </c>
      <c r="AG228" s="53">
        <v>90.237633136094672</v>
      </c>
      <c r="AH228" s="53">
        <v>119.27159763313608</v>
      </c>
      <c r="AI228" s="53">
        <v>110.6776923076923</v>
      </c>
      <c r="AJ228" s="53">
        <v>103.16</v>
      </c>
      <c r="AK228" s="53" t="str">
        <f>_xlfn.XLOOKUP(Master[[#This Row],[cu_id]],'[1]Customer Revenue'!$Q:$Q,'[1]Customer Revenue'!$I:$I, "None")</f>
        <v>None</v>
      </c>
      <c r="AL228" s="53">
        <v>104.75461538461538</v>
      </c>
      <c r="AM228" s="61">
        <v>0.29166666666666669</v>
      </c>
      <c r="AN228" s="60">
        <v>0.70833333333333337</v>
      </c>
      <c r="AO228" s="60" t="s">
        <v>36</v>
      </c>
      <c r="AP228" s="60" t="s">
        <v>36</v>
      </c>
      <c r="AQ228" s="58" t="s">
        <v>0</v>
      </c>
      <c r="AR228" s="58"/>
      <c r="AS228" s="58"/>
      <c r="AT228" s="52">
        <v>0</v>
      </c>
      <c r="AU228" s="52" t="e">
        <f>IF(Master[[#This Row],[RSP StopTime override]] &lt;&gt; "",Master[[#This Row],[RSP StopTime override]],IF(Master[[#This Row],[Avg stop time helper]] &lt;&gt; 0, Master[[#This Row],[Avg stop time helper]],Average_Stop_Time))</f>
        <v>#DIV/0!</v>
      </c>
      <c r="AV228" s="21"/>
      <c r="AW228" s="20">
        <f>Master[[#This Row],[RSP StopTime override]]-Master[[#This Row],[Avg stop time helper]]</f>
        <v>0</v>
      </c>
    </row>
    <row r="229" spans="1:49" x14ac:dyDescent="0.3">
      <c r="A229" s="66" t="s">
        <v>4338</v>
      </c>
      <c r="B229" s="58">
        <v>12</v>
      </c>
      <c r="C229" s="58" t="s">
        <v>10</v>
      </c>
      <c r="D229" s="65">
        <v>99059</v>
      </c>
      <c r="E229" s="65" t="s">
        <v>1416</v>
      </c>
      <c r="F229" s="65" t="s">
        <v>3604</v>
      </c>
      <c r="G229" s="65" t="s">
        <v>3099</v>
      </c>
      <c r="H229" s="65" t="s">
        <v>32</v>
      </c>
      <c r="I229" s="65" t="s">
        <v>2956</v>
      </c>
      <c r="J229" s="65" t="s">
        <v>5</v>
      </c>
      <c r="K229" s="65" t="s">
        <v>1972</v>
      </c>
      <c r="L229" s="64" t="s">
        <v>67</v>
      </c>
      <c r="M229" s="58" t="s">
        <v>3</v>
      </c>
      <c r="N229" s="58" t="s">
        <v>2</v>
      </c>
      <c r="O229" s="58">
        <v>150</v>
      </c>
      <c r="P229" s="58">
        <v>0</v>
      </c>
      <c r="Q229" s="58">
        <v>0</v>
      </c>
      <c r="R229" s="58">
        <v>150</v>
      </c>
      <c r="S229" s="58">
        <v>0</v>
      </c>
      <c r="T229" s="58">
        <v>0</v>
      </c>
      <c r="U229" s="58">
        <v>51</v>
      </c>
      <c r="V229" s="62">
        <v>27</v>
      </c>
      <c r="W229" s="62">
        <v>8</v>
      </c>
      <c r="X229" s="63">
        <f>IFERROR(1 -(Master[[#This Row],[Avg Garment Scans per Delivery]]/Master[[#This Row],[Garment Inventory]]), 0)</f>
        <v>0.70370370370370372</v>
      </c>
      <c r="Y229" s="62">
        <v>3</v>
      </c>
      <c r="Z229" s="62">
        <v>28</v>
      </c>
      <c r="AA229" s="53">
        <v>130.7668737672584</v>
      </c>
      <c r="AB229" s="53">
        <v>191.35645956607499</v>
      </c>
      <c r="AC229" s="53">
        <v>141.98431952662725</v>
      </c>
      <c r="AD229" s="53">
        <v>197.80491124260357</v>
      </c>
      <c r="AE229" s="53" t="str">
        <f>_xlfn.XLOOKUP(Master[[#This Row],[cu_id]],'[1]Customer Revenue'!$Q:$Q,'[1]Customer Revenue'!$K:$K, "None")</f>
        <v>None</v>
      </c>
      <c r="AF229" s="53" t="str">
        <f>_xlfn.XLOOKUP(Master[[#This Row],[cu_id]],'[1]Customer Revenue'!$Q:$Q,'[1]Customer Revenue'!$L:$L, "None")</f>
        <v>None</v>
      </c>
      <c r="AG229" s="53">
        <v>131.97149704142012</v>
      </c>
      <c r="AH229" s="53">
        <v>182.95250295857986</v>
      </c>
      <c r="AI229" s="53">
        <v>161.0616666666667</v>
      </c>
      <c r="AJ229" s="53">
        <v>169.89461538461541</v>
      </c>
      <c r="AK229" s="53" t="str">
        <f>_xlfn.XLOOKUP(Master[[#This Row],[cu_id]],'[1]Customer Revenue'!$Q:$Q,'[1]Customer Revenue'!$I:$I, "None")</f>
        <v>None</v>
      </c>
      <c r="AL229" s="53">
        <v>157.46199999999999</v>
      </c>
      <c r="AM229" s="61">
        <v>0.29166666666666669</v>
      </c>
      <c r="AN229" s="60">
        <v>0.70833333333333337</v>
      </c>
      <c r="AO229" s="60" t="s">
        <v>36</v>
      </c>
      <c r="AP229" s="60" t="s">
        <v>36</v>
      </c>
      <c r="AQ229" s="58" t="s">
        <v>0</v>
      </c>
      <c r="AR229" s="58"/>
      <c r="AS229" s="58"/>
      <c r="AT229" s="52">
        <v>0</v>
      </c>
      <c r="AU229" s="52" t="e">
        <f>IF(Master[[#This Row],[RSP StopTime override]] &lt;&gt; "",Master[[#This Row],[RSP StopTime override]],IF(Master[[#This Row],[Avg stop time helper]] &lt;&gt; 0, Master[[#This Row],[Avg stop time helper]],Average_Stop_Time))</f>
        <v>#DIV/0!</v>
      </c>
      <c r="AV229" s="21"/>
      <c r="AW229" s="20">
        <f>Master[[#This Row],[RSP StopTime override]]-Master[[#This Row],[Avg stop time helper]]</f>
        <v>0</v>
      </c>
    </row>
    <row r="230" spans="1:49" x14ac:dyDescent="0.3">
      <c r="A230" s="66" t="s">
        <v>4339</v>
      </c>
      <c r="B230" s="58">
        <v>12</v>
      </c>
      <c r="C230" s="58" t="s">
        <v>10</v>
      </c>
      <c r="D230" s="65">
        <v>99079</v>
      </c>
      <c r="E230" s="65" t="s">
        <v>1590</v>
      </c>
      <c r="F230" s="65" t="s">
        <v>3605</v>
      </c>
      <c r="G230" s="65" t="s">
        <v>3098</v>
      </c>
      <c r="H230" s="65" t="s">
        <v>32</v>
      </c>
      <c r="I230" s="65" t="s">
        <v>2956</v>
      </c>
      <c r="J230" s="65" t="s">
        <v>5</v>
      </c>
      <c r="K230" s="65" t="s">
        <v>2215</v>
      </c>
      <c r="L230" s="64" t="s">
        <v>67</v>
      </c>
      <c r="M230" s="58" t="s">
        <v>3</v>
      </c>
      <c r="N230" s="58" t="s">
        <v>2</v>
      </c>
      <c r="O230" s="58">
        <v>40</v>
      </c>
      <c r="P230" s="58">
        <v>0</v>
      </c>
      <c r="Q230" s="58">
        <v>0</v>
      </c>
      <c r="R230" s="58">
        <v>40</v>
      </c>
      <c r="S230" s="58">
        <v>0</v>
      </c>
      <c r="T230" s="58">
        <v>0</v>
      </c>
      <c r="U230" s="58">
        <v>52</v>
      </c>
      <c r="V230" s="62"/>
      <c r="W230" s="62"/>
      <c r="X230" s="63">
        <f>IFERROR(1 -(Master[[#This Row],[Avg Garment Scans per Delivery]]/Master[[#This Row],[Garment Inventory]]), 0)</f>
        <v>0</v>
      </c>
      <c r="Y230" s="62"/>
      <c r="Z230" s="62"/>
      <c r="AA230" s="53">
        <v>88.860946745562117</v>
      </c>
      <c r="AB230" s="53">
        <v>94.015976331360932</v>
      </c>
      <c r="AC230" s="53">
        <v>91.410473372781055</v>
      </c>
      <c r="AD230" s="53">
        <v>99.655680473372755</v>
      </c>
      <c r="AE230" s="53" t="str">
        <f>_xlfn.XLOOKUP(Master[[#This Row],[cu_id]],'[1]Customer Revenue'!$Q:$Q,'[1]Customer Revenue'!$K:$K, "None")</f>
        <v>None</v>
      </c>
      <c r="AF230" s="53" t="str">
        <f>_xlfn.XLOOKUP(Master[[#This Row],[cu_id]],'[1]Customer Revenue'!$Q:$Q,'[1]Customer Revenue'!$L:$L, "None")</f>
        <v>None</v>
      </c>
      <c r="AG230" s="53">
        <v>86.605621301775159</v>
      </c>
      <c r="AH230" s="53">
        <v>92.082840236686394</v>
      </c>
      <c r="AI230" s="53">
        <v>91.438461538461524</v>
      </c>
      <c r="AJ230" s="53">
        <v>95.533076923076905</v>
      </c>
      <c r="AK230" s="53" t="str">
        <f>_xlfn.XLOOKUP(Master[[#This Row],[cu_id]],'[1]Customer Revenue'!$Q:$Q,'[1]Customer Revenue'!$I:$I, "None")</f>
        <v>None</v>
      </c>
      <c r="AL230" s="53">
        <v>89.344230769230776</v>
      </c>
      <c r="AM230" s="61">
        <v>0.39583333333333331</v>
      </c>
      <c r="AN230" s="60">
        <v>0.70833333333333337</v>
      </c>
      <c r="AO230" s="60" t="s">
        <v>36</v>
      </c>
      <c r="AP230" s="60" t="s">
        <v>36</v>
      </c>
      <c r="AQ230" s="58" t="s">
        <v>0</v>
      </c>
      <c r="AR230" s="58"/>
      <c r="AS230" s="58"/>
      <c r="AT230" s="52">
        <v>0</v>
      </c>
      <c r="AU230" s="52" t="e">
        <f>IF(Master[[#This Row],[RSP StopTime override]] &lt;&gt; "",Master[[#This Row],[RSP StopTime override]],IF(Master[[#This Row],[Avg stop time helper]] &lt;&gt; 0, Master[[#This Row],[Avg stop time helper]],Average_Stop_Time))</f>
        <v>#DIV/0!</v>
      </c>
      <c r="AV230" s="21"/>
      <c r="AW230" s="20">
        <f>Master[[#This Row],[RSP StopTime override]]-Master[[#This Row],[Avg stop time helper]]</f>
        <v>0</v>
      </c>
    </row>
    <row r="231" spans="1:49" x14ac:dyDescent="0.3">
      <c r="A231" s="66" t="s">
        <v>4340</v>
      </c>
      <c r="B231" s="58">
        <v>12</v>
      </c>
      <c r="C231" s="58" t="s">
        <v>10</v>
      </c>
      <c r="D231" s="65">
        <v>99094</v>
      </c>
      <c r="E231" s="65" t="s">
        <v>1945</v>
      </c>
      <c r="F231" s="65" t="s">
        <v>3097</v>
      </c>
      <c r="G231" s="65" t="s">
        <v>3096</v>
      </c>
      <c r="H231" s="65" t="s">
        <v>7</v>
      </c>
      <c r="I231" s="65" t="s">
        <v>12</v>
      </c>
      <c r="J231" s="65" t="s">
        <v>5</v>
      </c>
      <c r="K231" s="65" t="s">
        <v>197</v>
      </c>
      <c r="L231" s="64" t="s">
        <v>91</v>
      </c>
      <c r="M231" s="58" t="s">
        <v>90</v>
      </c>
      <c r="N231" s="58" t="s">
        <v>2</v>
      </c>
      <c r="O231" s="58">
        <v>61</v>
      </c>
      <c r="P231" s="58">
        <v>0</v>
      </c>
      <c r="Q231" s="58">
        <v>0</v>
      </c>
      <c r="R231" s="58">
        <v>61</v>
      </c>
      <c r="S231" s="58">
        <v>0</v>
      </c>
      <c r="T231" s="58">
        <v>0</v>
      </c>
      <c r="U231" s="58">
        <v>26</v>
      </c>
      <c r="V231" s="62"/>
      <c r="W231" s="62"/>
      <c r="X231" s="63">
        <f>IFERROR(1 -(Master[[#This Row],[Avg Garment Scans per Delivery]]/Master[[#This Row],[Garment Inventory]]), 0)</f>
        <v>0</v>
      </c>
      <c r="Y231" s="62"/>
      <c r="Z231" s="62"/>
      <c r="AA231" s="53">
        <v>35.620414201183429</v>
      </c>
      <c r="AB231" s="53">
        <v>37.218047337278087</v>
      </c>
      <c r="AC231" s="53">
        <v>21.194444444444446</v>
      </c>
      <c r="AD231" s="53">
        <v>55.105555555555554</v>
      </c>
      <c r="AE231" s="53" t="str">
        <f>_xlfn.XLOOKUP(Master[[#This Row],[cu_id]],'[1]Customer Revenue'!$Q:$Q,'[1]Customer Revenue'!$K:$K, "None")</f>
        <v>None</v>
      </c>
      <c r="AF231" s="53" t="str">
        <f>_xlfn.XLOOKUP(Master[[#This Row],[cu_id]],'[1]Customer Revenue'!$Q:$Q,'[1]Customer Revenue'!$L:$L, "None")</f>
        <v>None</v>
      </c>
      <c r="AG231" s="53">
        <v>33.19528699089188</v>
      </c>
      <c r="AH231" s="53">
        <v>39.218349372744463</v>
      </c>
      <c r="AI231" s="53">
        <v>36.419230769230758</v>
      </c>
      <c r="AJ231" s="53">
        <v>38.15</v>
      </c>
      <c r="AK231" s="53" t="str">
        <f>_xlfn.XLOOKUP(Master[[#This Row],[cu_id]],'[1]Customer Revenue'!$Q:$Q,'[1]Customer Revenue'!$I:$I, "None")</f>
        <v>None</v>
      </c>
      <c r="AL231" s="53">
        <v>36.206818181818171</v>
      </c>
      <c r="AM231" s="61">
        <v>0.375</v>
      </c>
      <c r="AN231" s="60">
        <v>0.70833333333333337</v>
      </c>
      <c r="AO231" s="60" t="s">
        <v>36</v>
      </c>
      <c r="AP231" s="60" t="s">
        <v>36</v>
      </c>
      <c r="AQ231" s="58" t="s">
        <v>0</v>
      </c>
      <c r="AR231" s="58"/>
      <c r="AS231" s="58"/>
      <c r="AT231" s="52">
        <v>0</v>
      </c>
      <c r="AU231" s="52" t="e">
        <f>IF(Master[[#This Row],[RSP StopTime override]] &lt;&gt; "",Master[[#This Row],[RSP StopTime override]],IF(Master[[#This Row],[Avg stop time helper]] &lt;&gt; 0, Master[[#This Row],[Avg stop time helper]],Average_Stop_Time))</f>
        <v>#DIV/0!</v>
      </c>
      <c r="AV231" s="21"/>
      <c r="AW231" s="20">
        <f>Master[[#This Row],[RSP StopTime override]]-Master[[#This Row],[Avg stop time helper]]</f>
        <v>0</v>
      </c>
    </row>
    <row r="232" spans="1:49" x14ac:dyDescent="0.3">
      <c r="A232" s="66" t="s">
        <v>4341</v>
      </c>
      <c r="B232" s="58">
        <v>12</v>
      </c>
      <c r="C232" s="58" t="s">
        <v>10</v>
      </c>
      <c r="D232" s="65">
        <v>99097</v>
      </c>
      <c r="E232" s="65" t="s">
        <v>2084</v>
      </c>
      <c r="F232" s="65" t="s">
        <v>3606</v>
      </c>
      <c r="G232" s="65" t="s">
        <v>3095</v>
      </c>
      <c r="H232" s="65" t="s">
        <v>7</v>
      </c>
      <c r="I232" s="65" t="s">
        <v>12</v>
      </c>
      <c r="J232" s="65" t="s">
        <v>5</v>
      </c>
      <c r="K232" s="65" t="s">
        <v>57</v>
      </c>
      <c r="L232" s="64" t="s">
        <v>67</v>
      </c>
      <c r="M232" s="58" t="s">
        <v>3</v>
      </c>
      <c r="N232" s="58" t="s">
        <v>2</v>
      </c>
      <c r="O232" s="58">
        <v>60</v>
      </c>
      <c r="P232" s="58">
        <v>0</v>
      </c>
      <c r="Q232" s="58">
        <v>0</v>
      </c>
      <c r="R232" s="58">
        <v>60</v>
      </c>
      <c r="S232" s="58">
        <v>0</v>
      </c>
      <c r="T232" s="58">
        <v>0</v>
      </c>
      <c r="U232" s="58">
        <v>52</v>
      </c>
      <c r="V232" s="62">
        <v>24</v>
      </c>
      <c r="W232" s="62">
        <v>0</v>
      </c>
      <c r="X232" s="63">
        <f>IFERROR(1 -(Master[[#This Row],[Avg Garment Scans per Delivery]]/Master[[#This Row],[Garment Inventory]]), 0)</f>
        <v>1</v>
      </c>
      <c r="Y232" s="62">
        <v>1</v>
      </c>
      <c r="Z232" s="62">
        <v>25</v>
      </c>
      <c r="AA232" s="53">
        <v>56.343609467455614</v>
      </c>
      <c r="AB232" s="53">
        <v>57.408698224852039</v>
      </c>
      <c r="AC232" s="53">
        <v>57.954556213017746</v>
      </c>
      <c r="AD232" s="53">
        <v>58.759289940828388</v>
      </c>
      <c r="AE232" s="53" t="str">
        <f>_xlfn.XLOOKUP(Master[[#This Row],[cu_id]],'[1]Customer Revenue'!$Q:$Q,'[1]Customer Revenue'!$K:$K, "None")</f>
        <v>None</v>
      </c>
      <c r="AF232" s="53" t="str">
        <f>_xlfn.XLOOKUP(Master[[#This Row],[cu_id]],'[1]Customer Revenue'!$Q:$Q,'[1]Customer Revenue'!$L:$L, "None")</f>
        <v>None</v>
      </c>
      <c r="AG232" s="53">
        <v>56.396863905325439</v>
      </c>
      <c r="AH232" s="53">
        <v>57.009289940828374</v>
      </c>
      <c r="AI232" s="53">
        <v>56.876153846153827</v>
      </c>
      <c r="AJ232" s="53">
        <v>58.356923076923067</v>
      </c>
      <c r="AK232" s="53" t="str">
        <f>_xlfn.XLOOKUP(Master[[#This Row],[cu_id]],'[1]Customer Revenue'!$Q:$Q,'[1]Customer Revenue'!$I:$I, "None")</f>
        <v>None</v>
      </c>
      <c r="AL232" s="53">
        <v>56.703076923076907</v>
      </c>
      <c r="AM232" s="61">
        <v>0.29166666666666669</v>
      </c>
      <c r="AN232" s="60">
        <v>0.70833333333333337</v>
      </c>
      <c r="AO232" s="60" t="s">
        <v>36</v>
      </c>
      <c r="AP232" s="60" t="s">
        <v>36</v>
      </c>
      <c r="AQ232" s="58" t="s">
        <v>0</v>
      </c>
      <c r="AR232" s="58"/>
      <c r="AS232" s="58"/>
      <c r="AT232" s="52">
        <v>0</v>
      </c>
      <c r="AU232" s="52" t="e">
        <f>IF(Master[[#This Row],[RSP StopTime override]] &lt;&gt; "",Master[[#This Row],[RSP StopTime override]],IF(Master[[#This Row],[Avg stop time helper]] &lt;&gt; 0, Master[[#This Row],[Avg stop time helper]],Average_Stop_Time))</f>
        <v>#DIV/0!</v>
      </c>
      <c r="AV232" s="21"/>
      <c r="AW232" s="20">
        <f>Master[[#This Row],[RSP StopTime override]]-Master[[#This Row],[Avg stop time helper]]</f>
        <v>0</v>
      </c>
    </row>
    <row r="233" spans="1:49" x14ac:dyDescent="0.3">
      <c r="A233" s="66" t="s">
        <v>4342</v>
      </c>
      <c r="B233" s="58">
        <v>12</v>
      </c>
      <c r="C233" s="58" t="s">
        <v>10</v>
      </c>
      <c r="D233" s="65">
        <v>99097</v>
      </c>
      <c r="E233" s="65" t="s">
        <v>1829</v>
      </c>
      <c r="F233" s="65" t="s">
        <v>3607</v>
      </c>
      <c r="G233" s="65" t="s">
        <v>3094</v>
      </c>
      <c r="H233" s="65" t="s">
        <v>7</v>
      </c>
      <c r="I233" s="65" t="s">
        <v>2966</v>
      </c>
      <c r="J233" s="65" t="s">
        <v>5</v>
      </c>
      <c r="K233" s="65" t="s">
        <v>2215</v>
      </c>
      <c r="L233" s="64" t="s">
        <v>67</v>
      </c>
      <c r="M233" s="58" t="s">
        <v>3</v>
      </c>
      <c r="N233" s="58" t="s">
        <v>2</v>
      </c>
      <c r="O233" s="58">
        <v>130</v>
      </c>
      <c r="P233" s="58">
        <v>0</v>
      </c>
      <c r="Q233" s="58">
        <v>0</v>
      </c>
      <c r="R233" s="58">
        <v>130</v>
      </c>
      <c r="S233" s="58">
        <v>0</v>
      </c>
      <c r="T233" s="58">
        <v>0</v>
      </c>
      <c r="U233" s="58">
        <v>52</v>
      </c>
      <c r="V233" s="62">
        <v>0</v>
      </c>
      <c r="W233" s="62"/>
      <c r="X233" s="63">
        <f>IFERROR(1 -(Master[[#This Row],[Avg Garment Scans per Delivery]]/Master[[#This Row],[Garment Inventory]]), 0)</f>
        <v>0</v>
      </c>
      <c r="Y233" s="62"/>
      <c r="Z233" s="62"/>
      <c r="AA233" s="53">
        <v>49.045798816568038</v>
      </c>
      <c r="AB233" s="53">
        <v>53.135739644970414</v>
      </c>
      <c r="AC233" s="53">
        <v>46.584556213017741</v>
      </c>
      <c r="AD233" s="53">
        <v>47.389289940828398</v>
      </c>
      <c r="AE233" s="53" t="str">
        <f>_xlfn.XLOOKUP(Master[[#This Row],[cu_id]],'[1]Customer Revenue'!$Q:$Q,'[1]Customer Revenue'!$K:$K, "None")</f>
        <v>None</v>
      </c>
      <c r="AF233" s="53" t="str">
        <f>_xlfn.XLOOKUP(Master[[#This Row],[cu_id]],'[1]Customer Revenue'!$Q:$Q,'[1]Customer Revenue'!$L:$L, "None")</f>
        <v>None</v>
      </c>
      <c r="AG233" s="53">
        <v>46.177159763313611</v>
      </c>
      <c r="AH233" s="53">
        <v>52.865917159763313</v>
      </c>
      <c r="AI233" s="53">
        <v>51.090769230769226</v>
      </c>
      <c r="AJ233" s="53">
        <v>46.98692307692307</v>
      </c>
      <c r="AK233" s="53" t="str">
        <f>_xlfn.XLOOKUP(Master[[#This Row],[cu_id]],'[1]Customer Revenue'!$Q:$Q,'[1]Customer Revenue'!$I:$I, "None")</f>
        <v>None</v>
      </c>
      <c r="AL233" s="53">
        <v>49.521538461538462</v>
      </c>
      <c r="AM233" s="61">
        <v>0.29166666666666669</v>
      </c>
      <c r="AN233" s="60">
        <v>0.70833333333333337</v>
      </c>
      <c r="AO233" s="60" t="s">
        <v>36</v>
      </c>
      <c r="AP233" s="60" t="s">
        <v>36</v>
      </c>
      <c r="AQ233" s="58" t="s">
        <v>0</v>
      </c>
      <c r="AR233" s="58"/>
      <c r="AS233" s="58"/>
      <c r="AT233" s="52">
        <v>0</v>
      </c>
      <c r="AU233" s="52" t="e">
        <f>IF(Master[[#This Row],[RSP StopTime override]] &lt;&gt; "",Master[[#This Row],[RSP StopTime override]],IF(Master[[#This Row],[Avg stop time helper]] &lt;&gt; 0, Master[[#This Row],[Avg stop time helper]],Average_Stop_Time))</f>
        <v>#DIV/0!</v>
      </c>
      <c r="AV233" s="21"/>
      <c r="AW233" s="20">
        <f>Master[[#This Row],[RSP StopTime override]]-Master[[#This Row],[Avg stop time helper]]</f>
        <v>0</v>
      </c>
    </row>
    <row r="234" spans="1:49" x14ac:dyDescent="0.3">
      <c r="A234" s="66" t="s">
        <v>4343</v>
      </c>
      <c r="B234" s="58">
        <v>12</v>
      </c>
      <c r="C234" s="58" t="s">
        <v>10</v>
      </c>
      <c r="D234" s="65">
        <v>99097</v>
      </c>
      <c r="E234" s="65" t="s">
        <v>1348</v>
      </c>
      <c r="F234" s="65" t="s">
        <v>3608</v>
      </c>
      <c r="G234" s="65" t="s">
        <v>3093</v>
      </c>
      <c r="H234" s="65" t="s">
        <v>7</v>
      </c>
      <c r="I234" s="65" t="s">
        <v>2966</v>
      </c>
      <c r="J234" s="65" t="s">
        <v>5</v>
      </c>
      <c r="K234" s="65" t="s">
        <v>2215</v>
      </c>
      <c r="L234" s="64" t="s">
        <v>67</v>
      </c>
      <c r="M234" s="58" t="s">
        <v>3</v>
      </c>
      <c r="N234" s="58" t="s">
        <v>2</v>
      </c>
      <c r="O234" s="58">
        <v>80</v>
      </c>
      <c r="P234" s="58">
        <v>0</v>
      </c>
      <c r="Q234" s="58">
        <v>0</v>
      </c>
      <c r="R234" s="58">
        <v>80</v>
      </c>
      <c r="S234" s="58">
        <v>0</v>
      </c>
      <c r="T234" s="58">
        <v>0</v>
      </c>
      <c r="U234" s="58">
        <v>52</v>
      </c>
      <c r="V234" s="62">
        <v>30</v>
      </c>
      <c r="W234" s="62">
        <v>0</v>
      </c>
      <c r="X234" s="63">
        <f>IFERROR(1 -(Master[[#This Row],[Avg Garment Scans per Delivery]]/Master[[#This Row],[Garment Inventory]]), 0)</f>
        <v>1</v>
      </c>
      <c r="Y234" s="62">
        <v>1</v>
      </c>
      <c r="Z234" s="62">
        <v>32</v>
      </c>
      <c r="AA234" s="53">
        <v>41.153609467455631</v>
      </c>
      <c r="AB234" s="53">
        <v>42.218698224852083</v>
      </c>
      <c r="AC234" s="53">
        <v>42.764556213017762</v>
      </c>
      <c r="AD234" s="53">
        <v>43.569289940828405</v>
      </c>
      <c r="AE234" s="53" t="str">
        <f>_xlfn.XLOOKUP(Master[[#This Row],[cu_id]],'[1]Customer Revenue'!$Q:$Q,'[1]Customer Revenue'!$K:$K, "None")</f>
        <v>None</v>
      </c>
      <c r="AF234" s="53" t="str">
        <f>_xlfn.XLOOKUP(Master[[#This Row],[cu_id]],'[1]Customer Revenue'!$Q:$Q,'[1]Customer Revenue'!$L:$L, "None")</f>
        <v>None</v>
      </c>
      <c r="AG234" s="53">
        <v>41.206863905325449</v>
      </c>
      <c r="AH234" s="53">
        <v>41.819289940828426</v>
      </c>
      <c r="AI234" s="53">
        <v>41.686153846153857</v>
      </c>
      <c r="AJ234" s="53">
        <v>43.166923076923084</v>
      </c>
      <c r="AK234" s="53" t="str">
        <f>_xlfn.XLOOKUP(Master[[#This Row],[cu_id]],'[1]Customer Revenue'!$Q:$Q,'[1]Customer Revenue'!$I:$I, "None")</f>
        <v>None</v>
      </c>
      <c r="AL234" s="53">
        <v>41.513076923076937</v>
      </c>
      <c r="AM234" s="61">
        <v>0.29166666666666669</v>
      </c>
      <c r="AN234" s="60">
        <v>0.70833333333333337</v>
      </c>
      <c r="AO234" s="60" t="s">
        <v>36</v>
      </c>
      <c r="AP234" s="60" t="s">
        <v>36</v>
      </c>
      <c r="AQ234" s="58" t="s">
        <v>0</v>
      </c>
      <c r="AR234" s="58"/>
      <c r="AS234" s="58"/>
      <c r="AT234" s="52">
        <v>0</v>
      </c>
      <c r="AU234" s="52" t="e">
        <f>IF(Master[[#This Row],[RSP StopTime override]] &lt;&gt; "",Master[[#This Row],[RSP StopTime override]],IF(Master[[#This Row],[Avg stop time helper]] &lt;&gt; 0, Master[[#This Row],[Avg stop time helper]],Average_Stop_Time))</f>
        <v>#DIV/0!</v>
      </c>
      <c r="AV234" s="21"/>
      <c r="AW234" s="20">
        <f>Master[[#This Row],[RSP StopTime override]]-Master[[#This Row],[Avg stop time helper]]</f>
        <v>0</v>
      </c>
    </row>
    <row r="235" spans="1:49" x14ac:dyDescent="0.3">
      <c r="A235" s="66" t="s">
        <v>4344</v>
      </c>
      <c r="B235" s="58">
        <v>12</v>
      </c>
      <c r="C235" s="58" t="s">
        <v>10</v>
      </c>
      <c r="D235" s="65">
        <v>499014</v>
      </c>
      <c r="E235" s="65" t="s">
        <v>1171</v>
      </c>
      <c r="F235" s="65" t="s">
        <v>1149</v>
      </c>
      <c r="G235" s="65" t="s">
        <v>3092</v>
      </c>
      <c r="H235" s="65" t="s">
        <v>32</v>
      </c>
      <c r="I235" s="65" t="s">
        <v>50</v>
      </c>
      <c r="J235" s="65" t="s">
        <v>5</v>
      </c>
      <c r="K235" s="65" t="s">
        <v>2215</v>
      </c>
      <c r="L235" s="64" t="s">
        <v>194</v>
      </c>
      <c r="M235" s="58" t="s">
        <v>193</v>
      </c>
      <c r="N235" s="58" t="s">
        <v>2</v>
      </c>
      <c r="O235" s="58">
        <v>50</v>
      </c>
      <c r="P235" s="58">
        <v>0</v>
      </c>
      <c r="Q235" s="58">
        <v>0</v>
      </c>
      <c r="R235" s="58">
        <v>50</v>
      </c>
      <c r="S235" s="58">
        <v>0</v>
      </c>
      <c r="T235" s="58">
        <v>0</v>
      </c>
      <c r="U235" s="58">
        <v>36</v>
      </c>
      <c r="V235" s="62"/>
      <c r="W235" s="62">
        <v>1</v>
      </c>
      <c r="X235" s="63">
        <f>IFERROR(1 -(Master[[#This Row],[Avg Garment Scans per Delivery]]/Master[[#This Row],[Garment Inventory]]), 0)</f>
        <v>0</v>
      </c>
      <c r="Y235" s="62"/>
      <c r="Z235" s="62"/>
      <c r="AA235" s="53">
        <v>28.78</v>
      </c>
      <c r="AB235" s="53">
        <v>34.545000000000002</v>
      </c>
      <c r="AC235" s="53">
        <v>27.247777777777777</v>
      </c>
      <c r="AD235" s="53">
        <v>86.825555555555553</v>
      </c>
      <c r="AE235" s="53" t="str">
        <f>_xlfn.XLOOKUP(Master[[#This Row],[cu_id]],'[1]Customer Revenue'!$Q:$Q,'[1]Customer Revenue'!$K:$K, "None")</f>
        <v>None</v>
      </c>
      <c r="AF235" s="53" t="str">
        <f>_xlfn.XLOOKUP(Master[[#This Row],[cu_id]],'[1]Customer Revenue'!$Q:$Q,'[1]Customer Revenue'!$L:$L, "None")</f>
        <v>None</v>
      </c>
      <c r="AG235" s="53">
        <v>19.319413580246916</v>
      </c>
      <c r="AH235" s="53">
        <v>36.625586419753091</v>
      </c>
      <c r="AI235" s="53">
        <v>31.662500000000001</v>
      </c>
      <c r="AJ235" s="53">
        <v>57.036666666666669</v>
      </c>
      <c r="AK235" s="53" t="str">
        <f>_xlfn.XLOOKUP(Master[[#This Row],[cu_id]],'[1]Customer Revenue'!$Q:$Q,'[1]Customer Revenue'!$I:$I, "None")</f>
        <v>None</v>
      </c>
      <c r="AL235" s="53">
        <v>27.972500000000004</v>
      </c>
      <c r="AM235" s="61">
        <v>0.375</v>
      </c>
      <c r="AN235" s="60">
        <v>0.70833333333333337</v>
      </c>
      <c r="AO235" s="60" t="s">
        <v>36</v>
      </c>
      <c r="AP235" s="60" t="s">
        <v>36</v>
      </c>
      <c r="AQ235" s="58" t="s">
        <v>0</v>
      </c>
      <c r="AR235" s="58"/>
      <c r="AS235" s="58"/>
      <c r="AT235" s="52">
        <v>0</v>
      </c>
      <c r="AU235" s="52" t="e">
        <f>IF(Master[[#This Row],[RSP StopTime override]] &lt;&gt; "",Master[[#This Row],[RSP StopTime override]],IF(Master[[#This Row],[Avg stop time helper]] &lt;&gt; 0, Master[[#This Row],[Avg stop time helper]],Average_Stop_Time))</f>
        <v>#DIV/0!</v>
      </c>
      <c r="AV235" s="21"/>
      <c r="AW235" s="20">
        <f>Master[[#This Row],[RSP StopTime override]]-Master[[#This Row],[Avg stop time helper]]</f>
        <v>0</v>
      </c>
    </row>
    <row r="236" spans="1:49" x14ac:dyDescent="0.3">
      <c r="A236" s="66" t="s">
        <v>4345</v>
      </c>
      <c r="B236" s="58">
        <v>12</v>
      </c>
      <c r="C236" s="58" t="s">
        <v>10</v>
      </c>
      <c r="D236" s="65">
        <v>499014</v>
      </c>
      <c r="E236" s="65" t="s">
        <v>1341</v>
      </c>
      <c r="F236" s="65" t="s">
        <v>3091</v>
      </c>
      <c r="G236" s="65" t="s">
        <v>3090</v>
      </c>
      <c r="H236" s="65" t="s">
        <v>32</v>
      </c>
      <c r="I236" s="65" t="s">
        <v>2956</v>
      </c>
      <c r="J236" s="65" t="s">
        <v>5</v>
      </c>
      <c r="K236" s="65" t="s">
        <v>1972</v>
      </c>
      <c r="L236" s="64" t="s">
        <v>194</v>
      </c>
      <c r="M236" s="58" t="s">
        <v>193</v>
      </c>
      <c r="N236" s="58" t="s">
        <v>2</v>
      </c>
      <c r="O236" s="58">
        <v>105</v>
      </c>
      <c r="P236" s="58">
        <v>0</v>
      </c>
      <c r="Q236" s="58">
        <v>0</v>
      </c>
      <c r="R236" s="58">
        <v>105</v>
      </c>
      <c r="S236" s="58">
        <v>0</v>
      </c>
      <c r="T236" s="58">
        <v>0</v>
      </c>
      <c r="U236" s="58">
        <v>15</v>
      </c>
      <c r="V236" s="62"/>
      <c r="W236" s="62"/>
      <c r="X236" s="63">
        <f>IFERROR(1 -(Master[[#This Row],[Avg Garment Scans per Delivery]]/Master[[#This Row],[Garment Inventory]]), 0)</f>
        <v>0</v>
      </c>
      <c r="Y236" s="62"/>
      <c r="Z236" s="62"/>
      <c r="AA236" s="53">
        <v>38.208750000000002</v>
      </c>
      <c r="AB236" s="53">
        <v>39.896250000000002</v>
      </c>
      <c r="AC236" s="53">
        <v>39.525555555555556</v>
      </c>
      <c r="AD236" s="53">
        <v>40.827777777777783</v>
      </c>
      <c r="AE236" s="53" t="str">
        <f>_xlfn.XLOOKUP(Master[[#This Row],[cu_id]],'[1]Customer Revenue'!$Q:$Q,'[1]Customer Revenue'!$K:$K, "None")</f>
        <v>None</v>
      </c>
      <c r="AF236" s="53" t="str">
        <f>_xlfn.XLOOKUP(Master[[#This Row],[cu_id]],'[1]Customer Revenue'!$Q:$Q,'[1]Customer Revenue'!$L:$L, "None")</f>
        <v>None</v>
      </c>
      <c r="AG236" s="53">
        <v>17.640937500000014</v>
      </c>
      <c r="AH236" s="53">
        <v>116.43656250000001</v>
      </c>
      <c r="AI236" s="53">
        <v>39.052500000000002</v>
      </c>
      <c r="AJ236" s="53">
        <v>40.176666666666669</v>
      </c>
      <c r="AK236" s="53" t="str">
        <f>_xlfn.XLOOKUP(Master[[#This Row],[cu_id]],'[1]Customer Revenue'!$Q:$Q,'[1]Customer Revenue'!$I:$I, "None")</f>
        <v>None</v>
      </c>
      <c r="AL236" s="53">
        <v>67.038750000000007</v>
      </c>
      <c r="AM236" s="61">
        <v>0.375</v>
      </c>
      <c r="AN236" s="60">
        <v>0.70833333333333337</v>
      </c>
      <c r="AO236" s="60" t="s">
        <v>36</v>
      </c>
      <c r="AP236" s="60" t="s">
        <v>36</v>
      </c>
      <c r="AQ236" s="58" t="s">
        <v>0</v>
      </c>
      <c r="AR236" s="58"/>
      <c r="AS236" s="58"/>
      <c r="AT236" s="52">
        <v>0</v>
      </c>
      <c r="AU236" s="52" t="e">
        <f>IF(Master[[#This Row],[RSP StopTime override]] &lt;&gt; "",Master[[#This Row],[RSP StopTime override]],IF(Master[[#This Row],[Avg stop time helper]] &lt;&gt; 0, Master[[#This Row],[Avg stop time helper]],Average_Stop_Time))</f>
        <v>#DIV/0!</v>
      </c>
      <c r="AV236" s="21"/>
      <c r="AW236" s="20">
        <f>Master[[#This Row],[RSP StopTime override]]-Master[[#This Row],[Avg stop time helper]]</f>
        <v>0</v>
      </c>
    </row>
    <row r="237" spans="1:49" x14ac:dyDescent="0.3">
      <c r="A237" s="66" t="s">
        <v>4346</v>
      </c>
      <c r="B237" s="58">
        <v>12</v>
      </c>
      <c r="C237" s="58" t="s">
        <v>10</v>
      </c>
      <c r="D237" s="65">
        <v>518856</v>
      </c>
      <c r="E237" s="65" t="s">
        <v>42</v>
      </c>
      <c r="F237" s="65" t="s">
        <v>3089</v>
      </c>
      <c r="G237" s="65" t="s">
        <v>3088</v>
      </c>
      <c r="H237" s="65" t="s">
        <v>32</v>
      </c>
      <c r="I237" s="65" t="s">
        <v>2966</v>
      </c>
      <c r="J237" s="65" t="s">
        <v>5</v>
      </c>
      <c r="K237" s="65" t="s">
        <v>2215</v>
      </c>
      <c r="L237" s="64" t="s">
        <v>124</v>
      </c>
      <c r="M237" s="58" t="s">
        <v>123</v>
      </c>
      <c r="N237" s="58" t="s">
        <v>2</v>
      </c>
      <c r="O237" s="58">
        <v>112</v>
      </c>
      <c r="P237" s="58">
        <v>0</v>
      </c>
      <c r="Q237" s="58">
        <v>0</v>
      </c>
      <c r="R237" s="58">
        <v>112</v>
      </c>
      <c r="S237" s="58">
        <v>0</v>
      </c>
      <c r="T237" s="58">
        <v>0</v>
      </c>
      <c r="U237" s="58">
        <v>10</v>
      </c>
      <c r="V237" s="62"/>
      <c r="W237" s="62"/>
      <c r="X237" s="63">
        <f>IFERROR(1 -(Master[[#This Row],[Avg Garment Scans per Delivery]]/Master[[#This Row],[Garment Inventory]]), 0)</f>
        <v>0</v>
      </c>
      <c r="Y237" s="62"/>
      <c r="Z237" s="62"/>
      <c r="AA237" s="53">
        <v>114.42111111111112</v>
      </c>
      <c r="AB237" s="53">
        <v>122.49222222222221</v>
      </c>
      <c r="AC237" s="53">
        <v>116.00888888888889</v>
      </c>
      <c r="AD237" s="53">
        <v>131.77777777777777</v>
      </c>
      <c r="AE237" s="53" t="str">
        <f>_xlfn.XLOOKUP(Master[[#This Row],[cu_id]],'[1]Customer Revenue'!$Q:$Q,'[1]Customer Revenue'!$K:$K, "None")</f>
        <v>None</v>
      </c>
      <c r="AF237" s="53" t="str">
        <f>_xlfn.XLOOKUP(Master[[#This Row],[cu_id]],'[1]Customer Revenue'!$Q:$Q,'[1]Customer Revenue'!$L:$L, "None")</f>
        <v>None</v>
      </c>
      <c r="AG237" s="53">
        <v>100.41316326530611</v>
      </c>
      <c r="AH237" s="53">
        <v>203.39683673469389</v>
      </c>
      <c r="AI237" s="53">
        <v>118.45666666666666</v>
      </c>
      <c r="AJ237" s="53">
        <v>123.89333333333333</v>
      </c>
      <c r="AK237" s="53" t="str">
        <f>_xlfn.XLOOKUP(Master[[#This Row],[cu_id]],'[1]Customer Revenue'!$Q:$Q,'[1]Customer Revenue'!$I:$I, "None")</f>
        <v>None</v>
      </c>
      <c r="AL237" s="53">
        <v>151.905</v>
      </c>
      <c r="AM237" s="61">
        <v>0.33333333333333331</v>
      </c>
      <c r="AN237" s="60">
        <v>0.70833333333333337</v>
      </c>
      <c r="AO237" s="60" t="s">
        <v>36</v>
      </c>
      <c r="AP237" s="60" t="s">
        <v>36</v>
      </c>
      <c r="AQ237" s="58" t="s">
        <v>0</v>
      </c>
      <c r="AR237" s="58"/>
      <c r="AS237" s="58"/>
      <c r="AT237" s="52">
        <v>0</v>
      </c>
      <c r="AU237" s="52" t="e">
        <f>IF(Master[[#This Row],[RSP StopTime override]] &lt;&gt; "",Master[[#This Row],[RSP StopTime override]],IF(Master[[#This Row],[Avg stop time helper]] &lt;&gt; 0, Master[[#This Row],[Avg stop time helper]],Average_Stop_Time))</f>
        <v>#DIV/0!</v>
      </c>
      <c r="AV237" s="21"/>
      <c r="AW237" s="20">
        <f>Master[[#This Row],[RSP StopTime override]]-Master[[#This Row],[Avg stop time helper]]</f>
        <v>0</v>
      </c>
    </row>
    <row r="238" spans="1:49" x14ac:dyDescent="0.3">
      <c r="A238" s="66" t="s">
        <v>4347</v>
      </c>
      <c r="B238" s="58">
        <v>12</v>
      </c>
      <c r="C238" s="58" t="s">
        <v>10</v>
      </c>
      <c r="D238" s="65">
        <v>521644</v>
      </c>
      <c r="E238" s="65" t="s">
        <v>42</v>
      </c>
      <c r="F238" s="65" t="s">
        <v>3087</v>
      </c>
      <c r="G238" s="65" t="s">
        <v>3086</v>
      </c>
      <c r="H238" s="65" t="s">
        <v>32</v>
      </c>
      <c r="I238" s="65" t="s">
        <v>2966</v>
      </c>
      <c r="J238" s="65" t="s">
        <v>5</v>
      </c>
      <c r="K238" s="65" t="s">
        <v>2215</v>
      </c>
      <c r="L238" s="64" t="s">
        <v>124</v>
      </c>
      <c r="M238" s="58" t="s">
        <v>123</v>
      </c>
      <c r="N238" s="58" t="s">
        <v>2</v>
      </c>
      <c r="O238" s="58">
        <v>142</v>
      </c>
      <c r="P238" s="58">
        <v>0</v>
      </c>
      <c r="Q238" s="58">
        <v>0</v>
      </c>
      <c r="R238" s="58">
        <v>142</v>
      </c>
      <c r="S238" s="58">
        <v>0</v>
      </c>
      <c r="T238" s="58">
        <v>0</v>
      </c>
      <c r="U238" s="58">
        <v>13</v>
      </c>
      <c r="V238" s="62"/>
      <c r="W238" s="62"/>
      <c r="X238" s="63">
        <f>IFERROR(1 -(Master[[#This Row],[Avg Garment Scans per Delivery]]/Master[[#This Row],[Garment Inventory]]), 0)</f>
        <v>0</v>
      </c>
      <c r="Y238" s="62"/>
      <c r="Z238" s="62"/>
      <c r="AA238" s="53">
        <v>63.655555555555551</v>
      </c>
      <c r="AB238" s="53">
        <v>67.437777777777782</v>
      </c>
      <c r="AC238" s="53">
        <v>67.715555555555554</v>
      </c>
      <c r="AD238" s="53">
        <v>70.711111111111094</v>
      </c>
      <c r="AE238" s="53" t="str">
        <f>_xlfn.XLOOKUP(Master[[#This Row],[cu_id]],'[1]Customer Revenue'!$Q:$Q,'[1]Customer Revenue'!$K:$K, "None")</f>
        <v>None</v>
      </c>
      <c r="AF238" s="53" t="str">
        <f>_xlfn.XLOOKUP(Master[[#This Row],[cu_id]],'[1]Customer Revenue'!$Q:$Q,'[1]Customer Revenue'!$L:$L, "None")</f>
        <v>None</v>
      </c>
      <c r="AG238" s="53">
        <v>62.237222222222222</v>
      </c>
      <c r="AH238" s="53">
        <v>66.019444444444446</v>
      </c>
      <c r="AI238" s="53">
        <v>65.546666666666667</v>
      </c>
      <c r="AJ238" s="53">
        <v>69.213333333333324</v>
      </c>
      <c r="AK238" s="53" t="str">
        <f>_xlfn.XLOOKUP(Master[[#This Row],[cu_id]],'[1]Customer Revenue'!$Q:$Q,'[1]Customer Revenue'!$I:$I, "None")</f>
        <v>None</v>
      </c>
      <c r="AL238" s="53">
        <v>64.12833333333333</v>
      </c>
      <c r="AM238" s="61">
        <v>0.375</v>
      </c>
      <c r="AN238" s="60">
        <v>0.70833333333333337</v>
      </c>
      <c r="AO238" s="60" t="s">
        <v>36</v>
      </c>
      <c r="AP238" s="60" t="s">
        <v>36</v>
      </c>
      <c r="AQ238" s="58" t="s">
        <v>0</v>
      </c>
      <c r="AR238" s="58"/>
      <c r="AS238" s="58"/>
      <c r="AT238" s="52">
        <v>0</v>
      </c>
      <c r="AU238" s="52" t="e">
        <f>IF(Master[[#This Row],[RSP StopTime override]] &lt;&gt; "",Master[[#This Row],[RSP StopTime override]],IF(Master[[#This Row],[Avg stop time helper]] &lt;&gt; 0, Master[[#This Row],[Avg stop time helper]],Average_Stop_Time))</f>
        <v>#DIV/0!</v>
      </c>
      <c r="AV238" s="21"/>
      <c r="AW238" s="20">
        <f>Master[[#This Row],[RSP StopTime override]]-Master[[#This Row],[Avg stop time helper]]</f>
        <v>0</v>
      </c>
    </row>
    <row r="239" spans="1:49" x14ac:dyDescent="0.3">
      <c r="A239" s="66" t="s">
        <v>4348</v>
      </c>
      <c r="B239" s="58">
        <v>12</v>
      </c>
      <c r="C239" s="58" t="s">
        <v>10</v>
      </c>
      <c r="D239" s="65">
        <v>523798</v>
      </c>
      <c r="E239" s="65" t="s">
        <v>42</v>
      </c>
      <c r="F239" s="65" t="s">
        <v>3085</v>
      </c>
      <c r="G239" s="65" t="s">
        <v>3084</v>
      </c>
      <c r="H239" s="65" t="s">
        <v>7</v>
      </c>
      <c r="I239" s="65" t="s">
        <v>2966</v>
      </c>
      <c r="J239" s="65" t="s">
        <v>5</v>
      </c>
      <c r="K239" s="65" t="s">
        <v>1972</v>
      </c>
      <c r="L239" s="64" t="s">
        <v>91</v>
      </c>
      <c r="M239" s="58" t="s">
        <v>90</v>
      </c>
      <c r="N239" s="58" t="s">
        <v>2</v>
      </c>
      <c r="O239" s="58">
        <v>165</v>
      </c>
      <c r="P239" s="58">
        <v>0</v>
      </c>
      <c r="Q239" s="58">
        <v>0</v>
      </c>
      <c r="R239" s="58">
        <v>165</v>
      </c>
      <c r="S239" s="58">
        <v>0</v>
      </c>
      <c r="T239" s="58">
        <v>0</v>
      </c>
      <c r="U239" s="58">
        <v>25</v>
      </c>
      <c r="V239" s="62"/>
      <c r="W239" s="62"/>
      <c r="X239" s="63">
        <f>IFERROR(1 -(Master[[#This Row],[Avg Garment Scans per Delivery]]/Master[[#This Row],[Garment Inventory]]), 0)</f>
        <v>0</v>
      </c>
      <c r="Y239" s="62"/>
      <c r="Z239" s="62"/>
      <c r="AA239" s="53">
        <v>44.616360544217684</v>
      </c>
      <c r="AB239" s="53">
        <v>105.94697278911565</v>
      </c>
      <c r="AC239" s="53">
        <v>52.550000000000011</v>
      </c>
      <c r="AD239" s="53">
        <v>94.78</v>
      </c>
      <c r="AE239" s="53" t="str">
        <f>_xlfn.XLOOKUP(Master[[#This Row],[cu_id]],'[1]Customer Revenue'!$Q:$Q,'[1]Customer Revenue'!$K:$K, "None")</f>
        <v>None</v>
      </c>
      <c r="AF239" s="53" t="str">
        <f>_xlfn.XLOOKUP(Master[[#This Row],[cu_id]],'[1]Customer Revenue'!$Q:$Q,'[1]Customer Revenue'!$L:$L, "None")</f>
        <v>None</v>
      </c>
      <c r="AG239" s="53">
        <v>42.981691321499007</v>
      </c>
      <c r="AH239" s="53">
        <v>95.38997534516767</v>
      </c>
      <c r="AI239" s="53">
        <v>75.281666666666666</v>
      </c>
      <c r="AJ239" s="53">
        <v>73.665000000000006</v>
      </c>
      <c r="AK239" s="53" t="str">
        <f>_xlfn.XLOOKUP(Master[[#This Row],[cu_id]],'[1]Customer Revenue'!$Q:$Q,'[1]Customer Revenue'!$I:$I, "None")</f>
        <v>None</v>
      </c>
      <c r="AL239" s="53">
        <v>69.185833333333335</v>
      </c>
      <c r="AM239" s="61">
        <v>0.4375</v>
      </c>
      <c r="AN239" s="60">
        <v>0.70833333333333337</v>
      </c>
      <c r="AO239" s="60" t="s">
        <v>36</v>
      </c>
      <c r="AP239" s="60" t="s">
        <v>36</v>
      </c>
      <c r="AQ239" s="58" t="s">
        <v>0</v>
      </c>
      <c r="AR239" s="58"/>
      <c r="AS239" s="58"/>
      <c r="AT239" s="52">
        <v>0</v>
      </c>
      <c r="AU239" s="52" t="e">
        <f>IF(Master[[#This Row],[RSP StopTime override]] &lt;&gt; "",Master[[#This Row],[RSP StopTime override]],IF(Master[[#This Row],[Avg stop time helper]] &lt;&gt; 0, Master[[#This Row],[Avg stop time helper]],Average_Stop_Time))</f>
        <v>#DIV/0!</v>
      </c>
      <c r="AV239" s="21"/>
      <c r="AW239" s="20">
        <f>Master[[#This Row],[RSP StopTime override]]-Master[[#This Row],[Avg stop time helper]]</f>
        <v>0</v>
      </c>
    </row>
    <row r="240" spans="1:49" x14ac:dyDescent="0.3">
      <c r="A240" s="66" t="s">
        <v>4009</v>
      </c>
      <c r="B240" s="58">
        <v>12</v>
      </c>
      <c r="C240" s="58" t="s">
        <v>10</v>
      </c>
      <c r="D240" s="65">
        <v>524057</v>
      </c>
      <c r="E240" s="65" t="s">
        <v>42</v>
      </c>
      <c r="F240" s="65" t="s">
        <v>3609</v>
      </c>
      <c r="G240" s="65" t="s">
        <v>3083</v>
      </c>
      <c r="H240" s="65" t="s">
        <v>32</v>
      </c>
      <c r="I240" s="65" t="s">
        <v>50</v>
      </c>
      <c r="J240" s="65" t="s">
        <v>5</v>
      </c>
      <c r="K240" s="65" t="s">
        <v>2215</v>
      </c>
      <c r="L240" s="64" t="s">
        <v>141</v>
      </c>
      <c r="M240" s="58" t="s">
        <v>140</v>
      </c>
      <c r="N240" s="58" t="s">
        <v>2</v>
      </c>
      <c r="O240" s="58">
        <v>40</v>
      </c>
      <c r="P240" s="58">
        <v>0</v>
      </c>
      <c r="Q240" s="58">
        <v>0</v>
      </c>
      <c r="R240" s="58">
        <v>40</v>
      </c>
      <c r="S240" s="58">
        <v>0</v>
      </c>
      <c r="T240" s="58">
        <v>0</v>
      </c>
      <c r="U240" s="58">
        <v>13</v>
      </c>
      <c r="V240" s="62"/>
      <c r="W240" s="62"/>
      <c r="X240" s="63">
        <f>IFERROR(1 -(Master[[#This Row],[Avg Garment Scans per Delivery]]/Master[[#This Row],[Garment Inventory]]), 0)</f>
        <v>0</v>
      </c>
      <c r="Y240" s="62"/>
      <c r="Z240" s="62"/>
      <c r="AA240" s="53">
        <v>137.49</v>
      </c>
      <c r="AB240" s="53">
        <v>139.49</v>
      </c>
      <c r="AC240" s="53">
        <v>139.42777777777778</v>
      </c>
      <c r="AD240" s="53">
        <v>143.92555555555558</v>
      </c>
      <c r="AE240" s="53" t="str">
        <f>_xlfn.XLOOKUP(Master[[#This Row],[cu_id]],'[1]Customer Revenue'!$Q:$Q,'[1]Customer Revenue'!$K:$K, "None")</f>
        <v>None</v>
      </c>
      <c r="AF240" s="53" t="str">
        <f>_xlfn.XLOOKUP(Master[[#This Row],[cu_id]],'[1]Customer Revenue'!$Q:$Q,'[1]Customer Revenue'!$L:$L, "None")</f>
        <v>None</v>
      </c>
      <c r="AG240" s="53">
        <v>137.51040816326531</v>
      </c>
      <c r="AH240" s="53">
        <v>138.61244897959187</v>
      </c>
      <c r="AI240" s="53">
        <v>138.49</v>
      </c>
      <c r="AJ240" s="53">
        <v>141.67666666666668</v>
      </c>
      <c r="AK240" s="53" t="str">
        <f>_xlfn.XLOOKUP(Master[[#This Row],[cu_id]],'[1]Customer Revenue'!$Q:$Q,'[1]Customer Revenue'!$I:$I, "None")</f>
        <v>None</v>
      </c>
      <c r="AL240" s="53">
        <v>138.06142857142859</v>
      </c>
      <c r="AM240" s="61">
        <v>0.33333333333333331</v>
      </c>
      <c r="AN240" s="60">
        <v>0.66666666666666663</v>
      </c>
      <c r="AO240" s="60" t="s">
        <v>36</v>
      </c>
      <c r="AP240" s="60" t="s">
        <v>36</v>
      </c>
      <c r="AQ240" s="58" t="s">
        <v>0</v>
      </c>
      <c r="AR240" s="58"/>
      <c r="AS240" s="58"/>
      <c r="AT240" s="52">
        <v>0</v>
      </c>
      <c r="AU240" s="52" t="e">
        <f>IF(Master[[#This Row],[RSP StopTime override]] &lt;&gt; "",Master[[#This Row],[RSP StopTime override]],IF(Master[[#This Row],[Avg stop time helper]] &lt;&gt; 0, Master[[#This Row],[Avg stop time helper]],Average_Stop_Time))</f>
        <v>#DIV/0!</v>
      </c>
      <c r="AV240" s="21"/>
      <c r="AW240" s="20">
        <f>Master[[#This Row],[RSP StopTime override]]-Master[[#This Row],[Avg stop time helper]]</f>
        <v>0</v>
      </c>
    </row>
    <row r="241" spans="1:49" x14ac:dyDescent="0.3">
      <c r="A241" s="66" t="s">
        <v>4349</v>
      </c>
      <c r="B241" s="58">
        <v>12</v>
      </c>
      <c r="C241" s="58" t="s">
        <v>10</v>
      </c>
      <c r="D241" s="65">
        <v>524079</v>
      </c>
      <c r="E241" s="65" t="s">
        <v>42</v>
      </c>
      <c r="F241" s="65" t="s">
        <v>56</v>
      </c>
      <c r="G241" s="65" t="s">
        <v>55</v>
      </c>
      <c r="H241" s="65" t="s">
        <v>32</v>
      </c>
      <c r="I241" s="65" t="s">
        <v>54</v>
      </c>
      <c r="J241" s="65" t="s">
        <v>5</v>
      </c>
      <c r="K241" s="65" t="s">
        <v>53</v>
      </c>
      <c r="L241" s="64" t="s">
        <v>67</v>
      </c>
      <c r="M241" s="58" t="s">
        <v>3</v>
      </c>
      <c r="N241" s="58" t="s">
        <v>2</v>
      </c>
      <c r="O241" s="58">
        <v>21</v>
      </c>
      <c r="P241" s="58">
        <v>0</v>
      </c>
      <c r="Q241" s="58">
        <v>0</v>
      </c>
      <c r="R241" s="58">
        <v>21</v>
      </c>
      <c r="S241" s="58">
        <v>0</v>
      </c>
      <c r="T241" s="58">
        <v>0</v>
      </c>
      <c r="U241" s="58">
        <v>50</v>
      </c>
      <c r="V241" s="62">
        <v>545</v>
      </c>
      <c r="W241" s="62">
        <v>103</v>
      </c>
      <c r="X241" s="63">
        <f>IFERROR(1 -(Master[[#This Row],[Avg Garment Scans per Delivery]]/Master[[#This Row],[Garment Inventory]]), 0)</f>
        <v>0.81100917431192654</v>
      </c>
      <c r="Y241" s="62">
        <v>24</v>
      </c>
      <c r="Z241" s="62">
        <v>570</v>
      </c>
      <c r="AA241" s="53">
        <v>225.98036578805807</v>
      </c>
      <c r="AB241" s="53">
        <v>385.07054330285098</v>
      </c>
      <c r="AC241" s="53">
        <v>317.47579881656804</v>
      </c>
      <c r="AD241" s="53">
        <v>338.35958579881651</v>
      </c>
      <c r="AE241" s="53" t="str">
        <f>_xlfn.XLOOKUP(Master[[#This Row],[cu_id]],'[1]Customer Revenue'!$Q:$Q,'[1]Customer Revenue'!$K:$K, "None")</f>
        <v>None</v>
      </c>
      <c r="AF241" s="53" t="str">
        <f>_xlfn.XLOOKUP(Master[[#This Row],[cu_id]],'[1]Customer Revenue'!$Q:$Q,'[1]Customer Revenue'!$L:$L, "None")</f>
        <v>None</v>
      </c>
      <c r="AG241" s="53">
        <v>253.37427268244579</v>
      </c>
      <c r="AH241" s="53">
        <v>337.24989398422093</v>
      </c>
      <c r="AI241" s="53">
        <v>305.52545454545452</v>
      </c>
      <c r="AJ241" s="53">
        <v>327.91769230769228</v>
      </c>
      <c r="AK241" s="53" t="str">
        <f>_xlfn.XLOOKUP(Master[[#This Row],[cu_id]],'[1]Customer Revenue'!$Q:$Q,'[1]Customer Revenue'!$I:$I, "None")</f>
        <v>None</v>
      </c>
      <c r="AL241" s="53">
        <v>295.31208333333336</v>
      </c>
      <c r="AM241" s="61">
        <v>0.29166666666666669</v>
      </c>
      <c r="AN241" s="60">
        <v>0.70833333333333337</v>
      </c>
      <c r="AO241" s="60" t="s">
        <v>36</v>
      </c>
      <c r="AP241" s="60" t="s">
        <v>36</v>
      </c>
      <c r="AQ241" s="58" t="s">
        <v>0</v>
      </c>
      <c r="AR241" s="58"/>
      <c r="AS241" s="58"/>
      <c r="AT241" s="52">
        <v>0</v>
      </c>
      <c r="AU241" s="52" t="e">
        <f>IF(Master[[#This Row],[RSP StopTime override]] &lt;&gt; "",Master[[#This Row],[RSP StopTime override]],IF(Master[[#This Row],[Avg stop time helper]] &lt;&gt; 0, Master[[#This Row],[Avg stop time helper]],Average_Stop_Time))</f>
        <v>#DIV/0!</v>
      </c>
      <c r="AV241" s="21"/>
      <c r="AW241" s="20">
        <f>Master[[#This Row],[RSP StopTime override]]-Master[[#This Row],[Avg stop time helper]]</f>
        <v>0</v>
      </c>
    </row>
    <row r="242" spans="1:49" x14ac:dyDescent="0.3">
      <c r="A242" s="66" t="s">
        <v>4350</v>
      </c>
      <c r="B242" s="58">
        <v>12</v>
      </c>
      <c r="C242" s="58" t="s">
        <v>10</v>
      </c>
      <c r="D242" s="65">
        <v>524080</v>
      </c>
      <c r="E242" s="65" t="s">
        <v>42</v>
      </c>
      <c r="F242" s="65" t="s">
        <v>3082</v>
      </c>
      <c r="G242" s="65" t="s">
        <v>55</v>
      </c>
      <c r="H242" s="65" t="s">
        <v>32</v>
      </c>
      <c r="I242" s="65" t="s">
        <v>54</v>
      </c>
      <c r="J242" s="65" t="s">
        <v>5</v>
      </c>
      <c r="K242" s="65" t="s">
        <v>53</v>
      </c>
      <c r="L242" s="64" t="s">
        <v>67</v>
      </c>
      <c r="M242" s="58" t="s">
        <v>3</v>
      </c>
      <c r="N242" s="58" t="s">
        <v>2</v>
      </c>
      <c r="O242" s="58">
        <v>20</v>
      </c>
      <c r="P242" s="58">
        <v>0</v>
      </c>
      <c r="Q242" s="58">
        <v>0</v>
      </c>
      <c r="R242" s="58">
        <v>20</v>
      </c>
      <c r="S242" s="58">
        <v>0</v>
      </c>
      <c r="T242" s="58">
        <v>0</v>
      </c>
      <c r="U242" s="58">
        <v>52</v>
      </c>
      <c r="V242" s="62"/>
      <c r="W242" s="62"/>
      <c r="X242" s="63">
        <f>IFERROR(1 -(Master[[#This Row],[Avg Garment Scans per Delivery]]/Master[[#This Row],[Garment Inventory]]), 0)</f>
        <v>0</v>
      </c>
      <c r="Y242" s="62"/>
      <c r="Z242" s="62"/>
      <c r="AA242" s="53">
        <v>21.558402366863906</v>
      </c>
      <c r="AB242" s="53">
        <v>23.495443786982253</v>
      </c>
      <c r="AC242" s="53">
        <v>24.202721893491127</v>
      </c>
      <c r="AD242" s="53">
        <v>26.08650887573965</v>
      </c>
      <c r="AE242" s="53" t="str">
        <f>_xlfn.XLOOKUP(Master[[#This Row],[cu_id]],'[1]Customer Revenue'!$Q:$Q,'[1]Customer Revenue'!$K:$K, "None")</f>
        <v>None</v>
      </c>
      <c r="AF242" s="53" t="str">
        <f>_xlfn.XLOOKUP(Master[[#This Row],[cu_id]],'[1]Customer Revenue'!$Q:$Q,'[1]Customer Revenue'!$L:$L, "None")</f>
        <v>None</v>
      </c>
      <c r="AG242" s="53">
        <v>21.497869822485207</v>
      </c>
      <c r="AH242" s="53">
        <v>22.769053254437878</v>
      </c>
      <c r="AI242" s="53">
        <v>22.526923076923079</v>
      </c>
      <c r="AJ242" s="53">
        <v>25.144615384615388</v>
      </c>
      <c r="AK242" s="53" t="str">
        <f>_xlfn.XLOOKUP(Master[[#This Row],[cu_id]],'[1]Customer Revenue'!$Q:$Q,'[1]Customer Revenue'!$I:$I, "None")</f>
        <v>None</v>
      </c>
      <c r="AL242" s="53">
        <v>22.133461538461543</v>
      </c>
      <c r="AM242" s="61">
        <v>0.29166666666666669</v>
      </c>
      <c r="AN242" s="60">
        <v>0.70833333333333337</v>
      </c>
      <c r="AO242" s="60" t="s">
        <v>36</v>
      </c>
      <c r="AP242" s="60" t="s">
        <v>36</v>
      </c>
      <c r="AQ242" s="58" t="s">
        <v>0</v>
      </c>
      <c r="AR242" s="58"/>
      <c r="AS242" s="58"/>
      <c r="AT242" s="52">
        <v>0</v>
      </c>
      <c r="AU242" s="52" t="e">
        <f>IF(Master[[#This Row],[RSP StopTime override]] &lt;&gt; "",Master[[#This Row],[RSP StopTime override]],IF(Master[[#This Row],[Avg stop time helper]] &lt;&gt; 0, Master[[#This Row],[Avg stop time helper]],Average_Stop_Time))</f>
        <v>#DIV/0!</v>
      </c>
      <c r="AV242" s="21"/>
      <c r="AW242" s="20">
        <f>Master[[#This Row],[RSP StopTime override]]-Master[[#This Row],[Avg stop time helper]]</f>
        <v>0</v>
      </c>
    </row>
    <row r="243" spans="1:49" x14ac:dyDescent="0.3">
      <c r="A243" s="66" t="s">
        <v>3081</v>
      </c>
      <c r="B243" s="58">
        <v>51</v>
      </c>
      <c r="C243" s="58" t="s">
        <v>15</v>
      </c>
      <c r="D243" s="65">
        <v>520888</v>
      </c>
      <c r="E243" s="65" t="s">
        <v>42</v>
      </c>
      <c r="F243" s="65" t="s">
        <v>52</v>
      </c>
      <c r="G243" s="65" t="s">
        <v>51</v>
      </c>
      <c r="H243" s="65" t="s">
        <v>32</v>
      </c>
      <c r="I243" s="65" t="s">
        <v>50</v>
      </c>
      <c r="J243" s="65" t="s">
        <v>5</v>
      </c>
      <c r="K243" s="65" t="s">
        <v>49</v>
      </c>
      <c r="L243" s="64" t="s">
        <v>37</v>
      </c>
      <c r="M243" s="58" t="s">
        <v>3</v>
      </c>
      <c r="N243" s="58" t="s">
        <v>2</v>
      </c>
      <c r="O243" s="58">
        <v>105</v>
      </c>
      <c r="P243" s="58">
        <v>105</v>
      </c>
      <c r="Q243" s="58">
        <v>0</v>
      </c>
      <c r="R243" s="58">
        <v>70</v>
      </c>
      <c r="S243" s="58">
        <v>0</v>
      </c>
      <c r="T243" s="58">
        <v>280</v>
      </c>
      <c r="U243" s="58">
        <v>28</v>
      </c>
      <c r="V243" s="62"/>
      <c r="W243" s="62"/>
      <c r="X243" s="63">
        <f>IFERROR(1 -(Master[[#This Row],[Avg Garment Scans per Delivery]]/Master[[#This Row],[Garment Inventory]]), 0)</f>
        <v>0</v>
      </c>
      <c r="Y243" s="62"/>
      <c r="Z243" s="62"/>
      <c r="AA243" s="53"/>
      <c r="AB243" s="53"/>
      <c r="AC243" s="53">
        <v>271.43642011834322</v>
      </c>
      <c r="AD243" s="53">
        <v>674.39357988165682</v>
      </c>
      <c r="AE243" s="53">
        <v>196.39</v>
      </c>
      <c r="AF243" s="53">
        <v>539.73</v>
      </c>
      <c r="AG243" s="53"/>
      <c r="AH243" s="53"/>
      <c r="AI243" s="53"/>
      <c r="AJ243" s="53">
        <v>472.91500000000002</v>
      </c>
      <c r="AK243" s="53">
        <v>368</v>
      </c>
      <c r="AL243" s="53"/>
      <c r="AM243" s="61">
        <v>0.20833333333333334</v>
      </c>
      <c r="AN243" s="60">
        <v>0.83333333333333337</v>
      </c>
      <c r="AO243" s="60" t="s">
        <v>36</v>
      </c>
      <c r="AP243" s="60" t="s">
        <v>36</v>
      </c>
      <c r="AQ243" s="58" t="s">
        <v>308</v>
      </c>
      <c r="AR243" s="58"/>
      <c r="AS243" s="58"/>
      <c r="AT243" s="52">
        <v>0</v>
      </c>
      <c r="AU243" s="52" t="e">
        <f>IF(Master[[#This Row],[RSP StopTime override]] &lt;&gt; "",Master[[#This Row],[RSP StopTime override]],IF(Master[[#This Row],[Avg stop time helper]] &lt;&gt; 0, Master[[#This Row],[Avg stop time helper]],Average_Stop_Time))</f>
        <v>#DIV/0!</v>
      </c>
      <c r="AV243" s="21"/>
      <c r="AW243" s="20">
        <f>Master[[#This Row],[RSP StopTime override]]-Master[[#This Row],[Avg stop time helper]]</f>
        <v>0</v>
      </c>
    </row>
    <row r="244" spans="1:49" x14ac:dyDescent="0.3">
      <c r="A244" s="66" t="s">
        <v>4351</v>
      </c>
      <c r="B244" s="58">
        <v>12</v>
      </c>
      <c r="C244" s="58" t="s">
        <v>10</v>
      </c>
      <c r="D244" s="65">
        <v>524082</v>
      </c>
      <c r="E244" s="65" t="s">
        <v>42</v>
      </c>
      <c r="F244" s="65" t="s">
        <v>3080</v>
      </c>
      <c r="G244" s="65" t="s">
        <v>3079</v>
      </c>
      <c r="H244" s="65" t="s">
        <v>32</v>
      </c>
      <c r="I244" s="65" t="s">
        <v>54</v>
      </c>
      <c r="J244" s="65" t="s">
        <v>5</v>
      </c>
      <c r="K244" s="65" t="s">
        <v>53</v>
      </c>
      <c r="L244" s="64" t="s">
        <v>67</v>
      </c>
      <c r="M244" s="58" t="s">
        <v>3</v>
      </c>
      <c r="N244" s="58" t="s">
        <v>2</v>
      </c>
      <c r="O244" s="58">
        <v>22</v>
      </c>
      <c r="P244" s="58">
        <v>0</v>
      </c>
      <c r="Q244" s="58">
        <v>0</v>
      </c>
      <c r="R244" s="58">
        <v>22</v>
      </c>
      <c r="S244" s="58">
        <v>0</v>
      </c>
      <c r="T244" s="58">
        <v>0</v>
      </c>
      <c r="U244" s="58">
        <v>52</v>
      </c>
      <c r="V244" s="62">
        <v>88</v>
      </c>
      <c r="W244" s="62">
        <v>14</v>
      </c>
      <c r="X244" s="63">
        <f>IFERROR(1 -(Master[[#This Row],[Avg Garment Scans per Delivery]]/Master[[#This Row],[Garment Inventory]]), 0)</f>
        <v>0.84090909090909094</v>
      </c>
      <c r="Y244" s="62">
        <v>4</v>
      </c>
      <c r="Z244" s="62">
        <v>88</v>
      </c>
      <c r="AA244" s="53">
        <v>43.356923076923074</v>
      </c>
      <c r="AB244" s="53">
        <v>46.803076923076922</v>
      </c>
      <c r="AC244" s="53">
        <v>15.862603550295859</v>
      </c>
      <c r="AD244" s="53">
        <v>228.81431952662717</v>
      </c>
      <c r="AE244" s="53" t="str">
        <f>_xlfn.XLOOKUP(Master[[#This Row],[cu_id]],'[1]Customer Revenue'!$Q:$Q,'[1]Customer Revenue'!$K:$K, "None")</f>
        <v>None</v>
      </c>
      <c r="AF244" s="53" t="str">
        <f>_xlfn.XLOOKUP(Master[[#This Row],[cu_id]],'[1]Customer Revenue'!$Q:$Q,'[1]Customer Revenue'!$L:$L, "None")</f>
        <v>None</v>
      </c>
      <c r="AG244" s="53">
        <v>43.249230769230763</v>
      </c>
      <c r="AH244" s="53">
        <v>45.510769230769199</v>
      </c>
      <c r="AI244" s="53">
        <v>45.08</v>
      </c>
      <c r="AJ244" s="53">
        <v>122.33846153846152</v>
      </c>
      <c r="AK244" s="53" t="str">
        <f>_xlfn.XLOOKUP(Master[[#This Row],[cu_id]],'[1]Customer Revenue'!$Q:$Q,'[1]Customer Revenue'!$I:$I, "None")</f>
        <v>None</v>
      </c>
      <c r="AL244" s="53">
        <v>44.379999999999981</v>
      </c>
      <c r="AM244" s="61">
        <v>0.29166666666666669</v>
      </c>
      <c r="AN244" s="60">
        <v>0.70833333333333337</v>
      </c>
      <c r="AO244" s="60" t="s">
        <v>36</v>
      </c>
      <c r="AP244" s="60" t="s">
        <v>36</v>
      </c>
      <c r="AQ244" s="58" t="s">
        <v>0</v>
      </c>
      <c r="AR244" s="58"/>
      <c r="AS244" s="58"/>
      <c r="AT244" s="52">
        <v>0</v>
      </c>
      <c r="AU244" s="52" t="e">
        <f>IF(Master[[#This Row],[RSP StopTime override]] &lt;&gt; "",Master[[#This Row],[RSP StopTime override]],IF(Master[[#This Row],[Avg stop time helper]] &lt;&gt; 0, Master[[#This Row],[Avg stop time helper]],Average_Stop_Time))</f>
        <v>#DIV/0!</v>
      </c>
      <c r="AV244" s="21"/>
      <c r="AW244" s="20">
        <f>Master[[#This Row],[RSP StopTime override]]-Master[[#This Row],[Avg stop time helper]]</f>
        <v>0</v>
      </c>
    </row>
    <row r="245" spans="1:49" x14ac:dyDescent="0.3">
      <c r="A245" s="66" t="s">
        <v>4352</v>
      </c>
      <c r="B245" s="58">
        <v>12</v>
      </c>
      <c r="C245" s="58" t="s">
        <v>10</v>
      </c>
      <c r="D245" s="65">
        <v>525341</v>
      </c>
      <c r="E245" s="65" t="s">
        <v>42</v>
      </c>
      <c r="F245" s="65" t="s">
        <v>3078</v>
      </c>
      <c r="G245" s="65" t="s">
        <v>3077</v>
      </c>
      <c r="H245" s="65" t="s">
        <v>32</v>
      </c>
      <c r="I245" s="65" t="s">
        <v>50</v>
      </c>
      <c r="J245" s="65" t="s">
        <v>5</v>
      </c>
      <c r="K245" s="65" t="s">
        <v>1972</v>
      </c>
      <c r="L245" s="64" t="s">
        <v>67</v>
      </c>
      <c r="M245" s="58" t="s">
        <v>3</v>
      </c>
      <c r="N245" s="58" t="s">
        <v>2</v>
      </c>
      <c r="O245" s="58">
        <v>170</v>
      </c>
      <c r="P245" s="58">
        <v>0</v>
      </c>
      <c r="Q245" s="58">
        <v>0</v>
      </c>
      <c r="R245" s="58">
        <v>170</v>
      </c>
      <c r="S245" s="58">
        <v>0</v>
      </c>
      <c r="T245" s="58">
        <v>0</v>
      </c>
      <c r="U245" s="58">
        <v>54</v>
      </c>
      <c r="V245" s="62"/>
      <c r="W245" s="62"/>
      <c r="X245" s="63">
        <f>IFERROR(1 -(Master[[#This Row],[Avg Garment Scans per Delivery]]/Master[[#This Row],[Garment Inventory]]), 0)</f>
        <v>0</v>
      </c>
      <c r="Y245" s="62"/>
      <c r="Z245" s="62"/>
      <c r="AA245" s="53">
        <v>237.75343195266277</v>
      </c>
      <c r="AB245" s="53">
        <v>242.06349112426039</v>
      </c>
      <c r="AC245" s="53">
        <v>137.93514792899413</v>
      </c>
      <c r="AD245" s="53">
        <v>342.70485207100597</v>
      </c>
      <c r="AE245" s="53" t="str">
        <f>_xlfn.XLOOKUP(Master[[#This Row],[cu_id]],'[1]Customer Revenue'!$Q:$Q,'[1]Customer Revenue'!$K:$K, "None")</f>
        <v>None</v>
      </c>
      <c r="AF245" s="53" t="str">
        <f>_xlfn.XLOOKUP(Master[[#This Row],[cu_id]],'[1]Customer Revenue'!$Q:$Q,'[1]Customer Revenue'!$L:$L, "None")</f>
        <v>None</v>
      </c>
      <c r="AG245" s="53">
        <v>225.59236686390537</v>
      </c>
      <c r="AH245" s="53">
        <v>241.5599408284024</v>
      </c>
      <c r="AI245" s="53">
        <v>239.90846153846158</v>
      </c>
      <c r="AJ245" s="53">
        <v>240.32000000000005</v>
      </c>
      <c r="AK245" s="53" t="str">
        <f>_xlfn.XLOOKUP(Master[[#This Row],[cu_id]],'[1]Customer Revenue'!$Q:$Q,'[1]Customer Revenue'!$I:$I, "None")</f>
        <v>None</v>
      </c>
      <c r="AL245" s="53">
        <v>233.57615384615389</v>
      </c>
      <c r="AM245" s="61">
        <v>0.41666666666666669</v>
      </c>
      <c r="AN245" s="60">
        <v>0.70833333333333337</v>
      </c>
      <c r="AO245" s="60" t="s">
        <v>36</v>
      </c>
      <c r="AP245" s="60" t="s">
        <v>36</v>
      </c>
      <c r="AQ245" s="58" t="s">
        <v>0</v>
      </c>
      <c r="AR245" s="58"/>
      <c r="AS245" s="58"/>
      <c r="AT245" s="52">
        <v>0</v>
      </c>
      <c r="AU245" s="52" t="e">
        <f>IF(Master[[#This Row],[RSP StopTime override]] &lt;&gt; "",Master[[#This Row],[RSP StopTime override]],IF(Master[[#This Row],[Avg stop time helper]] &lt;&gt; 0, Master[[#This Row],[Avg stop time helper]],Average_Stop_Time))</f>
        <v>#DIV/0!</v>
      </c>
      <c r="AV245" s="21"/>
      <c r="AW245" s="20">
        <f>Master[[#This Row],[RSP StopTime override]]-Master[[#This Row],[Avg stop time helper]]</f>
        <v>0</v>
      </c>
    </row>
    <row r="246" spans="1:49" x14ac:dyDescent="0.3">
      <c r="A246" s="66" t="s">
        <v>4353</v>
      </c>
      <c r="B246" s="58">
        <v>12</v>
      </c>
      <c r="C246" s="58" t="s">
        <v>10</v>
      </c>
      <c r="D246" s="65">
        <v>528927</v>
      </c>
      <c r="E246" s="65" t="s">
        <v>42</v>
      </c>
      <c r="F246" s="65" t="s">
        <v>3076</v>
      </c>
      <c r="G246" s="65" t="s">
        <v>3075</v>
      </c>
      <c r="H246" s="65" t="s">
        <v>32</v>
      </c>
      <c r="I246" s="65" t="s">
        <v>50</v>
      </c>
      <c r="J246" s="65" t="s">
        <v>5</v>
      </c>
      <c r="K246" s="65" t="s">
        <v>2215</v>
      </c>
      <c r="L246" s="64" t="s">
        <v>124</v>
      </c>
      <c r="M246" s="58" t="s">
        <v>123</v>
      </c>
      <c r="N246" s="58" t="s">
        <v>2</v>
      </c>
      <c r="O246" s="58">
        <v>113</v>
      </c>
      <c r="P246" s="58">
        <v>0</v>
      </c>
      <c r="Q246" s="58">
        <v>0</v>
      </c>
      <c r="R246" s="58">
        <v>113</v>
      </c>
      <c r="S246" s="58">
        <v>0</v>
      </c>
      <c r="T246" s="58">
        <v>0</v>
      </c>
      <c r="U246" s="58">
        <v>13</v>
      </c>
      <c r="V246" s="62"/>
      <c r="W246" s="62"/>
      <c r="X246" s="63">
        <f>IFERROR(1 -(Master[[#This Row],[Avg Garment Scans per Delivery]]/Master[[#This Row],[Garment Inventory]]), 0)</f>
        <v>0</v>
      </c>
      <c r="Y246" s="62"/>
      <c r="Z246" s="62"/>
      <c r="AA246" s="53">
        <v>355.72</v>
      </c>
      <c r="AB246" s="53">
        <v>372.4</v>
      </c>
      <c r="AC246" s="53">
        <v>371.03444444444449</v>
      </c>
      <c r="AD246" s="53">
        <v>374.2788888888889</v>
      </c>
      <c r="AE246" s="53" t="str">
        <f>_xlfn.XLOOKUP(Master[[#This Row],[cu_id]],'[1]Customer Revenue'!$Q:$Q,'[1]Customer Revenue'!$K:$K, "None")</f>
        <v>None</v>
      </c>
      <c r="AF246" s="53" t="str">
        <f>_xlfn.XLOOKUP(Master[[#This Row],[cu_id]],'[1]Customer Revenue'!$Q:$Q,'[1]Customer Revenue'!$L:$L, "None")</f>
        <v>None</v>
      </c>
      <c r="AG246" s="53">
        <v>349.46500000000003</v>
      </c>
      <c r="AH246" s="53">
        <v>366.14499999999998</v>
      </c>
      <c r="AI246" s="53">
        <v>364.06</v>
      </c>
      <c r="AJ246" s="53">
        <v>372.65666666666669</v>
      </c>
      <c r="AK246" s="53" t="str">
        <f>_xlfn.XLOOKUP(Master[[#This Row],[cu_id]],'[1]Customer Revenue'!$Q:$Q,'[1]Customer Revenue'!$I:$I, "None")</f>
        <v>None</v>
      </c>
      <c r="AL246" s="53">
        <v>357.80500000000001</v>
      </c>
      <c r="AM246" s="61">
        <v>0.29166666666666669</v>
      </c>
      <c r="AN246" s="60">
        <v>0.70833333333333337</v>
      </c>
      <c r="AO246" s="60" t="s">
        <v>36</v>
      </c>
      <c r="AP246" s="60" t="s">
        <v>36</v>
      </c>
      <c r="AQ246" s="58" t="s">
        <v>0</v>
      </c>
      <c r="AR246" s="58"/>
      <c r="AS246" s="58"/>
      <c r="AT246" s="52">
        <v>0</v>
      </c>
      <c r="AU246" s="52" t="e">
        <f>IF(Master[[#This Row],[RSP StopTime override]] &lt;&gt; "",Master[[#This Row],[RSP StopTime override]],IF(Master[[#This Row],[Avg stop time helper]] &lt;&gt; 0, Master[[#This Row],[Avg stop time helper]],Average_Stop_Time))</f>
        <v>#DIV/0!</v>
      </c>
      <c r="AV246" s="21"/>
      <c r="AW246" s="20">
        <f>Master[[#This Row],[RSP StopTime override]]-Master[[#This Row],[Avg stop time helper]]</f>
        <v>0</v>
      </c>
    </row>
    <row r="247" spans="1:49" x14ac:dyDescent="0.3">
      <c r="A247" s="66" t="s">
        <v>4354</v>
      </c>
      <c r="B247" s="58">
        <v>12</v>
      </c>
      <c r="C247" s="58" t="s">
        <v>10</v>
      </c>
      <c r="D247" s="65">
        <v>529035</v>
      </c>
      <c r="E247" s="65" t="s">
        <v>42</v>
      </c>
      <c r="F247" s="65" t="s">
        <v>3074</v>
      </c>
      <c r="G247" s="65" t="s">
        <v>3073</v>
      </c>
      <c r="H247" s="65" t="s">
        <v>32</v>
      </c>
      <c r="I247" s="65" t="s">
        <v>2956</v>
      </c>
      <c r="J247" s="65" t="s">
        <v>5</v>
      </c>
      <c r="K247" s="65" t="s">
        <v>2215</v>
      </c>
      <c r="L247" s="64" t="s">
        <v>67</v>
      </c>
      <c r="M247" s="58" t="s">
        <v>3</v>
      </c>
      <c r="N247" s="58" t="s">
        <v>2</v>
      </c>
      <c r="O247" s="58">
        <v>110</v>
      </c>
      <c r="P247" s="58">
        <v>0</v>
      </c>
      <c r="Q247" s="58">
        <v>0</v>
      </c>
      <c r="R247" s="58">
        <v>110</v>
      </c>
      <c r="S247" s="58">
        <v>0</v>
      </c>
      <c r="T247" s="58">
        <v>0</v>
      </c>
      <c r="U247" s="58">
        <v>51</v>
      </c>
      <c r="V247" s="62">
        <v>121</v>
      </c>
      <c r="W247" s="62">
        <v>25</v>
      </c>
      <c r="X247" s="63">
        <f>IFERROR(1 -(Master[[#This Row],[Avg Garment Scans per Delivery]]/Master[[#This Row],[Garment Inventory]]), 0)</f>
        <v>0.79338842975206614</v>
      </c>
      <c r="Y247" s="62">
        <v>6</v>
      </c>
      <c r="Z247" s="62">
        <v>122</v>
      </c>
      <c r="AA247" s="53">
        <v>72.420414201183448</v>
      </c>
      <c r="AB247" s="53">
        <v>74.018047337278134</v>
      </c>
      <c r="AC247" s="53">
        <v>80.415680473372774</v>
      </c>
      <c r="AD247" s="53">
        <v>82.915088757396447</v>
      </c>
      <c r="AE247" s="53" t="str">
        <f>_xlfn.XLOOKUP(Master[[#This Row],[cu_id]],'[1]Customer Revenue'!$Q:$Q,'[1]Customer Revenue'!$K:$K, "None")</f>
        <v>None</v>
      </c>
      <c r="AF247" s="53" t="str">
        <f>_xlfn.XLOOKUP(Master[[#This Row],[cu_id]],'[1]Customer Revenue'!$Q:$Q,'[1]Customer Revenue'!$L:$L, "None")</f>
        <v>None</v>
      </c>
      <c r="AG247" s="53">
        <v>67.572810650887618</v>
      </c>
      <c r="AH247" s="53">
        <v>78.367189349112437</v>
      </c>
      <c r="AI247" s="53">
        <v>73.219230769230791</v>
      </c>
      <c r="AJ247" s="53">
        <v>81.66538461538461</v>
      </c>
      <c r="AK247" s="53" t="str">
        <f>_xlfn.XLOOKUP(Master[[#This Row],[cu_id]],'[1]Customer Revenue'!$Q:$Q,'[1]Customer Revenue'!$I:$I, "None")</f>
        <v>None</v>
      </c>
      <c r="AL247" s="53">
        <v>72.970000000000027</v>
      </c>
      <c r="AM247" s="61">
        <v>0.29166666666666669</v>
      </c>
      <c r="AN247" s="60">
        <v>0.60416666666666663</v>
      </c>
      <c r="AO247" s="60" t="s">
        <v>36</v>
      </c>
      <c r="AP247" s="60" t="s">
        <v>36</v>
      </c>
      <c r="AQ247" s="58" t="s">
        <v>0</v>
      </c>
      <c r="AR247" s="58"/>
      <c r="AS247" s="58"/>
      <c r="AT247" s="52">
        <v>0</v>
      </c>
      <c r="AU247" s="52" t="e">
        <f>IF(Master[[#This Row],[RSP StopTime override]] &lt;&gt; "",Master[[#This Row],[RSP StopTime override]],IF(Master[[#This Row],[Avg stop time helper]] &lt;&gt; 0, Master[[#This Row],[Avg stop time helper]],Average_Stop_Time))</f>
        <v>#DIV/0!</v>
      </c>
      <c r="AV247" s="21"/>
      <c r="AW247" s="20">
        <f>Master[[#This Row],[RSP StopTime override]]-Master[[#This Row],[Avg stop time helper]]</f>
        <v>0</v>
      </c>
    </row>
    <row r="248" spans="1:49" x14ac:dyDescent="0.3">
      <c r="A248" s="66" t="s">
        <v>4355</v>
      </c>
      <c r="B248" s="58">
        <v>12</v>
      </c>
      <c r="C248" s="58" t="s">
        <v>10</v>
      </c>
      <c r="D248" s="65">
        <v>530460</v>
      </c>
      <c r="E248" s="65" t="s">
        <v>42</v>
      </c>
      <c r="F248" s="65" t="s">
        <v>3072</v>
      </c>
      <c r="G248" s="65" t="s">
        <v>3071</v>
      </c>
      <c r="H248" s="65" t="s">
        <v>7</v>
      </c>
      <c r="I248" s="65" t="s">
        <v>2966</v>
      </c>
      <c r="J248" s="65" t="s">
        <v>5</v>
      </c>
      <c r="K248" s="65" t="s">
        <v>2215</v>
      </c>
      <c r="L248" s="64" t="s">
        <v>67</v>
      </c>
      <c r="M248" s="58" t="s">
        <v>3</v>
      </c>
      <c r="N248" s="58" t="s">
        <v>2</v>
      </c>
      <c r="O248" s="58">
        <v>100</v>
      </c>
      <c r="P248" s="58">
        <v>0</v>
      </c>
      <c r="Q248" s="58">
        <v>0</v>
      </c>
      <c r="R248" s="58">
        <v>100</v>
      </c>
      <c r="S248" s="58">
        <v>0</v>
      </c>
      <c r="T248" s="58">
        <v>0</v>
      </c>
      <c r="U248" s="58">
        <v>51</v>
      </c>
      <c r="V248" s="62"/>
      <c r="W248" s="62"/>
      <c r="X248" s="63">
        <f>IFERROR(1 -(Master[[#This Row],[Avg Garment Scans per Delivery]]/Master[[#This Row],[Garment Inventory]]), 0)</f>
        <v>0</v>
      </c>
      <c r="Y248" s="62"/>
      <c r="Z248" s="62"/>
      <c r="AA248" s="53">
        <v>62.241538461538461</v>
      </c>
      <c r="AB248" s="53">
        <v>72.718461538461554</v>
      </c>
      <c r="AC248" s="53">
        <v>65.62526627218935</v>
      </c>
      <c r="AD248" s="53">
        <v>73.14242603550295</v>
      </c>
      <c r="AE248" s="53" t="str">
        <f>_xlfn.XLOOKUP(Master[[#This Row],[cu_id]],'[1]Customer Revenue'!$Q:$Q,'[1]Customer Revenue'!$K:$K, "None")</f>
        <v>None</v>
      </c>
      <c r="AF248" s="53" t="str">
        <f>_xlfn.XLOOKUP(Master[[#This Row],[cu_id]],'[1]Customer Revenue'!$Q:$Q,'[1]Customer Revenue'!$L:$L, "None")</f>
        <v>None</v>
      </c>
      <c r="AG248" s="53">
        <v>62.903076923076917</v>
      </c>
      <c r="AH248" s="53">
        <v>68.65692307692305</v>
      </c>
      <c r="AI248" s="53">
        <v>67.48</v>
      </c>
      <c r="AJ248" s="53">
        <v>69.38384615384615</v>
      </c>
      <c r="AK248" s="53" t="str">
        <f>_xlfn.XLOOKUP(Master[[#This Row],[cu_id]],'[1]Customer Revenue'!$Q:$Q,'[1]Customer Revenue'!$I:$I, "None")</f>
        <v>None</v>
      </c>
      <c r="AL248" s="53">
        <v>65.779999999999987</v>
      </c>
      <c r="AM248" s="61">
        <v>0.29166666666666669</v>
      </c>
      <c r="AN248" s="60">
        <v>0.70833333333333337</v>
      </c>
      <c r="AO248" s="60" t="s">
        <v>36</v>
      </c>
      <c r="AP248" s="60" t="s">
        <v>36</v>
      </c>
      <c r="AQ248" s="58" t="s">
        <v>0</v>
      </c>
      <c r="AR248" s="58"/>
      <c r="AS248" s="58"/>
      <c r="AT248" s="52">
        <v>0</v>
      </c>
      <c r="AU248" s="52" t="e">
        <f>IF(Master[[#This Row],[RSP StopTime override]] &lt;&gt; "",Master[[#This Row],[RSP StopTime override]],IF(Master[[#This Row],[Avg stop time helper]] &lt;&gt; 0, Master[[#This Row],[Avg stop time helper]],Average_Stop_Time))</f>
        <v>#DIV/0!</v>
      </c>
      <c r="AV248" s="21"/>
      <c r="AW248" s="20">
        <f>Master[[#This Row],[RSP StopTime override]]-Master[[#This Row],[Avg stop time helper]]</f>
        <v>0</v>
      </c>
    </row>
    <row r="249" spans="1:49" x14ac:dyDescent="0.3">
      <c r="A249" s="66" t="s">
        <v>4356</v>
      </c>
      <c r="B249" s="58">
        <v>12</v>
      </c>
      <c r="C249" s="58" t="s">
        <v>10</v>
      </c>
      <c r="D249" s="65">
        <v>530609</v>
      </c>
      <c r="E249" s="65" t="s">
        <v>42</v>
      </c>
      <c r="F249" s="65" t="s">
        <v>3070</v>
      </c>
      <c r="G249" s="65" t="s">
        <v>3069</v>
      </c>
      <c r="H249" s="65" t="s">
        <v>7</v>
      </c>
      <c r="I249" s="65" t="s">
        <v>2966</v>
      </c>
      <c r="J249" s="65" t="s">
        <v>5</v>
      </c>
      <c r="K249" s="65" t="s">
        <v>2215</v>
      </c>
      <c r="L249" s="64" t="s">
        <v>91</v>
      </c>
      <c r="M249" s="58" t="s">
        <v>90</v>
      </c>
      <c r="N249" s="58" t="s">
        <v>2</v>
      </c>
      <c r="O249" s="58">
        <v>148</v>
      </c>
      <c r="P249" s="58">
        <v>0</v>
      </c>
      <c r="Q249" s="58">
        <v>0</v>
      </c>
      <c r="R249" s="58">
        <v>148</v>
      </c>
      <c r="S249" s="58">
        <v>0</v>
      </c>
      <c r="T249" s="58">
        <v>0</v>
      </c>
      <c r="U249" s="58">
        <v>26</v>
      </c>
      <c r="V249" s="62"/>
      <c r="W249" s="62"/>
      <c r="X249" s="63">
        <f>IFERROR(1 -(Master[[#This Row],[Avg Garment Scans per Delivery]]/Master[[#This Row],[Garment Inventory]]), 0)</f>
        <v>0</v>
      </c>
      <c r="Y249" s="62"/>
      <c r="Z249" s="62"/>
      <c r="AA249" s="53">
        <v>51.406938775510199</v>
      </c>
      <c r="AB249" s="53">
        <v>121.05591836734693</v>
      </c>
      <c r="AC249" s="53">
        <v>75.104444444444439</v>
      </c>
      <c r="AD249" s="53">
        <v>107.18888888888888</v>
      </c>
      <c r="AE249" s="53" t="str">
        <f>_xlfn.XLOOKUP(Master[[#This Row],[cu_id]],'[1]Customer Revenue'!$Q:$Q,'[1]Customer Revenue'!$K:$K, "None")</f>
        <v>None</v>
      </c>
      <c r="AF249" s="53" t="str">
        <f>_xlfn.XLOOKUP(Master[[#This Row],[cu_id]],'[1]Customer Revenue'!$Q:$Q,'[1]Customer Revenue'!$L:$L, "None")</f>
        <v>None</v>
      </c>
      <c r="AG249" s="53">
        <v>48.718698224852076</v>
      </c>
      <c r="AH249" s="53">
        <v>117.80745562130177</v>
      </c>
      <c r="AI249" s="53">
        <v>86.231428571428566</v>
      </c>
      <c r="AJ249" s="53">
        <v>91.146666666666661</v>
      </c>
      <c r="AK249" s="53" t="str">
        <f>_xlfn.XLOOKUP(Master[[#This Row],[cu_id]],'[1]Customer Revenue'!$Q:$Q,'[1]Customer Revenue'!$I:$I, "None")</f>
        <v>None</v>
      </c>
      <c r="AL249" s="53">
        <v>83.263076923076923</v>
      </c>
      <c r="AM249" s="61">
        <v>0.375</v>
      </c>
      <c r="AN249" s="60">
        <v>0.6875</v>
      </c>
      <c r="AO249" s="60" t="s">
        <v>36</v>
      </c>
      <c r="AP249" s="60" t="s">
        <v>36</v>
      </c>
      <c r="AQ249" s="58" t="s">
        <v>0</v>
      </c>
      <c r="AR249" s="58"/>
      <c r="AS249" s="58"/>
      <c r="AT249" s="52">
        <v>0</v>
      </c>
      <c r="AU249" s="52" t="e">
        <f>IF(Master[[#This Row],[RSP StopTime override]] &lt;&gt; "",Master[[#This Row],[RSP StopTime override]],IF(Master[[#This Row],[Avg stop time helper]] &lt;&gt; 0, Master[[#This Row],[Avg stop time helper]],Average_Stop_Time))</f>
        <v>#DIV/0!</v>
      </c>
      <c r="AV249" s="21"/>
      <c r="AW249" s="20">
        <f>Master[[#This Row],[RSP StopTime override]]-Master[[#This Row],[Avg stop time helper]]</f>
        <v>0</v>
      </c>
    </row>
    <row r="250" spans="1:49" x14ac:dyDescent="0.3">
      <c r="A250" s="66" t="s">
        <v>4357</v>
      </c>
      <c r="B250" s="58">
        <v>12</v>
      </c>
      <c r="C250" s="58" t="s">
        <v>10</v>
      </c>
      <c r="D250" s="65">
        <v>530662</v>
      </c>
      <c r="E250" s="65" t="s">
        <v>42</v>
      </c>
      <c r="F250" s="65" t="s">
        <v>3068</v>
      </c>
      <c r="G250" s="65" t="s">
        <v>3067</v>
      </c>
      <c r="H250" s="65" t="s">
        <v>7</v>
      </c>
      <c r="I250" s="65" t="s">
        <v>12</v>
      </c>
      <c r="J250" s="65" t="s">
        <v>5</v>
      </c>
      <c r="K250" s="65" t="s">
        <v>2215</v>
      </c>
      <c r="L250" s="64" t="s">
        <v>141</v>
      </c>
      <c r="M250" s="58" t="s">
        <v>140</v>
      </c>
      <c r="N250" s="58" t="s">
        <v>2</v>
      </c>
      <c r="O250" s="58">
        <v>50</v>
      </c>
      <c r="P250" s="58">
        <v>0</v>
      </c>
      <c r="Q250" s="58">
        <v>0</v>
      </c>
      <c r="R250" s="58">
        <v>50</v>
      </c>
      <c r="S250" s="58">
        <v>0</v>
      </c>
      <c r="T250" s="58">
        <v>0</v>
      </c>
      <c r="U250" s="58">
        <v>9</v>
      </c>
      <c r="V250" s="62">
        <v>11</v>
      </c>
      <c r="W250" s="62">
        <v>0</v>
      </c>
      <c r="X250" s="63">
        <f>IFERROR(1 -(Master[[#This Row],[Avg Garment Scans per Delivery]]/Master[[#This Row],[Garment Inventory]]), 0)</f>
        <v>1</v>
      </c>
      <c r="Y250" s="62">
        <v>1</v>
      </c>
      <c r="Z250" s="62">
        <v>13</v>
      </c>
      <c r="AA250" s="53">
        <v>109.31</v>
      </c>
      <c r="AB250" s="53">
        <v>109.31</v>
      </c>
      <c r="AC250" s="53">
        <v>114.3</v>
      </c>
      <c r="AD250" s="53">
        <v>114.3</v>
      </c>
      <c r="AE250" s="53" t="str">
        <f>_xlfn.XLOOKUP(Master[[#This Row],[cu_id]],'[1]Customer Revenue'!$Q:$Q,'[1]Customer Revenue'!$K:$K, "None")</f>
        <v>None</v>
      </c>
      <c r="AF250" s="53" t="str">
        <f>_xlfn.XLOOKUP(Master[[#This Row],[cu_id]],'[1]Customer Revenue'!$Q:$Q,'[1]Customer Revenue'!$L:$L, "None")</f>
        <v>None</v>
      </c>
      <c r="AG250" s="53">
        <v>82.311599999999999</v>
      </c>
      <c r="AH250" s="53">
        <v>104.6524</v>
      </c>
      <c r="AI250" s="53">
        <v>109.31</v>
      </c>
      <c r="AJ250" s="53">
        <v>114.3</v>
      </c>
      <c r="AK250" s="53" t="str">
        <f>_xlfn.XLOOKUP(Master[[#This Row],[cu_id]],'[1]Customer Revenue'!$Q:$Q,'[1]Customer Revenue'!$I:$I, "None")</f>
        <v>None</v>
      </c>
      <c r="AL250" s="53">
        <v>93.481999999999999</v>
      </c>
      <c r="AM250" s="61">
        <v>0.33333333333333331</v>
      </c>
      <c r="AN250" s="60">
        <v>0.625</v>
      </c>
      <c r="AO250" s="60" t="s">
        <v>36</v>
      </c>
      <c r="AP250" s="60" t="s">
        <v>36</v>
      </c>
      <c r="AQ250" s="58" t="s">
        <v>0</v>
      </c>
      <c r="AR250" s="58"/>
      <c r="AS250" s="58"/>
      <c r="AT250" s="52">
        <v>0</v>
      </c>
      <c r="AU250" s="52" t="e">
        <f>IF(Master[[#This Row],[RSP StopTime override]] &lt;&gt; "",Master[[#This Row],[RSP StopTime override]],IF(Master[[#This Row],[Avg stop time helper]] &lt;&gt; 0, Master[[#This Row],[Avg stop time helper]],Average_Stop_Time))</f>
        <v>#DIV/0!</v>
      </c>
      <c r="AV250" s="21"/>
      <c r="AW250" s="20">
        <f>Master[[#This Row],[RSP StopTime override]]-Master[[#This Row],[Avg stop time helper]]</f>
        <v>0</v>
      </c>
    </row>
    <row r="251" spans="1:49" x14ac:dyDescent="0.3">
      <c r="A251" s="66" t="s">
        <v>4358</v>
      </c>
      <c r="B251" s="58">
        <v>12</v>
      </c>
      <c r="C251" s="58" t="s">
        <v>10</v>
      </c>
      <c r="D251" s="65">
        <v>532009</v>
      </c>
      <c r="E251" s="65" t="s">
        <v>42</v>
      </c>
      <c r="F251" s="65" t="s">
        <v>3066</v>
      </c>
      <c r="G251" s="65" t="s">
        <v>3065</v>
      </c>
      <c r="H251" s="65" t="s">
        <v>7</v>
      </c>
      <c r="I251" s="65" t="s">
        <v>2966</v>
      </c>
      <c r="J251" s="65" t="s">
        <v>5</v>
      </c>
      <c r="K251" s="65" t="s">
        <v>1972</v>
      </c>
      <c r="L251" s="64" t="s">
        <v>67</v>
      </c>
      <c r="M251" s="58" t="s">
        <v>3</v>
      </c>
      <c r="N251" s="58" t="s">
        <v>2</v>
      </c>
      <c r="O251" s="58">
        <v>160</v>
      </c>
      <c r="P251" s="58">
        <v>0</v>
      </c>
      <c r="Q251" s="58">
        <v>0</v>
      </c>
      <c r="R251" s="58">
        <v>160</v>
      </c>
      <c r="S251" s="58">
        <v>0</v>
      </c>
      <c r="T251" s="58">
        <v>0</v>
      </c>
      <c r="U251" s="58">
        <v>45</v>
      </c>
      <c r="V251" s="62"/>
      <c r="W251" s="62"/>
      <c r="X251" s="63">
        <f>IFERROR(1 -(Master[[#This Row],[Avg Garment Scans per Delivery]]/Master[[#This Row],[Garment Inventory]]), 0)</f>
        <v>0</v>
      </c>
      <c r="Y251" s="62"/>
      <c r="Z251" s="62"/>
      <c r="AA251" s="53">
        <v>103.04597633136095</v>
      </c>
      <c r="AB251" s="53">
        <v>140.33094674556213</v>
      </c>
      <c r="AC251" s="53">
        <v>104.92644970414199</v>
      </c>
      <c r="AD251" s="53">
        <v>156.04431952662719</v>
      </c>
      <c r="AE251" s="53" t="str">
        <f>_xlfn.XLOOKUP(Master[[#This Row],[cu_id]],'[1]Customer Revenue'!$Q:$Q,'[1]Customer Revenue'!$K:$K, "None")</f>
        <v>None</v>
      </c>
      <c r="AF251" s="53" t="str">
        <f>_xlfn.XLOOKUP(Master[[#This Row],[cu_id]],'[1]Customer Revenue'!$Q:$Q,'[1]Customer Revenue'!$L:$L, "None")</f>
        <v>None</v>
      </c>
      <c r="AG251" s="53">
        <v>97.25253666772187</v>
      </c>
      <c r="AH251" s="53">
        <v>147.66592487073967</v>
      </c>
      <c r="AI251" s="53">
        <v>121.68846153846154</v>
      </c>
      <c r="AJ251" s="53">
        <v>130.48538461538459</v>
      </c>
      <c r="AK251" s="53" t="str">
        <f>_xlfn.XLOOKUP(Master[[#This Row],[cu_id]],'[1]Customer Revenue'!$Q:$Q,'[1]Customer Revenue'!$I:$I, "None")</f>
        <v>None</v>
      </c>
      <c r="AL251" s="53">
        <v>122.45923076923077</v>
      </c>
      <c r="AM251" s="61">
        <v>0.4375</v>
      </c>
      <c r="AN251" s="60">
        <v>0.70833333333333337</v>
      </c>
      <c r="AO251" s="60" t="s">
        <v>36</v>
      </c>
      <c r="AP251" s="60" t="s">
        <v>36</v>
      </c>
      <c r="AQ251" s="58" t="s">
        <v>0</v>
      </c>
      <c r="AR251" s="58"/>
      <c r="AS251" s="58"/>
      <c r="AT251" s="52">
        <v>0</v>
      </c>
      <c r="AU251" s="52" t="e">
        <f>IF(Master[[#This Row],[RSP StopTime override]] &lt;&gt; "",Master[[#This Row],[RSP StopTime override]],IF(Master[[#This Row],[Avg stop time helper]] &lt;&gt; 0, Master[[#This Row],[Avg stop time helper]],Average_Stop_Time))</f>
        <v>#DIV/0!</v>
      </c>
      <c r="AV251" s="21"/>
      <c r="AW251" s="20">
        <f>Master[[#This Row],[RSP StopTime override]]-Master[[#This Row],[Avg stop time helper]]</f>
        <v>0</v>
      </c>
    </row>
    <row r="252" spans="1:49" x14ac:dyDescent="0.3">
      <c r="A252" s="66" t="s">
        <v>4359</v>
      </c>
      <c r="B252" s="58">
        <v>12</v>
      </c>
      <c r="C252" s="58" t="s">
        <v>10</v>
      </c>
      <c r="D252" s="65">
        <v>532187</v>
      </c>
      <c r="E252" s="65" t="s">
        <v>42</v>
      </c>
      <c r="F252" s="65" t="s">
        <v>3064</v>
      </c>
      <c r="G252" s="65" t="s">
        <v>3063</v>
      </c>
      <c r="H252" s="65" t="s">
        <v>3062</v>
      </c>
      <c r="I252" s="65" t="s">
        <v>2966</v>
      </c>
      <c r="J252" s="65" t="s">
        <v>5</v>
      </c>
      <c r="K252" s="65" t="s">
        <v>2215</v>
      </c>
      <c r="L252" s="64" t="s">
        <v>91</v>
      </c>
      <c r="M252" s="58" t="s">
        <v>90</v>
      </c>
      <c r="N252" s="58" t="s">
        <v>2</v>
      </c>
      <c r="O252" s="58">
        <v>115</v>
      </c>
      <c r="P252" s="58">
        <v>0</v>
      </c>
      <c r="Q252" s="58">
        <v>0</v>
      </c>
      <c r="R252" s="58">
        <v>115</v>
      </c>
      <c r="S252" s="58">
        <v>0</v>
      </c>
      <c r="T252" s="58">
        <v>0</v>
      </c>
      <c r="U252" s="58">
        <v>27</v>
      </c>
      <c r="V252" s="62"/>
      <c r="W252" s="62"/>
      <c r="X252" s="63">
        <f>IFERROR(1 -(Master[[#This Row],[Avg Garment Scans per Delivery]]/Master[[#This Row],[Garment Inventory]]), 0)</f>
        <v>0</v>
      </c>
      <c r="Y252" s="62"/>
      <c r="Z252" s="62"/>
      <c r="AA252" s="53">
        <v>253.01918367346937</v>
      </c>
      <c r="AB252" s="53">
        <v>424.72938775510204</v>
      </c>
      <c r="AC252" s="53">
        <v>207.96544217687071</v>
      </c>
      <c r="AD252" s="53">
        <v>531.44789115646256</v>
      </c>
      <c r="AE252" s="53" t="str">
        <f>_xlfn.XLOOKUP(Master[[#This Row],[cu_id]],'[1]Customer Revenue'!$Q:$Q,'[1]Customer Revenue'!$K:$K, "None")</f>
        <v>None</v>
      </c>
      <c r="AF252" s="53" t="str">
        <f>_xlfn.XLOOKUP(Master[[#This Row],[cu_id]],'[1]Customer Revenue'!$Q:$Q,'[1]Customer Revenue'!$L:$L, "None")</f>
        <v>None</v>
      </c>
      <c r="AG252" s="53">
        <v>163.62114599686032</v>
      </c>
      <c r="AH252" s="53">
        <v>386.86808477237054</v>
      </c>
      <c r="AI252" s="53">
        <v>338.87428571428569</v>
      </c>
      <c r="AJ252" s="53">
        <v>369.70666666666665</v>
      </c>
      <c r="AK252" s="53" t="str">
        <f>_xlfn.XLOOKUP(Master[[#This Row],[cu_id]],'[1]Customer Revenue'!$Q:$Q,'[1]Customer Revenue'!$I:$I, "None")</f>
        <v>None</v>
      </c>
      <c r="AL252" s="53">
        <v>275.24461538461543</v>
      </c>
      <c r="AM252" s="61">
        <v>0.29166666666666669</v>
      </c>
      <c r="AN252" s="60">
        <v>0.625</v>
      </c>
      <c r="AO252" s="60" t="s">
        <v>36</v>
      </c>
      <c r="AP252" s="60" t="s">
        <v>36</v>
      </c>
      <c r="AQ252" s="58" t="s">
        <v>0</v>
      </c>
      <c r="AR252" s="58"/>
      <c r="AS252" s="58"/>
      <c r="AT252" s="52">
        <v>0</v>
      </c>
      <c r="AU252" s="52" t="e">
        <f>IF(Master[[#This Row],[RSP StopTime override]] &lt;&gt; "",Master[[#This Row],[RSP StopTime override]],IF(Master[[#This Row],[Avg stop time helper]] &lt;&gt; 0, Master[[#This Row],[Avg stop time helper]],Average_Stop_Time))</f>
        <v>#DIV/0!</v>
      </c>
      <c r="AV252" s="21"/>
      <c r="AW252" s="20">
        <f>Master[[#This Row],[RSP StopTime override]]-Master[[#This Row],[Avg stop time helper]]</f>
        <v>0</v>
      </c>
    </row>
    <row r="253" spans="1:49" x14ac:dyDescent="0.3">
      <c r="A253" s="66" t="s">
        <v>4360</v>
      </c>
      <c r="B253" s="58">
        <v>12</v>
      </c>
      <c r="C253" s="58" t="s">
        <v>10</v>
      </c>
      <c r="D253" s="65">
        <v>533100</v>
      </c>
      <c r="E253" s="65" t="s">
        <v>42</v>
      </c>
      <c r="F253" s="65" t="s">
        <v>3061</v>
      </c>
      <c r="G253" s="65" t="s">
        <v>3060</v>
      </c>
      <c r="H253" s="65" t="s">
        <v>7</v>
      </c>
      <c r="I253" s="65" t="s">
        <v>12</v>
      </c>
      <c r="J253" s="65" t="s">
        <v>5</v>
      </c>
      <c r="K253" s="65" t="s">
        <v>1972</v>
      </c>
      <c r="L253" s="64" t="s">
        <v>77</v>
      </c>
      <c r="M253" s="58" t="s">
        <v>29</v>
      </c>
      <c r="N253" s="58" t="s">
        <v>2</v>
      </c>
      <c r="O253" s="58">
        <v>105</v>
      </c>
      <c r="P253" s="58">
        <v>0</v>
      </c>
      <c r="Q253" s="58">
        <v>0</v>
      </c>
      <c r="R253" s="58">
        <v>105</v>
      </c>
      <c r="S253" s="58">
        <v>0</v>
      </c>
      <c r="T253" s="58">
        <v>0</v>
      </c>
      <c r="U253" s="58">
        <v>29</v>
      </c>
      <c r="V253" s="62"/>
      <c r="W253" s="62"/>
      <c r="X253" s="63">
        <f>IFERROR(1 -(Master[[#This Row],[Avg Garment Scans per Delivery]]/Master[[#This Row],[Garment Inventory]]), 0)</f>
        <v>0</v>
      </c>
      <c r="Y253" s="62"/>
      <c r="Z253" s="62"/>
      <c r="AA253" s="53">
        <v>32.20333333333334</v>
      </c>
      <c r="AB253" s="53">
        <v>54.576666666666675</v>
      </c>
      <c r="AC253" s="53">
        <v>37.307142857142857</v>
      </c>
      <c r="AD253" s="53">
        <v>64.992857142857147</v>
      </c>
      <c r="AE253" s="53" t="str">
        <f>_xlfn.XLOOKUP(Master[[#This Row],[cu_id]],'[1]Customer Revenue'!$Q:$Q,'[1]Customer Revenue'!$K:$K, "None")</f>
        <v>None</v>
      </c>
      <c r="AF253" s="53" t="str">
        <f>_xlfn.XLOOKUP(Master[[#This Row],[cu_id]],'[1]Customer Revenue'!$Q:$Q,'[1]Customer Revenue'!$L:$L, "None")</f>
        <v>None</v>
      </c>
      <c r="AG253" s="53">
        <v>28.867802197802209</v>
      </c>
      <c r="AH253" s="53">
        <v>73.530659340659341</v>
      </c>
      <c r="AI253" s="53">
        <v>43.390000000000008</v>
      </c>
      <c r="AJ253" s="53">
        <v>51.15</v>
      </c>
      <c r="AK253" s="53" t="str">
        <f>_xlfn.XLOOKUP(Master[[#This Row],[cu_id]],'[1]Customer Revenue'!$Q:$Q,'[1]Customer Revenue'!$I:$I, "None")</f>
        <v>None</v>
      </c>
      <c r="AL253" s="53">
        <v>51.199230769230773</v>
      </c>
      <c r="AM253" s="61">
        <v>0.45833333333333331</v>
      </c>
      <c r="AN253" s="60">
        <v>0.60416666666666663</v>
      </c>
      <c r="AO253" s="60" t="s">
        <v>36</v>
      </c>
      <c r="AP253" s="60" t="s">
        <v>36</v>
      </c>
      <c r="AQ253" s="58" t="s">
        <v>0</v>
      </c>
      <c r="AR253" s="58"/>
      <c r="AS253" s="58"/>
      <c r="AT253" s="52">
        <v>0</v>
      </c>
      <c r="AU253" s="52" t="e">
        <f>IF(Master[[#This Row],[RSP StopTime override]] &lt;&gt; "",Master[[#This Row],[RSP StopTime override]],IF(Master[[#This Row],[Avg stop time helper]] &lt;&gt; 0, Master[[#This Row],[Avg stop time helper]],Average_Stop_Time))</f>
        <v>#DIV/0!</v>
      </c>
      <c r="AV253" s="21"/>
      <c r="AW253" s="20">
        <f>Master[[#This Row],[RSP StopTime override]]-Master[[#This Row],[Avg stop time helper]]</f>
        <v>0</v>
      </c>
    </row>
    <row r="254" spans="1:49" x14ac:dyDescent="0.3">
      <c r="A254" s="66" t="s">
        <v>4361</v>
      </c>
      <c r="B254" s="58">
        <v>12</v>
      </c>
      <c r="C254" s="58" t="s">
        <v>10</v>
      </c>
      <c r="D254" s="65">
        <v>533124</v>
      </c>
      <c r="E254" s="65" t="s">
        <v>42</v>
      </c>
      <c r="F254" s="65" t="s">
        <v>3059</v>
      </c>
      <c r="G254" s="65" t="s">
        <v>3058</v>
      </c>
      <c r="H254" s="65" t="s">
        <v>7</v>
      </c>
      <c r="I254" s="65" t="s">
        <v>12</v>
      </c>
      <c r="J254" s="65" t="s">
        <v>5</v>
      </c>
      <c r="K254" s="65" t="s">
        <v>1972</v>
      </c>
      <c r="L254" s="64" t="s">
        <v>194</v>
      </c>
      <c r="M254" s="58" t="s">
        <v>193</v>
      </c>
      <c r="N254" s="58" t="s">
        <v>2</v>
      </c>
      <c r="O254" s="58">
        <v>152</v>
      </c>
      <c r="P254" s="58">
        <v>0</v>
      </c>
      <c r="Q254" s="58">
        <v>0</v>
      </c>
      <c r="R254" s="58">
        <v>152</v>
      </c>
      <c r="S254" s="58">
        <v>0</v>
      </c>
      <c r="T254" s="58">
        <v>0</v>
      </c>
      <c r="U254" s="58">
        <v>12</v>
      </c>
      <c r="V254" s="62"/>
      <c r="W254" s="62"/>
      <c r="X254" s="63">
        <f>IFERROR(1 -(Master[[#This Row],[Avg Garment Scans per Delivery]]/Master[[#This Row],[Garment Inventory]]), 0)</f>
        <v>0</v>
      </c>
      <c r="Y254" s="62"/>
      <c r="Z254" s="62"/>
      <c r="AA254" s="53">
        <v>41.039999999999992</v>
      </c>
      <c r="AB254" s="53">
        <v>53.97</v>
      </c>
      <c r="AC254" s="53">
        <v>43.002222222222223</v>
      </c>
      <c r="AD254" s="53">
        <v>45.304444444444449</v>
      </c>
      <c r="AE254" s="53" t="str">
        <f>_xlfn.XLOOKUP(Master[[#This Row],[cu_id]],'[1]Customer Revenue'!$Q:$Q,'[1]Customer Revenue'!$K:$K, "None")</f>
        <v>None</v>
      </c>
      <c r="AF254" s="53" t="str">
        <f>_xlfn.XLOOKUP(Master[[#This Row],[cu_id]],'[1]Customer Revenue'!$Q:$Q,'[1]Customer Revenue'!$L:$L, "None")</f>
        <v>None</v>
      </c>
      <c r="AG254" s="53">
        <v>38.830399999999997</v>
      </c>
      <c r="AH254" s="53">
        <v>47.481599999999986</v>
      </c>
      <c r="AI254" s="53">
        <v>47.504999999999995</v>
      </c>
      <c r="AJ254" s="53">
        <v>44.153333333333336</v>
      </c>
      <c r="AK254" s="53" t="str">
        <f>_xlfn.XLOOKUP(Master[[#This Row],[cu_id]],'[1]Customer Revenue'!$Q:$Q,'[1]Customer Revenue'!$I:$I, "None")</f>
        <v>None</v>
      </c>
      <c r="AL254" s="53">
        <v>43.155999999999992</v>
      </c>
      <c r="AM254" s="61">
        <v>0.375</v>
      </c>
      <c r="AN254" s="60">
        <v>0.70833333333333337</v>
      </c>
      <c r="AO254" s="60" t="s">
        <v>36</v>
      </c>
      <c r="AP254" s="60" t="s">
        <v>36</v>
      </c>
      <c r="AQ254" s="58" t="s">
        <v>0</v>
      </c>
      <c r="AR254" s="58"/>
      <c r="AS254" s="58"/>
      <c r="AT254" s="52">
        <v>0</v>
      </c>
      <c r="AU254" s="52" t="e">
        <f>IF(Master[[#This Row],[RSP StopTime override]] &lt;&gt; "",Master[[#This Row],[RSP StopTime override]],IF(Master[[#This Row],[Avg stop time helper]] &lt;&gt; 0, Master[[#This Row],[Avg stop time helper]],Average_Stop_Time))</f>
        <v>#DIV/0!</v>
      </c>
      <c r="AV254" s="21"/>
      <c r="AW254" s="20">
        <f>Master[[#This Row],[RSP StopTime override]]-Master[[#This Row],[Avg stop time helper]]</f>
        <v>0</v>
      </c>
    </row>
    <row r="255" spans="1:49" x14ac:dyDescent="0.3">
      <c r="A255" s="66" t="s">
        <v>3057</v>
      </c>
      <c r="B255" s="58">
        <v>51</v>
      </c>
      <c r="C255" s="58" t="s">
        <v>24</v>
      </c>
      <c r="D255" s="65">
        <v>520888</v>
      </c>
      <c r="E255" s="65" t="s">
        <v>42</v>
      </c>
      <c r="F255" s="65" t="s">
        <v>52</v>
      </c>
      <c r="G255" s="65" t="s">
        <v>51</v>
      </c>
      <c r="H255" s="65" t="s">
        <v>32</v>
      </c>
      <c r="I255" s="65" t="s">
        <v>50</v>
      </c>
      <c r="J255" s="65" t="s">
        <v>5</v>
      </c>
      <c r="K255" s="65" t="s">
        <v>49</v>
      </c>
      <c r="L255" s="64" t="s">
        <v>37</v>
      </c>
      <c r="M255" s="58" t="s">
        <v>3</v>
      </c>
      <c r="N255" s="58" t="s">
        <v>2</v>
      </c>
      <c r="O255" s="58">
        <v>105</v>
      </c>
      <c r="P255" s="58">
        <v>105</v>
      </c>
      <c r="Q255" s="58">
        <v>0</v>
      </c>
      <c r="R255" s="58">
        <v>70</v>
      </c>
      <c r="S255" s="58">
        <v>0</v>
      </c>
      <c r="T255" s="58">
        <v>280</v>
      </c>
      <c r="U255" s="58">
        <v>28</v>
      </c>
      <c r="V255" s="62"/>
      <c r="W255" s="62"/>
      <c r="X255" s="63">
        <f>IFERROR(1 -(Master[[#This Row],[Avg Garment Scans per Delivery]]/Master[[#This Row],[Garment Inventory]]), 0)</f>
        <v>0</v>
      </c>
      <c r="Y255" s="62"/>
      <c r="Z255" s="62"/>
      <c r="AA255" s="53"/>
      <c r="AB255" s="53"/>
      <c r="AC255" s="53">
        <v>212.42856508875741</v>
      </c>
      <c r="AD255" s="53">
        <v>527.78643491124262</v>
      </c>
      <c r="AE255" s="53">
        <v>196.39</v>
      </c>
      <c r="AF255" s="53">
        <v>539.73</v>
      </c>
      <c r="AG255" s="53"/>
      <c r="AH255" s="53"/>
      <c r="AI255" s="53"/>
      <c r="AJ255" s="53">
        <v>370.10750000000002</v>
      </c>
      <c r="AK255" s="53">
        <v>368</v>
      </c>
      <c r="AL255" s="53"/>
      <c r="AM255" s="61">
        <v>0.20833333333333334</v>
      </c>
      <c r="AN255" s="60">
        <v>0.83333333333333337</v>
      </c>
      <c r="AO255" s="60" t="s">
        <v>36</v>
      </c>
      <c r="AP255" s="60" t="s">
        <v>36</v>
      </c>
      <c r="AQ255" s="58" t="s">
        <v>308</v>
      </c>
      <c r="AR255" s="58"/>
      <c r="AS255" s="58"/>
      <c r="AT255" s="52">
        <v>0</v>
      </c>
      <c r="AU255" s="52" t="e">
        <f>IF(Master[[#This Row],[RSP StopTime override]] &lt;&gt; "",Master[[#This Row],[RSP StopTime override]],IF(Master[[#This Row],[Avg stop time helper]] &lt;&gt; 0, Master[[#This Row],[Avg stop time helper]],Average_Stop_Time))</f>
        <v>#DIV/0!</v>
      </c>
      <c r="AV255" s="21"/>
      <c r="AW255" s="20">
        <f>Master[[#This Row],[RSP StopTime override]]-Master[[#This Row],[Avg stop time helper]]</f>
        <v>0</v>
      </c>
    </row>
    <row r="256" spans="1:49" x14ac:dyDescent="0.3">
      <c r="A256" s="66" t="s">
        <v>4362</v>
      </c>
      <c r="B256" s="58">
        <v>12</v>
      </c>
      <c r="C256" s="58" t="s">
        <v>10</v>
      </c>
      <c r="D256" s="65">
        <v>533384</v>
      </c>
      <c r="E256" s="65" t="s">
        <v>42</v>
      </c>
      <c r="F256" s="65" t="s">
        <v>3056</v>
      </c>
      <c r="G256" s="65" t="s">
        <v>3055</v>
      </c>
      <c r="H256" s="65" t="s">
        <v>7</v>
      </c>
      <c r="I256" s="65" t="s">
        <v>2966</v>
      </c>
      <c r="J256" s="65" t="s">
        <v>5</v>
      </c>
      <c r="K256" s="65" t="s">
        <v>2215</v>
      </c>
      <c r="L256" s="64" t="s">
        <v>67</v>
      </c>
      <c r="M256" s="58" t="s">
        <v>3</v>
      </c>
      <c r="N256" s="58" t="s">
        <v>2</v>
      </c>
      <c r="O256" s="58">
        <v>90</v>
      </c>
      <c r="P256" s="58">
        <v>0</v>
      </c>
      <c r="Q256" s="58">
        <v>0</v>
      </c>
      <c r="R256" s="58">
        <v>90</v>
      </c>
      <c r="S256" s="58">
        <v>0</v>
      </c>
      <c r="T256" s="58">
        <v>0</v>
      </c>
      <c r="U256" s="58">
        <v>55</v>
      </c>
      <c r="V256" s="62">
        <v>22</v>
      </c>
      <c r="W256" s="62">
        <v>15</v>
      </c>
      <c r="X256" s="63">
        <f>IFERROR(1 -(Master[[#This Row],[Avg Garment Scans per Delivery]]/Master[[#This Row],[Garment Inventory]]), 0)</f>
        <v>0.31818181818181823</v>
      </c>
      <c r="Y256" s="62">
        <v>1</v>
      </c>
      <c r="Z256" s="62">
        <v>22</v>
      </c>
      <c r="AA256" s="53">
        <v>154.1123076923077</v>
      </c>
      <c r="AB256" s="53">
        <v>192.80769230769232</v>
      </c>
      <c r="AC256" s="53">
        <v>98.704945054944972</v>
      </c>
      <c r="AD256" s="53">
        <v>133.81351648351648</v>
      </c>
      <c r="AE256" s="53" t="str">
        <f>_xlfn.XLOOKUP(Master[[#This Row],[cu_id]],'[1]Customer Revenue'!$Q:$Q,'[1]Customer Revenue'!$K:$K, "None")</f>
        <v>None</v>
      </c>
      <c r="AF256" s="53" t="str">
        <f>_xlfn.XLOOKUP(Master[[#This Row],[cu_id]],'[1]Customer Revenue'!$Q:$Q,'[1]Customer Revenue'!$L:$L, "None")</f>
        <v>None</v>
      </c>
      <c r="AG256" s="53">
        <v>144.66581671415003</v>
      </c>
      <c r="AH256" s="53">
        <v>187.57495251661919</v>
      </c>
      <c r="AI256" s="53">
        <v>173.46</v>
      </c>
      <c r="AJ256" s="53">
        <v>116.25923076923073</v>
      </c>
      <c r="AK256" s="53" t="str">
        <f>_xlfn.XLOOKUP(Master[[#This Row],[cu_id]],'[1]Customer Revenue'!$Q:$Q,'[1]Customer Revenue'!$I:$I, "None")</f>
        <v>None</v>
      </c>
      <c r="AL256" s="53">
        <v>166.12038461538461</v>
      </c>
      <c r="AM256" s="61">
        <v>0.41666666666666669</v>
      </c>
      <c r="AN256" s="60">
        <v>0.70833333333333337</v>
      </c>
      <c r="AO256" s="60" t="s">
        <v>36</v>
      </c>
      <c r="AP256" s="60" t="s">
        <v>36</v>
      </c>
      <c r="AQ256" s="58" t="s">
        <v>0</v>
      </c>
      <c r="AR256" s="58"/>
      <c r="AS256" s="58"/>
      <c r="AT256" s="52">
        <v>0</v>
      </c>
      <c r="AU256" s="52" t="e">
        <f>IF(Master[[#This Row],[RSP StopTime override]] &lt;&gt; "",Master[[#This Row],[RSP StopTime override]],IF(Master[[#This Row],[Avg stop time helper]] &lt;&gt; 0, Master[[#This Row],[Avg stop time helper]],Average_Stop_Time))</f>
        <v>#DIV/0!</v>
      </c>
      <c r="AV256" s="21"/>
      <c r="AW256" s="20">
        <f>Master[[#This Row],[RSP StopTime override]]-Master[[#This Row],[Avg stop time helper]]</f>
        <v>0</v>
      </c>
    </row>
    <row r="257" spans="1:49" x14ac:dyDescent="0.3">
      <c r="A257" s="66" t="s">
        <v>4363</v>
      </c>
      <c r="B257" s="58">
        <v>12</v>
      </c>
      <c r="C257" s="58" t="s">
        <v>10</v>
      </c>
      <c r="D257" s="65">
        <v>533420</v>
      </c>
      <c r="E257" s="65" t="s">
        <v>42</v>
      </c>
      <c r="F257" s="65" t="s">
        <v>3054</v>
      </c>
      <c r="G257" s="65" t="s">
        <v>3052</v>
      </c>
      <c r="H257" s="65" t="s">
        <v>7</v>
      </c>
      <c r="I257" s="65" t="s">
        <v>12</v>
      </c>
      <c r="J257" s="65" t="s">
        <v>5</v>
      </c>
      <c r="K257" s="65" t="s">
        <v>197</v>
      </c>
      <c r="L257" s="64" t="s">
        <v>67</v>
      </c>
      <c r="M257" s="58" t="s">
        <v>3</v>
      </c>
      <c r="N257" s="58" t="s">
        <v>2</v>
      </c>
      <c r="O257" s="58">
        <v>74</v>
      </c>
      <c r="P257" s="58">
        <v>0</v>
      </c>
      <c r="Q257" s="58">
        <v>0</v>
      </c>
      <c r="R257" s="58">
        <v>74</v>
      </c>
      <c r="S257" s="58">
        <v>0</v>
      </c>
      <c r="T257" s="58">
        <v>0</v>
      </c>
      <c r="U257" s="58">
        <v>41</v>
      </c>
      <c r="V257" s="62"/>
      <c r="W257" s="62"/>
      <c r="X257" s="63">
        <f>IFERROR(1 -(Master[[#This Row],[Avg Garment Scans per Delivery]]/Master[[#This Row],[Garment Inventory]]), 0)</f>
        <v>0</v>
      </c>
      <c r="Y257" s="62"/>
      <c r="Z257" s="62"/>
      <c r="AA257" s="53">
        <v>552.68976331360932</v>
      </c>
      <c r="AB257" s="53">
        <v>555.13946745562112</v>
      </c>
      <c r="AC257" s="53">
        <v>551.64869822485196</v>
      </c>
      <c r="AD257" s="53">
        <v>635.96514792899404</v>
      </c>
      <c r="AE257" s="53" t="str">
        <f>_xlfn.XLOOKUP(Master[[#This Row],[cu_id]],'[1]Customer Revenue'!$Q:$Q,'[1]Customer Revenue'!$K:$K, "None")</f>
        <v>None</v>
      </c>
      <c r="AF257" s="53" t="str">
        <f>_xlfn.XLOOKUP(Master[[#This Row],[cu_id]],'[1]Customer Revenue'!$Q:$Q,'[1]Customer Revenue'!$L:$L, "None")</f>
        <v>None</v>
      </c>
      <c r="AG257" s="53">
        <v>552.70952662721913</v>
      </c>
      <c r="AH257" s="53">
        <v>565.9566272189353</v>
      </c>
      <c r="AI257" s="53">
        <v>553.91461538461522</v>
      </c>
      <c r="AJ257" s="53">
        <v>593.806923076923</v>
      </c>
      <c r="AK257" s="53" t="str">
        <f>_xlfn.XLOOKUP(Master[[#This Row],[cu_id]],'[1]Customer Revenue'!$Q:$Q,'[1]Customer Revenue'!$I:$I, "None")</f>
        <v>None</v>
      </c>
      <c r="AL257" s="53">
        <v>559.33307692307721</v>
      </c>
      <c r="AM257" s="61">
        <v>0.29166666666666669</v>
      </c>
      <c r="AN257" s="60">
        <v>0.70833333333333337</v>
      </c>
      <c r="AO257" s="60" t="s">
        <v>36</v>
      </c>
      <c r="AP257" s="60" t="s">
        <v>36</v>
      </c>
      <c r="AQ257" s="58" t="s">
        <v>0</v>
      </c>
      <c r="AR257" s="58"/>
      <c r="AS257" s="58"/>
      <c r="AT257" s="52">
        <v>0</v>
      </c>
      <c r="AU257" s="52" t="e">
        <f>IF(Master[[#This Row],[RSP StopTime override]] &lt;&gt; "",Master[[#This Row],[RSP StopTime override]],IF(Master[[#This Row],[Avg stop time helper]] &lt;&gt; 0, Master[[#This Row],[Avg stop time helper]],Average_Stop_Time))</f>
        <v>#DIV/0!</v>
      </c>
      <c r="AV257" s="21"/>
      <c r="AW257" s="20">
        <f>Master[[#This Row],[RSP StopTime override]]-Master[[#This Row],[Avg stop time helper]]</f>
        <v>0</v>
      </c>
    </row>
    <row r="258" spans="1:49" x14ac:dyDescent="0.3">
      <c r="A258" s="66" t="s">
        <v>4364</v>
      </c>
      <c r="B258" s="58">
        <v>12</v>
      </c>
      <c r="C258" s="58" t="s">
        <v>10</v>
      </c>
      <c r="D258" s="65">
        <v>533420</v>
      </c>
      <c r="E258" s="65" t="s">
        <v>686</v>
      </c>
      <c r="F258" s="65" t="s">
        <v>3053</v>
      </c>
      <c r="G258" s="65" t="s">
        <v>3052</v>
      </c>
      <c r="H258" s="65" t="s">
        <v>7</v>
      </c>
      <c r="I258" s="65" t="s">
        <v>12</v>
      </c>
      <c r="J258" s="65" t="s">
        <v>5</v>
      </c>
      <c r="K258" s="65" t="s">
        <v>197</v>
      </c>
      <c r="L258" s="64" t="s">
        <v>67</v>
      </c>
      <c r="M258" s="58" t="s">
        <v>3</v>
      </c>
      <c r="N258" s="58" t="s">
        <v>2</v>
      </c>
      <c r="O258" s="58">
        <v>73</v>
      </c>
      <c r="P258" s="58">
        <v>0</v>
      </c>
      <c r="Q258" s="58">
        <v>0</v>
      </c>
      <c r="R258" s="58">
        <v>73</v>
      </c>
      <c r="S258" s="58">
        <v>0</v>
      </c>
      <c r="T258" s="58">
        <v>0</v>
      </c>
      <c r="U258" s="58">
        <v>41</v>
      </c>
      <c r="V258" s="62"/>
      <c r="W258" s="62"/>
      <c r="X258" s="63">
        <f>IFERROR(1 -(Master[[#This Row],[Avg Garment Scans per Delivery]]/Master[[#This Row],[Garment Inventory]]), 0)</f>
        <v>0</v>
      </c>
      <c r="Y258" s="62"/>
      <c r="Z258" s="62"/>
      <c r="AA258" s="53">
        <v>438.13360946745564</v>
      </c>
      <c r="AB258" s="53">
        <v>439.19869822485208</v>
      </c>
      <c r="AC258" s="53">
        <v>433.81147928994091</v>
      </c>
      <c r="AD258" s="53">
        <v>546.1115976331364</v>
      </c>
      <c r="AE258" s="53" t="str">
        <f>_xlfn.XLOOKUP(Master[[#This Row],[cu_id]],'[1]Customer Revenue'!$Q:$Q,'[1]Customer Revenue'!$K:$K, "None")</f>
        <v>None</v>
      </c>
      <c r="AF258" s="53" t="str">
        <f>_xlfn.XLOOKUP(Master[[#This Row],[cu_id]],'[1]Customer Revenue'!$Q:$Q,'[1]Customer Revenue'!$L:$L, "None")</f>
        <v>None</v>
      </c>
      <c r="AG258" s="53">
        <v>438.18686390532542</v>
      </c>
      <c r="AH258" s="53">
        <v>438.79928994082815</v>
      </c>
      <c r="AI258" s="53">
        <v>438.66615384615386</v>
      </c>
      <c r="AJ258" s="53">
        <v>489.96153846153862</v>
      </c>
      <c r="AK258" s="53" t="str">
        <f>_xlfn.XLOOKUP(Master[[#This Row],[cu_id]],'[1]Customer Revenue'!$Q:$Q,'[1]Customer Revenue'!$I:$I, "None")</f>
        <v>None</v>
      </c>
      <c r="AL258" s="53">
        <v>438.49307692307679</v>
      </c>
      <c r="AM258" s="61">
        <v>0.29166666666666669</v>
      </c>
      <c r="AN258" s="60">
        <v>0.70833333333333337</v>
      </c>
      <c r="AO258" s="60" t="s">
        <v>36</v>
      </c>
      <c r="AP258" s="60" t="s">
        <v>36</v>
      </c>
      <c r="AQ258" s="58" t="s">
        <v>0</v>
      </c>
      <c r="AR258" s="58"/>
      <c r="AS258" s="58"/>
      <c r="AT258" s="52">
        <v>0</v>
      </c>
      <c r="AU258" s="52" t="e">
        <f>IF(Master[[#This Row],[RSP StopTime override]] &lt;&gt; "",Master[[#This Row],[RSP StopTime override]],IF(Master[[#This Row],[Avg stop time helper]] &lt;&gt; 0, Master[[#This Row],[Avg stop time helper]],Average_Stop_Time))</f>
        <v>#DIV/0!</v>
      </c>
      <c r="AV258" s="21"/>
      <c r="AW258" s="20">
        <f>Master[[#This Row],[RSP StopTime override]]-Master[[#This Row],[Avg stop time helper]]</f>
        <v>0</v>
      </c>
    </row>
    <row r="259" spans="1:49" x14ac:dyDescent="0.3">
      <c r="A259" s="81" t="s">
        <v>4365</v>
      </c>
      <c r="B259" s="79">
        <v>12</v>
      </c>
      <c r="C259" s="79" t="s">
        <v>10</v>
      </c>
      <c r="D259" s="80">
        <v>533650</v>
      </c>
      <c r="E259" s="80">
        <v>0</v>
      </c>
      <c r="F259" s="79" t="s">
        <v>3051</v>
      </c>
      <c r="G259" s="79" t="s">
        <v>3050</v>
      </c>
      <c r="H259" s="79" t="s">
        <v>7</v>
      </c>
      <c r="I259" s="79" t="s">
        <v>2966</v>
      </c>
      <c r="J259" s="79" t="s">
        <v>5</v>
      </c>
      <c r="K259" s="79" t="s">
        <v>2215</v>
      </c>
      <c r="L259" s="79">
        <v>7</v>
      </c>
      <c r="M259" s="79" t="s">
        <v>3</v>
      </c>
      <c r="N259" s="79" t="s">
        <v>2</v>
      </c>
      <c r="O259" s="58">
        <v>1</v>
      </c>
      <c r="P259" s="79">
        <v>0</v>
      </c>
      <c r="Q259" s="79">
        <v>0</v>
      </c>
      <c r="R259" s="79">
        <v>1</v>
      </c>
      <c r="S259" s="79">
        <v>0</v>
      </c>
      <c r="T259" s="79">
        <v>0</v>
      </c>
      <c r="U259" s="79"/>
      <c r="V259" s="79">
        <v>77</v>
      </c>
      <c r="W259" s="79"/>
      <c r="X259" s="79"/>
      <c r="Y259" s="79"/>
      <c r="Z259" s="79"/>
      <c r="AA259" s="78">
        <v>370</v>
      </c>
      <c r="AB259" s="78">
        <v>500</v>
      </c>
      <c r="AC259" s="78">
        <v>370</v>
      </c>
      <c r="AD259" s="78">
        <v>500</v>
      </c>
      <c r="AE259" s="53" t="str">
        <f>_xlfn.XLOOKUP(Master[[#This Row],[cu_id]],'[1]Customer Revenue'!$Q:$Q,'[1]Customer Revenue'!$K:$K, "None")</f>
        <v>None</v>
      </c>
      <c r="AF259" s="53" t="str">
        <f>_xlfn.XLOOKUP(Master[[#This Row],[cu_id]],'[1]Customer Revenue'!$Q:$Q,'[1]Customer Revenue'!$L:$L, "None")</f>
        <v>None</v>
      </c>
      <c r="AG259" s="78">
        <v>370</v>
      </c>
      <c r="AH259" s="78">
        <v>500</v>
      </c>
      <c r="AI259" s="78">
        <v>410</v>
      </c>
      <c r="AJ259" s="78">
        <v>410</v>
      </c>
      <c r="AK259" s="53" t="str">
        <f>_xlfn.XLOOKUP(Master[[#This Row],[cu_id]],'[1]Customer Revenue'!$Q:$Q,'[1]Customer Revenue'!$I:$I, "None")</f>
        <v>None</v>
      </c>
      <c r="AL259" s="78">
        <v>410</v>
      </c>
      <c r="AM259" s="77" t="s">
        <v>1</v>
      </c>
      <c r="AN259" s="77" t="s">
        <v>1</v>
      </c>
      <c r="AO259" s="77" t="s">
        <v>36</v>
      </c>
      <c r="AP259" s="77" t="s">
        <v>36</v>
      </c>
      <c r="AQ259" s="77" t="s">
        <v>0</v>
      </c>
      <c r="AR259" s="77"/>
      <c r="AS259" s="76"/>
      <c r="AT259" s="76"/>
      <c r="AU259" s="76"/>
      <c r="AV259" s="75"/>
      <c r="AW259" s="20">
        <f>Master[[#This Row],[RSP StopTime override]]-Master[[#This Row],[Avg stop time helper]]</f>
        <v>0</v>
      </c>
    </row>
    <row r="260" spans="1:49" x14ac:dyDescent="0.3">
      <c r="A260" s="66" t="s">
        <v>4366</v>
      </c>
      <c r="B260" s="58">
        <v>12</v>
      </c>
      <c r="C260" s="58" t="s">
        <v>10</v>
      </c>
      <c r="D260" s="65">
        <v>599000</v>
      </c>
      <c r="E260" s="65" t="s">
        <v>2590</v>
      </c>
      <c r="F260" s="65" t="s">
        <v>3049</v>
      </c>
      <c r="G260" s="65" t="s">
        <v>3048</v>
      </c>
      <c r="H260" s="65" t="s">
        <v>32</v>
      </c>
      <c r="I260" s="65" t="s">
        <v>2956</v>
      </c>
      <c r="J260" s="65" t="s">
        <v>5</v>
      </c>
      <c r="K260" s="65" t="s">
        <v>1972</v>
      </c>
      <c r="L260" s="64" t="s">
        <v>67</v>
      </c>
      <c r="M260" s="58" t="s">
        <v>3</v>
      </c>
      <c r="N260" s="58" t="s">
        <v>2</v>
      </c>
      <c r="O260" s="58">
        <v>140</v>
      </c>
      <c r="P260" s="58">
        <v>0</v>
      </c>
      <c r="Q260" s="58">
        <v>0</v>
      </c>
      <c r="R260" s="58">
        <v>140</v>
      </c>
      <c r="S260" s="58">
        <v>0</v>
      </c>
      <c r="T260" s="58">
        <v>0</v>
      </c>
      <c r="U260" s="58">
        <v>53</v>
      </c>
      <c r="V260" s="62">
        <v>42</v>
      </c>
      <c r="W260" s="62">
        <v>3</v>
      </c>
      <c r="X260" s="63">
        <f>IFERROR(1 -(Master[[#This Row],[Avg Garment Scans per Delivery]]/Master[[#This Row],[Garment Inventory]]), 0)</f>
        <v>0.9285714285714286</v>
      </c>
      <c r="Y260" s="62">
        <v>3</v>
      </c>
      <c r="Z260" s="62">
        <v>44</v>
      </c>
      <c r="AA260" s="53">
        <v>36.594970414201192</v>
      </c>
      <c r="AB260" s="53">
        <v>38.228106508875747</v>
      </c>
      <c r="AC260" s="53">
        <v>37.94467455621303</v>
      </c>
      <c r="AD260" s="53">
        <v>40.216863905325454</v>
      </c>
      <c r="AE260" s="53" t="str">
        <f>_xlfn.XLOOKUP(Master[[#This Row],[cu_id]],'[1]Customer Revenue'!$Q:$Q,'[1]Customer Revenue'!$K:$K, "None")</f>
        <v>None</v>
      </c>
      <c r="AF260" s="53" t="str">
        <f>_xlfn.XLOOKUP(Master[[#This Row],[cu_id]],'[1]Customer Revenue'!$Q:$Q,'[1]Customer Revenue'!$L:$L, "None")</f>
        <v>None</v>
      </c>
      <c r="AG260" s="53">
        <v>36.041065088757414</v>
      </c>
      <c r="AH260" s="53">
        <v>38.85278106508877</v>
      </c>
      <c r="AI260" s="53">
        <v>37.41153846153847</v>
      </c>
      <c r="AJ260" s="53">
        <v>39.080769230769242</v>
      </c>
      <c r="AK260" s="53" t="str">
        <f>_xlfn.XLOOKUP(Master[[#This Row],[cu_id]],'[1]Customer Revenue'!$Q:$Q,'[1]Customer Revenue'!$I:$I, "None")</f>
        <v>None</v>
      </c>
      <c r="AL260" s="53">
        <v>37.446923076923092</v>
      </c>
      <c r="AM260" s="61">
        <v>0.25</v>
      </c>
      <c r="AN260" s="60">
        <v>0.60416666666666663</v>
      </c>
      <c r="AO260" s="60" t="s">
        <v>36</v>
      </c>
      <c r="AP260" s="60" t="s">
        <v>36</v>
      </c>
      <c r="AQ260" s="58" t="s">
        <v>0</v>
      </c>
      <c r="AR260" s="58"/>
      <c r="AS260" s="58"/>
      <c r="AT260" s="52">
        <v>0</v>
      </c>
      <c r="AU260" s="52" t="e">
        <f>IF(Master[[#This Row],[RSP StopTime override]] &lt;&gt; "",Master[[#This Row],[RSP StopTime override]],IF(Master[[#This Row],[Avg stop time helper]] &lt;&gt; 0, Master[[#This Row],[Avg stop time helper]],Average_Stop_Time))</f>
        <v>#DIV/0!</v>
      </c>
      <c r="AV260" s="21"/>
      <c r="AW260" s="20">
        <f>Master[[#This Row],[RSP StopTime override]]-Master[[#This Row],[Avg stop time helper]]</f>
        <v>0</v>
      </c>
    </row>
    <row r="261" spans="1:49" x14ac:dyDescent="0.3">
      <c r="A261" s="66" t="s">
        <v>4367</v>
      </c>
      <c r="B261" s="58">
        <v>12</v>
      </c>
      <c r="C261" s="58" t="s">
        <v>43</v>
      </c>
      <c r="D261" s="65">
        <v>99033</v>
      </c>
      <c r="E261" s="65" t="s">
        <v>2587</v>
      </c>
      <c r="F261" s="65" t="s">
        <v>3047</v>
      </c>
      <c r="G261" s="65" t="s">
        <v>3046</v>
      </c>
      <c r="H261" s="65" t="s">
        <v>32</v>
      </c>
      <c r="I261" s="65" t="s">
        <v>1637</v>
      </c>
      <c r="J261" s="65" t="s">
        <v>5</v>
      </c>
      <c r="K261" s="65" t="s">
        <v>1624</v>
      </c>
      <c r="L261" s="64" t="s">
        <v>77</v>
      </c>
      <c r="M261" s="58" t="s">
        <v>29</v>
      </c>
      <c r="N261" s="58" t="s">
        <v>2</v>
      </c>
      <c r="O261" s="58">
        <v>110</v>
      </c>
      <c r="P261" s="58">
        <v>0</v>
      </c>
      <c r="Q261" s="58">
        <v>0</v>
      </c>
      <c r="R261" s="58">
        <v>0</v>
      </c>
      <c r="S261" s="58">
        <v>110</v>
      </c>
      <c r="T261" s="58">
        <v>0</v>
      </c>
      <c r="U261" s="58">
        <v>20</v>
      </c>
      <c r="V261" s="62"/>
      <c r="W261" s="62"/>
      <c r="X261" s="63">
        <f>IFERROR(1 -(Master[[#This Row],[Avg Garment Scans per Delivery]]/Master[[#This Row],[Garment Inventory]]), 0)</f>
        <v>0</v>
      </c>
      <c r="Y261" s="62"/>
      <c r="Z261" s="62"/>
      <c r="AA261" s="53">
        <v>60.4</v>
      </c>
      <c r="AB261" s="53">
        <v>60.4</v>
      </c>
      <c r="AC261" s="53">
        <v>25.576124999999998</v>
      </c>
      <c r="AD261" s="53">
        <v>106.23987499999998</v>
      </c>
      <c r="AE261" s="53" t="str">
        <f>_xlfn.XLOOKUP(Master[[#This Row],[cu_id]],'[1]Customer Revenue'!$Q:$Q,'[1]Customer Revenue'!$K:$K, "None")</f>
        <v>None</v>
      </c>
      <c r="AF261" s="53" t="str">
        <f>_xlfn.XLOOKUP(Master[[#This Row],[cu_id]],'[1]Customer Revenue'!$Q:$Q,'[1]Customer Revenue'!$L:$L, "None")</f>
        <v>None</v>
      </c>
      <c r="AG261" s="53">
        <v>42.886369230769212</v>
      </c>
      <c r="AH261" s="53">
        <v>74.035169230769228</v>
      </c>
      <c r="AI261" s="53">
        <v>60.4</v>
      </c>
      <c r="AJ261" s="53">
        <v>65.907999999999987</v>
      </c>
      <c r="AK261" s="53" t="str">
        <f>_xlfn.XLOOKUP(Master[[#This Row],[cu_id]],'[1]Customer Revenue'!$Q:$Q,'[1]Customer Revenue'!$I:$I, "None")</f>
        <v>None</v>
      </c>
      <c r="AL261" s="53">
        <v>58.460769230769216</v>
      </c>
      <c r="AM261" s="61">
        <v>0.29166666666666669</v>
      </c>
      <c r="AN261" s="60">
        <v>0.625</v>
      </c>
      <c r="AO261" s="60" t="s">
        <v>36</v>
      </c>
      <c r="AP261" s="60" t="s">
        <v>36</v>
      </c>
      <c r="AQ261" s="58" t="s">
        <v>0</v>
      </c>
      <c r="AR261" s="58"/>
      <c r="AS261" s="58"/>
      <c r="AT261" s="52">
        <v>0</v>
      </c>
      <c r="AU261" s="52" t="e">
        <f>IF(Master[[#This Row],[RSP StopTime override]] &lt;&gt; "",Master[[#This Row],[RSP StopTime override]],IF(Master[[#This Row],[Avg stop time helper]] &lt;&gt; 0, Master[[#This Row],[Avg stop time helper]],Average_Stop_Time))</f>
        <v>#DIV/0!</v>
      </c>
      <c r="AV261" s="21"/>
      <c r="AW261" s="20">
        <f>Master[[#This Row],[RSP StopTime override]]-Master[[#This Row],[Avg stop time helper]]</f>
        <v>0</v>
      </c>
    </row>
    <row r="262" spans="1:49" x14ac:dyDescent="0.3">
      <c r="A262" s="66" t="s">
        <v>4368</v>
      </c>
      <c r="B262" s="58">
        <v>12</v>
      </c>
      <c r="C262" s="58" t="s">
        <v>43</v>
      </c>
      <c r="D262" s="65">
        <v>99033</v>
      </c>
      <c r="E262" s="65" t="s">
        <v>1249</v>
      </c>
      <c r="F262" s="65" t="s">
        <v>3045</v>
      </c>
      <c r="G262" s="65" t="s">
        <v>3044</v>
      </c>
      <c r="H262" s="65" t="s">
        <v>32</v>
      </c>
      <c r="I262" s="65" t="s">
        <v>1637</v>
      </c>
      <c r="J262" s="65" t="s">
        <v>5</v>
      </c>
      <c r="K262" s="65" t="s">
        <v>1624</v>
      </c>
      <c r="L262" s="64" t="s">
        <v>67</v>
      </c>
      <c r="M262" s="58" t="s">
        <v>3</v>
      </c>
      <c r="N262" s="58" t="s">
        <v>2</v>
      </c>
      <c r="O262" s="58">
        <v>140</v>
      </c>
      <c r="P262" s="58">
        <v>0</v>
      </c>
      <c r="Q262" s="58">
        <v>0</v>
      </c>
      <c r="R262" s="58">
        <v>0</v>
      </c>
      <c r="S262" s="58">
        <v>140</v>
      </c>
      <c r="T262" s="58">
        <v>0</v>
      </c>
      <c r="U262" s="58">
        <v>37</v>
      </c>
      <c r="V262" s="62"/>
      <c r="W262" s="62"/>
      <c r="X262" s="63">
        <f>IFERROR(1 -(Master[[#This Row],[Avg Garment Scans per Delivery]]/Master[[#This Row],[Garment Inventory]]), 0)</f>
        <v>0</v>
      </c>
      <c r="Y262" s="62"/>
      <c r="Z262" s="62"/>
      <c r="AA262" s="53">
        <v>29.249575936883623</v>
      </c>
      <c r="AB262" s="53">
        <v>39.027090729783033</v>
      </c>
      <c r="AC262" s="53">
        <v>15.575102040816326</v>
      </c>
      <c r="AD262" s="53">
        <v>53.80489795918367</v>
      </c>
      <c r="AE262" s="53" t="str">
        <f>_xlfn.XLOOKUP(Master[[#This Row],[cu_id]],'[1]Customer Revenue'!$Q:$Q,'[1]Customer Revenue'!$K:$K, "None")</f>
        <v>None</v>
      </c>
      <c r="AF262" s="53" t="str">
        <f>_xlfn.XLOOKUP(Master[[#This Row],[cu_id]],'[1]Customer Revenue'!$Q:$Q,'[1]Customer Revenue'!$L:$L, "None")</f>
        <v>None</v>
      </c>
      <c r="AG262" s="53">
        <v>24.322888649811745</v>
      </c>
      <c r="AH262" s="53">
        <v>41.44620225927919</v>
      </c>
      <c r="AI262" s="53">
        <v>34.138333333333328</v>
      </c>
      <c r="AJ262" s="53">
        <v>34.69</v>
      </c>
      <c r="AK262" s="53" t="str">
        <f>_xlfn.XLOOKUP(Master[[#This Row],[cu_id]],'[1]Customer Revenue'!$Q:$Q,'[1]Customer Revenue'!$I:$I, "None")</f>
        <v>None</v>
      </c>
      <c r="AL262" s="53">
        <v>32.884545454545467</v>
      </c>
      <c r="AM262" s="61">
        <v>0.29166666666666669</v>
      </c>
      <c r="AN262" s="60">
        <v>0.625</v>
      </c>
      <c r="AO262" s="60" t="s">
        <v>36</v>
      </c>
      <c r="AP262" s="60" t="s">
        <v>36</v>
      </c>
      <c r="AQ262" s="58" t="s">
        <v>0</v>
      </c>
      <c r="AR262" s="58"/>
      <c r="AS262" s="58"/>
      <c r="AT262" s="52">
        <v>0</v>
      </c>
      <c r="AU262" s="52" t="e">
        <f>IF(Master[[#This Row],[RSP StopTime override]] &lt;&gt; "",Master[[#This Row],[RSP StopTime override]],IF(Master[[#This Row],[Avg stop time helper]] &lt;&gt; 0, Master[[#This Row],[Avg stop time helper]],Average_Stop_Time))</f>
        <v>#DIV/0!</v>
      </c>
      <c r="AV262" s="21"/>
      <c r="AW262" s="20">
        <f>Master[[#This Row],[RSP StopTime override]]-Master[[#This Row],[Avg stop time helper]]</f>
        <v>0</v>
      </c>
    </row>
    <row r="263" spans="1:49" x14ac:dyDescent="0.3">
      <c r="A263" s="66" t="s">
        <v>4369</v>
      </c>
      <c r="B263" s="58">
        <v>12</v>
      </c>
      <c r="C263" s="58" t="s">
        <v>43</v>
      </c>
      <c r="D263" s="65">
        <v>99033</v>
      </c>
      <c r="E263" s="65" t="s">
        <v>3043</v>
      </c>
      <c r="F263" s="65" t="s">
        <v>3042</v>
      </c>
      <c r="G263" s="65" t="s">
        <v>3041</v>
      </c>
      <c r="H263" s="65" t="s">
        <v>32</v>
      </c>
      <c r="I263" s="65" t="s">
        <v>12</v>
      </c>
      <c r="J263" s="65" t="s">
        <v>5</v>
      </c>
      <c r="K263" s="65" t="s">
        <v>2031</v>
      </c>
      <c r="L263" s="64" t="s">
        <v>91</v>
      </c>
      <c r="M263" s="58" t="s">
        <v>90</v>
      </c>
      <c r="N263" s="58" t="s">
        <v>2</v>
      </c>
      <c r="O263" s="58">
        <v>50</v>
      </c>
      <c r="P263" s="58">
        <v>0</v>
      </c>
      <c r="Q263" s="58">
        <v>0</v>
      </c>
      <c r="R263" s="58">
        <v>0</v>
      </c>
      <c r="S263" s="58">
        <v>50</v>
      </c>
      <c r="T263" s="58">
        <v>0</v>
      </c>
      <c r="U263" s="58">
        <v>20</v>
      </c>
      <c r="V263" s="62"/>
      <c r="W263" s="62"/>
      <c r="X263" s="63">
        <f>IFERROR(1 -(Master[[#This Row],[Avg Garment Scans per Delivery]]/Master[[#This Row],[Garment Inventory]]), 0)</f>
        <v>0</v>
      </c>
      <c r="Y263" s="62"/>
      <c r="Z263" s="62"/>
      <c r="AA263" s="53">
        <v>20.393750000000001</v>
      </c>
      <c r="AB263" s="53">
        <v>44.866250000000008</v>
      </c>
      <c r="AC263" s="53">
        <v>21.890555555555551</v>
      </c>
      <c r="AD263" s="53">
        <v>38.729444444444439</v>
      </c>
      <c r="AE263" s="53" t="str">
        <f>_xlfn.XLOOKUP(Master[[#This Row],[cu_id]],'[1]Customer Revenue'!$Q:$Q,'[1]Customer Revenue'!$K:$K, "None")</f>
        <v>None</v>
      </c>
      <c r="AF263" s="53" t="str">
        <f>_xlfn.XLOOKUP(Master[[#This Row],[cu_id]],'[1]Customer Revenue'!$Q:$Q,'[1]Customer Revenue'!$L:$L, "None")</f>
        <v>None</v>
      </c>
      <c r="AG263" s="53">
        <v>18.762408163265306</v>
      </c>
      <c r="AH263" s="53">
        <v>44.64159183673469</v>
      </c>
      <c r="AI263" s="53">
        <v>32.630000000000003</v>
      </c>
      <c r="AJ263" s="53">
        <v>30.309999999999995</v>
      </c>
      <c r="AK263" s="53" t="str">
        <f>_xlfn.XLOOKUP(Master[[#This Row],[cu_id]],'[1]Customer Revenue'!$Q:$Q,'[1]Customer Revenue'!$I:$I, "None")</f>
        <v>None</v>
      </c>
      <c r="AL263" s="53">
        <v>31.701999999999998</v>
      </c>
      <c r="AM263" s="61">
        <v>0.29166666666666669</v>
      </c>
      <c r="AN263" s="60">
        <v>0.625</v>
      </c>
      <c r="AO263" s="60" t="s">
        <v>36</v>
      </c>
      <c r="AP263" s="60" t="s">
        <v>36</v>
      </c>
      <c r="AQ263" s="58" t="s">
        <v>0</v>
      </c>
      <c r="AR263" s="58"/>
      <c r="AS263" s="58"/>
      <c r="AT263" s="52">
        <v>0</v>
      </c>
      <c r="AU263" s="52" t="e">
        <f>IF(Master[[#This Row],[RSP StopTime override]] &lt;&gt; "",Master[[#This Row],[RSP StopTime override]],IF(Master[[#This Row],[Avg stop time helper]] &lt;&gt; 0, Master[[#This Row],[Avg stop time helper]],Average_Stop_Time))</f>
        <v>#DIV/0!</v>
      </c>
      <c r="AV263" s="21"/>
      <c r="AW263" s="20">
        <f>Master[[#This Row],[RSP StopTime override]]-Master[[#This Row],[Avg stop time helper]]</f>
        <v>0</v>
      </c>
    </row>
    <row r="264" spans="1:49" x14ac:dyDescent="0.3">
      <c r="A264" s="66" t="s">
        <v>4370</v>
      </c>
      <c r="B264" s="58">
        <v>12</v>
      </c>
      <c r="C264" s="58" t="s">
        <v>43</v>
      </c>
      <c r="D264" s="65">
        <v>99061</v>
      </c>
      <c r="E264" s="65" t="s">
        <v>2171</v>
      </c>
      <c r="F264" s="65" t="s">
        <v>3040</v>
      </c>
      <c r="G264" s="65" t="s">
        <v>3027</v>
      </c>
      <c r="H264" s="65" t="s">
        <v>32</v>
      </c>
      <c r="I264" s="65" t="s">
        <v>1617</v>
      </c>
      <c r="J264" s="65" t="s">
        <v>5</v>
      </c>
      <c r="K264" s="65" t="s">
        <v>1599</v>
      </c>
      <c r="L264" s="64" t="s">
        <v>67</v>
      </c>
      <c r="M264" s="58" t="s">
        <v>3</v>
      </c>
      <c r="N264" s="58" t="s">
        <v>2</v>
      </c>
      <c r="O264" s="58">
        <v>122</v>
      </c>
      <c r="P264" s="58">
        <v>0</v>
      </c>
      <c r="Q264" s="58">
        <v>0</v>
      </c>
      <c r="R264" s="58">
        <v>0</v>
      </c>
      <c r="S264" s="58">
        <v>122</v>
      </c>
      <c r="T264" s="58">
        <v>0</v>
      </c>
      <c r="U264" s="58">
        <v>38</v>
      </c>
      <c r="V264" s="62"/>
      <c r="W264" s="62"/>
      <c r="X264" s="63">
        <f>IFERROR(1 -(Master[[#This Row],[Avg Garment Scans per Delivery]]/Master[[#This Row],[Garment Inventory]]), 0)</f>
        <v>0</v>
      </c>
      <c r="Y264" s="62"/>
      <c r="Z264" s="62"/>
      <c r="AA264" s="53">
        <v>8.5152662721893506</v>
      </c>
      <c r="AB264" s="53">
        <v>22.007810650887578</v>
      </c>
      <c r="AC264" s="53">
        <v>15.026965342349953</v>
      </c>
      <c r="AD264" s="53">
        <v>44.727320371935754</v>
      </c>
      <c r="AE264" s="53" t="str">
        <f>_xlfn.XLOOKUP(Master[[#This Row],[cu_id]],'[1]Customer Revenue'!$Q:$Q,'[1]Customer Revenue'!$K:$K, "None")</f>
        <v>None</v>
      </c>
      <c r="AF264" s="53" t="str">
        <f>_xlfn.XLOOKUP(Master[[#This Row],[cu_id]],'[1]Customer Revenue'!$Q:$Q,'[1]Customer Revenue'!$L:$L, "None")</f>
        <v>None</v>
      </c>
      <c r="AG264" s="53">
        <v>8.5114102564102581</v>
      </c>
      <c r="AH264" s="53">
        <v>24.045256410256407</v>
      </c>
      <c r="AI264" s="53">
        <v>15.261538461538464</v>
      </c>
      <c r="AJ264" s="53">
        <v>29.877142857142854</v>
      </c>
      <c r="AK264" s="53" t="str">
        <f>_xlfn.XLOOKUP(Master[[#This Row],[cu_id]],'[1]Customer Revenue'!$Q:$Q,'[1]Customer Revenue'!$I:$I, "None")</f>
        <v>None</v>
      </c>
      <c r="AL264" s="53">
        <v>16.278333333333332</v>
      </c>
      <c r="AM264" s="61">
        <v>0.25</v>
      </c>
      <c r="AN264" s="60">
        <v>0.5</v>
      </c>
      <c r="AO264" s="60" t="s">
        <v>36</v>
      </c>
      <c r="AP264" s="60" t="s">
        <v>36</v>
      </c>
      <c r="AQ264" s="58" t="s">
        <v>305</v>
      </c>
      <c r="AR264" s="58"/>
      <c r="AS264" s="58"/>
      <c r="AT264" s="52">
        <v>0</v>
      </c>
      <c r="AU264" s="52" t="e">
        <f>IF(Master[[#This Row],[RSP StopTime override]] &lt;&gt; "",Master[[#This Row],[RSP StopTime override]],IF(Master[[#This Row],[Avg stop time helper]] &lt;&gt; 0, Master[[#This Row],[Avg stop time helper]],Average_Stop_Time))</f>
        <v>#DIV/0!</v>
      </c>
      <c r="AV264" s="21"/>
      <c r="AW264" s="20">
        <f>Master[[#This Row],[RSP StopTime override]]-Master[[#This Row],[Avg stop time helper]]</f>
        <v>0</v>
      </c>
    </row>
    <row r="265" spans="1:49" x14ac:dyDescent="0.3">
      <c r="A265" s="66" t="s">
        <v>4371</v>
      </c>
      <c r="B265" s="58">
        <v>12</v>
      </c>
      <c r="C265" s="58" t="s">
        <v>43</v>
      </c>
      <c r="D265" s="65">
        <v>99061</v>
      </c>
      <c r="E265" s="65" t="s">
        <v>2587</v>
      </c>
      <c r="F265" s="65" t="s">
        <v>3039</v>
      </c>
      <c r="G265" s="65" t="s">
        <v>3027</v>
      </c>
      <c r="H265" s="65" t="s">
        <v>32</v>
      </c>
      <c r="I265" s="65" t="s">
        <v>1617</v>
      </c>
      <c r="J265" s="65" t="s">
        <v>5</v>
      </c>
      <c r="K265" s="65" t="s">
        <v>1599</v>
      </c>
      <c r="L265" s="64" t="s">
        <v>67</v>
      </c>
      <c r="M265" s="58" t="s">
        <v>3</v>
      </c>
      <c r="N265" s="58" t="s">
        <v>2</v>
      </c>
      <c r="O265" s="58">
        <v>121</v>
      </c>
      <c r="P265" s="58">
        <v>0</v>
      </c>
      <c r="Q265" s="58">
        <v>0</v>
      </c>
      <c r="R265" s="58">
        <v>0</v>
      </c>
      <c r="S265" s="58">
        <v>121</v>
      </c>
      <c r="T265" s="58">
        <v>0</v>
      </c>
      <c r="U265" s="58">
        <v>53</v>
      </c>
      <c r="V265" s="62"/>
      <c r="W265" s="62"/>
      <c r="X265" s="63">
        <f>IFERROR(1 -(Master[[#This Row],[Avg Garment Scans per Delivery]]/Master[[#This Row],[Garment Inventory]]), 0)</f>
        <v>0</v>
      </c>
      <c r="Y265" s="62"/>
      <c r="Z265" s="62"/>
      <c r="AA265" s="53">
        <v>30.29</v>
      </c>
      <c r="AB265" s="53">
        <v>30.290000000000006</v>
      </c>
      <c r="AC265" s="53">
        <v>29.651775147928994</v>
      </c>
      <c r="AD265" s="53">
        <v>35.318994082840241</v>
      </c>
      <c r="AE265" s="53" t="str">
        <f>_xlfn.XLOOKUP(Master[[#This Row],[cu_id]],'[1]Customer Revenue'!$Q:$Q,'[1]Customer Revenue'!$K:$K, "None")</f>
        <v>None</v>
      </c>
      <c r="AF265" s="53" t="str">
        <f>_xlfn.XLOOKUP(Master[[#This Row],[cu_id]],'[1]Customer Revenue'!$Q:$Q,'[1]Customer Revenue'!$L:$L, "None")</f>
        <v>None</v>
      </c>
      <c r="AG265" s="53">
        <v>29.492071005917154</v>
      </c>
      <c r="AH265" s="53">
        <v>30.372544378698223</v>
      </c>
      <c r="AI265" s="53">
        <v>30.290000000000003</v>
      </c>
      <c r="AJ265" s="53">
        <v>32.485384615384618</v>
      </c>
      <c r="AK265" s="53" t="str">
        <f>_xlfn.XLOOKUP(Master[[#This Row],[cu_id]],'[1]Customer Revenue'!$Q:$Q,'[1]Customer Revenue'!$I:$I, "None")</f>
        <v>None</v>
      </c>
      <c r="AL265" s="53">
        <v>29.932307692307688</v>
      </c>
      <c r="AM265" s="61">
        <v>0.25</v>
      </c>
      <c r="AN265" s="60">
        <v>0.5</v>
      </c>
      <c r="AO265" s="60" t="s">
        <v>36</v>
      </c>
      <c r="AP265" s="60" t="s">
        <v>36</v>
      </c>
      <c r="AQ265" s="58" t="s">
        <v>305</v>
      </c>
      <c r="AR265" s="58"/>
      <c r="AS265" s="58"/>
      <c r="AT265" s="52">
        <v>0</v>
      </c>
      <c r="AU265" s="52" t="e">
        <f>IF(Master[[#This Row],[RSP StopTime override]] &lt;&gt; "",Master[[#This Row],[RSP StopTime override]],IF(Master[[#This Row],[Avg stop time helper]] &lt;&gt; 0, Master[[#This Row],[Avg stop time helper]],Average_Stop_Time))</f>
        <v>#DIV/0!</v>
      </c>
      <c r="AV265" s="21"/>
      <c r="AW265" s="20">
        <f>Master[[#This Row],[RSP StopTime override]]-Master[[#This Row],[Avg stop time helper]]</f>
        <v>0</v>
      </c>
    </row>
    <row r="266" spans="1:49" x14ac:dyDescent="0.3">
      <c r="A266" s="66" t="s">
        <v>4372</v>
      </c>
      <c r="B266" s="58">
        <v>12</v>
      </c>
      <c r="C266" s="58" t="s">
        <v>43</v>
      </c>
      <c r="D266" s="65">
        <v>99061</v>
      </c>
      <c r="E266" s="65" t="s">
        <v>1249</v>
      </c>
      <c r="F266" s="65" t="s">
        <v>3038</v>
      </c>
      <c r="G266" s="65" t="s">
        <v>3027</v>
      </c>
      <c r="H266" s="65" t="s">
        <v>32</v>
      </c>
      <c r="I266" s="65" t="s">
        <v>1617</v>
      </c>
      <c r="J266" s="65" t="s">
        <v>5</v>
      </c>
      <c r="K266" s="65" t="s">
        <v>1599</v>
      </c>
      <c r="L266" s="64" t="s">
        <v>67</v>
      </c>
      <c r="M266" s="58" t="s">
        <v>3</v>
      </c>
      <c r="N266" s="58" t="s">
        <v>2</v>
      </c>
      <c r="O266" s="58">
        <v>124</v>
      </c>
      <c r="P266" s="58">
        <v>0</v>
      </c>
      <c r="Q266" s="58">
        <v>0</v>
      </c>
      <c r="R266" s="58">
        <v>0</v>
      </c>
      <c r="S266" s="58">
        <v>124</v>
      </c>
      <c r="T266" s="58">
        <v>0</v>
      </c>
      <c r="U266" s="58">
        <v>53</v>
      </c>
      <c r="V266" s="62"/>
      <c r="W266" s="62"/>
      <c r="X266" s="63">
        <f>IFERROR(1 -(Master[[#This Row],[Avg Garment Scans per Delivery]]/Master[[#This Row],[Garment Inventory]]), 0)</f>
        <v>0</v>
      </c>
      <c r="Y266" s="62"/>
      <c r="Z266" s="62"/>
      <c r="AA266" s="53">
        <v>21.02</v>
      </c>
      <c r="AB266" s="53">
        <v>21.020000000000007</v>
      </c>
      <c r="AC266" s="53">
        <v>20.280828402366861</v>
      </c>
      <c r="AD266" s="53">
        <v>28.16532544378698</v>
      </c>
      <c r="AE266" s="53" t="str">
        <f>_xlfn.XLOOKUP(Master[[#This Row],[cu_id]],'[1]Customer Revenue'!$Q:$Q,'[1]Customer Revenue'!$K:$K, "None")</f>
        <v>None</v>
      </c>
      <c r="AF266" s="53" t="str">
        <f>_xlfn.XLOOKUP(Master[[#This Row],[cu_id]],'[1]Customer Revenue'!$Q:$Q,'[1]Customer Revenue'!$L:$L, "None")</f>
        <v>None</v>
      </c>
      <c r="AG266" s="53">
        <v>20.453727810650882</v>
      </c>
      <c r="AH266" s="53">
        <v>21.0785798816568</v>
      </c>
      <c r="AI266" s="53">
        <v>21.020000000000003</v>
      </c>
      <c r="AJ266" s="53">
        <v>24.223076923076921</v>
      </c>
      <c r="AK266" s="53" t="str">
        <f>_xlfn.XLOOKUP(Master[[#This Row],[cu_id]],'[1]Customer Revenue'!$Q:$Q,'[1]Customer Revenue'!$I:$I, "None")</f>
        <v>None</v>
      </c>
      <c r="AL266" s="53">
        <v>20.766153846153841</v>
      </c>
      <c r="AM266" s="61">
        <v>0.25</v>
      </c>
      <c r="AN266" s="60">
        <v>0.5</v>
      </c>
      <c r="AO266" s="60" t="s">
        <v>36</v>
      </c>
      <c r="AP266" s="60" t="s">
        <v>36</v>
      </c>
      <c r="AQ266" s="58" t="s">
        <v>305</v>
      </c>
      <c r="AR266" s="58"/>
      <c r="AS266" s="58"/>
      <c r="AT266" s="52">
        <v>0</v>
      </c>
      <c r="AU266" s="52" t="e">
        <f>IF(Master[[#This Row],[RSP StopTime override]] &lt;&gt; "",Master[[#This Row],[RSP StopTime override]],IF(Master[[#This Row],[Avg stop time helper]] &lt;&gt; 0, Master[[#This Row],[Avg stop time helper]],Average_Stop_Time))</f>
        <v>#DIV/0!</v>
      </c>
      <c r="AV266" s="21"/>
      <c r="AW266" s="20">
        <f>Master[[#This Row],[RSP StopTime override]]-Master[[#This Row],[Avg stop time helper]]</f>
        <v>0</v>
      </c>
    </row>
    <row r="267" spans="1:49" x14ac:dyDescent="0.3">
      <c r="A267" s="66" t="s">
        <v>4373</v>
      </c>
      <c r="B267" s="58">
        <v>12</v>
      </c>
      <c r="C267" s="58" t="s">
        <v>43</v>
      </c>
      <c r="D267" s="65">
        <v>99061</v>
      </c>
      <c r="E267" s="65" t="s">
        <v>1526</v>
      </c>
      <c r="F267" s="65" t="s">
        <v>3037</v>
      </c>
      <c r="G267" s="65" t="s">
        <v>3027</v>
      </c>
      <c r="H267" s="65" t="s">
        <v>32</v>
      </c>
      <c r="I267" s="65" t="s">
        <v>1617</v>
      </c>
      <c r="J267" s="65" t="s">
        <v>5</v>
      </c>
      <c r="K267" s="65" t="s">
        <v>1599</v>
      </c>
      <c r="L267" s="64" t="s">
        <v>67</v>
      </c>
      <c r="M267" s="58" t="s">
        <v>3</v>
      </c>
      <c r="N267" s="58" t="s">
        <v>2</v>
      </c>
      <c r="O267" s="58">
        <v>120</v>
      </c>
      <c r="P267" s="58">
        <v>0</v>
      </c>
      <c r="Q267" s="58">
        <v>0</v>
      </c>
      <c r="R267" s="58">
        <v>0</v>
      </c>
      <c r="S267" s="58">
        <v>120</v>
      </c>
      <c r="T267" s="58">
        <v>0</v>
      </c>
      <c r="U267" s="58">
        <v>53</v>
      </c>
      <c r="V267" s="62">
        <v>44</v>
      </c>
      <c r="W267" s="62">
        <v>17</v>
      </c>
      <c r="X267" s="63">
        <f>IFERROR(1 -(Master[[#This Row],[Avg Garment Scans per Delivery]]/Master[[#This Row],[Garment Inventory]]), 0)</f>
        <v>0.61363636363636365</v>
      </c>
      <c r="Y267" s="62">
        <v>4</v>
      </c>
      <c r="Z267" s="62">
        <v>69</v>
      </c>
      <c r="AA267" s="53">
        <v>48.122011834319522</v>
      </c>
      <c r="AB267" s="53">
        <v>50.299526627218938</v>
      </c>
      <c r="AC267" s="53">
        <v>48.424792899408288</v>
      </c>
      <c r="AD267" s="53">
        <v>52.038284023668638</v>
      </c>
      <c r="AE267" s="53" t="str">
        <f>_xlfn.XLOOKUP(Master[[#This Row],[cu_id]],'[1]Customer Revenue'!$Q:$Q,'[1]Customer Revenue'!$K:$K, "None")</f>
        <v>None</v>
      </c>
      <c r="AF267" s="53" t="str">
        <f>_xlfn.XLOOKUP(Master[[#This Row],[cu_id]],'[1]Customer Revenue'!$Q:$Q,'[1]Customer Revenue'!$L:$L, "None")</f>
        <v>None</v>
      </c>
      <c r="AG267" s="53">
        <v>47.386715976331367</v>
      </c>
      <c r="AH267" s="53">
        <v>49.786360946745567</v>
      </c>
      <c r="AI267" s="53">
        <v>49.21076923076923</v>
      </c>
      <c r="AJ267" s="53">
        <v>50.231538461538463</v>
      </c>
      <c r="AK267" s="53" t="str">
        <f>_xlfn.XLOOKUP(Master[[#This Row],[cu_id]],'[1]Customer Revenue'!$Q:$Q,'[1]Customer Revenue'!$I:$I, "None")</f>
        <v>None</v>
      </c>
      <c r="AL267" s="53">
        <v>48.586538461538467</v>
      </c>
      <c r="AM267" s="61">
        <v>0.25</v>
      </c>
      <c r="AN267" s="60">
        <v>0.5</v>
      </c>
      <c r="AO267" s="60" t="s">
        <v>36</v>
      </c>
      <c r="AP267" s="60" t="s">
        <v>36</v>
      </c>
      <c r="AQ267" s="58" t="s">
        <v>305</v>
      </c>
      <c r="AR267" s="58"/>
      <c r="AS267" s="58"/>
      <c r="AT267" s="52">
        <v>0</v>
      </c>
      <c r="AU267" s="52" t="e">
        <f>IF(Master[[#This Row],[RSP StopTime override]] &lt;&gt; "",Master[[#This Row],[RSP StopTime override]],IF(Master[[#This Row],[Avg stop time helper]] &lt;&gt; 0, Master[[#This Row],[Avg stop time helper]],Average_Stop_Time))</f>
        <v>#DIV/0!</v>
      </c>
      <c r="AV267" s="21"/>
      <c r="AW267" s="20">
        <f>Master[[#This Row],[RSP StopTime override]]-Master[[#This Row],[Avg stop time helper]]</f>
        <v>0</v>
      </c>
    </row>
    <row r="268" spans="1:49" x14ac:dyDescent="0.3">
      <c r="A268" s="66" t="s">
        <v>3862</v>
      </c>
      <c r="B268" s="58">
        <v>12</v>
      </c>
      <c r="C268" s="58" t="s">
        <v>43</v>
      </c>
      <c r="D268" s="65">
        <v>99061</v>
      </c>
      <c r="E268" s="65" t="s">
        <v>1467</v>
      </c>
      <c r="F268" s="65" t="s">
        <v>3610</v>
      </c>
      <c r="G268" s="65" t="s">
        <v>3027</v>
      </c>
      <c r="H268" s="65" t="s">
        <v>32</v>
      </c>
      <c r="I268" s="65" t="s">
        <v>1617</v>
      </c>
      <c r="J268" s="65" t="s">
        <v>5</v>
      </c>
      <c r="K268" s="65" t="s">
        <v>1599</v>
      </c>
      <c r="L268" s="64" t="s">
        <v>67</v>
      </c>
      <c r="M268" s="58" t="s">
        <v>3</v>
      </c>
      <c r="N268" s="58" t="s">
        <v>2</v>
      </c>
      <c r="O268" s="58">
        <v>123</v>
      </c>
      <c r="P268" s="58">
        <v>0</v>
      </c>
      <c r="Q268" s="58">
        <v>0</v>
      </c>
      <c r="R268" s="58">
        <v>0</v>
      </c>
      <c r="S268" s="58">
        <v>123</v>
      </c>
      <c r="T268" s="58">
        <v>0</v>
      </c>
      <c r="U268" s="58">
        <v>53</v>
      </c>
      <c r="V268" s="62"/>
      <c r="W268" s="62"/>
      <c r="X268" s="63">
        <f>IFERROR(1 -(Master[[#This Row],[Avg Garment Scans per Delivery]]/Master[[#This Row],[Garment Inventory]]), 0)</f>
        <v>0</v>
      </c>
      <c r="Y268" s="62"/>
      <c r="Z268" s="62"/>
      <c r="AA268" s="53">
        <v>38.160650887573972</v>
      </c>
      <c r="AB268" s="53">
        <v>48.736272189349116</v>
      </c>
      <c r="AC268" s="53">
        <v>40.772248520710065</v>
      </c>
      <c r="AD268" s="53">
        <v>87.936982248520707</v>
      </c>
      <c r="AE268" s="53" t="str">
        <f>_xlfn.XLOOKUP(Master[[#This Row],[cu_id]],'[1]Customer Revenue'!$Q:$Q,'[1]Customer Revenue'!$K:$K, "None")</f>
        <v>None</v>
      </c>
      <c r="AF268" s="53" t="str">
        <f>_xlfn.XLOOKUP(Master[[#This Row],[cu_id]],'[1]Customer Revenue'!$Q:$Q,'[1]Customer Revenue'!$L:$L, "None")</f>
        <v>None</v>
      </c>
      <c r="AG268" s="53">
        <v>35.922307692307697</v>
      </c>
      <c r="AH268" s="53">
        <v>44.627692307692314</v>
      </c>
      <c r="AI268" s="53">
        <v>43.448461538461544</v>
      </c>
      <c r="AJ268" s="53">
        <v>64.354615384615386</v>
      </c>
      <c r="AK268" s="53" t="str">
        <f>_xlfn.XLOOKUP(Master[[#This Row],[cu_id]],'[1]Customer Revenue'!$Q:$Q,'[1]Customer Revenue'!$I:$I, "None")</f>
        <v>None</v>
      </c>
      <c r="AL268" s="53">
        <v>40.275000000000006</v>
      </c>
      <c r="AM268" s="61">
        <v>0.25</v>
      </c>
      <c r="AN268" s="60">
        <v>0.5</v>
      </c>
      <c r="AO268" s="60" t="s">
        <v>36</v>
      </c>
      <c r="AP268" s="60" t="s">
        <v>36</v>
      </c>
      <c r="AQ268" s="58" t="s">
        <v>305</v>
      </c>
      <c r="AR268" s="58"/>
      <c r="AS268" s="58"/>
      <c r="AT268" s="52">
        <v>0</v>
      </c>
      <c r="AU268" s="52" t="e">
        <f>IF(Master[[#This Row],[RSP StopTime override]] &lt;&gt; "",Master[[#This Row],[RSP StopTime override]],IF(Master[[#This Row],[Avg stop time helper]] &lt;&gt; 0, Master[[#This Row],[Avg stop time helper]],Average_Stop_Time))</f>
        <v>#DIV/0!</v>
      </c>
      <c r="AV268" s="21"/>
      <c r="AW268" s="20">
        <f>Master[[#This Row],[RSP StopTime override]]-Master[[#This Row],[Avg stop time helper]]</f>
        <v>0</v>
      </c>
    </row>
    <row r="269" spans="1:49" x14ac:dyDescent="0.3">
      <c r="A269" s="66" t="s">
        <v>3912</v>
      </c>
      <c r="B269" s="58">
        <v>12</v>
      </c>
      <c r="C269" s="58" t="s">
        <v>43</v>
      </c>
      <c r="D269" s="65">
        <v>99061</v>
      </c>
      <c r="E269" s="65" t="s">
        <v>1619</v>
      </c>
      <c r="F269" s="65" t="s">
        <v>3611</v>
      </c>
      <c r="G269" s="65" t="s">
        <v>1618</v>
      </c>
      <c r="H269" s="65" t="s">
        <v>32</v>
      </c>
      <c r="I269" s="65" t="s">
        <v>1617</v>
      </c>
      <c r="J269" s="65" t="s">
        <v>5</v>
      </c>
      <c r="K269" s="65" t="s">
        <v>1599</v>
      </c>
      <c r="L269" s="64" t="s">
        <v>67</v>
      </c>
      <c r="M269" s="58" t="s">
        <v>3</v>
      </c>
      <c r="N269" s="58" t="s">
        <v>2</v>
      </c>
      <c r="O269" s="58">
        <v>110</v>
      </c>
      <c r="P269" s="58">
        <v>0</v>
      </c>
      <c r="Q269" s="58">
        <v>0</v>
      </c>
      <c r="R269" s="58">
        <v>0</v>
      </c>
      <c r="S269" s="58">
        <v>110</v>
      </c>
      <c r="T269" s="58">
        <v>0</v>
      </c>
      <c r="U269" s="58">
        <v>53</v>
      </c>
      <c r="V269" s="62"/>
      <c r="W269" s="62"/>
      <c r="X269" s="63">
        <f>IFERROR(1 -(Master[[#This Row],[Avg Garment Scans per Delivery]]/Master[[#This Row],[Garment Inventory]]), 0)</f>
        <v>0</v>
      </c>
      <c r="Y269" s="62"/>
      <c r="Z269" s="62"/>
      <c r="AA269" s="53">
        <v>22.669289940828406</v>
      </c>
      <c r="AB269" s="53">
        <v>81.061479289940806</v>
      </c>
      <c r="AC269" s="53">
        <v>31.146153846153837</v>
      </c>
      <c r="AD269" s="53">
        <v>40.213846153846148</v>
      </c>
      <c r="AE269" s="53" t="str">
        <f>_xlfn.XLOOKUP(Master[[#This Row],[cu_id]],'[1]Customer Revenue'!$Q:$Q,'[1]Customer Revenue'!$K:$K, "None")</f>
        <v>None</v>
      </c>
      <c r="AF269" s="53" t="str">
        <f>_xlfn.XLOOKUP(Master[[#This Row],[cu_id]],'[1]Customer Revenue'!$Q:$Q,'[1]Customer Revenue'!$L:$L, "None")</f>
        <v>None</v>
      </c>
      <c r="AG269" s="53">
        <v>25.57236686390533</v>
      </c>
      <c r="AH269" s="53">
        <v>56.43917159763312</v>
      </c>
      <c r="AI269" s="53">
        <v>51.865384615384606</v>
      </c>
      <c r="AJ269" s="53">
        <v>35.679999999999993</v>
      </c>
      <c r="AK269" s="53" t="str">
        <f>_xlfn.XLOOKUP(Master[[#This Row],[cu_id]],'[1]Customer Revenue'!$Q:$Q,'[1]Customer Revenue'!$I:$I, "None")</f>
        <v>None</v>
      </c>
      <c r="AL269" s="53">
        <v>41.005769230769225</v>
      </c>
      <c r="AM269" s="61">
        <v>0.25</v>
      </c>
      <c r="AN269" s="60">
        <v>0.70833333333333337</v>
      </c>
      <c r="AO269" s="60" t="s">
        <v>36</v>
      </c>
      <c r="AP269" s="60" t="s">
        <v>36</v>
      </c>
      <c r="AQ269" s="58" t="s">
        <v>0</v>
      </c>
      <c r="AR269" s="58"/>
      <c r="AS269" s="58"/>
      <c r="AT269" s="52">
        <v>0</v>
      </c>
      <c r="AU269" s="52" t="e">
        <f>IF(Master[[#This Row],[RSP StopTime override]] &lt;&gt; "",Master[[#This Row],[RSP StopTime override]],IF(Master[[#This Row],[Avg stop time helper]] &lt;&gt; 0, Master[[#This Row],[Avg stop time helper]],Average_Stop_Time))</f>
        <v>#DIV/0!</v>
      </c>
      <c r="AV269" s="21"/>
      <c r="AW269" s="20">
        <f>Master[[#This Row],[RSP StopTime override]]-Master[[#This Row],[Avg stop time helper]]</f>
        <v>0</v>
      </c>
    </row>
    <row r="270" spans="1:49" x14ac:dyDescent="0.3">
      <c r="A270" s="66" t="s">
        <v>4374</v>
      </c>
      <c r="B270" s="58">
        <v>12</v>
      </c>
      <c r="C270" s="58" t="s">
        <v>43</v>
      </c>
      <c r="D270" s="65">
        <v>99094</v>
      </c>
      <c r="E270" s="65" t="s">
        <v>1416</v>
      </c>
      <c r="F270" s="65" t="s">
        <v>3036</v>
      </c>
      <c r="G270" s="65" t="s">
        <v>3035</v>
      </c>
      <c r="H270" s="65" t="s">
        <v>7</v>
      </c>
      <c r="I270" s="65" t="s">
        <v>1600</v>
      </c>
      <c r="J270" s="65" t="s">
        <v>5</v>
      </c>
      <c r="K270" s="65" t="s">
        <v>2031</v>
      </c>
      <c r="L270" s="64" t="s">
        <v>67</v>
      </c>
      <c r="M270" s="58" t="s">
        <v>3</v>
      </c>
      <c r="N270" s="58" t="s">
        <v>2</v>
      </c>
      <c r="O270" s="58">
        <v>45</v>
      </c>
      <c r="P270" s="58">
        <v>0</v>
      </c>
      <c r="Q270" s="58">
        <v>0</v>
      </c>
      <c r="R270" s="58">
        <v>0</v>
      </c>
      <c r="S270" s="58">
        <v>45</v>
      </c>
      <c r="T270" s="58">
        <v>0</v>
      </c>
      <c r="U270" s="58">
        <v>24</v>
      </c>
      <c r="V270" s="62"/>
      <c r="W270" s="62"/>
      <c r="X270" s="63">
        <f>IFERROR(1 -(Master[[#This Row],[Avg Garment Scans per Delivery]]/Master[[#This Row],[Garment Inventory]]), 0)</f>
        <v>0</v>
      </c>
      <c r="Y270" s="62"/>
      <c r="Z270" s="62"/>
      <c r="AA270" s="53">
        <v>25.150414201183434</v>
      </c>
      <c r="AB270" s="53">
        <v>26.748047337278113</v>
      </c>
      <c r="AC270" s="53">
        <v>18.822399999999998</v>
      </c>
      <c r="AD270" s="53">
        <v>36.537599999999998</v>
      </c>
      <c r="AE270" s="53" t="str">
        <f>_xlfn.XLOOKUP(Master[[#This Row],[cu_id]],'[1]Customer Revenue'!$Q:$Q,'[1]Customer Revenue'!$K:$K, "None")</f>
        <v>None</v>
      </c>
      <c r="AF270" s="53" t="str">
        <f>_xlfn.XLOOKUP(Master[[#This Row],[cu_id]],'[1]Customer Revenue'!$Q:$Q,'[1]Customer Revenue'!$L:$L, "None")</f>
        <v>None</v>
      </c>
      <c r="AG270" s="53">
        <v>21.804804292929294</v>
      </c>
      <c r="AH270" s="53">
        <v>29.668832070707072</v>
      </c>
      <c r="AI270" s="53">
        <v>25.949230769230773</v>
      </c>
      <c r="AJ270" s="53">
        <v>27.68</v>
      </c>
      <c r="AK270" s="53" t="str">
        <f>_xlfn.XLOOKUP(Master[[#This Row],[cu_id]],'[1]Customer Revenue'!$Q:$Q,'[1]Customer Revenue'!$I:$I, "None")</f>
        <v>None</v>
      </c>
      <c r="AL270" s="53">
        <v>25.736818181818183</v>
      </c>
      <c r="AM270" s="61">
        <v>0.375</v>
      </c>
      <c r="AN270" s="60">
        <v>0.70833333333333337</v>
      </c>
      <c r="AO270" s="60" t="s">
        <v>36</v>
      </c>
      <c r="AP270" s="60" t="s">
        <v>36</v>
      </c>
      <c r="AQ270" s="58" t="s">
        <v>0</v>
      </c>
      <c r="AR270" s="58"/>
      <c r="AS270" s="58"/>
      <c r="AT270" s="52">
        <v>0</v>
      </c>
      <c r="AU270" s="52" t="e">
        <f>IF(Master[[#This Row],[RSP StopTime override]] &lt;&gt; "",Master[[#This Row],[RSP StopTime override]],IF(Master[[#This Row],[Avg stop time helper]] &lt;&gt; 0, Master[[#This Row],[Avg stop time helper]],Average_Stop_Time))</f>
        <v>#DIV/0!</v>
      </c>
      <c r="AV270" s="21"/>
      <c r="AW270" s="20">
        <f>Master[[#This Row],[RSP StopTime override]]-Master[[#This Row],[Avg stop time helper]]</f>
        <v>0</v>
      </c>
    </row>
    <row r="271" spans="1:49" x14ac:dyDescent="0.3">
      <c r="A271" s="66" t="s">
        <v>4375</v>
      </c>
      <c r="B271" s="58">
        <v>12</v>
      </c>
      <c r="C271" s="58" t="s">
        <v>43</v>
      </c>
      <c r="D271" s="65">
        <v>99146</v>
      </c>
      <c r="E271" s="65" t="s">
        <v>42</v>
      </c>
      <c r="F271" s="65" t="s">
        <v>3034</v>
      </c>
      <c r="G271" s="65" t="s">
        <v>3033</v>
      </c>
      <c r="H271" s="65" t="s">
        <v>7</v>
      </c>
      <c r="I271" s="65" t="s">
        <v>12</v>
      </c>
      <c r="J271" s="65" t="s">
        <v>5</v>
      </c>
      <c r="K271" s="65" t="s">
        <v>2031</v>
      </c>
      <c r="L271" s="64" t="s">
        <v>67</v>
      </c>
      <c r="M271" s="58" t="s">
        <v>3</v>
      </c>
      <c r="N271" s="58" t="s">
        <v>2</v>
      </c>
      <c r="O271" s="58">
        <v>20</v>
      </c>
      <c r="P271" s="58">
        <v>0</v>
      </c>
      <c r="Q271" s="58">
        <v>0</v>
      </c>
      <c r="R271" s="58">
        <v>0</v>
      </c>
      <c r="S271" s="58">
        <v>20</v>
      </c>
      <c r="T271" s="58">
        <v>0</v>
      </c>
      <c r="U271" s="58">
        <v>53</v>
      </c>
      <c r="V271" s="62">
        <v>215</v>
      </c>
      <c r="W271" s="62">
        <v>11</v>
      </c>
      <c r="X271" s="63">
        <f>IFERROR(1 -(Master[[#This Row],[Avg Garment Scans per Delivery]]/Master[[#This Row],[Garment Inventory]]), 0)</f>
        <v>0.94883720930232562</v>
      </c>
      <c r="Y271" s="62">
        <v>12</v>
      </c>
      <c r="Z271" s="62">
        <v>214</v>
      </c>
      <c r="AA271" s="53">
        <v>135.76899408284018</v>
      </c>
      <c r="AB271" s="53">
        <v>146.09562130177514</v>
      </c>
      <c r="AC271" s="53">
        <v>135.12857988165683</v>
      </c>
      <c r="AD271" s="53">
        <v>269.56526627218938</v>
      </c>
      <c r="AE271" s="53" t="str">
        <f>_xlfn.XLOOKUP(Master[[#This Row],[cu_id]],'[1]Customer Revenue'!$Q:$Q,'[1]Customer Revenue'!$K:$K, "None")</f>
        <v>None</v>
      </c>
      <c r="AF271" s="53" t="str">
        <f>_xlfn.XLOOKUP(Master[[#This Row],[cu_id]],'[1]Customer Revenue'!$Q:$Q,'[1]Customer Revenue'!$L:$L, "None")</f>
        <v>None</v>
      </c>
      <c r="AG271" s="53">
        <v>136.20677514792902</v>
      </c>
      <c r="AH271" s="53">
        <v>154.18476331360949</v>
      </c>
      <c r="AI271" s="53">
        <v>140.93230769230766</v>
      </c>
      <c r="AJ271" s="53">
        <v>202.3469230769231</v>
      </c>
      <c r="AK271" s="53" t="str">
        <f>_xlfn.XLOOKUP(Master[[#This Row],[cu_id]],'[1]Customer Revenue'!$Q:$Q,'[1]Customer Revenue'!$I:$I, "None")</f>
        <v>None</v>
      </c>
      <c r="AL271" s="53">
        <v>145.19576923076926</v>
      </c>
      <c r="AM271" s="61">
        <v>0.29166666666666669</v>
      </c>
      <c r="AN271" s="60">
        <v>0.66666666666666663</v>
      </c>
      <c r="AO271" s="60" t="s">
        <v>36</v>
      </c>
      <c r="AP271" s="60" t="s">
        <v>36</v>
      </c>
      <c r="AQ271" s="58" t="s">
        <v>305</v>
      </c>
      <c r="AR271" s="58"/>
      <c r="AS271" s="58"/>
      <c r="AT271" s="52">
        <v>0</v>
      </c>
      <c r="AU271" s="52" t="e">
        <f>IF(Master[[#This Row],[RSP StopTime override]] &lt;&gt; "",Master[[#This Row],[RSP StopTime override]],IF(Master[[#This Row],[Avg stop time helper]] &lt;&gt; 0, Master[[#This Row],[Avg stop time helper]],Average_Stop_Time))</f>
        <v>#DIV/0!</v>
      </c>
      <c r="AV271" s="21"/>
      <c r="AW271" s="20">
        <f>Master[[#This Row],[RSP StopTime override]]-Master[[#This Row],[Avg stop time helper]]</f>
        <v>0</v>
      </c>
    </row>
    <row r="272" spans="1:49" x14ac:dyDescent="0.3">
      <c r="A272" s="66" t="s">
        <v>4376</v>
      </c>
      <c r="B272" s="58">
        <v>12</v>
      </c>
      <c r="C272" s="58" t="s">
        <v>43</v>
      </c>
      <c r="D272" s="65">
        <v>99146</v>
      </c>
      <c r="E272" s="65" t="s">
        <v>686</v>
      </c>
      <c r="F272" s="65" t="s">
        <v>3032</v>
      </c>
      <c r="G272" s="65" t="s">
        <v>3031</v>
      </c>
      <c r="H272" s="65" t="s">
        <v>7</v>
      </c>
      <c r="I272" s="65" t="s">
        <v>12</v>
      </c>
      <c r="J272" s="65" t="s">
        <v>5</v>
      </c>
      <c r="K272" s="65" t="s">
        <v>2031</v>
      </c>
      <c r="L272" s="64" t="s">
        <v>67</v>
      </c>
      <c r="M272" s="58" t="s">
        <v>3</v>
      </c>
      <c r="N272" s="58" t="s">
        <v>2</v>
      </c>
      <c r="O272" s="58">
        <v>30</v>
      </c>
      <c r="P272" s="58">
        <v>0</v>
      </c>
      <c r="Q272" s="58">
        <v>0</v>
      </c>
      <c r="R272" s="58">
        <v>0</v>
      </c>
      <c r="S272" s="58">
        <v>30</v>
      </c>
      <c r="T272" s="58">
        <v>0</v>
      </c>
      <c r="U272" s="58">
        <v>53</v>
      </c>
      <c r="V272" s="62">
        <v>210</v>
      </c>
      <c r="W272" s="62">
        <v>14</v>
      </c>
      <c r="X272" s="63">
        <f>IFERROR(1 -(Master[[#This Row],[Avg Garment Scans per Delivery]]/Master[[#This Row],[Garment Inventory]]), 0)</f>
        <v>0.93333333333333335</v>
      </c>
      <c r="Y272" s="62">
        <v>10</v>
      </c>
      <c r="Z272" s="62">
        <v>218</v>
      </c>
      <c r="AA272" s="53">
        <v>244.25112426035508</v>
      </c>
      <c r="AB272" s="53">
        <v>389.67502958579888</v>
      </c>
      <c r="AC272" s="53">
        <v>273.68816568047339</v>
      </c>
      <c r="AD272" s="53">
        <v>347.04721893491137</v>
      </c>
      <c r="AE272" s="53" t="str">
        <f>_xlfn.XLOOKUP(Master[[#This Row],[cu_id]],'[1]Customer Revenue'!$Q:$Q,'[1]Customer Revenue'!$K:$K, "None")</f>
        <v>None</v>
      </c>
      <c r="AF272" s="53" t="str">
        <f>_xlfn.XLOOKUP(Master[[#This Row],[cu_id]],'[1]Customer Revenue'!$Q:$Q,'[1]Customer Revenue'!$L:$L, "None")</f>
        <v>None</v>
      </c>
      <c r="AG272" s="53">
        <v>243.7563905325444</v>
      </c>
      <c r="AH272" s="53">
        <v>339.77591715976337</v>
      </c>
      <c r="AI272" s="53">
        <v>316.96307692307698</v>
      </c>
      <c r="AJ272" s="53">
        <v>310.36769230769238</v>
      </c>
      <c r="AK272" s="53" t="str">
        <f>_xlfn.XLOOKUP(Master[[#This Row],[cu_id]],'[1]Customer Revenue'!$Q:$Q,'[1]Customer Revenue'!$I:$I, "None")</f>
        <v>None</v>
      </c>
      <c r="AL272" s="53">
        <v>291.76615384615388</v>
      </c>
      <c r="AM272" s="61">
        <v>0.29166666666666669</v>
      </c>
      <c r="AN272" s="60">
        <v>0.66666666666666663</v>
      </c>
      <c r="AO272" s="60" t="s">
        <v>36</v>
      </c>
      <c r="AP272" s="60" t="s">
        <v>36</v>
      </c>
      <c r="AQ272" s="58" t="s">
        <v>305</v>
      </c>
      <c r="AR272" s="58"/>
      <c r="AS272" s="58"/>
      <c r="AT272" s="52">
        <v>0</v>
      </c>
      <c r="AU272" s="52" t="e">
        <f>IF(Master[[#This Row],[RSP StopTime override]] &lt;&gt; "",Master[[#This Row],[RSP StopTime override]],IF(Master[[#This Row],[Avg stop time helper]] &lt;&gt; 0, Master[[#This Row],[Avg stop time helper]],Average_Stop_Time))</f>
        <v>#DIV/0!</v>
      </c>
      <c r="AV272" s="21"/>
      <c r="AW272" s="20">
        <f>Master[[#This Row],[RSP StopTime override]]-Master[[#This Row],[Avg stop time helper]]</f>
        <v>0</v>
      </c>
    </row>
    <row r="273" spans="1:49" x14ac:dyDescent="0.3">
      <c r="A273" s="66" t="s">
        <v>2997</v>
      </c>
      <c r="B273" s="58">
        <v>51</v>
      </c>
      <c r="C273" s="58" t="s">
        <v>10</v>
      </c>
      <c r="D273" s="65">
        <v>520888</v>
      </c>
      <c r="E273" s="65" t="s">
        <v>42</v>
      </c>
      <c r="F273" s="65" t="s">
        <v>52</v>
      </c>
      <c r="G273" s="65" t="s">
        <v>51</v>
      </c>
      <c r="H273" s="65" t="s">
        <v>32</v>
      </c>
      <c r="I273" s="65" t="s">
        <v>50</v>
      </c>
      <c r="J273" s="65" t="s">
        <v>5</v>
      </c>
      <c r="K273" s="65" t="s">
        <v>49</v>
      </c>
      <c r="L273" s="64" t="s">
        <v>37</v>
      </c>
      <c r="M273" s="58" t="s">
        <v>3</v>
      </c>
      <c r="N273" s="58" t="s">
        <v>2</v>
      </c>
      <c r="O273" s="58">
        <v>105</v>
      </c>
      <c r="P273" s="58">
        <v>105</v>
      </c>
      <c r="Q273" s="58">
        <v>0</v>
      </c>
      <c r="R273" s="58">
        <v>70</v>
      </c>
      <c r="S273" s="58">
        <v>0</v>
      </c>
      <c r="T273" s="58">
        <v>280</v>
      </c>
      <c r="U273" s="58">
        <v>28</v>
      </c>
      <c r="V273" s="62"/>
      <c r="W273" s="62"/>
      <c r="X273" s="63">
        <f>IFERROR(1 -(Master[[#This Row],[Avg Garment Scans per Delivery]]/Master[[#This Row],[Garment Inventory]]), 0)</f>
        <v>0</v>
      </c>
      <c r="Y273" s="62"/>
      <c r="Z273" s="62"/>
      <c r="AA273" s="53"/>
      <c r="AB273" s="53"/>
      <c r="AC273" s="53">
        <v>196.00220907297836</v>
      </c>
      <c r="AD273" s="53">
        <v>411.78445759368839</v>
      </c>
      <c r="AE273" s="53">
        <v>196.39</v>
      </c>
      <c r="AF273" s="53">
        <v>539.73</v>
      </c>
      <c r="AG273" s="53"/>
      <c r="AH273" s="53"/>
      <c r="AI273" s="53"/>
      <c r="AJ273" s="53">
        <v>303.89333333333337</v>
      </c>
      <c r="AK273" s="53">
        <v>368</v>
      </c>
      <c r="AL273" s="53"/>
      <c r="AM273" s="61">
        <v>0.25</v>
      </c>
      <c r="AN273" s="60">
        <v>0.83333333333333337</v>
      </c>
      <c r="AO273" s="60" t="s">
        <v>36</v>
      </c>
      <c r="AP273" s="60" t="s">
        <v>36</v>
      </c>
      <c r="AQ273" s="58" t="s">
        <v>44</v>
      </c>
      <c r="AR273" s="58"/>
      <c r="AS273" s="58"/>
      <c r="AT273" s="52">
        <v>0</v>
      </c>
      <c r="AU273" s="52" t="e">
        <f>IF(Master[[#This Row],[RSP StopTime override]] &lt;&gt; "",Master[[#This Row],[RSP StopTime override]],IF(Master[[#This Row],[Avg stop time helper]] &lt;&gt; 0, Master[[#This Row],[Avg stop time helper]],Average_Stop_Time))</f>
        <v>#DIV/0!</v>
      </c>
      <c r="AV273" s="21"/>
      <c r="AW273" s="20">
        <f>Master[[#This Row],[RSP StopTime override]]-Master[[#This Row],[Avg stop time helper]]</f>
        <v>0</v>
      </c>
    </row>
    <row r="274" spans="1:49" x14ac:dyDescent="0.3">
      <c r="A274" s="66" t="s">
        <v>4377</v>
      </c>
      <c r="B274" s="58">
        <v>12</v>
      </c>
      <c r="C274" s="58" t="s">
        <v>43</v>
      </c>
      <c r="D274" s="65">
        <v>99161</v>
      </c>
      <c r="E274" s="65" t="s">
        <v>2171</v>
      </c>
      <c r="F274" s="65" t="s">
        <v>3028</v>
      </c>
      <c r="G274" s="65" t="s">
        <v>3027</v>
      </c>
      <c r="H274" s="65" t="s">
        <v>7</v>
      </c>
      <c r="I274" s="65" t="s">
        <v>1617</v>
      </c>
      <c r="J274" s="65" t="s">
        <v>5</v>
      </c>
      <c r="K274" s="65" t="s">
        <v>1599</v>
      </c>
      <c r="L274" s="64" t="s">
        <v>67</v>
      </c>
      <c r="M274" s="58" t="s">
        <v>3</v>
      </c>
      <c r="N274" s="58" t="s">
        <v>2</v>
      </c>
      <c r="O274" s="58">
        <v>1</v>
      </c>
      <c r="P274" s="58">
        <v>0</v>
      </c>
      <c r="Q274" s="58">
        <v>0</v>
      </c>
      <c r="R274" s="58">
        <v>0</v>
      </c>
      <c r="S274" s="58">
        <v>1</v>
      </c>
      <c r="T274" s="58">
        <v>0</v>
      </c>
      <c r="U274" s="58">
        <v>3</v>
      </c>
      <c r="V274" s="62"/>
      <c r="W274" s="62"/>
      <c r="X274" s="63">
        <f>IFERROR(1 -(Master[[#This Row],[Avg Garment Scans per Delivery]]/Master[[#This Row],[Garment Inventory]]), 0)</f>
        <v>0</v>
      </c>
      <c r="Y274" s="62"/>
      <c r="Z274" s="62"/>
      <c r="AA274" s="53">
        <v>47.85</v>
      </c>
      <c r="AB274" s="53">
        <v>47.85</v>
      </c>
      <c r="AC274" s="53">
        <v>264.73</v>
      </c>
      <c r="AD274" s="53">
        <v>264.73</v>
      </c>
      <c r="AE274" s="53" t="str">
        <f>_xlfn.XLOOKUP(Master[[#This Row],[cu_id]],'[1]Customer Revenue'!$Q:$Q,'[1]Customer Revenue'!$K:$K, "None")</f>
        <v>None</v>
      </c>
      <c r="AF274" s="53" t="str">
        <f>_xlfn.XLOOKUP(Master[[#This Row],[cu_id]],'[1]Customer Revenue'!$Q:$Q,'[1]Customer Revenue'!$L:$L, "None")</f>
        <v>None</v>
      </c>
      <c r="AG274" s="53">
        <v>47.849999999999994</v>
      </c>
      <c r="AH274" s="53">
        <v>74.569999999999993</v>
      </c>
      <c r="AI274" s="53">
        <v>47.85</v>
      </c>
      <c r="AJ274" s="53">
        <v>264.73</v>
      </c>
      <c r="AK274" s="53" t="str">
        <f>_xlfn.XLOOKUP(Master[[#This Row],[cu_id]],'[1]Customer Revenue'!$Q:$Q,'[1]Customer Revenue'!$I:$I, "None")</f>
        <v>None</v>
      </c>
      <c r="AL274" s="53">
        <v>61.209999999999994</v>
      </c>
      <c r="AM274" s="61">
        <v>0.25</v>
      </c>
      <c r="AN274" s="60">
        <v>0.5</v>
      </c>
      <c r="AO274" s="60" t="s">
        <v>36</v>
      </c>
      <c r="AP274" s="60" t="s">
        <v>36</v>
      </c>
      <c r="AQ274" s="58" t="s">
        <v>0</v>
      </c>
      <c r="AR274" s="58"/>
      <c r="AS274" s="58"/>
      <c r="AT274" s="52">
        <v>0</v>
      </c>
      <c r="AU274" s="52" t="e">
        <f>IF(Master[[#This Row],[RSP StopTime override]] &lt;&gt; "",Master[[#This Row],[RSP StopTime override]],IF(Master[[#This Row],[Avg stop time helper]] &lt;&gt; 0, Master[[#This Row],[Avg stop time helper]],Average_Stop_Time))</f>
        <v>#DIV/0!</v>
      </c>
      <c r="AV274" s="21"/>
      <c r="AW274" s="20">
        <f>Master[[#This Row],[RSP StopTime override]]-Master[[#This Row],[Avg stop time helper]]</f>
        <v>0</v>
      </c>
    </row>
    <row r="275" spans="1:49" x14ac:dyDescent="0.3">
      <c r="A275" s="66" t="s">
        <v>4378</v>
      </c>
      <c r="B275" s="58">
        <v>12</v>
      </c>
      <c r="C275" s="58" t="s">
        <v>43</v>
      </c>
      <c r="D275" s="65">
        <v>524609</v>
      </c>
      <c r="E275" s="65" t="s">
        <v>42</v>
      </c>
      <c r="F275" s="65" t="s">
        <v>3026</v>
      </c>
      <c r="G275" s="65" t="s">
        <v>3025</v>
      </c>
      <c r="H275" s="65" t="s">
        <v>32</v>
      </c>
      <c r="I275" s="65" t="s">
        <v>1637</v>
      </c>
      <c r="J275" s="65" t="s">
        <v>5</v>
      </c>
      <c r="K275" s="65" t="s">
        <v>1599</v>
      </c>
      <c r="L275" s="64" t="s">
        <v>67</v>
      </c>
      <c r="M275" s="58" t="s">
        <v>3</v>
      </c>
      <c r="N275" s="58" t="s">
        <v>2</v>
      </c>
      <c r="O275" s="58">
        <v>126</v>
      </c>
      <c r="P275" s="58">
        <v>0</v>
      </c>
      <c r="Q275" s="58">
        <v>0</v>
      </c>
      <c r="R275" s="58">
        <v>0</v>
      </c>
      <c r="S275" s="58">
        <v>126</v>
      </c>
      <c r="T275" s="58">
        <v>0</v>
      </c>
      <c r="U275" s="58">
        <v>53</v>
      </c>
      <c r="V275" s="62"/>
      <c r="W275" s="62"/>
      <c r="X275" s="63">
        <f>IFERROR(1 -(Master[[#This Row],[Avg Garment Scans per Delivery]]/Master[[#This Row],[Garment Inventory]]), 0)</f>
        <v>0</v>
      </c>
      <c r="Y275" s="62"/>
      <c r="Z275" s="62"/>
      <c r="AA275" s="53">
        <v>117.45372781065085</v>
      </c>
      <c r="AB275" s="53">
        <v>182.9185798816568</v>
      </c>
      <c r="AC275" s="53">
        <v>140.3271597633136</v>
      </c>
      <c r="AD275" s="53">
        <v>236.65591715976331</v>
      </c>
      <c r="AE275" s="53" t="str">
        <f>_xlfn.XLOOKUP(Master[[#This Row],[cu_id]],'[1]Customer Revenue'!$Q:$Q,'[1]Customer Revenue'!$K:$K, "None")</f>
        <v>None</v>
      </c>
      <c r="AF275" s="53" t="str">
        <f>_xlfn.XLOOKUP(Master[[#This Row],[cu_id]],'[1]Customer Revenue'!$Q:$Q,'[1]Customer Revenue'!$L:$L, "None")</f>
        <v>None</v>
      </c>
      <c r="AG275" s="53">
        <v>122.10023668639057</v>
      </c>
      <c r="AH275" s="53">
        <v>179.03514792899409</v>
      </c>
      <c r="AI275" s="53">
        <v>150.18615384615381</v>
      </c>
      <c r="AJ275" s="53">
        <v>188.49153846153845</v>
      </c>
      <c r="AK275" s="53" t="str">
        <f>_xlfn.XLOOKUP(Master[[#This Row],[cu_id]],'[1]Customer Revenue'!$Q:$Q,'[1]Customer Revenue'!$I:$I, "None")</f>
        <v>None</v>
      </c>
      <c r="AL275" s="53">
        <v>150.56769230769234</v>
      </c>
      <c r="AM275" s="61">
        <v>0.375</v>
      </c>
      <c r="AN275" s="60">
        <v>0.70833333333333337</v>
      </c>
      <c r="AO275" s="60" t="s">
        <v>36</v>
      </c>
      <c r="AP275" s="60" t="s">
        <v>36</v>
      </c>
      <c r="AQ275" s="58" t="s">
        <v>0</v>
      </c>
      <c r="AR275" s="58"/>
      <c r="AS275" s="58"/>
      <c r="AT275" s="52">
        <v>0</v>
      </c>
      <c r="AU275" s="52" t="e">
        <f>IF(Master[[#This Row],[RSP StopTime override]] &lt;&gt; "",Master[[#This Row],[RSP StopTime override]],IF(Master[[#This Row],[Avg stop time helper]] &lt;&gt; 0, Master[[#This Row],[Avg stop time helper]],Average_Stop_Time))</f>
        <v>#DIV/0!</v>
      </c>
      <c r="AV275" s="21"/>
      <c r="AW275" s="20">
        <f>Master[[#This Row],[RSP StopTime override]]-Master[[#This Row],[Avg stop time helper]]</f>
        <v>0</v>
      </c>
    </row>
    <row r="276" spans="1:49" x14ac:dyDescent="0.3">
      <c r="A276" s="66" t="s">
        <v>4379</v>
      </c>
      <c r="B276" s="58">
        <v>12</v>
      </c>
      <c r="C276" s="58" t="s">
        <v>43</v>
      </c>
      <c r="D276" s="65">
        <v>526302</v>
      </c>
      <c r="E276" s="65" t="s">
        <v>42</v>
      </c>
      <c r="F276" s="65" t="s">
        <v>3024</v>
      </c>
      <c r="G276" s="65" t="s">
        <v>3018</v>
      </c>
      <c r="H276" s="65" t="s">
        <v>32</v>
      </c>
      <c r="I276" s="65" t="s">
        <v>1637</v>
      </c>
      <c r="J276" s="65" t="s">
        <v>5</v>
      </c>
      <c r="K276" s="65" t="s">
        <v>2031</v>
      </c>
      <c r="L276" s="64" t="s">
        <v>67</v>
      </c>
      <c r="M276" s="58" t="s">
        <v>3</v>
      </c>
      <c r="N276" s="58" t="s">
        <v>2</v>
      </c>
      <c r="O276" s="58">
        <v>40</v>
      </c>
      <c r="P276" s="58">
        <v>0</v>
      </c>
      <c r="Q276" s="58">
        <v>0</v>
      </c>
      <c r="R276" s="58">
        <v>0</v>
      </c>
      <c r="S276" s="58">
        <v>40</v>
      </c>
      <c r="T276" s="58">
        <v>0</v>
      </c>
      <c r="U276" s="58">
        <v>57</v>
      </c>
      <c r="V276" s="62">
        <v>322</v>
      </c>
      <c r="W276" s="62">
        <v>29</v>
      </c>
      <c r="X276" s="63">
        <f>IFERROR(1 -(Master[[#This Row],[Avg Garment Scans per Delivery]]/Master[[#This Row],[Garment Inventory]]), 0)</f>
        <v>0.90993788819875776</v>
      </c>
      <c r="Y276" s="62">
        <v>16</v>
      </c>
      <c r="Z276" s="62">
        <v>325</v>
      </c>
      <c r="AA276" s="53">
        <v>332.33199999999999</v>
      </c>
      <c r="AB276" s="53">
        <v>505.65200000000004</v>
      </c>
      <c r="AC276" s="53">
        <v>441.87751479289938</v>
      </c>
      <c r="AD276" s="53">
        <v>573.09171597633122</v>
      </c>
      <c r="AE276" s="53" t="str">
        <f>_xlfn.XLOOKUP(Master[[#This Row],[cu_id]],'[1]Customer Revenue'!$Q:$Q,'[1]Customer Revenue'!$K:$K, "None")</f>
        <v>None</v>
      </c>
      <c r="AF276" s="53" t="str">
        <f>_xlfn.XLOOKUP(Master[[#This Row],[cu_id]],'[1]Customer Revenue'!$Q:$Q,'[1]Customer Revenue'!$L:$L, "None")</f>
        <v>None</v>
      </c>
      <c r="AG276" s="53">
        <v>377.59015306122456</v>
      </c>
      <c r="AH276" s="53">
        <v>503.40270408163269</v>
      </c>
      <c r="AI276" s="53">
        <v>418.99200000000002</v>
      </c>
      <c r="AJ276" s="53">
        <v>507.48461538461532</v>
      </c>
      <c r="AK276" s="53" t="str">
        <f>_xlfn.XLOOKUP(Master[[#This Row],[cu_id]],'[1]Customer Revenue'!$Q:$Q,'[1]Customer Revenue'!$I:$I, "None")</f>
        <v>None</v>
      </c>
      <c r="AL276" s="53">
        <v>440.49642857142862</v>
      </c>
      <c r="AM276" s="61">
        <v>0.25</v>
      </c>
      <c r="AN276" s="60">
        <v>0.625</v>
      </c>
      <c r="AO276" s="60" t="s">
        <v>36</v>
      </c>
      <c r="AP276" s="60" t="s">
        <v>36</v>
      </c>
      <c r="AQ276" s="58" t="s">
        <v>0</v>
      </c>
      <c r="AR276" s="58"/>
      <c r="AS276" s="58"/>
      <c r="AT276" s="52">
        <v>0</v>
      </c>
      <c r="AU276" s="52" t="e">
        <f>IF(Master[[#This Row],[RSP StopTime override]] &lt;&gt; "",Master[[#This Row],[RSP StopTime override]],IF(Master[[#This Row],[Avg stop time helper]] &lt;&gt; 0, Master[[#This Row],[Avg stop time helper]],Average_Stop_Time))</f>
        <v>#DIV/0!</v>
      </c>
      <c r="AV276" s="21"/>
      <c r="AW276" s="20">
        <f>Master[[#This Row],[RSP StopTime override]]-Master[[#This Row],[Avg stop time helper]]</f>
        <v>0</v>
      </c>
    </row>
    <row r="277" spans="1:49" x14ac:dyDescent="0.3">
      <c r="A277" s="66" t="s">
        <v>4380</v>
      </c>
      <c r="B277" s="58">
        <v>12</v>
      </c>
      <c r="C277" s="58" t="s">
        <v>43</v>
      </c>
      <c r="D277" s="65">
        <v>526653</v>
      </c>
      <c r="E277" s="65" t="s">
        <v>686</v>
      </c>
      <c r="F277" s="65" t="s">
        <v>3023</v>
      </c>
      <c r="G277" s="65" t="s">
        <v>3022</v>
      </c>
      <c r="H277" s="65" t="s">
        <v>32</v>
      </c>
      <c r="I277" s="65" t="s">
        <v>1600</v>
      </c>
      <c r="J277" s="65" t="s">
        <v>5</v>
      </c>
      <c r="K277" s="65" t="s">
        <v>1599</v>
      </c>
      <c r="L277" s="64" t="s">
        <v>77</v>
      </c>
      <c r="M277" s="58" t="s">
        <v>29</v>
      </c>
      <c r="N277" s="58" t="s">
        <v>2</v>
      </c>
      <c r="O277" s="58">
        <v>130</v>
      </c>
      <c r="P277" s="58">
        <v>0</v>
      </c>
      <c r="Q277" s="58">
        <v>0</v>
      </c>
      <c r="R277" s="58">
        <v>0</v>
      </c>
      <c r="S277" s="58">
        <v>130</v>
      </c>
      <c r="T277" s="58">
        <v>0</v>
      </c>
      <c r="U277" s="58">
        <v>20</v>
      </c>
      <c r="V277" s="62"/>
      <c r="W277" s="62"/>
      <c r="X277" s="63">
        <f>IFERROR(1 -(Master[[#This Row],[Avg Garment Scans per Delivery]]/Master[[#This Row],[Garment Inventory]]), 0)</f>
        <v>0</v>
      </c>
      <c r="Y277" s="62"/>
      <c r="Z277" s="62"/>
      <c r="AA277" s="53">
        <v>15.894444444444446</v>
      </c>
      <c r="AB277" s="53">
        <v>16.422222222222224</v>
      </c>
      <c r="AC277" s="53">
        <v>11.526</v>
      </c>
      <c r="AD277" s="53">
        <v>22.373999999999999</v>
      </c>
      <c r="AE277" s="53" t="str">
        <f>_xlfn.XLOOKUP(Master[[#This Row],[cu_id]],'[1]Customer Revenue'!$Q:$Q,'[1]Customer Revenue'!$K:$K, "None")</f>
        <v>None</v>
      </c>
      <c r="AF277" s="53" t="str">
        <f>_xlfn.XLOOKUP(Master[[#This Row],[cu_id]],'[1]Customer Revenue'!$Q:$Q,'[1]Customer Revenue'!$L:$L, "None")</f>
        <v>None</v>
      </c>
      <c r="AG277" s="53">
        <v>13.795734714003943</v>
      </c>
      <c r="AH277" s="53">
        <v>18.36259861932939</v>
      </c>
      <c r="AI277" s="53">
        <v>16.158333333333335</v>
      </c>
      <c r="AJ277" s="53">
        <v>16.95</v>
      </c>
      <c r="AK277" s="53" t="str">
        <f>_xlfn.XLOOKUP(Master[[#This Row],[cu_id]],'[1]Customer Revenue'!$Q:$Q,'[1]Customer Revenue'!$I:$I, "None")</f>
        <v>None</v>
      </c>
      <c r="AL277" s="53">
        <v>16.079166666666666</v>
      </c>
      <c r="AM277" s="61">
        <v>0.33333333333333331</v>
      </c>
      <c r="AN277" s="60">
        <v>0.66666666666666663</v>
      </c>
      <c r="AO277" s="60" t="s">
        <v>36</v>
      </c>
      <c r="AP277" s="60" t="s">
        <v>36</v>
      </c>
      <c r="AQ277" s="58" t="s">
        <v>0</v>
      </c>
      <c r="AR277" s="58"/>
      <c r="AS277" s="58"/>
      <c r="AT277" s="52">
        <v>0</v>
      </c>
      <c r="AU277" s="52" t="e">
        <f>IF(Master[[#This Row],[RSP StopTime override]] &lt;&gt; "",Master[[#This Row],[RSP StopTime override]],IF(Master[[#This Row],[Avg stop time helper]] &lt;&gt; 0, Master[[#This Row],[Avg stop time helper]],Average_Stop_Time))</f>
        <v>#DIV/0!</v>
      </c>
      <c r="AV277" s="21"/>
      <c r="AW277" s="20">
        <f>Master[[#This Row],[RSP StopTime override]]-Master[[#This Row],[Avg stop time helper]]</f>
        <v>0</v>
      </c>
    </row>
    <row r="278" spans="1:49" x14ac:dyDescent="0.3">
      <c r="A278" s="66" t="s">
        <v>4381</v>
      </c>
      <c r="B278" s="58">
        <v>12</v>
      </c>
      <c r="C278" s="58" t="s">
        <v>43</v>
      </c>
      <c r="D278" s="65">
        <v>527989</v>
      </c>
      <c r="E278" s="65" t="s">
        <v>42</v>
      </c>
      <c r="F278" s="65" t="s">
        <v>3021</v>
      </c>
      <c r="G278" s="65" t="s">
        <v>3020</v>
      </c>
      <c r="H278" s="65" t="s">
        <v>32</v>
      </c>
      <c r="I278" s="65" t="s">
        <v>50</v>
      </c>
      <c r="J278" s="65" t="s">
        <v>5</v>
      </c>
      <c r="K278" s="65" t="s">
        <v>1754</v>
      </c>
      <c r="L278" s="64" t="s">
        <v>77</v>
      </c>
      <c r="M278" s="58" t="s">
        <v>29</v>
      </c>
      <c r="N278" s="58" t="s">
        <v>2</v>
      </c>
      <c r="O278" s="58">
        <v>200</v>
      </c>
      <c r="P278" s="58">
        <v>0</v>
      </c>
      <c r="Q278" s="58">
        <v>0</v>
      </c>
      <c r="R278" s="58">
        <v>0</v>
      </c>
      <c r="S278" s="58">
        <v>200</v>
      </c>
      <c r="T278" s="58">
        <v>0</v>
      </c>
      <c r="U278" s="58">
        <v>26</v>
      </c>
      <c r="V278" s="62"/>
      <c r="W278" s="62"/>
      <c r="X278" s="63">
        <f>IFERROR(1 -(Master[[#This Row],[Avg Garment Scans per Delivery]]/Master[[#This Row],[Garment Inventory]]), 0)</f>
        <v>0</v>
      </c>
      <c r="Y278" s="62"/>
      <c r="Z278" s="62"/>
      <c r="AA278" s="53">
        <v>48.76</v>
      </c>
      <c r="AB278" s="53">
        <v>50.01</v>
      </c>
      <c r="AC278" s="53">
        <v>52.760204081632658</v>
      </c>
      <c r="AD278" s="53">
        <v>57.236938775510204</v>
      </c>
      <c r="AE278" s="53" t="str">
        <f>_xlfn.XLOOKUP(Master[[#This Row],[cu_id]],'[1]Customer Revenue'!$Q:$Q,'[1]Customer Revenue'!$K:$K, "None")</f>
        <v>None</v>
      </c>
      <c r="AF278" s="53" t="str">
        <f>_xlfn.XLOOKUP(Master[[#This Row],[cu_id]],'[1]Customer Revenue'!$Q:$Q,'[1]Customer Revenue'!$L:$L, "None")</f>
        <v>None</v>
      </c>
      <c r="AG278" s="53">
        <v>48.863550295857983</v>
      </c>
      <c r="AH278" s="53">
        <v>49.502603550295866</v>
      </c>
      <c r="AI278" s="53">
        <v>49.384999999999998</v>
      </c>
      <c r="AJ278" s="53">
        <v>54.998571428571431</v>
      </c>
      <c r="AK278" s="53" t="str">
        <f>_xlfn.XLOOKUP(Master[[#This Row],[cu_id]],'[1]Customer Revenue'!$Q:$Q,'[1]Customer Revenue'!$I:$I, "None")</f>
        <v>None</v>
      </c>
      <c r="AL278" s="53">
        <v>49.183076923076925</v>
      </c>
      <c r="AM278" s="61">
        <v>0.25</v>
      </c>
      <c r="AN278" s="60">
        <v>0.625</v>
      </c>
      <c r="AO278" s="60" t="s">
        <v>36</v>
      </c>
      <c r="AP278" s="60" t="s">
        <v>36</v>
      </c>
      <c r="AQ278" s="58" t="s">
        <v>0</v>
      </c>
      <c r="AR278" s="58"/>
      <c r="AS278" s="58"/>
      <c r="AT278" s="52">
        <v>0</v>
      </c>
      <c r="AU278" s="52" t="e">
        <f>IF(Master[[#This Row],[RSP StopTime override]] &lt;&gt; "",Master[[#This Row],[RSP StopTime override]],IF(Master[[#This Row],[Avg stop time helper]] &lt;&gt; 0, Master[[#This Row],[Avg stop time helper]],Average_Stop_Time))</f>
        <v>#DIV/0!</v>
      </c>
      <c r="AV278" s="21"/>
      <c r="AW278" s="20">
        <f>Master[[#This Row],[RSP StopTime override]]-Master[[#This Row],[Avg stop time helper]]</f>
        <v>0</v>
      </c>
    </row>
    <row r="279" spans="1:49" x14ac:dyDescent="0.3">
      <c r="A279" s="66" t="s">
        <v>4382</v>
      </c>
      <c r="B279" s="58">
        <v>12</v>
      </c>
      <c r="C279" s="58" t="s">
        <v>43</v>
      </c>
      <c r="D279" s="65">
        <v>528207</v>
      </c>
      <c r="E279" s="65" t="s">
        <v>42</v>
      </c>
      <c r="F279" s="65" t="s">
        <v>3019</v>
      </c>
      <c r="G279" s="65" t="s">
        <v>3018</v>
      </c>
      <c r="H279" s="65" t="s">
        <v>32</v>
      </c>
      <c r="I279" s="65" t="s">
        <v>1637</v>
      </c>
      <c r="J279" s="65" t="s">
        <v>5</v>
      </c>
      <c r="K279" s="65" t="s">
        <v>2031</v>
      </c>
      <c r="L279" s="64" t="s">
        <v>67</v>
      </c>
      <c r="M279" s="58" t="s">
        <v>3</v>
      </c>
      <c r="N279" s="58" t="s">
        <v>2</v>
      </c>
      <c r="O279" s="58">
        <v>40</v>
      </c>
      <c r="P279" s="58">
        <v>0</v>
      </c>
      <c r="Q279" s="58">
        <v>0</v>
      </c>
      <c r="R279" s="58">
        <v>0</v>
      </c>
      <c r="S279" s="58">
        <v>40</v>
      </c>
      <c r="T279" s="58">
        <v>0</v>
      </c>
      <c r="U279" s="58">
        <v>53</v>
      </c>
      <c r="V279" s="62">
        <v>158</v>
      </c>
      <c r="W279" s="62">
        <v>0</v>
      </c>
      <c r="X279" s="63">
        <f>IFERROR(1 -(Master[[#This Row],[Avg Garment Scans per Delivery]]/Master[[#This Row],[Garment Inventory]]), 0)</f>
        <v>1</v>
      </c>
      <c r="Y279" s="62">
        <v>5</v>
      </c>
      <c r="Z279" s="62">
        <v>156</v>
      </c>
      <c r="AA279" s="53">
        <v>106.08041420118342</v>
      </c>
      <c r="AB279" s="53">
        <v>107.67804733727807</v>
      </c>
      <c r="AC279" s="53">
        <v>110.27704142011834</v>
      </c>
      <c r="AD279" s="53">
        <v>121.39065088757397</v>
      </c>
      <c r="AE279" s="53" t="str">
        <f>_xlfn.XLOOKUP(Master[[#This Row],[cu_id]],'[1]Customer Revenue'!$Q:$Q,'[1]Customer Revenue'!$K:$K, "None")</f>
        <v>None</v>
      </c>
      <c r="AF279" s="53" t="str">
        <f>_xlfn.XLOOKUP(Master[[#This Row],[cu_id]],'[1]Customer Revenue'!$Q:$Q,'[1]Customer Revenue'!$L:$L, "None")</f>
        <v>None</v>
      </c>
      <c r="AG279" s="53">
        <v>101.28000000000002</v>
      </c>
      <c r="AH279" s="53">
        <v>106.87923076923077</v>
      </c>
      <c r="AI279" s="53">
        <v>106.87923076923074</v>
      </c>
      <c r="AJ279" s="53">
        <v>115.83384615384615</v>
      </c>
      <c r="AK279" s="53" t="str">
        <f>_xlfn.XLOOKUP(Master[[#This Row],[cu_id]],'[1]Customer Revenue'!$Q:$Q,'[1]Customer Revenue'!$I:$I, "None")</f>
        <v>None</v>
      </c>
      <c r="AL279" s="53">
        <v>104.07961538461539</v>
      </c>
      <c r="AM279" s="61">
        <v>0.25</v>
      </c>
      <c r="AN279" s="60">
        <v>0.625</v>
      </c>
      <c r="AO279" s="60" t="s">
        <v>36</v>
      </c>
      <c r="AP279" s="60" t="s">
        <v>36</v>
      </c>
      <c r="AQ279" s="58" t="s">
        <v>0</v>
      </c>
      <c r="AR279" s="58"/>
      <c r="AS279" s="58"/>
      <c r="AT279" s="52">
        <v>0</v>
      </c>
      <c r="AU279" s="52" t="e">
        <f>IF(Master[[#This Row],[RSP StopTime override]] &lt;&gt; "",Master[[#This Row],[RSP StopTime override]],IF(Master[[#This Row],[Avg stop time helper]] &lt;&gt; 0, Master[[#This Row],[Avg stop time helper]],Average_Stop_Time))</f>
        <v>#DIV/0!</v>
      </c>
      <c r="AV279" s="21"/>
      <c r="AW279" s="20">
        <f>Master[[#This Row],[RSP StopTime override]]-Master[[#This Row],[Avg stop time helper]]</f>
        <v>0</v>
      </c>
    </row>
    <row r="280" spans="1:49" x14ac:dyDescent="0.3">
      <c r="A280" s="66" t="s">
        <v>4383</v>
      </c>
      <c r="B280" s="58">
        <v>12</v>
      </c>
      <c r="C280" s="58" t="s">
        <v>43</v>
      </c>
      <c r="D280" s="65">
        <v>529525</v>
      </c>
      <c r="E280" s="65" t="s">
        <v>42</v>
      </c>
      <c r="F280" s="65" t="s">
        <v>3017</v>
      </c>
      <c r="G280" s="65" t="s">
        <v>3016</v>
      </c>
      <c r="H280" s="65" t="s">
        <v>7</v>
      </c>
      <c r="I280" s="65" t="s">
        <v>12</v>
      </c>
      <c r="J280" s="65" t="s">
        <v>5</v>
      </c>
      <c r="K280" s="65" t="s">
        <v>1754</v>
      </c>
      <c r="L280" s="64" t="s">
        <v>67</v>
      </c>
      <c r="M280" s="58" t="s">
        <v>3</v>
      </c>
      <c r="N280" s="58" t="s">
        <v>2</v>
      </c>
      <c r="O280" s="58">
        <v>60</v>
      </c>
      <c r="P280" s="58">
        <v>0</v>
      </c>
      <c r="Q280" s="58">
        <v>0</v>
      </c>
      <c r="R280" s="58">
        <v>0</v>
      </c>
      <c r="S280" s="58">
        <v>60</v>
      </c>
      <c r="T280" s="58">
        <v>0</v>
      </c>
      <c r="U280" s="58">
        <v>52</v>
      </c>
      <c r="V280" s="62"/>
      <c r="W280" s="62"/>
      <c r="X280" s="63">
        <f>IFERROR(1 -(Master[[#This Row],[Avg Garment Scans per Delivery]]/Master[[#This Row],[Garment Inventory]]), 0)</f>
        <v>0</v>
      </c>
      <c r="Y280" s="62"/>
      <c r="Z280" s="62"/>
      <c r="AA280" s="53">
        <v>79.318249607535336</v>
      </c>
      <c r="AB280" s="53">
        <v>170.45559654631077</v>
      </c>
      <c r="AC280" s="53">
        <v>80.748579881656809</v>
      </c>
      <c r="AD280" s="53">
        <v>224.32680473372776</v>
      </c>
      <c r="AE280" s="53" t="str">
        <f>_xlfn.XLOOKUP(Master[[#This Row],[cu_id]],'[1]Customer Revenue'!$Q:$Q,'[1]Customer Revenue'!$K:$K, "None")</f>
        <v>None</v>
      </c>
      <c r="AF280" s="53" t="str">
        <f>_xlfn.XLOOKUP(Master[[#This Row],[cu_id]],'[1]Customer Revenue'!$Q:$Q,'[1]Customer Revenue'!$L:$L, "None")</f>
        <v>None</v>
      </c>
      <c r="AG280" s="53">
        <v>82.531187084520397</v>
      </c>
      <c r="AH280" s="53">
        <v>148.21958214624874</v>
      </c>
      <c r="AI280" s="53">
        <v>124.88692307692305</v>
      </c>
      <c r="AJ280" s="53">
        <v>152.53769230769228</v>
      </c>
      <c r="AK280" s="53" t="str">
        <f>_xlfn.XLOOKUP(Master[[#This Row],[cu_id]],'[1]Customer Revenue'!$Q:$Q,'[1]Customer Revenue'!$I:$I, "None")</f>
        <v>None</v>
      </c>
      <c r="AL280" s="53">
        <v>115.37538461538458</v>
      </c>
      <c r="AM280" s="61">
        <v>0.33333333333333331</v>
      </c>
      <c r="AN280" s="60">
        <v>0.70833333333333337</v>
      </c>
      <c r="AO280" s="60" t="s">
        <v>36</v>
      </c>
      <c r="AP280" s="60" t="s">
        <v>36</v>
      </c>
      <c r="AQ280" s="58" t="s">
        <v>0</v>
      </c>
      <c r="AR280" s="58"/>
      <c r="AS280" s="58"/>
      <c r="AT280" s="52">
        <v>0</v>
      </c>
      <c r="AU280" s="52" t="e">
        <f>IF(Master[[#This Row],[RSP StopTime override]] &lt;&gt; "",Master[[#This Row],[RSP StopTime override]],IF(Master[[#This Row],[Avg stop time helper]] &lt;&gt; 0, Master[[#This Row],[Avg stop time helper]],Average_Stop_Time))</f>
        <v>#DIV/0!</v>
      </c>
      <c r="AV280" s="21"/>
      <c r="AW280" s="20">
        <f>Master[[#This Row],[RSP StopTime override]]-Master[[#This Row],[Avg stop time helper]]</f>
        <v>0</v>
      </c>
    </row>
    <row r="281" spans="1:49" x14ac:dyDescent="0.3">
      <c r="A281" s="66" t="s">
        <v>4384</v>
      </c>
      <c r="B281" s="58">
        <v>12</v>
      </c>
      <c r="C281" s="58" t="s">
        <v>43</v>
      </c>
      <c r="D281" s="65">
        <v>531728</v>
      </c>
      <c r="E281" s="65" t="s">
        <v>42</v>
      </c>
      <c r="F281" s="65" t="s">
        <v>3015</v>
      </c>
      <c r="G281" s="65" t="s">
        <v>3014</v>
      </c>
      <c r="H281" s="65" t="s">
        <v>7</v>
      </c>
      <c r="I281" s="65" t="s">
        <v>1600</v>
      </c>
      <c r="J281" s="65" t="s">
        <v>5</v>
      </c>
      <c r="K281" s="65" t="s">
        <v>2031</v>
      </c>
      <c r="L281" s="64" t="s">
        <v>67</v>
      </c>
      <c r="M281" s="58" t="s">
        <v>3</v>
      </c>
      <c r="N281" s="58" t="s">
        <v>2</v>
      </c>
      <c r="O281" s="58">
        <v>70</v>
      </c>
      <c r="P281" s="58">
        <v>0</v>
      </c>
      <c r="Q281" s="58">
        <v>0</v>
      </c>
      <c r="R281" s="58">
        <v>0</v>
      </c>
      <c r="S281" s="58">
        <v>70</v>
      </c>
      <c r="T281" s="58">
        <v>0</v>
      </c>
      <c r="U281" s="58">
        <v>54</v>
      </c>
      <c r="V281" s="62">
        <v>110</v>
      </c>
      <c r="W281" s="62">
        <v>4</v>
      </c>
      <c r="X281" s="63">
        <f>IFERROR(1 -(Master[[#This Row],[Avg Garment Scans per Delivery]]/Master[[#This Row],[Garment Inventory]]), 0)</f>
        <v>0.96363636363636362</v>
      </c>
      <c r="Y281" s="62">
        <v>5</v>
      </c>
      <c r="Z281" s="62">
        <v>131</v>
      </c>
      <c r="AA281" s="53">
        <v>83.111479289940831</v>
      </c>
      <c r="AB281" s="53">
        <v>137.87005917159766</v>
      </c>
      <c r="AC281" s="53">
        <v>99.198757396449693</v>
      </c>
      <c r="AD281" s="53">
        <v>145.4920118343195</v>
      </c>
      <c r="AE281" s="53" t="str">
        <f>_xlfn.XLOOKUP(Master[[#This Row],[cu_id]],'[1]Customer Revenue'!$Q:$Q,'[1]Customer Revenue'!$K:$K, "None")</f>
        <v>None</v>
      </c>
      <c r="AF281" s="53" t="str">
        <f>_xlfn.XLOOKUP(Master[[#This Row],[cu_id]],'[1]Customer Revenue'!$Q:$Q,'[1]Customer Revenue'!$L:$L, "None")</f>
        <v>None</v>
      </c>
      <c r="AG281" s="53">
        <v>82.804319526627211</v>
      </c>
      <c r="AH281" s="53">
        <v>131.78952662721892</v>
      </c>
      <c r="AI281" s="53">
        <v>110.49076923076925</v>
      </c>
      <c r="AJ281" s="53">
        <v>122.3453846153846</v>
      </c>
      <c r="AK281" s="53" t="str">
        <f>_xlfn.XLOOKUP(Master[[#This Row],[cu_id]],'[1]Customer Revenue'!$Q:$Q,'[1]Customer Revenue'!$I:$I, "None")</f>
        <v>None</v>
      </c>
      <c r="AL281" s="53">
        <v>107.29692307692306</v>
      </c>
      <c r="AM281" s="61">
        <v>0.29166666666666669</v>
      </c>
      <c r="AN281" s="60">
        <v>0.70833333333333337</v>
      </c>
      <c r="AO281" s="60" t="s">
        <v>36</v>
      </c>
      <c r="AP281" s="60" t="s">
        <v>36</v>
      </c>
      <c r="AQ281" s="58" t="s">
        <v>0</v>
      </c>
      <c r="AR281" s="58"/>
      <c r="AS281" s="58"/>
      <c r="AT281" s="52">
        <v>0</v>
      </c>
      <c r="AU281" s="52" t="e">
        <f>IF(Master[[#This Row],[RSP StopTime override]] &lt;&gt; "",Master[[#This Row],[RSP StopTime override]],IF(Master[[#This Row],[Avg stop time helper]] &lt;&gt; 0, Master[[#This Row],[Avg stop time helper]],Average_Stop_Time))</f>
        <v>#DIV/0!</v>
      </c>
      <c r="AV281" s="21"/>
      <c r="AW281" s="20">
        <f>Master[[#This Row],[RSP StopTime override]]-Master[[#This Row],[Avg stop time helper]]</f>
        <v>0</v>
      </c>
    </row>
    <row r="282" spans="1:49" x14ac:dyDescent="0.3">
      <c r="A282" s="66" t="s">
        <v>4385</v>
      </c>
      <c r="B282" s="58">
        <v>12</v>
      </c>
      <c r="C282" s="58" t="s">
        <v>43</v>
      </c>
      <c r="D282" s="65">
        <v>531798</v>
      </c>
      <c r="E282" s="65" t="s">
        <v>42</v>
      </c>
      <c r="F282" s="65" t="s">
        <v>3013</v>
      </c>
      <c r="G282" s="65" t="s">
        <v>3012</v>
      </c>
      <c r="H282" s="65" t="s">
        <v>7</v>
      </c>
      <c r="I282" s="65" t="s">
        <v>12</v>
      </c>
      <c r="J282" s="65" t="s">
        <v>5</v>
      </c>
      <c r="K282" s="65" t="s">
        <v>2031</v>
      </c>
      <c r="L282" s="64" t="s">
        <v>194</v>
      </c>
      <c r="M282" s="58" t="s">
        <v>193</v>
      </c>
      <c r="N282" s="58" t="s">
        <v>2</v>
      </c>
      <c r="O282" s="58">
        <v>245</v>
      </c>
      <c r="P282" s="58">
        <v>0</v>
      </c>
      <c r="Q282" s="58">
        <v>0</v>
      </c>
      <c r="R282" s="58">
        <v>0</v>
      </c>
      <c r="S282" s="58">
        <v>245</v>
      </c>
      <c r="T282" s="58">
        <v>0</v>
      </c>
      <c r="U282" s="58">
        <v>14</v>
      </c>
      <c r="V282" s="62"/>
      <c r="W282" s="62"/>
      <c r="X282" s="63">
        <f>IFERROR(1 -(Master[[#This Row],[Avg Garment Scans per Delivery]]/Master[[#This Row],[Garment Inventory]]), 0)</f>
        <v>0</v>
      </c>
      <c r="Y282" s="62"/>
      <c r="Z282" s="62"/>
      <c r="AA282" s="53">
        <v>42.688749999999999</v>
      </c>
      <c r="AB282" s="53">
        <v>44.376249999999999</v>
      </c>
      <c r="AC282" s="53">
        <v>44.908888888888889</v>
      </c>
      <c r="AD282" s="53">
        <v>47.397777777777783</v>
      </c>
      <c r="AE282" s="53" t="str">
        <f>_xlfn.XLOOKUP(Master[[#This Row],[cu_id]],'[1]Customer Revenue'!$Q:$Q,'[1]Customer Revenue'!$K:$K, "None")</f>
        <v>None</v>
      </c>
      <c r="AF282" s="53" t="str">
        <f>_xlfn.XLOOKUP(Master[[#This Row],[cu_id]],'[1]Customer Revenue'!$Q:$Q,'[1]Customer Revenue'!$L:$L, "None")</f>
        <v>None</v>
      </c>
      <c r="AG282" s="53">
        <v>42.740408163265307</v>
      </c>
      <c r="AH282" s="53">
        <v>43.842448979591829</v>
      </c>
      <c r="AI282" s="53">
        <v>43.532499999999999</v>
      </c>
      <c r="AJ282" s="53">
        <v>46.153333333333336</v>
      </c>
      <c r="AK282" s="53" t="str">
        <f>_xlfn.XLOOKUP(Master[[#This Row],[cu_id]],'[1]Customer Revenue'!$Q:$Q,'[1]Customer Revenue'!$I:$I, "None")</f>
        <v>None</v>
      </c>
      <c r="AL282" s="53">
        <v>43.291428571428568</v>
      </c>
      <c r="AM282" s="61">
        <v>0.45833333333333331</v>
      </c>
      <c r="AN282" s="60">
        <v>0.70833333333333337</v>
      </c>
      <c r="AO282" s="60" t="s">
        <v>36</v>
      </c>
      <c r="AP282" s="60" t="s">
        <v>36</v>
      </c>
      <c r="AQ282" s="58" t="s">
        <v>174</v>
      </c>
      <c r="AR282" s="58"/>
      <c r="AS282" s="58"/>
      <c r="AT282" s="52">
        <v>0</v>
      </c>
      <c r="AU282" s="52" t="e">
        <f>IF(Master[[#This Row],[RSP StopTime override]] &lt;&gt; "",Master[[#This Row],[RSP StopTime override]],IF(Master[[#This Row],[Avg stop time helper]] &lt;&gt; 0, Master[[#This Row],[Avg stop time helper]],Average_Stop_Time))</f>
        <v>#DIV/0!</v>
      </c>
      <c r="AV282" s="21"/>
      <c r="AW282" s="20">
        <f>Master[[#This Row],[RSP StopTime override]]-Master[[#This Row],[Avg stop time helper]]</f>
        <v>0</v>
      </c>
    </row>
    <row r="283" spans="1:49" x14ac:dyDescent="0.3">
      <c r="A283" s="66" t="s">
        <v>4386</v>
      </c>
      <c r="B283" s="58">
        <v>12</v>
      </c>
      <c r="C283" s="58" t="s">
        <v>43</v>
      </c>
      <c r="D283" s="65">
        <v>531805</v>
      </c>
      <c r="E283" s="65" t="s">
        <v>42</v>
      </c>
      <c r="F283" s="65" t="s">
        <v>3011</v>
      </c>
      <c r="G283" s="65" t="s">
        <v>3010</v>
      </c>
      <c r="H283" s="65" t="s">
        <v>7</v>
      </c>
      <c r="I283" s="65" t="s">
        <v>12</v>
      </c>
      <c r="J283" s="65" t="s">
        <v>5</v>
      </c>
      <c r="K283" s="65" t="s">
        <v>2031</v>
      </c>
      <c r="L283" s="64" t="s">
        <v>91</v>
      </c>
      <c r="M283" s="58" t="s">
        <v>90</v>
      </c>
      <c r="N283" s="58" t="s">
        <v>2</v>
      </c>
      <c r="O283" s="58">
        <v>152</v>
      </c>
      <c r="P283" s="58">
        <v>0</v>
      </c>
      <c r="Q283" s="58">
        <v>0</v>
      </c>
      <c r="R283" s="58">
        <v>0</v>
      </c>
      <c r="S283" s="58">
        <v>152</v>
      </c>
      <c r="T283" s="58">
        <v>0</v>
      </c>
      <c r="U283" s="58">
        <v>27</v>
      </c>
      <c r="V283" s="62"/>
      <c r="W283" s="62"/>
      <c r="X283" s="63">
        <f>IFERROR(1 -(Master[[#This Row],[Avg Garment Scans per Delivery]]/Master[[#This Row],[Garment Inventory]]), 0)</f>
        <v>0</v>
      </c>
      <c r="Y283" s="62"/>
      <c r="Z283" s="62"/>
      <c r="AA283" s="53">
        <v>152.31160714285716</v>
      </c>
      <c r="AB283" s="53">
        <v>341.95410714285714</v>
      </c>
      <c r="AC283" s="53">
        <v>106.70278911564624</v>
      </c>
      <c r="AD283" s="53">
        <v>279.41054421768706</v>
      </c>
      <c r="AE283" s="53" t="str">
        <f>_xlfn.XLOOKUP(Master[[#This Row],[cu_id]],'[1]Customer Revenue'!$Q:$Q,'[1]Customer Revenue'!$K:$K, "None")</f>
        <v>None</v>
      </c>
      <c r="AF283" s="53" t="str">
        <f>_xlfn.XLOOKUP(Master[[#This Row],[cu_id]],'[1]Customer Revenue'!$Q:$Q,'[1]Customer Revenue'!$L:$L, "None")</f>
        <v>None</v>
      </c>
      <c r="AG283" s="53">
        <v>131.39514529914527</v>
      </c>
      <c r="AH283" s="53">
        <v>327.35870085470088</v>
      </c>
      <c r="AI283" s="53">
        <v>247.13285714285715</v>
      </c>
      <c r="AJ283" s="53">
        <v>193.05666666666664</v>
      </c>
      <c r="AK283" s="53" t="str">
        <f>_xlfn.XLOOKUP(Master[[#This Row],[cu_id]],'[1]Customer Revenue'!$Q:$Q,'[1]Customer Revenue'!$I:$I, "None")</f>
        <v>None</v>
      </c>
      <c r="AL283" s="53">
        <v>229.37692307692308</v>
      </c>
      <c r="AM283" s="61">
        <v>0.41666666666666669</v>
      </c>
      <c r="AN283" s="60">
        <v>0.70833333333333337</v>
      </c>
      <c r="AO283" s="60" t="s">
        <v>36</v>
      </c>
      <c r="AP283" s="60" t="s">
        <v>36</v>
      </c>
      <c r="AQ283" s="58" t="s">
        <v>174</v>
      </c>
      <c r="AR283" s="58"/>
      <c r="AS283" s="58"/>
      <c r="AT283" s="52">
        <v>0</v>
      </c>
      <c r="AU283" s="52" t="e">
        <f>IF(Master[[#This Row],[RSP StopTime override]] &lt;&gt; "",Master[[#This Row],[RSP StopTime override]],IF(Master[[#This Row],[Avg stop time helper]] &lt;&gt; 0, Master[[#This Row],[Avg stop time helper]],Average_Stop_Time))</f>
        <v>#DIV/0!</v>
      </c>
      <c r="AV283" s="21"/>
      <c r="AW283" s="20">
        <f>Master[[#This Row],[RSP StopTime override]]-Master[[#This Row],[Avg stop time helper]]</f>
        <v>0</v>
      </c>
    </row>
    <row r="284" spans="1:49" x14ac:dyDescent="0.3">
      <c r="A284" s="66" t="s">
        <v>4387</v>
      </c>
      <c r="B284" s="58">
        <v>12</v>
      </c>
      <c r="C284" s="58" t="s">
        <v>43</v>
      </c>
      <c r="D284" s="65">
        <v>532029</v>
      </c>
      <c r="E284" s="65" t="s">
        <v>42</v>
      </c>
      <c r="F284" s="65" t="s">
        <v>3009</v>
      </c>
      <c r="G284" s="65" t="s">
        <v>3008</v>
      </c>
      <c r="H284" s="65" t="s">
        <v>7</v>
      </c>
      <c r="I284" s="65" t="s">
        <v>12</v>
      </c>
      <c r="J284" s="65" t="s">
        <v>5</v>
      </c>
      <c r="K284" s="65" t="s">
        <v>1754</v>
      </c>
      <c r="L284" s="64" t="s">
        <v>67</v>
      </c>
      <c r="M284" s="58" t="s">
        <v>3</v>
      </c>
      <c r="N284" s="58" t="s">
        <v>2</v>
      </c>
      <c r="O284" s="58">
        <v>210</v>
      </c>
      <c r="P284" s="58">
        <v>0</v>
      </c>
      <c r="Q284" s="58">
        <v>0</v>
      </c>
      <c r="R284" s="58">
        <v>0</v>
      </c>
      <c r="S284" s="58">
        <v>210</v>
      </c>
      <c r="T284" s="58">
        <v>0</v>
      </c>
      <c r="U284" s="58">
        <v>50</v>
      </c>
      <c r="V284" s="62"/>
      <c r="W284" s="62"/>
      <c r="X284" s="63">
        <f>IFERROR(1 -(Master[[#This Row],[Avg Garment Scans per Delivery]]/Master[[#This Row],[Garment Inventory]]), 0)</f>
        <v>0</v>
      </c>
      <c r="Y284" s="62"/>
      <c r="Z284" s="62"/>
      <c r="AA284" s="53">
        <v>73.341893491124267</v>
      </c>
      <c r="AB284" s="53">
        <v>114.42733727810651</v>
      </c>
      <c r="AC284" s="53">
        <v>96.548639053254476</v>
      </c>
      <c r="AD284" s="53">
        <v>122.07289940828406</v>
      </c>
      <c r="AE284" s="53" t="str">
        <f>_xlfn.XLOOKUP(Master[[#This Row],[cu_id]],'[1]Customer Revenue'!$Q:$Q,'[1]Customer Revenue'!$K:$K, "None")</f>
        <v>None</v>
      </c>
      <c r="AF284" s="53" t="str">
        <f>_xlfn.XLOOKUP(Master[[#This Row],[cu_id]],'[1]Customer Revenue'!$Q:$Q,'[1]Customer Revenue'!$L:$L, "None")</f>
        <v>None</v>
      </c>
      <c r="AG284" s="53">
        <v>62.503349112426015</v>
      </c>
      <c r="AH284" s="53">
        <v>100.22465088757394</v>
      </c>
      <c r="AI284" s="53">
        <v>93.884615384615387</v>
      </c>
      <c r="AJ284" s="53">
        <v>109.31076923076927</v>
      </c>
      <c r="AK284" s="53" t="str">
        <f>_xlfn.XLOOKUP(Master[[#This Row],[cu_id]],'[1]Customer Revenue'!$Q:$Q,'[1]Customer Revenue'!$I:$I, "None")</f>
        <v>None</v>
      </c>
      <c r="AL284" s="53">
        <v>81.363999999999976</v>
      </c>
      <c r="AM284" s="61">
        <v>0.45833333333333331</v>
      </c>
      <c r="AN284" s="60">
        <v>0.70833333333333337</v>
      </c>
      <c r="AO284" s="60" t="s">
        <v>36</v>
      </c>
      <c r="AP284" s="60" t="s">
        <v>36</v>
      </c>
      <c r="AQ284" s="58" t="s">
        <v>0</v>
      </c>
      <c r="AR284" s="58"/>
      <c r="AS284" s="58"/>
      <c r="AT284" s="52">
        <v>0</v>
      </c>
      <c r="AU284" s="52" t="e">
        <f>IF(Master[[#This Row],[RSP StopTime override]] &lt;&gt; "",Master[[#This Row],[RSP StopTime override]],IF(Master[[#This Row],[Avg stop time helper]] &lt;&gt; 0, Master[[#This Row],[Avg stop time helper]],Average_Stop_Time))</f>
        <v>#DIV/0!</v>
      </c>
      <c r="AV284" s="21"/>
      <c r="AW284" s="20">
        <f>Master[[#This Row],[RSP StopTime override]]-Master[[#This Row],[Avg stop time helper]]</f>
        <v>0</v>
      </c>
    </row>
    <row r="285" spans="1:49" x14ac:dyDescent="0.3">
      <c r="A285" s="66" t="s">
        <v>4388</v>
      </c>
      <c r="B285" s="58">
        <v>12</v>
      </c>
      <c r="C285" s="58" t="s">
        <v>43</v>
      </c>
      <c r="D285" s="65">
        <v>532062</v>
      </c>
      <c r="E285" s="65" t="s">
        <v>42</v>
      </c>
      <c r="F285" s="65" t="s">
        <v>3007</v>
      </c>
      <c r="G285" s="65" t="s">
        <v>3006</v>
      </c>
      <c r="H285" s="65" t="s">
        <v>7</v>
      </c>
      <c r="I285" s="65" t="s">
        <v>12</v>
      </c>
      <c r="J285" s="65" t="s">
        <v>5</v>
      </c>
      <c r="K285" s="65" t="s">
        <v>2031</v>
      </c>
      <c r="L285" s="64" t="s">
        <v>67</v>
      </c>
      <c r="M285" s="58" t="s">
        <v>3</v>
      </c>
      <c r="N285" s="58" t="s">
        <v>2</v>
      </c>
      <c r="O285" s="58">
        <v>150</v>
      </c>
      <c r="P285" s="58">
        <v>0</v>
      </c>
      <c r="Q285" s="58">
        <v>0</v>
      </c>
      <c r="R285" s="58">
        <v>0</v>
      </c>
      <c r="S285" s="58">
        <v>150</v>
      </c>
      <c r="T285" s="58">
        <v>0</v>
      </c>
      <c r="U285" s="58">
        <v>53</v>
      </c>
      <c r="V285" s="62"/>
      <c r="W285" s="62"/>
      <c r="X285" s="63">
        <f>IFERROR(1 -(Master[[#This Row],[Avg Garment Scans per Delivery]]/Master[[#This Row],[Garment Inventory]]), 0)</f>
        <v>0</v>
      </c>
      <c r="Y285" s="62"/>
      <c r="Z285" s="62"/>
      <c r="AA285" s="53">
        <v>71.582840236686394</v>
      </c>
      <c r="AB285" s="53">
        <v>102.42639053254436</v>
      </c>
      <c r="AC285" s="53">
        <v>73.916745562130174</v>
      </c>
      <c r="AD285" s="53">
        <v>119.8047928994083</v>
      </c>
      <c r="AE285" s="53" t="str">
        <f>_xlfn.XLOOKUP(Master[[#This Row],[cu_id]],'[1]Customer Revenue'!$Q:$Q,'[1]Customer Revenue'!$K:$K, "None")</f>
        <v>None</v>
      </c>
      <c r="AF285" s="53" t="str">
        <f>_xlfn.XLOOKUP(Master[[#This Row],[cu_id]],'[1]Customer Revenue'!$Q:$Q,'[1]Customer Revenue'!$L:$L, "None")</f>
        <v>None</v>
      </c>
      <c r="AG285" s="53">
        <v>70.870325443786982</v>
      </c>
      <c r="AH285" s="53">
        <v>109.4719822485207</v>
      </c>
      <c r="AI285" s="53">
        <v>87.004615384615377</v>
      </c>
      <c r="AJ285" s="53">
        <v>96.860769230769236</v>
      </c>
      <c r="AK285" s="53" t="str">
        <f>_xlfn.XLOOKUP(Master[[#This Row],[cu_id]],'[1]Customer Revenue'!$Q:$Q,'[1]Customer Revenue'!$I:$I, "None")</f>
        <v>None</v>
      </c>
      <c r="AL285" s="53">
        <v>90.171153846153842</v>
      </c>
      <c r="AM285" s="61">
        <v>0.45833333333333331</v>
      </c>
      <c r="AN285" s="60">
        <v>0.70833333333333337</v>
      </c>
      <c r="AO285" s="60" t="s">
        <v>36</v>
      </c>
      <c r="AP285" s="60" t="s">
        <v>36</v>
      </c>
      <c r="AQ285" s="58" t="s">
        <v>174</v>
      </c>
      <c r="AR285" s="58"/>
      <c r="AS285" s="58"/>
      <c r="AT285" s="52">
        <v>0</v>
      </c>
      <c r="AU285" s="52" t="e">
        <f>IF(Master[[#This Row],[RSP StopTime override]] &lt;&gt; "",Master[[#This Row],[RSP StopTime override]],IF(Master[[#This Row],[Avg stop time helper]] &lt;&gt; 0, Master[[#This Row],[Avg stop time helper]],Average_Stop_Time))</f>
        <v>#DIV/0!</v>
      </c>
      <c r="AV285" s="21"/>
      <c r="AW285" s="20">
        <f>Master[[#This Row],[RSP StopTime override]]-Master[[#This Row],[Avg stop time helper]]</f>
        <v>0</v>
      </c>
    </row>
    <row r="286" spans="1:49" x14ac:dyDescent="0.3">
      <c r="A286" s="66" t="s">
        <v>4389</v>
      </c>
      <c r="B286" s="58">
        <v>12</v>
      </c>
      <c r="C286" s="58" t="s">
        <v>43</v>
      </c>
      <c r="D286" s="65">
        <v>532325</v>
      </c>
      <c r="E286" s="65" t="s">
        <v>42</v>
      </c>
      <c r="F286" s="65" t="s">
        <v>3005</v>
      </c>
      <c r="G286" s="65" t="s">
        <v>3004</v>
      </c>
      <c r="H286" s="65" t="s">
        <v>544</v>
      </c>
      <c r="I286" s="65" t="s">
        <v>1600</v>
      </c>
      <c r="J286" s="65" t="s">
        <v>5</v>
      </c>
      <c r="K286" s="65" t="s">
        <v>1599</v>
      </c>
      <c r="L286" s="64" t="s">
        <v>67</v>
      </c>
      <c r="M286" s="58" t="s">
        <v>3</v>
      </c>
      <c r="N286" s="58" t="s">
        <v>2</v>
      </c>
      <c r="O286" s="58">
        <v>90</v>
      </c>
      <c r="P286" s="58">
        <v>0</v>
      </c>
      <c r="Q286" s="58">
        <v>0</v>
      </c>
      <c r="R286" s="58">
        <v>0</v>
      </c>
      <c r="S286" s="58">
        <v>90</v>
      </c>
      <c r="T286" s="58">
        <v>0</v>
      </c>
      <c r="U286" s="58">
        <v>54</v>
      </c>
      <c r="V286" s="62">
        <v>61</v>
      </c>
      <c r="W286" s="62">
        <v>25</v>
      </c>
      <c r="X286" s="63">
        <f>IFERROR(1 -(Master[[#This Row],[Avg Garment Scans per Delivery]]/Master[[#This Row],[Garment Inventory]]), 0)</f>
        <v>0.5901639344262295</v>
      </c>
      <c r="Y286" s="62">
        <v>3</v>
      </c>
      <c r="Z286" s="62">
        <v>61</v>
      </c>
      <c r="AA286" s="53">
        <v>102.42278106508878</v>
      </c>
      <c r="AB286" s="53">
        <v>114.70798816568048</v>
      </c>
      <c r="AC286" s="53">
        <v>96.972071005917158</v>
      </c>
      <c r="AD286" s="53">
        <v>126.48639053254438</v>
      </c>
      <c r="AE286" s="53" t="str">
        <f>_xlfn.XLOOKUP(Master[[#This Row],[cu_id]],'[1]Customer Revenue'!$Q:$Q,'[1]Customer Revenue'!$K:$K, "None")</f>
        <v>None</v>
      </c>
      <c r="AF286" s="53" t="str">
        <f>_xlfn.XLOOKUP(Master[[#This Row],[cu_id]],'[1]Customer Revenue'!$Q:$Q,'[1]Customer Revenue'!$L:$L, "None")</f>
        <v>None</v>
      </c>
      <c r="AG286" s="53">
        <v>98.057840236686403</v>
      </c>
      <c r="AH286" s="53">
        <v>126.93062130177513</v>
      </c>
      <c r="AI286" s="53">
        <v>108.56538461538463</v>
      </c>
      <c r="AJ286" s="53">
        <v>111.72923076923077</v>
      </c>
      <c r="AK286" s="53" t="str">
        <f>_xlfn.XLOOKUP(Master[[#This Row],[cu_id]],'[1]Customer Revenue'!$Q:$Q,'[1]Customer Revenue'!$I:$I, "None")</f>
        <v>None</v>
      </c>
      <c r="AL286" s="53">
        <v>112.49423076923077</v>
      </c>
      <c r="AM286" s="61">
        <v>0.33333333333333331</v>
      </c>
      <c r="AN286" s="60">
        <v>0.70833333333333337</v>
      </c>
      <c r="AO286" s="60" t="s">
        <v>36</v>
      </c>
      <c r="AP286" s="60" t="s">
        <v>36</v>
      </c>
      <c r="AQ286" s="58" t="s">
        <v>0</v>
      </c>
      <c r="AR286" s="58"/>
      <c r="AS286" s="58"/>
      <c r="AT286" s="52">
        <v>0</v>
      </c>
      <c r="AU286" s="52" t="e">
        <f>IF(Master[[#This Row],[RSP StopTime override]] &lt;&gt; "",Master[[#This Row],[RSP StopTime override]],IF(Master[[#This Row],[Avg stop time helper]] &lt;&gt; 0, Master[[#This Row],[Avg stop time helper]],Average_Stop_Time))</f>
        <v>#DIV/0!</v>
      </c>
      <c r="AV286" s="21"/>
      <c r="AW286" s="20">
        <f>Master[[#This Row],[RSP StopTime override]]-Master[[#This Row],[Avg stop time helper]]</f>
        <v>0</v>
      </c>
    </row>
    <row r="287" spans="1:49" x14ac:dyDescent="0.3">
      <c r="A287" s="66" t="s">
        <v>4390</v>
      </c>
      <c r="B287" s="58">
        <v>12</v>
      </c>
      <c r="C287" s="58" t="s">
        <v>43</v>
      </c>
      <c r="D287" s="65">
        <v>532510</v>
      </c>
      <c r="E287" s="65" t="s">
        <v>42</v>
      </c>
      <c r="F287" s="65" t="s">
        <v>3003</v>
      </c>
      <c r="G287" s="65" t="s">
        <v>3002</v>
      </c>
      <c r="H287" s="65" t="s">
        <v>7</v>
      </c>
      <c r="I287" s="65" t="s">
        <v>12</v>
      </c>
      <c r="J287" s="65" t="s">
        <v>5</v>
      </c>
      <c r="K287" s="65" t="s">
        <v>2031</v>
      </c>
      <c r="L287" s="64" t="s">
        <v>91</v>
      </c>
      <c r="M287" s="58" t="s">
        <v>90</v>
      </c>
      <c r="N287" s="58" t="s">
        <v>2</v>
      </c>
      <c r="O287" s="58">
        <v>81</v>
      </c>
      <c r="P287" s="58">
        <v>0</v>
      </c>
      <c r="Q287" s="58">
        <v>0</v>
      </c>
      <c r="R287" s="58">
        <v>0</v>
      </c>
      <c r="S287" s="58">
        <v>81</v>
      </c>
      <c r="T287" s="58">
        <v>0</v>
      </c>
      <c r="U287" s="58">
        <v>28</v>
      </c>
      <c r="V287" s="62"/>
      <c r="W287" s="62"/>
      <c r="X287" s="63">
        <f>IFERROR(1 -(Master[[#This Row],[Avg Garment Scans per Delivery]]/Master[[#This Row],[Garment Inventory]]), 0)</f>
        <v>0</v>
      </c>
      <c r="Y287" s="62"/>
      <c r="Z287" s="62"/>
      <c r="AA287" s="53">
        <v>181.14897959183673</v>
      </c>
      <c r="AB287" s="53">
        <v>320.41102040816327</v>
      </c>
      <c r="AC287" s="53">
        <v>223.79666666666668</v>
      </c>
      <c r="AD287" s="53">
        <v>284.7833333333333</v>
      </c>
      <c r="AE287" s="53" t="str">
        <f>_xlfn.XLOOKUP(Master[[#This Row],[cu_id]],'[1]Customer Revenue'!$Q:$Q,'[1]Customer Revenue'!$K:$K, "None")</f>
        <v>None</v>
      </c>
      <c r="AF287" s="53" t="str">
        <f>_xlfn.XLOOKUP(Master[[#This Row],[cu_id]],'[1]Customer Revenue'!$Q:$Q,'[1]Customer Revenue'!$L:$L, "None")</f>
        <v>None</v>
      </c>
      <c r="AG287" s="53">
        <v>176.79279434850861</v>
      </c>
      <c r="AH287" s="53">
        <v>277.50259026687593</v>
      </c>
      <c r="AI287" s="53">
        <v>250.78</v>
      </c>
      <c r="AJ287" s="53">
        <v>254.29</v>
      </c>
      <c r="AK287" s="53" t="str">
        <f>_xlfn.XLOOKUP(Master[[#This Row],[cu_id]],'[1]Customer Revenue'!$Q:$Q,'[1]Customer Revenue'!$I:$I, "None")</f>
        <v>None</v>
      </c>
      <c r="AL287" s="53">
        <v>227.14769230769227</v>
      </c>
      <c r="AM287" s="61">
        <v>0.33333333333333331</v>
      </c>
      <c r="AN287" s="60">
        <v>0.70833333333333337</v>
      </c>
      <c r="AO287" s="60" t="s">
        <v>36</v>
      </c>
      <c r="AP287" s="60" t="s">
        <v>36</v>
      </c>
      <c r="AQ287" s="58" t="s">
        <v>174</v>
      </c>
      <c r="AR287" s="58"/>
      <c r="AS287" s="58"/>
      <c r="AT287" s="52">
        <v>0</v>
      </c>
      <c r="AU287" s="52" t="e">
        <f>IF(Master[[#This Row],[RSP StopTime override]] &lt;&gt; "",Master[[#This Row],[RSP StopTime override]],IF(Master[[#This Row],[Avg stop time helper]] &lt;&gt; 0, Master[[#This Row],[Avg stop time helper]],Average_Stop_Time))</f>
        <v>#DIV/0!</v>
      </c>
      <c r="AV287" s="21"/>
      <c r="AW287" s="20">
        <f>Master[[#This Row],[RSP StopTime override]]-Master[[#This Row],[Avg stop time helper]]</f>
        <v>0</v>
      </c>
    </row>
    <row r="288" spans="1:49" x14ac:dyDescent="0.3">
      <c r="A288" s="66" t="s">
        <v>4391</v>
      </c>
      <c r="B288" s="58">
        <v>12</v>
      </c>
      <c r="C288" s="58" t="s">
        <v>43</v>
      </c>
      <c r="D288" s="65">
        <v>532591</v>
      </c>
      <c r="E288" s="65" t="s">
        <v>42</v>
      </c>
      <c r="F288" s="65" t="s">
        <v>3001</v>
      </c>
      <c r="G288" s="65" t="s">
        <v>3000</v>
      </c>
      <c r="H288" s="65" t="s">
        <v>7</v>
      </c>
      <c r="I288" s="65" t="s">
        <v>12</v>
      </c>
      <c r="J288" s="65" t="s">
        <v>5</v>
      </c>
      <c r="K288" s="65" t="s">
        <v>2031</v>
      </c>
      <c r="L288" s="64" t="s">
        <v>194</v>
      </c>
      <c r="M288" s="58" t="s">
        <v>193</v>
      </c>
      <c r="N288" s="58" t="s">
        <v>2</v>
      </c>
      <c r="O288" s="58">
        <v>245</v>
      </c>
      <c r="P288" s="58">
        <v>0</v>
      </c>
      <c r="Q288" s="58">
        <v>0</v>
      </c>
      <c r="R288" s="58">
        <v>0</v>
      </c>
      <c r="S288" s="58">
        <v>245</v>
      </c>
      <c r="T288" s="58">
        <v>0</v>
      </c>
      <c r="U288" s="58">
        <v>14</v>
      </c>
      <c r="V288" s="62"/>
      <c r="W288" s="62"/>
      <c r="X288" s="63">
        <f>IFERROR(1 -(Master[[#This Row],[Avg Garment Scans per Delivery]]/Master[[#This Row],[Garment Inventory]]), 0)</f>
        <v>0</v>
      </c>
      <c r="Y288" s="62"/>
      <c r="Z288" s="62"/>
      <c r="AA288" s="53">
        <v>221.45625000000001</v>
      </c>
      <c r="AB288" s="53">
        <v>296.26875000000001</v>
      </c>
      <c r="AC288" s="53">
        <v>258.0888888888889</v>
      </c>
      <c r="AD288" s="53">
        <v>299.64444444444445</v>
      </c>
      <c r="AE288" s="53" t="str">
        <f>_xlfn.XLOOKUP(Master[[#This Row],[cu_id]],'[1]Customer Revenue'!$Q:$Q,'[1]Customer Revenue'!$K:$K, "None")</f>
        <v>None</v>
      </c>
      <c r="AF288" s="53" t="str">
        <f>_xlfn.XLOOKUP(Master[[#This Row],[cu_id]],'[1]Customer Revenue'!$Q:$Q,'[1]Customer Revenue'!$L:$L, "None")</f>
        <v>None</v>
      </c>
      <c r="AG288" s="53">
        <v>188.77489795918368</v>
      </c>
      <c r="AH288" s="53">
        <v>293.9479591836735</v>
      </c>
      <c r="AI288" s="53">
        <v>258.86250000000001</v>
      </c>
      <c r="AJ288" s="53">
        <v>278.86666666666667</v>
      </c>
      <c r="AK288" s="53" t="str">
        <f>_xlfn.XLOOKUP(Master[[#This Row],[cu_id]],'[1]Customer Revenue'!$Q:$Q,'[1]Customer Revenue'!$I:$I, "None")</f>
        <v>None</v>
      </c>
      <c r="AL288" s="53">
        <v>241.36142857142858</v>
      </c>
      <c r="AM288" s="61">
        <v>0.45833333333333331</v>
      </c>
      <c r="AN288" s="60">
        <v>0.70833333333333337</v>
      </c>
      <c r="AO288" s="60" t="s">
        <v>36</v>
      </c>
      <c r="AP288" s="60" t="s">
        <v>36</v>
      </c>
      <c r="AQ288" s="58" t="s">
        <v>174</v>
      </c>
      <c r="AR288" s="58"/>
      <c r="AS288" s="58"/>
      <c r="AT288" s="52">
        <v>0</v>
      </c>
      <c r="AU288" s="52" t="e">
        <f>IF(Master[[#This Row],[RSP StopTime override]] &lt;&gt; "",Master[[#This Row],[RSP StopTime override]],IF(Master[[#This Row],[Avg stop time helper]] &lt;&gt; 0, Master[[#This Row],[Avg stop time helper]],Average_Stop_Time))</f>
        <v>#DIV/0!</v>
      </c>
      <c r="AV288" s="21"/>
      <c r="AW288" s="20">
        <f>Master[[#This Row],[RSP StopTime override]]-Master[[#This Row],[Avg stop time helper]]</f>
        <v>0</v>
      </c>
    </row>
    <row r="289" spans="1:49" x14ac:dyDescent="0.3">
      <c r="A289" s="66" t="s">
        <v>4392</v>
      </c>
      <c r="B289" s="58">
        <v>12</v>
      </c>
      <c r="C289" s="58" t="s">
        <v>43</v>
      </c>
      <c r="D289" s="65">
        <v>533132</v>
      </c>
      <c r="E289" s="65" t="s">
        <v>42</v>
      </c>
      <c r="F289" s="65" t="s">
        <v>2999</v>
      </c>
      <c r="G289" s="65" t="s">
        <v>2998</v>
      </c>
      <c r="H289" s="65" t="s">
        <v>7</v>
      </c>
      <c r="I289" s="65" t="s">
        <v>1600</v>
      </c>
      <c r="J289" s="65" t="s">
        <v>5</v>
      </c>
      <c r="K289" s="65" t="s">
        <v>1624</v>
      </c>
      <c r="L289" s="64" t="s">
        <v>67</v>
      </c>
      <c r="M289" s="58" t="s">
        <v>3</v>
      </c>
      <c r="N289" s="58" t="s">
        <v>2</v>
      </c>
      <c r="O289" s="58">
        <v>100</v>
      </c>
      <c r="P289" s="58">
        <v>0</v>
      </c>
      <c r="Q289" s="58">
        <v>0</v>
      </c>
      <c r="R289" s="58">
        <v>0</v>
      </c>
      <c r="S289" s="58">
        <v>100</v>
      </c>
      <c r="T289" s="58">
        <v>0</v>
      </c>
      <c r="U289" s="58">
        <v>53</v>
      </c>
      <c r="V289" s="62"/>
      <c r="W289" s="62"/>
      <c r="X289" s="63">
        <f>IFERROR(1 -(Master[[#This Row],[Avg Garment Scans per Delivery]]/Master[[#This Row],[Garment Inventory]]), 0)</f>
        <v>0</v>
      </c>
      <c r="Y289" s="62"/>
      <c r="Z289" s="62"/>
      <c r="AA289" s="53">
        <v>56.180414201183432</v>
      </c>
      <c r="AB289" s="53">
        <v>57.778047337278103</v>
      </c>
      <c r="AC289" s="53">
        <v>58.607041420118343</v>
      </c>
      <c r="AD289" s="53">
        <v>61.489881656804734</v>
      </c>
      <c r="AE289" s="53" t="str">
        <f>_xlfn.XLOOKUP(Master[[#This Row],[cu_id]],'[1]Customer Revenue'!$Q:$Q,'[1]Customer Revenue'!$K:$K, "None")</f>
        <v>None</v>
      </c>
      <c r="AF289" s="53" t="str">
        <f>_xlfn.XLOOKUP(Master[[#This Row],[cu_id]],'[1]Customer Revenue'!$Q:$Q,'[1]Customer Revenue'!$L:$L, "None")</f>
        <v>None</v>
      </c>
      <c r="AG289" s="53">
        <v>53.749674556213037</v>
      </c>
      <c r="AH289" s="53">
        <v>57.332633136094685</v>
      </c>
      <c r="AI289" s="53">
        <v>56.979230769230767</v>
      </c>
      <c r="AJ289" s="53">
        <v>60.048461538461538</v>
      </c>
      <c r="AK289" s="53" t="str">
        <f>_xlfn.XLOOKUP(Master[[#This Row],[cu_id]],'[1]Customer Revenue'!$Q:$Q,'[1]Customer Revenue'!$I:$I, "None")</f>
        <v>None</v>
      </c>
      <c r="AL289" s="53">
        <v>55.541153846153861</v>
      </c>
      <c r="AM289" s="61">
        <v>0.45833333333333331</v>
      </c>
      <c r="AN289" s="60">
        <v>0.70833333333333337</v>
      </c>
      <c r="AO289" s="60" t="s">
        <v>36</v>
      </c>
      <c r="AP289" s="60" t="s">
        <v>36</v>
      </c>
      <c r="AQ289" s="58" t="s">
        <v>0</v>
      </c>
      <c r="AR289" s="58"/>
      <c r="AS289" s="58"/>
      <c r="AT289" s="52">
        <v>0</v>
      </c>
      <c r="AU289" s="52" t="e">
        <f>IF(Master[[#This Row],[RSP StopTime override]] &lt;&gt; "",Master[[#This Row],[RSP StopTime override]],IF(Master[[#This Row],[Avg stop time helper]] &lt;&gt; 0, Master[[#This Row],[Avg stop time helper]],Average_Stop_Time))</f>
        <v>#DIV/0!</v>
      </c>
      <c r="AV289" s="21"/>
      <c r="AW289" s="20">
        <f>Master[[#This Row],[RSP StopTime override]]-Master[[#This Row],[Avg stop time helper]]</f>
        <v>0</v>
      </c>
    </row>
    <row r="290" spans="1:49" x14ac:dyDescent="0.3">
      <c r="A290" s="66" t="s">
        <v>4393</v>
      </c>
      <c r="B290" s="58">
        <v>12</v>
      </c>
      <c r="C290" s="58" t="s">
        <v>43</v>
      </c>
      <c r="D290" s="65">
        <v>533328</v>
      </c>
      <c r="E290" s="65" t="s">
        <v>42</v>
      </c>
      <c r="F290" s="65" t="s">
        <v>2996</v>
      </c>
      <c r="G290" s="65" t="s">
        <v>2995</v>
      </c>
      <c r="H290" s="65" t="s">
        <v>7</v>
      </c>
      <c r="I290" s="65" t="s">
        <v>12</v>
      </c>
      <c r="J290" s="65" t="s">
        <v>5</v>
      </c>
      <c r="K290" s="65" t="s">
        <v>2031</v>
      </c>
      <c r="L290" s="64">
        <v>5</v>
      </c>
      <c r="M290" s="58" t="s">
        <v>29</v>
      </c>
      <c r="N290" s="58" t="s">
        <v>2</v>
      </c>
      <c r="O290" s="58">
        <v>180</v>
      </c>
      <c r="P290" s="58">
        <v>0</v>
      </c>
      <c r="Q290" s="58">
        <v>0</v>
      </c>
      <c r="R290" s="58">
        <v>0</v>
      </c>
      <c r="S290" s="58">
        <v>180</v>
      </c>
      <c r="T290" s="58">
        <v>0</v>
      </c>
      <c r="U290" s="58">
        <v>49</v>
      </c>
      <c r="V290" s="62"/>
      <c r="W290" s="62"/>
      <c r="X290" s="63">
        <f>IFERROR(1 -(Master[[#This Row],[Avg Garment Scans per Delivery]]/Master[[#This Row],[Garment Inventory]]), 0)</f>
        <v>0</v>
      </c>
      <c r="Y290" s="62"/>
      <c r="Z290" s="62"/>
      <c r="AA290" s="53">
        <v>56.649814814814803</v>
      </c>
      <c r="AB290" s="53">
        <v>94.740185185185183</v>
      </c>
      <c r="AC290" s="53">
        <v>57.276156462585035</v>
      </c>
      <c r="AD290" s="53">
        <v>112.38717687074829</v>
      </c>
      <c r="AE290" s="53" t="str">
        <f>_xlfn.XLOOKUP(Master[[#This Row],[cu_id]],'[1]Customer Revenue'!$Q:$Q,'[1]Customer Revenue'!$K:$K, "None")</f>
        <v>None</v>
      </c>
      <c r="AF290" s="53" t="str">
        <f>_xlfn.XLOOKUP(Master[[#This Row],[cu_id]],'[1]Customer Revenue'!$Q:$Q,'[1]Customer Revenue'!$L:$L, "None")</f>
        <v>None</v>
      </c>
      <c r="AG290" s="53">
        <v>61.893522235340427</v>
      </c>
      <c r="AH290" s="53">
        <v>90.356001574183423</v>
      </c>
      <c r="AI290" s="53">
        <v>75.694999999999993</v>
      </c>
      <c r="AJ290" s="53">
        <v>84.831666666666663</v>
      </c>
      <c r="AK290" s="53" t="str">
        <f>_xlfn.XLOOKUP(Master[[#This Row],[cu_id]],'[1]Customer Revenue'!$Q:$Q,'[1]Customer Revenue'!$I:$I, "None")</f>
        <v>None</v>
      </c>
      <c r="AL290" s="53">
        <v>76.124761904761925</v>
      </c>
      <c r="AM290" s="61">
        <v>0</v>
      </c>
      <c r="AN290" s="60">
        <v>0.70833333333333337</v>
      </c>
      <c r="AO290" s="60" t="s">
        <v>36</v>
      </c>
      <c r="AP290" s="60" t="s">
        <v>36</v>
      </c>
      <c r="AQ290" s="58" t="s">
        <v>174</v>
      </c>
      <c r="AR290" s="58"/>
      <c r="AS290" s="58"/>
      <c r="AT290" s="52">
        <v>0</v>
      </c>
      <c r="AU290" s="52" t="e">
        <f>IF(Master[[#This Row],[RSP StopTime override]] &lt;&gt; "",Master[[#This Row],[RSP StopTime override]],IF(Master[[#This Row],[Avg stop time helper]] &lt;&gt; 0, Master[[#This Row],[Avg stop time helper]],Average_Stop_Time))</f>
        <v>#DIV/0!</v>
      </c>
      <c r="AV290" s="21"/>
      <c r="AW290" s="20">
        <f>Master[[#This Row],[RSP StopTime override]]-Master[[#This Row],[Avg stop time helper]]</f>
        <v>0</v>
      </c>
    </row>
    <row r="291" spans="1:49" x14ac:dyDescent="0.3">
      <c r="A291" s="66" t="s">
        <v>4394</v>
      </c>
      <c r="B291" s="58">
        <v>12</v>
      </c>
      <c r="C291" s="58" t="s">
        <v>43</v>
      </c>
      <c r="D291" s="65">
        <v>533345</v>
      </c>
      <c r="E291" s="65" t="s">
        <v>42</v>
      </c>
      <c r="F291" s="65" t="s">
        <v>2994</v>
      </c>
      <c r="G291" s="65" t="s">
        <v>2993</v>
      </c>
      <c r="H291" s="65" t="s">
        <v>7</v>
      </c>
      <c r="I291" s="65" t="s">
        <v>1600</v>
      </c>
      <c r="J291" s="65" t="s">
        <v>5</v>
      </c>
      <c r="K291" s="65" t="s">
        <v>1599</v>
      </c>
      <c r="L291" s="64" t="s">
        <v>77</v>
      </c>
      <c r="M291" s="58" t="s">
        <v>29</v>
      </c>
      <c r="N291" s="58" t="s">
        <v>2</v>
      </c>
      <c r="O291" s="58">
        <v>160</v>
      </c>
      <c r="P291" s="58">
        <v>0</v>
      </c>
      <c r="Q291" s="58">
        <v>0</v>
      </c>
      <c r="R291" s="58">
        <v>0</v>
      </c>
      <c r="S291" s="58">
        <v>160</v>
      </c>
      <c r="T291" s="58">
        <v>0</v>
      </c>
      <c r="U291" s="58">
        <v>27</v>
      </c>
      <c r="V291" s="62"/>
      <c r="W291" s="62"/>
      <c r="X291" s="63">
        <f>IFERROR(1 -(Master[[#This Row],[Avg Garment Scans per Delivery]]/Master[[#This Row],[Garment Inventory]]), 0)</f>
        <v>0</v>
      </c>
      <c r="Y291" s="62"/>
      <c r="Z291" s="62"/>
      <c r="AA291" s="53">
        <v>67.190000000000012</v>
      </c>
      <c r="AB291" s="53">
        <v>97.120000000000019</v>
      </c>
      <c r="AC291" s="53">
        <v>81.141020408163271</v>
      </c>
      <c r="AD291" s="53">
        <v>122.35326530612245</v>
      </c>
      <c r="AE291" s="53" t="str">
        <f>_xlfn.XLOOKUP(Master[[#This Row],[cu_id]],'[1]Customer Revenue'!$Q:$Q,'[1]Customer Revenue'!$K:$K, "None")</f>
        <v>None</v>
      </c>
      <c r="AF291" s="53" t="str">
        <f>_xlfn.XLOOKUP(Master[[#This Row],[cu_id]],'[1]Customer Revenue'!$Q:$Q,'[1]Customer Revenue'!$L:$L, "None")</f>
        <v>None</v>
      </c>
      <c r="AG291" s="53">
        <v>62.436449704142007</v>
      </c>
      <c r="AH291" s="53">
        <v>99.99124260355029</v>
      </c>
      <c r="AI291" s="53">
        <v>82.155000000000015</v>
      </c>
      <c r="AJ291" s="53">
        <v>101.74714285714286</v>
      </c>
      <c r="AK291" s="53" t="str">
        <f>_xlfn.XLOOKUP(Master[[#This Row],[cu_id]],'[1]Customer Revenue'!$Q:$Q,'[1]Customer Revenue'!$I:$I, "None")</f>
        <v>None</v>
      </c>
      <c r="AL291" s="53">
        <v>81.213846153846148</v>
      </c>
      <c r="AM291" s="61">
        <v>0.4375</v>
      </c>
      <c r="AN291" s="60">
        <v>0.70833333333333337</v>
      </c>
      <c r="AO291" s="60" t="s">
        <v>36</v>
      </c>
      <c r="AP291" s="60" t="s">
        <v>36</v>
      </c>
      <c r="AQ291" s="58" t="s">
        <v>174</v>
      </c>
      <c r="AR291" s="58"/>
      <c r="AS291" s="58"/>
      <c r="AT291" s="52">
        <v>0</v>
      </c>
      <c r="AU291" s="52" t="e">
        <f>IF(Master[[#This Row],[RSP StopTime override]] &lt;&gt; "",Master[[#This Row],[RSP StopTime override]],IF(Master[[#This Row],[Avg stop time helper]] &lt;&gt; 0, Master[[#This Row],[Avg stop time helper]],Average_Stop_Time))</f>
        <v>#DIV/0!</v>
      </c>
      <c r="AV291" s="21"/>
      <c r="AW291" s="20">
        <f>Master[[#This Row],[RSP StopTime override]]-Master[[#This Row],[Avg stop time helper]]</f>
        <v>0</v>
      </c>
    </row>
    <row r="292" spans="1:49" x14ac:dyDescent="0.3">
      <c r="A292" s="66" t="s">
        <v>4395</v>
      </c>
      <c r="B292" s="58">
        <v>12</v>
      </c>
      <c r="C292" s="58" t="s">
        <v>43</v>
      </c>
      <c r="D292" s="65">
        <v>533394</v>
      </c>
      <c r="E292" s="65" t="s">
        <v>42</v>
      </c>
      <c r="F292" s="65" t="s">
        <v>2992</v>
      </c>
      <c r="G292" s="65" t="s">
        <v>2991</v>
      </c>
      <c r="H292" s="65" t="s">
        <v>7</v>
      </c>
      <c r="I292" s="65" t="s">
        <v>1600</v>
      </c>
      <c r="J292" s="65" t="s">
        <v>5</v>
      </c>
      <c r="K292" s="65" t="s">
        <v>2031</v>
      </c>
      <c r="L292" s="64" t="s">
        <v>67</v>
      </c>
      <c r="M292" s="58" t="s">
        <v>3</v>
      </c>
      <c r="N292" s="58" t="s">
        <v>2</v>
      </c>
      <c r="O292" s="58">
        <v>153</v>
      </c>
      <c r="P292" s="58">
        <v>0</v>
      </c>
      <c r="Q292" s="58">
        <v>0</v>
      </c>
      <c r="R292" s="58">
        <v>0</v>
      </c>
      <c r="S292" s="58">
        <v>153</v>
      </c>
      <c r="T292" s="58">
        <v>0</v>
      </c>
      <c r="U292" s="58">
        <v>68</v>
      </c>
      <c r="V292" s="62"/>
      <c r="W292" s="62"/>
      <c r="X292" s="63">
        <f>IFERROR(1 -(Master[[#This Row],[Avg Garment Scans per Delivery]]/Master[[#This Row],[Garment Inventory]]), 0)</f>
        <v>0</v>
      </c>
      <c r="Y292" s="62"/>
      <c r="Z292" s="62"/>
      <c r="AA292" s="53">
        <v>47.051111111111112</v>
      </c>
      <c r="AB292" s="53">
        <v>81.145555555555546</v>
      </c>
      <c r="AC292" s="53">
        <v>27.171124567474067</v>
      </c>
      <c r="AD292" s="53">
        <v>326.6188754325259</v>
      </c>
      <c r="AE292" s="53" t="str">
        <f>_xlfn.XLOOKUP(Master[[#This Row],[cu_id]],'[1]Customer Revenue'!$Q:$Q,'[1]Customer Revenue'!$K:$K, "None")</f>
        <v>None</v>
      </c>
      <c r="AF292" s="53" t="str">
        <f>_xlfn.XLOOKUP(Master[[#This Row],[cu_id]],'[1]Customer Revenue'!$Q:$Q,'[1]Customer Revenue'!$L:$L, "None")</f>
        <v>None</v>
      </c>
      <c r="AG292" s="53">
        <v>33.648095238095259</v>
      </c>
      <c r="AH292" s="53">
        <v>150.01190476190473</v>
      </c>
      <c r="AI292" s="53">
        <v>64.098333333333329</v>
      </c>
      <c r="AJ292" s="53">
        <v>176.89499999999998</v>
      </c>
      <c r="AK292" s="53" t="str">
        <f>_xlfn.XLOOKUP(Master[[#This Row],[cu_id]],'[1]Customer Revenue'!$Q:$Q,'[1]Customer Revenue'!$I:$I, "None")</f>
        <v>None</v>
      </c>
      <c r="AL292" s="53">
        <v>91.83</v>
      </c>
      <c r="AM292" s="61">
        <v>0.45833333333333331</v>
      </c>
      <c r="AN292" s="60">
        <v>0.70833333333333337</v>
      </c>
      <c r="AO292" s="60" t="s">
        <v>36</v>
      </c>
      <c r="AP292" s="60" t="s">
        <v>36</v>
      </c>
      <c r="AQ292" s="58" t="s">
        <v>174</v>
      </c>
      <c r="AR292" s="58"/>
      <c r="AS292" s="58"/>
      <c r="AT292" s="52">
        <v>0</v>
      </c>
      <c r="AU292" s="52" t="e">
        <f>IF(Master[[#This Row],[RSP StopTime override]] &lt;&gt; "",Master[[#This Row],[RSP StopTime override]],IF(Master[[#This Row],[Avg stop time helper]] &lt;&gt; 0, Master[[#This Row],[Avg stop time helper]],Average_Stop_Time))</f>
        <v>#DIV/0!</v>
      </c>
      <c r="AV292" s="21"/>
      <c r="AW292" s="20">
        <f>Master[[#This Row],[RSP StopTime override]]-Master[[#This Row],[Avg stop time helper]]</f>
        <v>0</v>
      </c>
    </row>
    <row r="293" spans="1:49" x14ac:dyDescent="0.3">
      <c r="A293" s="66" t="s">
        <v>4396</v>
      </c>
      <c r="B293" s="58">
        <v>12</v>
      </c>
      <c r="C293" s="58" t="s">
        <v>43</v>
      </c>
      <c r="D293" s="65">
        <v>533429</v>
      </c>
      <c r="E293" s="65" t="s">
        <v>42</v>
      </c>
      <c r="F293" s="65" t="s">
        <v>2990</v>
      </c>
      <c r="G293" s="65" t="s">
        <v>2989</v>
      </c>
      <c r="H293" s="65" t="s">
        <v>7</v>
      </c>
      <c r="I293" s="65" t="s">
        <v>12</v>
      </c>
      <c r="J293" s="65" t="s">
        <v>5</v>
      </c>
      <c r="K293" s="65" t="s">
        <v>1972</v>
      </c>
      <c r="L293" s="64" t="s">
        <v>77</v>
      </c>
      <c r="M293" s="58" t="s">
        <v>29</v>
      </c>
      <c r="N293" s="58" t="s">
        <v>2</v>
      </c>
      <c r="O293" s="58">
        <v>170</v>
      </c>
      <c r="P293" s="58">
        <v>0</v>
      </c>
      <c r="Q293" s="58">
        <v>0</v>
      </c>
      <c r="R293" s="58">
        <v>0</v>
      </c>
      <c r="S293" s="58">
        <v>170</v>
      </c>
      <c r="T293" s="58">
        <v>0</v>
      </c>
      <c r="U293" s="58">
        <v>22</v>
      </c>
      <c r="V293" s="62"/>
      <c r="W293" s="62"/>
      <c r="X293" s="63">
        <f>IFERROR(1 -(Master[[#This Row],[Avg Garment Scans per Delivery]]/Master[[#This Row],[Garment Inventory]]), 0)</f>
        <v>0</v>
      </c>
      <c r="Y293" s="62"/>
      <c r="Z293" s="62"/>
      <c r="AA293" s="53">
        <v>44.50782407407408</v>
      </c>
      <c r="AB293" s="53">
        <v>128.59967592592594</v>
      </c>
      <c r="AC293" s="53">
        <v>107.52678571428572</v>
      </c>
      <c r="AD293" s="53">
        <v>167.7417857142857</v>
      </c>
      <c r="AE293" s="53" t="str">
        <f>_xlfn.XLOOKUP(Master[[#This Row],[cu_id]],'[1]Customer Revenue'!$Q:$Q,'[1]Customer Revenue'!$K:$K, "None")</f>
        <v>None</v>
      </c>
      <c r="AF293" s="53" t="str">
        <f>_xlfn.XLOOKUP(Master[[#This Row],[cu_id]],'[1]Customer Revenue'!$Q:$Q,'[1]Customer Revenue'!$L:$L, "None")</f>
        <v>None</v>
      </c>
      <c r="AG293" s="53">
        <v>53.258885416666665</v>
      </c>
      <c r="AH293" s="53">
        <v>104.37044791666668</v>
      </c>
      <c r="AI293" s="53">
        <v>86.553750000000008</v>
      </c>
      <c r="AJ293" s="53">
        <v>137.63428571428571</v>
      </c>
      <c r="AK293" s="53" t="str">
        <f>_xlfn.XLOOKUP(Master[[#This Row],[cu_id]],'[1]Customer Revenue'!$Q:$Q,'[1]Customer Revenue'!$I:$I, "None")</f>
        <v>None</v>
      </c>
      <c r="AL293" s="53">
        <v>78.814666666666668</v>
      </c>
      <c r="AM293" s="61">
        <v>0.41666666666666669</v>
      </c>
      <c r="AN293" s="60">
        <v>0.58333333333333337</v>
      </c>
      <c r="AO293" s="60" t="s">
        <v>36</v>
      </c>
      <c r="AP293" s="60" t="s">
        <v>36</v>
      </c>
      <c r="AQ293" s="58" t="s">
        <v>174</v>
      </c>
      <c r="AR293" s="58"/>
      <c r="AS293" s="58"/>
      <c r="AT293" s="52">
        <v>0</v>
      </c>
      <c r="AU293" s="52" t="e">
        <f>IF(Master[[#This Row],[RSP StopTime override]] &lt;&gt; "",Master[[#This Row],[RSP StopTime override]],IF(Master[[#This Row],[Avg stop time helper]] &lt;&gt; 0, Master[[#This Row],[Avg stop time helper]],Average_Stop_Time))</f>
        <v>#DIV/0!</v>
      </c>
      <c r="AV293" s="21"/>
      <c r="AW293" s="20">
        <f>Master[[#This Row],[RSP StopTime override]]-Master[[#This Row],[Avg stop time helper]]</f>
        <v>0</v>
      </c>
    </row>
    <row r="294" spans="1:49" x14ac:dyDescent="0.3">
      <c r="A294" s="66" t="s">
        <v>4397</v>
      </c>
      <c r="B294" s="58">
        <v>12</v>
      </c>
      <c r="C294" s="58" t="s">
        <v>15</v>
      </c>
      <c r="D294" s="65">
        <v>99033</v>
      </c>
      <c r="E294" s="65" t="s">
        <v>2988</v>
      </c>
      <c r="F294" s="65" t="s">
        <v>2987</v>
      </c>
      <c r="G294" s="65" t="s">
        <v>2986</v>
      </c>
      <c r="H294" s="65" t="s">
        <v>32</v>
      </c>
      <c r="I294" s="65" t="s">
        <v>12</v>
      </c>
      <c r="J294" s="65" t="s">
        <v>5</v>
      </c>
      <c r="K294" s="65" t="s">
        <v>2215</v>
      </c>
      <c r="L294" s="64" t="s">
        <v>67</v>
      </c>
      <c r="M294" s="58" t="s">
        <v>3</v>
      </c>
      <c r="N294" s="58" t="s">
        <v>2</v>
      </c>
      <c r="O294" s="58">
        <v>80</v>
      </c>
      <c r="P294" s="58">
        <v>0</v>
      </c>
      <c r="Q294" s="58">
        <v>0</v>
      </c>
      <c r="R294" s="58">
        <v>0</v>
      </c>
      <c r="S294" s="58">
        <v>0</v>
      </c>
      <c r="T294" s="58">
        <v>80</v>
      </c>
      <c r="U294" s="58">
        <v>26</v>
      </c>
      <c r="V294" s="62">
        <v>11</v>
      </c>
      <c r="W294" s="62"/>
      <c r="X294" s="63">
        <f>IFERROR(1 -(Master[[#This Row],[Avg Garment Scans per Delivery]]/Master[[#This Row],[Garment Inventory]]), 0)</f>
        <v>1</v>
      </c>
      <c r="Y294" s="62">
        <v>1</v>
      </c>
      <c r="Z294" s="62">
        <v>1</v>
      </c>
      <c r="AA294" s="53">
        <v>29.81666666666667</v>
      </c>
      <c r="AB294" s="53">
        <v>101.21666666666667</v>
      </c>
      <c r="AC294" s="53">
        <v>18.839128205128219</v>
      </c>
      <c r="AD294" s="53">
        <v>117.09779487179486</v>
      </c>
      <c r="AE294" s="53" t="str">
        <f>_xlfn.XLOOKUP(Master[[#This Row],[cu_id]],'[1]Customer Revenue'!$Q:$Q,'[1]Customer Revenue'!$K:$K, "None")</f>
        <v>None</v>
      </c>
      <c r="AF294" s="53" t="str">
        <f>_xlfn.XLOOKUP(Master[[#This Row],[cu_id]],'[1]Customer Revenue'!$Q:$Q,'[1]Customer Revenue'!$L:$L, "None")</f>
        <v>None</v>
      </c>
      <c r="AG294" s="53">
        <v>18.622338686954073</v>
      </c>
      <c r="AH294" s="53">
        <v>130.40813750352208</v>
      </c>
      <c r="AI294" s="53">
        <v>65.516666666666666</v>
      </c>
      <c r="AJ294" s="53">
        <v>67.96846153846154</v>
      </c>
      <c r="AK294" s="53" t="str">
        <f>_xlfn.XLOOKUP(Master[[#This Row],[cu_id]],'[1]Customer Revenue'!$Q:$Q,'[1]Customer Revenue'!$I:$I, "None")</f>
        <v>None</v>
      </c>
      <c r="AL294" s="53">
        <v>74.515238095238075</v>
      </c>
      <c r="AM294" s="61">
        <v>0.29166666666666669</v>
      </c>
      <c r="AN294" s="60">
        <v>0.54166666666666663</v>
      </c>
      <c r="AO294" s="60" t="s">
        <v>36</v>
      </c>
      <c r="AP294" s="60" t="s">
        <v>36</v>
      </c>
      <c r="AQ294" s="58" t="s">
        <v>0</v>
      </c>
      <c r="AR294" s="58"/>
      <c r="AS294" s="58"/>
      <c r="AT294" s="52">
        <v>0</v>
      </c>
      <c r="AU294" s="52" t="e">
        <f>IF(Master[[#This Row],[RSP StopTime override]] &lt;&gt; "",Master[[#This Row],[RSP StopTime override]],IF(Master[[#This Row],[Avg stop time helper]] &lt;&gt; 0, Master[[#This Row],[Avg stop time helper]],Average_Stop_Time))</f>
        <v>#DIV/0!</v>
      </c>
      <c r="AV294" s="21"/>
      <c r="AW294" s="20">
        <f>Master[[#This Row],[RSP StopTime override]]-Master[[#This Row],[Avg stop time helper]]</f>
        <v>0</v>
      </c>
    </row>
    <row r="295" spans="1:49" x14ac:dyDescent="0.3">
      <c r="A295" s="73" t="s">
        <v>4398</v>
      </c>
      <c r="B295" s="64">
        <v>12</v>
      </c>
      <c r="C295" s="64" t="s">
        <v>15</v>
      </c>
      <c r="D295" s="65">
        <v>99033</v>
      </c>
      <c r="E295" s="65" t="s">
        <v>2985</v>
      </c>
      <c r="F295" s="65" t="s">
        <v>2984</v>
      </c>
      <c r="G295" s="65" t="s">
        <v>2983</v>
      </c>
      <c r="H295" s="65" t="s">
        <v>32</v>
      </c>
      <c r="I295" s="65" t="s">
        <v>2401</v>
      </c>
      <c r="J295" s="65" t="s">
        <v>5</v>
      </c>
      <c r="K295" s="65" t="s">
        <v>2215</v>
      </c>
      <c r="L295" s="64" t="s">
        <v>91</v>
      </c>
      <c r="M295" s="65" t="s">
        <v>90</v>
      </c>
      <c r="N295" s="65" t="s">
        <v>2</v>
      </c>
      <c r="O295" s="65">
        <v>60</v>
      </c>
      <c r="P295" s="65">
        <v>0</v>
      </c>
      <c r="Q295" s="65">
        <v>0</v>
      </c>
      <c r="R295" s="65">
        <v>0</v>
      </c>
      <c r="S295" s="65">
        <v>0</v>
      </c>
      <c r="T295" s="65">
        <v>60</v>
      </c>
      <c r="U295" s="65">
        <v>2</v>
      </c>
      <c r="V295" s="65">
        <v>8</v>
      </c>
      <c r="W295" s="65"/>
      <c r="X295" s="72">
        <f>IFERROR(1 -(Master[[#This Row],[Avg Garment Scans per Delivery]]/Master[[#This Row],[Garment Inventory]]), 0)</f>
        <v>1</v>
      </c>
      <c r="Y295" s="65"/>
      <c r="Z295" s="65"/>
      <c r="AA295" s="53"/>
      <c r="AB295" s="53"/>
      <c r="AC295" s="53">
        <v>9.7100000000000009</v>
      </c>
      <c r="AD295" s="53">
        <v>29.130000000000003</v>
      </c>
      <c r="AE295" s="53" t="str">
        <f>_xlfn.XLOOKUP(Master[[#This Row],[cu_id]],'[1]Customer Revenue'!$Q:$Q,'[1]Customer Revenue'!$K:$K, "None")</f>
        <v>None</v>
      </c>
      <c r="AF295" s="53" t="str">
        <f>_xlfn.XLOOKUP(Master[[#This Row],[cu_id]],'[1]Customer Revenue'!$Q:$Q,'[1]Customer Revenue'!$L:$L, "None")</f>
        <v>None</v>
      </c>
      <c r="AG295" s="53"/>
      <c r="AH295" s="53"/>
      <c r="AI295" s="53"/>
      <c r="AJ295" s="53">
        <v>19.420000000000002</v>
      </c>
      <c r="AK295" s="53" t="str">
        <f>_xlfn.XLOOKUP(Master[[#This Row],[cu_id]],'[1]Customer Revenue'!$Q:$Q,'[1]Customer Revenue'!$I:$I, "None")</f>
        <v>None</v>
      </c>
      <c r="AL295" s="53"/>
      <c r="AM295" s="71" t="s">
        <v>1</v>
      </c>
      <c r="AN295" s="71" t="s">
        <v>1</v>
      </c>
      <c r="AO295" s="71" t="s">
        <v>36</v>
      </c>
      <c r="AP295" s="71" t="s">
        <v>36</v>
      </c>
      <c r="AQ295" s="64" t="s">
        <v>0</v>
      </c>
      <c r="AR295" s="64"/>
      <c r="AS295" s="65"/>
      <c r="AT295" s="52">
        <v>0</v>
      </c>
      <c r="AU295" s="52" t="e">
        <f>IF(Master[[#This Row],[RSP StopTime override]] &lt;&gt; "",Master[[#This Row],[RSP StopTime override]],IF(Master[[#This Row],[Avg stop time helper]] &lt;&gt; 0, Master[[#This Row],[Avg stop time helper]],Average_Stop_Time))</f>
        <v>#DIV/0!</v>
      </c>
      <c r="AV295" s="21"/>
      <c r="AW295" s="20">
        <f>Master[[#This Row],[RSP StopTime override]]-Master[[#This Row],[Avg stop time helper]]</f>
        <v>0</v>
      </c>
    </row>
    <row r="296" spans="1:49" x14ac:dyDescent="0.3">
      <c r="A296" s="66" t="s">
        <v>4399</v>
      </c>
      <c r="B296" s="58">
        <v>52</v>
      </c>
      <c r="C296" s="58" t="s">
        <v>24</v>
      </c>
      <c r="D296" s="65">
        <v>99035</v>
      </c>
      <c r="E296" s="65" t="s">
        <v>1836</v>
      </c>
      <c r="F296" s="103" t="s">
        <v>3559</v>
      </c>
      <c r="G296" s="65" t="s">
        <v>1835</v>
      </c>
      <c r="H296" s="65" t="s">
        <v>536</v>
      </c>
      <c r="I296" s="65" t="s">
        <v>12</v>
      </c>
      <c r="J296" s="65" t="s">
        <v>5</v>
      </c>
      <c r="K296" s="65" t="s">
        <v>11</v>
      </c>
      <c r="L296" s="64">
        <v>7</v>
      </c>
      <c r="M296" s="58" t="s">
        <v>205</v>
      </c>
      <c r="N296" s="58" t="s">
        <v>2</v>
      </c>
      <c r="O296" s="58">
        <v>45</v>
      </c>
      <c r="P296" s="58">
        <v>45</v>
      </c>
      <c r="Q296" s="58">
        <v>0</v>
      </c>
      <c r="R296" s="58">
        <v>0</v>
      </c>
      <c r="S296" s="58">
        <v>0</v>
      </c>
      <c r="T296" s="58">
        <v>0</v>
      </c>
      <c r="U296" s="58">
        <v>29</v>
      </c>
      <c r="V296" s="62"/>
      <c r="W296" s="62"/>
      <c r="X296" s="63">
        <f>IFERROR(1 -(Master[[#This Row],[Avg Garment Scans per Delivery]]/Master[[#This Row],[Garment Inventory]]), 0)</f>
        <v>0</v>
      </c>
      <c r="Y296" s="62"/>
      <c r="Z296" s="62"/>
      <c r="AA296" s="53">
        <v>53.600414201183433</v>
      </c>
      <c r="AB296" s="53">
        <v>55.198047337278119</v>
      </c>
      <c r="AC296" s="53">
        <v>44.854799999999997</v>
      </c>
      <c r="AD296" s="53">
        <v>80.517199999999988</v>
      </c>
      <c r="AE296" s="53" t="str">
        <f>_xlfn.XLOOKUP(Master[[#This Row],[cu_id]],'[1]Customer Revenue'!$Q:$Q,'[1]Customer Revenue'!$K:$K, "None")</f>
        <v>None</v>
      </c>
      <c r="AF296" s="53" t="str">
        <f>_xlfn.XLOOKUP(Master[[#This Row],[cu_id]],'[1]Customer Revenue'!$Q:$Q,'[1]Customer Revenue'!$L:$L, "None")</f>
        <v>None</v>
      </c>
      <c r="AG296" s="53">
        <v>53.663081285444242</v>
      </c>
      <c r="AH296" s="53">
        <v>54.683875236294931</v>
      </c>
      <c r="AI296" s="53">
        <v>54.399230769230776</v>
      </c>
      <c r="AJ296" s="53">
        <v>62.685999999999993</v>
      </c>
      <c r="AK296" s="53" t="str">
        <f>_xlfn.XLOOKUP(Master[[#This Row],[cu_id]],'[1]Customer Revenue'!$Q:$Q,'[1]Customer Revenue'!$I:$I, "None")</f>
        <v>None</v>
      </c>
      <c r="AL296" s="53">
        <v>54.173478260869587</v>
      </c>
      <c r="AM296" s="61">
        <v>0.375</v>
      </c>
      <c r="AN296" s="60">
        <v>0.70833333333333337</v>
      </c>
      <c r="AO296" s="60" t="s">
        <v>36</v>
      </c>
      <c r="AP296" s="60" t="s">
        <v>36</v>
      </c>
      <c r="AQ296" s="58" t="s">
        <v>0</v>
      </c>
      <c r="AR296" s="58"/>
      <c r="AS296" s="58"/>
      <c r="AT296" s="52">
        <v>0</v>
      </c>
      <c r="AU296" s="52" t="e">
        <f>IF(Master[[#This Row],[RSP StopTime override]] &lt;&gt; "",Master[[#This Row],[RSP StopTime override]],IF(Master[[#This Row],[Avg stop time helper]] &lt;&gt; 0, Master[[#This Row],[Avg stop time helper]],Average_Stop_Time))</f>
        <v>#DIV/0!</v>
      </c>
      <c r="AV296" s="21"/>
      <c r="AW296" s="20">
        <f>Master[[#This Row],[RSP StopTime override]]-Master[[#This Row],[Avg stop time helper]]</f>
        <v>0</v>
      </c>
    </row>
    <row r="297" spans="1:49" x14ac:dyDescent="0.3">
      <c r="A297" s="66" t="s">
        <v>4400</v>
      </c>
      <c r="B297" s="58">
        <v>12</v>
      </c>
      <c r="C297" s="58" t="s">
        <v>15</v>
      </c>
      <c r="D297" s="65">
        <v>99045</v>
      </c>
      <c r="E297" s="65" t="s">
        <v>1167</v>
      </c>
      <c r="F297" s="65" t="s">
        <v>1464</v>
      </c>
      <c r="G297" s="65" t="s">
        <v>2980</v>
      </c>
      <c r="H297" s="65" t="s">
        <v>7</v>
      </c>
      <c r="I297" s="65" t="s">
        <v>12</v>
      </c>
      <c r="J297" s="65" t="s">
        <v>5</v>
      </c>
      <c r="K297" s="65" t="s">
        <v>2979</v>
      </c>
      <c r="L297" s="64" t="s">
        <v>77</v>
      </c>
      <c r="M297" s="58" t="s">
        <v>29</v>
      </c>
      <c r="N297" s="58" t="s">
        <v>2</v>
      </c>
      <c r="O297" s="58">
        <v>1</v>
      </c>
      <c r="P297" s="58">
        <v>0</v>
      </c>
      <c r="Q297" s="58">
        <v>0</v>
      </c>
      <c r="R297" s="58">
        <v>0</v>
      </c>
      <c r="S297" s="58">
        <v>0</v>
      </c>
      <c r="T297" s="58">
        <v>1</v>
      </c>
      <c r="U297" s="58">
        <v>26</v>
      </c>
      <c r="V297" s="62"/>
      <c r="W297" s="62"/>
      <c r="X297" s="63">
        <f>IFERROR(1 -(Master[[#This Row],[Avg Garment Scans per Delivery]]/Master[[#This Row],[Garment Inventory]]), 0)</f>
        <v>0</v>
      </c>
      <c r="Y297" s="62"/>
      <c r="Z297" s="62"/>
      <c r="AA297" s="53">
        <v>37.369999999999997</v>
      </c>
      <c r="AB297" s="53">
        <v>38.619999999999997</v>
      </c>
      <c r="AC297" s="53">
        <v>20.648888888888891</v>
      </c>
      <c r="AD297" s="53">
        <v>42.604444444444439</v>
      </c>
      <c r="AE297" s="53" t="str">
        <f>_xlfn.XLOOKUP(Master[[#This Row],[cu_id]],'[1]Customer Revenue'!$Q:$Q,'[1]Customer Revenue'!$K:$K, "None")</f>
        <v>None</v>
      </c>
      <c r="AF297" s="53" t="str">
        <f>_xlfn.XLOOKUP(Master[[#This Row],[cu_id]],'[1]Customer Revenue'!$Q:$Q,'[1]Customer Revenue'!$L:$L, "None")</f>
        <v>None</v>
      </c>
      <c r="AG297" s="53">
        <v>37.473550295857983</v>
      </c>
      <c r="AH297" s="53">
        <v>38.112603550295866</v>
      </c>
      <c r="AI297" s="53">
        <v>37.994999999999997</v>
      </c>
      <c r="AJ297" s="53">
        <v>31.626666666666665</v>
      </c>
      <c r="AK297" s="53" t="str">
        <f>_xlfn.XLOOKUP(Master[[#This Row],[cu_id]],'[1]Customer Revenue'!$Q:$Q,'[1]Customer Revenue'!$I:$I, "None")</f>
        <v>None</v>
      </c>
      <c r="AL297" s="53">
        <v>37.793076923076924</v>
      </c>
      <c r="AM297" s="61">
        <v>0.375</v>
      </c>
      <c r="AN297" s="60">
        <v>0.70833333333333337</v>
      </c>
      <c r="AO297" s="60" t="s">
        <v>36</v>
      </c>
      <c r="AP297" s="60" t="s">
        <v>36</v>
      </c>
      <c r="AQ297" s="58" t="s">
        <v>0</v>
      </c>
      <c r="AR297" s="58"/>
      <c r="AS297" s="58"/>
      <c r="AT297" s="52">
        <v>0</v>
      </c>
      <c r="AU297" s="52" t="e">
        <f>IF(Master[[#This Row],[RSP StopTime override]] &lt;&gt; "",Master[[#This Row],[RSP StopTime override]],IF(Master[[#This Row],[Avg stop time helper]] &lt;&gt; 0, Master[[#This Row],[Avg stop time helper]],Average_Stop_Time))</f>
        <v>#DIV/0!</v>
      </c>
      <c r="AV297" s="21"/>
      <c r="AW297" s="20">
        <f>Master[[#This Row],[RSP StopTime override]]-Master[[#This Row],[Avg stop time helper]]</f>
        <v>0</v>
      </c>
    </row>
    <row r="298" spans="1:49" x14ac:dyDescent="0.3">
      <c r="A298" s="66" t="s">
        <v>4401</v>
      </c>
      <c r="B298" s="58">
        <v>12</v>
      </c>
      <c r="C298" s="58" t="s">
        <v>15</v>
      </c>
      <c r="D298" s="65">
        <v>99061</v>
      </c>
      <c r="E298" s="65" t="s">
        <v>805</v>
      </c>
      <c r="F298" s="65" t="s">
        <v>2978</v>
      </c>
      <c r="G298" s="65" t="s">
        <v>2961</v>
      </c>
      <c r="H298" s="65" t="s">
        <v>32</v>
      </c>
      <c r="I298" s="65" t="s">
        <v>1824</v>
      </c>
      <c r="J298" s="65" t="s">
        <v>5</v>
      </c>
      <c r="K298" s="65" t="s">
        <v>197</v>
      </c>
      <c r="L298" s="64" t="s">
        <v>67</v>
      </c>
      <c r="M298" s="58" t="s">
        <v>3</v>
      </c>
      <c r="N298" s="58" t="s">
        <v>2</v>
      </c>
      <c r="O298" s="58">
        <v>200</v>
      </c>
      <c r="P298" s="58">
        <v>0</v>
      </c>
      <c r="Q298" s="58">
        <v>0</v>
      </c>
      <c r="R298" s="58">
        <v>0</v>
      </c>
      <c r="S298" s="58">
        <v>0</v>
      </c>
      <c r="T298" s="58">
        <v>200</v>
      </c>
      <c r="U298" s="58">
        <v>52</v>
      </c>
      <c r="V298" s="62">
        <v>44</v>
      </c>
      <c r="W298" s="62">
        <v>9</v>
      </c>
      <c r="X298" s="63">
        <f>IFERROR(1 -(Master[[#This Row],[Avg Garment Scans per Delivery]]/Master[[#This Row],[Garment Inventory]]), 0)</f>
        <v>0.79545454545454541</v>
      </c>
      <c r="Y298" s="62">
        <v>2</v>
      </c>
      <c r="Z298" s="62">
        <v>45</v>
      </c>
      <c r="AA298" s="53">
        <v>64.496111111111105</v>
      </c>
      <c r="AB298" s="53">
        <v>64.777222222222207</v>
      </c>
      <c r="AC298" s="53">
        <v>59.76390532544378</v>
      </c>
      <c r="AD298" s="53">
        <v>68.940710059171593</v>
      </c>
      <c r="AE298" s="53" t="str">
        <f>_xlfn.XLOOKUP(Master[[#This Row],[cu_id]],'[1]Customer Revenue'!$Q:$Q,'[1]Customer Revenue'!$K:$K, "None")</f>
        <v>None</v>
      </c>
      <c r="AF298" s="53" t="str">
        <f>_xlfn.XLOOKUP(Master[[#This Row],[cu_id]],'[1]Customer Revenue'!$Q:$Q,'[1]Customer Revenue'!$L:$L, "None")</f>
        <v>None</v>
      </c>
      <c r="AG298" s="53">
        <v>63.042899408283986</v>
      </c>
      <c r="AH298" s="53">
        <v>64.990946745562113</v>
      </c>
      <c r="AI298" s="53">
        <v>64.636666666666656</v>
      </c>
      <c r="AJ298" s="53">
        <v>64.35230769230769</v>
      </c>
      <c r="AK298" s="53" t="str">
        <f>_xlfn.XLOOKUP(Master[[#This Row],[cu_id]],'[1]Customer Revenue'!$Q:$Q,'[1]Customer Revenue'!$I:$I, "None")</f>
        <v>None</v>
      </c>
      <c r="AL298" s="53">
        <v>64.01692307692305</v>
      </c>
      <c r="AM298" s="61">
        <v>0.25</v>
      </c>
      <c r="AN298" s="60">
        <v>0</v>
      </c>
      <c r="AO298" s="60" t="s">
        <v>36</v>
      </c>
      <c r="AP298" s="60" t="s">
        <v>36</v>
      </c>
      <c r="AQ298" s="58" t="s">
        <v>305</v>
      </c>
      <c r="AR298" s="58"/>
      <c r="AS298" s="58"/>
      <c r="AT298" s="52">
        <v>0</v>
      </c>
      <c r="AU298" s="52" t="e">
        <f>IF(Master[[#This Row],[RSP StopTime override]] &lt;&gt; "",Master[[#This Row],[RSP StopTime override]],IF(Master[[#This Row],[Avg stop time helper]] &lt;&gt; 0, Master[[#This Row],[Avg stop time helper]],Average_Stop_Time))</f>
        <v>#DIV/0!</v>
      </c>
      <c r="AV298" s="21"/>
      <c r="AW298" s="20">
        <f>Master[[#This Row],[RSP StopTime override]]-Master[[#This Row],[Avg stop time helper]]</f>
        <v>0</v>
      </c>
    </row>
    <row r="299" spans="1:49" x14ac:dyDescent="0.3">
      <c r="A299" s="66" t="s">
        <v>4402</v>
      </c>
      <c r="B299" s="58">
        <v>12</v>
      </c>
      <c r="C299" s="58" t="s">
        <v>15</v>
      </c>
      <c r="D299" s="65">
        <v>99061</v>
      </c>
      <c r="E299" s="65" t="s">
        <v>1338</v>
      </c>
      <c r="F299" s="65" t="s">
        <v>2977</v>
      </c>
      <c r="G299" s="65" t="s">
        <v>2961</v>
      </c>
      <c r="H299" s="65" t="s">
        <v>32</v>
      </c>
      <c r="I299" s="65" t="s">
        <v>1824</v>
      </c>
      <c r="J299" s="65" t="s">
        <v>5</v>
      </c>
      <c r="K299" s="65" t="s">
        <v>197</v>
      </c>
      <c r="L299" s="64" t="s">
        <v>67</v>
      </c>
      <c r="M299" s="58" t="s">
        <v>3</v>
      </c>
      <c r="N299" s="58" t="s">
        <v>2</v>
      </c>
      <c r="O299" s="58">
        <v>200</v>
      </c>
      <c r="P299" s="58">
        <v>0</v>
      </c>
      <c r="Q299" s="58">
        <v>0</v>
      </c>
      <c r="R299" s="58">
        <v>0</v>
      </c>
      <c r="S299" s="58">
        <v>0</v>
      </c>
      <c r="T299" s="58">
        <v>200</v>
      </c>
      <c r="U299" s="58">
        <v>55</v>
      </c>
      <c r="V299" s="62"/>
      <c r="W299" s="62"/>
      <c r="X299" s="63">
        <f>IFERROR(1 -(Master[[#This Row],[Avg Garment Scans per Delivery]]/Master[[#This Row],[Garment Inventory]]), 0)</f>
        <v>0</v>
      </c>
      <c r="Y299" s="62"/>
      <c r="Z299" s="62"/>
      <c r="AA299" s="53">
        <v>154.02555555555554</v>
      </c>
      <c r="AB299" s="53">
        <v>155.98111111111112</v>
      </c>
      <c r="AC299" s="53">
        <v>111.14602040816325</v>
      </c>
      <c r="AD299" s="53">
        <v>179.64969387755102</v>
      </c>
      <c r="AE299" s="53" t="str">
        <f>_xlfn.XLOOKUP(Master[[#This Row],[cu_id]],'[1]Customer Revenue'!$Q:$Q,'[1]Customer Revenue'!$K:$K, "None")</f>
        <v>None</v>
      </c>
      <c r="AF299" s="53" t="str">
        <f>_xlfn.XLOOKUP(Master[[#This Row],[cu_id]],'[1]Customer Revenue'!$Q:$Q,'[1]Customer Revenue'!$L:$L, "None")</f>
        <v>None</v>
      </c>
      <c r="AG299" s="53">
        <v>143.50928994082827</v>
      </c>
      <c r="AH299" s="53">
        <v>163.26301775147923</v>
      </c>
      <c r="AI299" s="53">
        <v>155.00333333333333</v>
      </c>
      <c r="AJ299" s="53">
        <v>145.39785714285713</v>
      </c>
      <c r="AK299" s="53" t="str">
        <f>_xlfn.XLOOKUP(Master[[#This Row],[cu_id]],'[1]Customer Revenue'!$Q:$Q,'[1]Customer Revenue'!$I:$I, "None")</f>
        <v>None</v>
      </c>
      <c r="AL299" s="53">
        <v>153.38615384615375</v>
      </c>
      <c r="AM299" s="61">
        <v>0.25</v>
      </c>
      <c r="AN299" s="60">
        <v>0</v>
      </c>
      <c r="AO299" s="60" t="s">
        <v>36</v>
      </c>
      <c r="AP299" s="60" t="s">
        <v>36</v>
      </c>
      <c r="AQ299" s="58" t="s">
        <v>305</v>
      </c>
      <c r="AR299" s="58"/>
      <c r="AS299" s="58"/>
      <c r="AT299" s="52">
        <v>0</v>
      </c>
      <c r="AU299" s="52" t="e">
        <f>IF(Master[[#This Row],[RSP StopTime override]] &lt;&gt; "",Master[[#This Row],[RSP StopTime override]],IF(Master[[#This Row],[Avg stop time helper]] &lt;&gt; 0, Master[[#This Row],[Avg stop time helper]],Average_Stop_Time))</f>
        <v>#DIV/0!</v>
      </c>
      <c r="AV299" s="21"/>
      <c r="AW299" s="20">
        <f>Master[[#This Row],[RSP StopTime override]]-Master[[#This Row],[Avg stop time helper]]</f>
        <v>0</v>
      </c>
    </row>
    <row r="300" spans="1:49" x14ac:dyDescent="0.3">
      <c r="A300" s="66" t="s">
        <v>3910</v>
      </c>
      <c r="B300" s="58">
        <v>12</v>
      </c>
      <c r="C300" s="58" t="s">
        <v>15</v>
      </c>
      <c r="D300" s="65">
        <v>99061</v>
      </c>
      <c r="E300" s="65" t="s">
        <v>2965</v>
      </c>
      <c r="F300" s="65" t="s">
        <v>3612</v>
      </c>
      <c r="G300" s="65" t="s">
        <v>2964</v>
      </c>
      <c r="H300" s="65" t="s">
        <v>32</v>
      </c>
      <c r="I300" s="65" t="s">
        <v>2963</v>
      </c>
      <c r="J300" s="65" t="s">
        <v>5</v>
      </c>
      <c r="K300" s="65" t="s">
        <v>197</v>
      </c>
      <c r="L300" s="64" t="s">
        <v>67</v>
      </c>
      <c r="M300" s="58" t="s">
        <v>3</v>
      </c>
      <c r="N300" s="58" t="s">
        <v>2</v>
      </c>
      <c r="O300" s="58">
        <v>170</v>
      </c>
      <c r="P300" s="58">
        <v>0</v>
      </c>
      <c r="Q300" s="58">
        <v>0</v>
      </c>
      <c r="R300" s="58">
        <v>0</v>
      </c>
      <c r="S300" s="58">
        <v>0</v>
      </c>
      <c r="T300" s="58">
        <v>170</v>
      </c>
      <c r="U300" s="58">
        <v>52</v>
      </c>
      <c r="V300" s="62"/>
      <c r="W300" s="62"/>
      <c r="X300" s="63">
        <f>IFERROR(1 -(Master[[#This Row],[Avg Garment Scans per Delivery]]/Master[[#This Row],[Garment Inventory]]), 0)</f>
        <v>0</v>
      </c>
      <c r="Y300" s="62"/>
      <c r="Z300" s="62"/>
      <c r="AA300" s="53">
        <v>32.700000000000003</v>
      </c>
      <c r="AB300" s="53">
        <v>34.804999999999993</v>
      </c>
      <c r="AC300" s="53">
        <v>35.93</v>
      </c>
      <c r="AD300" s="53">
        <v>35.93</v>
      </c>
      <c r="AE300" s="53" t="str">
        <f>_xlfn.XLOOKUP(Master[[#This Row],[cu_id]],'[1]Customer Revenue'!$Q:$Q,'[1]Customer Revenue'!$K:$K, "None")</f>
        <v>None</v>
      </c>
      <c r="AF300" s="53" t="str">
        <f>_xlfn.XLOOKUP(Master[[#This Row],[cu_id]],'[1]Customer Revenue'!$Q:$Q,'[1]Customer Revenue'!$L:$L, "None")</f>
        <v>None</v>
      </c>
      <c r="AG300" s="53">
        <v>27.580177514792908</v>
      </c>
      <c r="AH300" s="53">
        <v>35.128284023668641</v>
      </c>
      <c r="AI300" s="53">
        <v>33.752499999999998</v>
      </c>
      <c r="AJ300" s="53">
        <v>35.93</v>
      </c>
      <c r="AK300" s="53" t="str">
        <f>_xlfn.XLOOKUP(Master[[#This Row],[cu_id]],'[1]Customer Revenue'!$Q:$Q,'[1]Customer Revenue'!$I:$I, "None")</f>
        <v>None</v>
      </c>
      <c r="AL300" s="53">
        <v>31.354230769230774</v>
      </c>
      <c r="AM300" s="61">
        <v>0.25</v>
      </c>
      <c r="AN300" s="60">
        <v>0.70833333333333337</v>
      </c>
      <c r="AO300" s="60" t="s">
        <v>36</v>
      </c>
      <c r="AP300" s="60" t="s">
        <v>36</v>
      </c>
      <c r="AQ300" s="58" t="s">
        <v>0</v>
      </c>
      <c r="AR300" s="58"/>
      <c r="AS300" s="58"/>
      <c r="AT300" s="52">
        <v>0</v>
      </c>
      <c r="AU300" s="52" t="e">
        <f>IF(Master[[#This Row],[RSP StopTime override]] &lt;&gt; "",Master[[#This Row],[RSP StopTime override]],IF(Master[[#This Row],[Avg stop time helper]] &lt;&gt; 0, Master[[#This Row],[Avg stop time helper]],Average_Stop_Time))</f>
        <v>#DIV/0!</v>
      </c>
      <c r="AV300" s="21"/>
      <c r="AW300" s="20">
        <f>Master[[#This Row],[RSP StopTime override]]-Master[[#This Row],[Avg stop time helper]]</f>
        <v>0</v>
      </c>
    </row>
    <row r="301" spans="1:49" x14ac:dyDescent="0.3">
      <c r="A301" s="66" t="s">
        <v>4403</v>
      </c>
      <c r="B301" s="58">
        <v>12</v>
      </c>
      <c r="C301" s="58" t="s">
        <v>15</v>
      </c>
      <c r="D301" s="65">
        <v>99094</v>
      </c>
      <c r="E301" s="65" t="s">
        <v>1156</v>
      </c>
      <c r="F301" s="65" t="s">
        <v>2976</v>
      </c>
      <c r="G301" s="65" t="s">
        <v>2975</v>
      </c>
      <c r="H301" s="65" t="s">
        <v>7</v>
      </c>
      <c r="I301" s="65" t="s">
        <v>12</v>
      </c>
      <c r="J301" s="65" t="s">
        <v>5</v>
      </c>
      <c r="K301" s="65" t="s">
        <v>197</v>
      </c>
      <c r="L301" s="64" t="s">
        <v>77</v>
      </c>
      <c r="M301" s="58" t="s">
        <v>29</v>
      </c>
      <c r="N301" s="58" t="s">
        <v>2</v>
      </c>
      <c r="O301" s="58">
        <v>130</v>
      </c>
      <c r="P301" s="58">
        <v>0</v>
      </c>
      <c r="Q301" s="58">
        <v>0</v>
      </c>
      <c r="R301" s="58">
        <v>0</v>
      </c>
      <c r="S301" s="58">
        <v>0</v>
      </c>
      <c r="T301" s="58">
        <v>130</v>
      </c>
      <c r="U301" s="58">
        <v>37</v>
      </c>
      <c r="V301" s="62"/>
      <c r="W301" s="62"/>
      <c r="X301" s="63">
        <f>IFERROR(1 -(Master[[#This Row],[Avg Garment Scans per Delivery]]/Master[[#This Row],[Garment Inventory]]), 0)</f>
        <v>0</v>
      </c>
      <c r="Y301" s="62"/>
      <c r="Z301" s="62"/>
      <c r="AA301" s="53">
        <v>30.759999999999998</v>
      </c>
      <c r="AB301" s="53">
        <v>32.009999999999991</v>
      </c>
      <c r="AC301" s="53">
        <v>18.477777777777774</v>
      </c>
      <c r="AD301" s="53">
        <v>48.042222222222222</v>
      </c>
      <c r="AE301" s="53" t="str">
        <f>_xlfn.XLOOKUP(Master[[#This Row],[cu_id]],'[1]Customer Revenue'!$Q:$Q,'[1]Customer Revenue'!$K:$K, "None")</f>
        <v>None</v>
      </c>
      <c r="AF301" s="53" t="str">
        <f>_xlfn.XLOOKUP(Master[[#This Row],[cu_id]],'[1]Customer Revenue'!$Q:$Q,'[1]Customer Revenue'!$L:$L, "None")</f>
        <v>None</v>
      </c>
      <c r="AG301" s="53">
        <v>20.512604166666655</v>
      </c>
      <c r="AH301" s="53">
        <v>31.789895833333333</v>
      </c>
      <c r="AI301" s="53">
        <v>31.384999999999994</v>
      </c>
      <c r="AJ301" s="53">
        <v>33.26</v>
      </c>
      <c r="AK301" s="53" t="str">
        <f>_xlfn.XLOOKUP(Master[[#This Row],[cu_id]],'[1]Customer Revenue'!$Q:$Q,'[1]Customer Revenue'!$I:$I, "None")</f>
        <v>None</v>
      </c>
      <c r="AL301" s="53">
        <v>26.151249999999994</v>
      </c>
      <c r="AM301" s="61">
        <v>0.375</v>
      </c>
      <c r="AN301" s="60">
        <v>0.70833333333333337</v>
      </c>
      <c r="AO301" s="60" t="s">
        <v>36</v>
      </c>
      <c r="AP301" s="60" t="s">
        <v>36</v>
      </c>
      <c r="AQ301" s="58" t="s">
        <v>0</v>
      </c>
      <c r="AR301" s="58"/>
      <c r="AS301" s="58"/>
      <c r="AT301" s="52">
        <v>0</v>
      </c>
      <c r="AU301" s="52" t="e">
        <f>IF(Master[[#This Row],[RSP StopTime override]] &lt;&gt; "",Master[[#This Row],[RSP StopTime override]],IF(Master[[#This Row],[Avg stop time helper]] &lt;&gt; 0, Master[[#This Row],[Avg stop time helper]],Average_Stop_Time))</f>
        <v>#DIV/0!</v>
      </c>
      <c r="AV301" s="21"/>
      <c r="AW301" s="20">
        <f>Master[[#This Row],[RSP StopTime override]]-Master[[#This Row],[Avg stop time helper]]</f>
        <v>0</v>
      </c>
    </row>
    <row r="302" spans="1:49" x14ac:dyDescent="0.3">
      <c r="A302" s="66" t="s">
        <v>4404</v>
      </c>
      <c r="B302" s="58">
        <v>12</v>
      </c>
      <c r="C302" s="58" t="s">
        <v>15</v>
      </c>
      <c r="D302" s="65">
        <v>99094</v>
      </c>
      <c r="E302" s="65" t="s">
        <v>1169</v>
      </c>
      <c r="F302" s="65" t="s">
        <v>2974</v>
      </c>
      <c r="G302" s="65" t="s">
        <v>2973</v>
      </c>
      <c r="H302" s="65" t="s">
        <v>7</v>
      </c>
      <c r="I302" s="65" t="s">
        <v>12</v>
      </c>
      <c r="J302" s="65" t="s">
        <v>5</v>
      </c>
      <c r="K302" s="65" t="s">
        <v>2215</v>
      </c>
      <c r="L302" s="64" t="s">
        <v>67</v>
      </c>
      <c r="M302" s="58" t="s">
        <v>3</v>
      </c>
      <c r="N302" s="58" t="s">
        <v>2</v>
      </c>
      <c r="O302" s="58">
        <v>111</v>
      </c>
      <c r="P302" s="58">
        <v>0</v>
      </c>
      <c r="Q302" s="58">
        <v>0</v>
      </c>
      <c r="R302" s="58">
        <v>0</v>
      </c>
      <c r="S302" s="58">
        <v>0</v>
      </c>
      <c r="T302" s="58">
        <v>111</v>
      </c>
      <c r="U302" s="58">
        <v>37</v>
      </c>
      <c r="V302" s="62"/>
      <c r="W302" s="62"/>
      <c r="X302" s="63">
        <f>IFERROR(1 -(Master[[#This Row],[Avg Garment Scans per Delivery]]/Master[[#This Row],[Garment Inventory]]), 0)</f>
        <v>0</v>
      </c>
      <c r="Y302" s="62"/>
      <c r="Z302" s="62"/>
      <c r="AA302" s="53">
        <v>48.730000000000004</v>
      </c>
      <c r="AB302" s="53">
        <v>49.980000000000018</v>
      </c>
      <c r="AC302" s="53">
        <v>23.196399999999997</v>
      </c>
      <c r="AD302" s="53">
        <v>39.215599999999995</v>
      </c>
      <c r="AE302" s="53" t="str">
        <f>_xlfn.XLOOKUP(Master[[#This Row],[cu_id]],'[1]Customer Revenue'!$Q:$Q,'[1]Customer Revenue'!$K:$K, "None")</f>
        <v>None</v>
      </c>
      <c r="AF302" s="53" t="str">
        <f>_xlfn.XLOOKUP(Master[[#This Row],[cu_id]],'[1]Customer Revenue'!$Q:$Q,'[1]Customer Revenue'!$L:$L, "None")</f>
        <v>None</v>
      </c>
      <c r="AG302" s="53">
        <v>48.823749999999997</v>
      </c>
      <c r="AH302" s="53">
        <v>49.511250000000025</v>
      </c>
      <c r="AI302" s="53">
        <v>49.355000000000011</v>
      </c>
      <c r="AJ302" s="53">
        <v>31.205999999999996</v>
      </c>
      <c r="AK302" s="53" t="str">
        <f>_xlfn.XLOOKUP(Master[[#This Row],[cu_id]],'[1]Customer Revenue'!$Q:$Q,'[1]Customer Revenue'!$I:$I, "None")</f>
        <v>None</v>
      </c>
      <c r="AL302" s="53">
        <v>49.167500000000011</v>
      </c>
      <c r="AM302" s="61">
        <v>0.33333333333333331</v>
      </c>
      <c r="AN302" s="60">
        <v>0.70833333333333337</v>
      </c>
      <c r="AO302" s="60" t="s">
        <v>36</v>
      </c>
      <c r="AP302" s="60" t="s">
        <v>36</v>
      </c>
      <c r="AQ302" s="58" t="s">
        <v>0</v>
      </c>
      <c r="AR302" s="58"/>
      <c r="AS302" s="58"/>
      <c r="AT302" s="52">
        <v>0</v>
      </c>
      <c r="AU302" s="52" t="e">
        <f>IF(Master[[#This Row],[RSP StopTime override]] &lt;&gt; "",Master[[#This Row],[RSP StopTime override]],IF(Master[[#This Row],[Avg stop time helper]] &lt;&gt; 0, Master[[#This Row],[Avg stop time helper]],Average_Stop_Time))</f>
        <v>#DIV/0!</v>
      </c>
      <c r="AV302" s="21"/>
      <c r="AW302" s="20">
        <f>Master[[#This Row],[RSP StopTime override]]-Master[[#This Row],[Avg stop time helper]]</f>
        <v>0</v>
      </c>
    </row>
    <row r="303" spans="1:49" x14ac:dyDescent="0.3">
      <c r="A303" s="66" t="s">
        <v>4405</v>
      </c>
      <c r="B303" s="58">
        <v>12</v>
      </c>
      <c r="C303" s="58" t="s">
        <v>15</v>
      </c>
      <c r="D303" s="65">
        <v>99094</v>
      </c>
      <c r="E303" s="65" t="s">
        <v>1167</v>
      </c>
      <c r="F303" s="65" t="s">
        <v>2972</v>
      </c>
      <c r="G303" s="65" t="s">
        <v>2971</v>
      </c>
      <c r="H303" s="65" t="s">
        <v>7</v>
      </c>
      <c r="I303" s="65" t="s">
        <v>12</v>
      </c>
      <c r="J303" s="65" t="s">
        <v>5</v>
      </c>
      <c r="K303" s="65" t="s">
        <v>2215</v>
      </c>
      <c r="L303" s="64" t="s">
        <v>67</v>
      </c>
      <c r="M303" s="58" t="s">
        <v>3</v>
      </c>
      <c r="N303" s="58" t="s">
        <v>2</v>
      </c>
      <c r="O303" s="58">
        <v>112</v>
      </c>
      <c r="P303" s="58">
        <v>0</v>
      </c>
      <c r="Q303" s="58">
        <v>0</v>
      </c>
      <c r="R303" s="58">
        <v>0</v>
      </c>
      <c r="S303" s="58">
        <v>0</v>
      </c>
      <c r="T303" s="58">
        <v>112</v>
      </c>
      <c r="U303" s="58">
        <v>37</v>
      </c>
      <c r="V303" s="62"/>
      <c r="W303" s="62"/>
      <c r="X303" s="63">
        <f>IFERROR(1 -(Master[[#This Row],[Avg Garment Scans per Delivery]]/Master[[#This Row],[Garment Inventory]]), 0)</f>
        <v>0</v>
      </c>
      <c r="Y303" s="62"/>
      <c r="Z303" s="62"/>
      <c r="AA303" s="53">
        <v>52.929999999999993</v>
      </c>
      <c r="AB303" s="53">
        <v>54.179999999999978</v>
      </c>
      <c r="AC303" s="53">
        <v>22.692399999999999</v>
      </c>
      <c r="AD303" s="53">
        <v>41.399599999999985</v>
      </c>
      <c r="AE303" s="53" t="str">
        <f>_xlfn.XLOOKUP(Master[[#This Row],[cu_id]],'[1]Customer Revenue'!$Q:$Q,'[1]Customer Revenue'!$K:$K, "None")</f>
        <v>None</v>
      </c>
      <c r="AF303" s="53" t="str">
        <f>_xlfn.XLOOKUP(Master[[#This Row],[cu_id]],'[1]Customer Revenue'!$Q:$Q,'[1]Customer Revenue'!$L:$L, "None")</f>
        <v>None</v>
      </c>
      <c r="AG303" s="53">
        <v>53.02375</v>
      </c>
      <c r="AH303" s="53">
        <v>53.711249999999971</v>
      </c>
      <c r="AI303" s="53">
        <v>53.554999999999986</v>
      </c>
      <c r="AJ303" s="53">
        <v>32.045999999999992</v>
      </c>
      <c r="AK303" s="53" t="str">
        <f>_xlfn.XLOOKUP(Master[[#This Row],[cu_id]],'[1]Customer Revenue'!$Q:$Q,'[1]Customer Revenue'!$I:$I, "None")</f>
        <v>None</v>
      </c>
      <c r="AL303" s="53">
        <v>53.367499999999986</v>
      </c>
      <c r="AM303" s="61">
        <v>0.33333333333333331</v>
      </c>
      <c r="AN303" s="60">
        <v>0.70833333333333337</v>
      </c>
      <c r="AO303" s="60" t="s">
        <v>36</v>
      </c>
      <c r="AP303" s="60" t="s">
        <v>36</v>
      </c>
      <c r="AQ303" s="58" t="s">
        <v>0</v>
      </c>
      <c r="AR303" s="58"/>
      <c r="AS303" s="58"/>
      <c r="AT303" s="52">
        <v>0</v>
      </c>
      <c r="AU303" s="52" t="e">
        <f>IF(Master[[#This Row],[RSP StopTime override]] &lt;&gt; "",Master[[#This Row],[RSP StopTime override]],IF(Master[[#This Row],[Avg stop time helper]] &lt;&gt; 0, Master[[#This Row],[Avg stop time helper]],Average_Stop_Time))</f>
        <v>#DIV/0!</v>
      </c>
      <c r="AV303" s="21"/>
      <c r="AW303" s="20">
        <f>Master[[#This Row],[RSP StopTime override]]-Master[[#This Row],[Avg stop time helper]]</f>
        <v>0</v>
      </c>
    </row>
    <row r="304" spans="1:49" x14ac:dyDescent="0.3">
      <c r="A304" s="66" t="s">
        <v>4406</v>
      </c>
      <c r="B304" s="58">
        <v>12</v>
      </c>
      <c r="C304" s="58" t="s">
        <v>15</v>
      </c>
      <c r="D304" s="65">
        <v>99094</v>
      </c>
      <c r="E304" s="65" t="s">
        <v>1165</v>
      </c>
      <c r="F304" s="65" t="s">
        <v>2970</v>
      </c>
      <c r="G304" s="65" t="s">
        <v>2969</v>
      </c>
      <c r="H304" s="65" t="s">
        <v>7</v>
      </c>
      <c r="I304" s="65" t="s">
        <v>12</v>
      </c>
      <c r="J304" s="65" t="s">
        <v>5</v>
      </c>
      <c r="K304" s="65" t="s">
        <v>2215</v>
      </c>
      <c r="L304" s="64" t="s">
        <v>67</v>
      </c>
      <c r="M304" s="58" t="s">
        <v>3</v>
      </c>
      <c r="N304" s="58" t="s">
        <v>2</v>
      </c>
      <c r="O304" s="58">
        <v>110</v>
      </c>
      <c r="P304" s="58">
        <v>0</v>
      </c>
      <c r="Q304" s="58">
        <v>0</v>
      </c>
      <c r="R304" s="58">
        <v>0</v>
      </c>
      <c r="S304" s="58">
        <v>0</v>
      </c>
      <c r="T304" s="58">
        <v>110</v>
      </c>
      <c r="U304" s="58">
        <v>38</v>
      </c>
      <c r="V304" s="62"/>
      <c r="W304" s="62"/>
      <c r="X304" s="63">
        <f>IFERROR(1 -(Master[[#This Row],[Avg Garment Scans per Delivery]]/Master[[#This Row],[Garment Inventory]]), 0)</f>
        <v>0</v>
      </c>
      <c r="Y304" s="62"/>
      <c r="Z304" s="62"/>
      <c r="AA304" s="53">
        <v>39.229999999999997</v>
      </c>
      <c r="AB304" s="53">
        <v>40.480000000000011</v>
      </c>
      <c r="AC304" s="53">
        <v>17.862800000000007</v>
      </c>
      <c r="AD304" s="53">
        <v>31.501200000000004</v>
      </c>
      <c r="AE304" s="53" t="str">
        <f>_xlfn.XLOOKUP(Master[[#This Row],[cu_id]],'[1]Customer Revenue'!$Q:$Q,'[1]Customer Revenue'!$K:$K, "None")</f>
        <v>None</v>
      </c>
      <c r="AF304" s="53" t="str">
        <f>_xlfn.XLOOKUP(Master[[#This Row],[cu_id]],'[1]Customer Revenue'!$Q:$Q,'[1]Customer Revenue'!$L:$L, "None")</f>
        <v>None</v>
      </c>
      <c r="AG304" s="53">
        <v>33.665486111111129</v>
      </c>
      <c r="AH304" s="53">
        <v>40.792847222222228</v>
      </c>
      <c r="AI304" s="53">
        <v>39.855000000000004</v>
      </c>
      <c r="AJ304" s="53">
        <v>24.682000000000006</v>
      </c>
      <c r="AK304" s="53" t="str">
        <f>_xlfn.XLOOKUP(Master[[#This Row],[cu_id]],'[1]Customer Revenue'!$Q:$Q,'[1]Customer Revenue'!$I:$I, "None")</f>
        <v>None</v>
      </c>
      <c r="AL304" s="53">
        <v>37.229166666666679</v>
      </c>
      <c r="AM304" s="61">
        <v>0.33333333333333331</v>
      </c>
      <c r="AN304" s="60">
        <v>0.70833333333333337</v>
      </c>
      <c r="AO304" s="60" t="s">
        <v>36</v>
      </c>
      <c r="AP304" s="60" t="s">
        <v>36</v>
      </c>
      <c r="AQ304" s="58" t="s">
        <v>0</v>
      </c>
      <c r="AR304" s="58"/>
      <c r="AS304" s="58"/>
      <c r="AT304" s="52">
        <v>0</v>
      </c>
      <c r="AU304" s="52" t="e">
        <f>IF(Master[[#This Row],[RSP StopTime override]] &lt;&gt; "",Master[[#This Row],[RSP StopTime override]],IF(Master[[#This Row],[Avg stop time helper]] &lt;&gt; 0, Master[[#This Row],[Avg stop time helper]],Average_Stop_Time))</f>
        <v>#DIV/0!</v>
      </c>
      <c r="AV304" s="21"/>
      <c r="AW304" s="20">
        <f>Master[[#This Row],[RSP StopTime override]]-Master[[#This Row],[Avg stop time helper]]</f>
        <v>0</v>
      </c>
    </row>
    <row r="305" spans="1:49" x14ac:dyDescent="0.3">
      <c r="A305" s="66" t="s">
        <v>4407</v>
      </c>
      <c r="B305" s="58">
        <v>12</v>
      </c>
      <c r="C305" s="58" t="s">
        <v>15</v>
      </c>
      <c r="D305" s="65">
        <v>99095</v>
      </c>
      <c r="E305" s="65" t="s">
        <v>1572</v>
      </c>
      <c r="F305" s="65" t="s">
        <v>2968</v>
      </c>
      <c r="G305" s="65" t="s">
        <v>2967</v>
      </c>
      <c r="H305" s="65" t="s">
        <v>7</v>
      </c>
      <c r="I305" s="65" t="s">
        <v>2966</v>
      </c>
      <c r="J305" s="65" t="s">
        <v>5</v>
      </c>
      <c r="K305" s="65" t="s">
        <v>2215</v>
      </c>
      <c r="L305" s="64">
        <v>6</v>
      </c>
      <c r="M305" s="58" t="s">
        <v>205</v>
      </c>
      <c r="N305" s="58" t="s">
        <v>2</v>
      </c>
      <c r="O305" s="58">
        <v>1</v>
      </c>
      <c r="P305" s="58">
        <v>0</v>
      </c>
      <c r="Q305" s="58">
        <v>0</v>
      </c>
      <c r="R305" s="58">
        <v>0</v>
      </c>
      <c r="S305" s="58">
        <v>0</v>
      </c>
      <c r="T305" s="58">
        <v>1</v>
      </c>
      <c r="U305" s="58">
        <v>26</v>
      </c>
      <c r="V305" s="62"/>
      <c r="W305" s="62"/>
      <c r="X305" s="63">
        <f>IFERROR(1 -(Master[[#This Row],[Avg Garment Scans per Delivery]]/Master[[#This Row],[Garment Inventory]]), 0)</f>
        <v>0</v>
      </c>
      <c r="Y305" s="62"/>
      <c r="Z305" s="62"/>
      <c r="AA305" s="53">
        <v>24.763333333333335</v>
      </c>
      <c r="AB305" s="53">
        <v>25.596666666666671</v>
      </c>
      <c r="AC305" s="53">
        <v>31.989999999999995</v>
      </c>
      <c r="AD305" s="53">
        <v>33.349999999999994</v>
      </c>
      <c r="AE305" s="53" t="str">
        <f>_xlfn.XLOOKUP(Master[[#This Row],[cu_id]],'[1]Customer Revenue'!$Q:$Q,'[1]Customer Revenue'!$K:$K, "None")</f>
        <v>None</v>
      </c>
      <c r="AF305" s="53" t="str">
        <f>_xlfn.XLOOKUP(Master[[#This Row],[cu_id]],'[1]Customer Revenue'!$Q:$Q,'[1]Customer Revenue'!$L:$L, "None")</f>
        <v>None</v>
      </c>
      <c r="AG305" s="53">
        <v>24.425857988165689</v>
      </c>
      <c r="AH305" s="53">
        <v>25.231065088757397</v>
      </c>
      <c r="AI305" s="53">
        <v>25.180000000000003</v>
      </c>
      <c r="AJ305" s="53">
        <v>32.669999999999995</v>
      </c>
      <c r="AK305" s="53" t="str">
        <f>_xlfn.XLOOKUP(Master[[#This Row],[cu_id]],'[1]Customer Revenue'!$Q:$Q,'[1]Customer Revenue'!$I:$I, "None")</f>
        <v>None</v>
      </c>
      <c r="AL305" s="53">
        <v>24.828461538461543</v>
      </c>
      <c r="AM305" s="61">
        <v>0.41666666666666669</v>
      </c>
      <c r="AN305" s="60">
        <v>0.75</v>
      </c>
      <c r="AO305" s="60" t="s">
        <v>36</v>
      </c>
      <c r="AP305" s="60" t="s">
        <v>36</v>
      </c>
      <c r="AQ305" s="58" t="s">
        <v>0</v>
      </c>
      <c r="AR305" s="58"/>
      <c r="AS305" s="58"/>
      <c r="AT305" s="52">
        <v>0</v>
      </c>
      <c r="AU305" s="52" t="e">
        <f>IF(Master[[#This Row],[RSP StopTime override]] &lt;&gt; "",Master[[#This Row],[RSP StopTime override]],IF(Master[[#This Row],[Avg stop time helper]] &lt;&gt; 0, Master[[#This Row],[Avg stop time helper]],Average_Stop_Time))</f>
        <v>#DIV/0!</v>
      </c>
      <c r="AV305" s="21"/>
      <c r="AW305" s="20">
        <f>Master[[#This Row],[RSP StopTime override]]-Master[[#This Row],[Avg stop time helper]]</f>
        <v>0</v>
      </c>
    </row>
    <row r="306" spans="1:49" x14ac:dyDescent="0.3">
      <c r="A306" s="66" t="s">
        <v>4012</v>
      </c>
      <c r="B306" s="58">
        <v>12</v>
      </c>
      <c r="C306" s="58" t="s">
        <v>15</v>
      </c>
      <c r="D306" s="65">
        <v>99161</v>
      </c>
      <c r="E306" s="65" t="s">
        <v>2965</v>
      </c>
      <c r="F306" s="65" t="s">
        <v>3613</v>
      </c>
      <c r="G306" s="65" t="s">
        <v>2964</v>
      </c>
      <c r="H306" s="65" t="s">
        <v>7</v>
      </c>
      <c r="I306" s="65" t="s">
        <v>2963</v>
      </c>
      <c r="J306" s="65" t="s">
        <v>5</v>
      </c>
      <c r="K306" s="65" t="s">
        <v>197</v>
      </c>
      <c r="L306" s="64" t="s">
        <v>67</v>
      </c>
      <c r="M306" s="58" t="s">
        <v>3</v>
      </c>
      <c r="N306" s="58" t="s">
        <v>2</v>
      </c>
      <c r="O306" s="58">
        <v>1</v>
      </c>
      <c r="P306" s="58">
        <v>0</v>
      </c>
      <c r="Q306" s="58">
        <v>0</v>
      </c>
      <c r="R306" s="58">
        <v>0</v>
      </c>
      <c r="S306" s="58">
        <v>0</v>
      </c>
      <c r="T306" s="58">
        <v>1</v>
      </c>
      <c r="U306" s="58">
        <v>1</v>
      </c>
      <c r="V306" s="62"/>
      <c r="W306" s="62"/>
      <c r="X306" s="63">
        <f>IFERROR(1 -(Master[[#This Row],[Avg Garment Scans per Delivery]]/Master[[#This Row],[Garment Inventory]]), 0)</f>
        <v>0</v>
      </c>
      <c r="Y306" s="62"/>
      <c r="Z306" s="62"/>
      <c r="AA306" s="53">
        <v>201.43</v>
      </c>
      <c r="AB306" s="53">
        <v>201.43</v>
      </c>
      <c r="AC306" s="53"/>
      <c r="AD306" s="53"/>
      <c r="AE306" s="53" t="str">
        <f>_xlfn.XLOOKUP(Master[[#This Row],[cu_id]],'[1]Customer Revenue'!$Q:$Q,'[1]Customer Revenue'!$K:$K, "None")</f>
        <v>None</v>
      </c>
      <c r="AF306" s="53" t="str">
        <f>_xlfn.XLOOKUP(Master[[#This Row],[cu_id]],'[1]Customer Revenue'!$Q:$Q,'[1]Customer Revenue'!$L:$L, "None")</f>
        <v>None</v>
      </c>
      <c r="AG306" s="53">
        <v>201.43</v>
      </c>
      <c r="AH306" s="53">
        <v>201.43</v>
      </c>
      <c r="AI306" s="53">
        <v>201.43</v>
      </c>
      <c r="AJ306" s="53"/>
      <c r="AK306" s="53" t="str">
        <f>_xlfn.XLOOKUP(Master[[#This Row],[cu_id]],'[1]Customer Revenue'!$Q:$Q,'[1]Customer Revenue'!$I:$I, "None")</f>
        <v>None</v>
      </c>
      <c r="AL306" s="53">
        <v>201.43</v>
      </c>
      <c r="AM306" s="61">
        <v>0.25</v>
      </c>
      <c r="AN306" s="60">
        <v>0</v>
      </c>
      <c r="AO306" s="60" t="s">
        <v>36</v>
      </c>
      <c r="AP306" s="60" t="s">
        <v>36</v>
      </c>
      <c r="AQ306" s="58" t="s">
        <v>305</v>
      </c>
      <c r="AR306" s="58"/>
      <c r="AS306" s="58"/>
      <c r="AT306" s="52">
        <v>0</v>
      </c>
      <c r="AU306" s="52" t="e">
        <f>IF(Master[[#This Row],[RSP StopTime override]] &lt;&gt; "",Master[[#This Row],[RSP StopTime override]],IF(Master[[#This Row],[Avg stop time helper]] &lt;&gt; 0, Master[[#This Row],[Avg stop time helper]],Average_Stop_Time))</f>
        <v>#DIV/0!</v>
      </c>
      <c r="AV306" s="21"/>
      <c r="AW306" s="20">
        <f>Master[[#This Row],[RSP StopTime override]]-Master[[#This Row],[Avg stop time helper]]</f>
        <v>0</v>
      </c>
    </row>
    <row r="307" spans="1:49" x14ac:dyDescent="0.3">
      <c r="A307" s="66" t="s">
        <v>4408</v>
      </c>
      <c r="B307" s="58">
        <v>12</v>
      </c>
      <c r="C307" s="58" t="s">
        <v>15</v>
      </c>
      <c r="D307" s="65">
        <v>99161</v>
      </c>
      <c r="E307" s="65" t="s">
        <v>805</v>
      </c>
      <c r="F307" s="65" t="s">
        <v>2962</v>
      </c>
      <c r="G307" s="65" t="s">
        <v>2961</v>
      </c>
      <c r="H307" s="65" t="s">
        <v>7</v>
      </c>
      <c r="I307" s="65" t="s">
        <v>1824</v>
      </c>
      <c r="J307" s="65" t="s">
        <v>5</v>
      </c>
      <c r="K307" s="65" t="s">
        <v>197</v>
      </c>
      <c r="L307" s="64" t="s">
        <v>67</v>
      </c>
      <c r="M307" s="58" t="s">
        <v>3</v>
      </c>
      <c r="N307" s="58" t="s">
        <v>2</v>
      </c>
      <c r="O307" s="58">
        <v>1</v>
      </c>
      <c r="P307" s="58">
        <v>0</v>
      </c>
      <c r="Q307" s="58">
        <v>0</v>
      </c>
      <c r="R307" s="58">
        <v>0</v>
      </c>
      <c r="S307" s="58">
        <v>0</v>
      </c>
      <c r="T307" s="58">
        <v>1</v>
      </c>
      <c r="U307" s="58">
        <v>6</v>
      </c>
      <c r="V307" s="62"/>
      <c r="W307" s="62"/>
      <c r="X307" s="63">
        <f>IFERROR(1 -(Master[[#This Row],[Avg Garment Scans per Delivery]]/Master[[#This Row],[Garment Inventory]]), 0)</f>
        <v>0</v>
      </c>
      <c r="Y307" s="62"/>
      <c r="Z307" s="62"/>
      <c r="AA307" s="53">
        <v>123.88</v>
      </c>
      <c r="AB307" s="53">
        <v>216.5</v>
      </c>
      <c r="AC307" s="53">
        <v>25.149999999999991</v>
      </c>
      <c r="AD307" s="53">
        <v>117.02</v>
      </c>
      <c r="AE307" s="53" t="str">
        <f>_xlfn.XLOOKUP(Master[[#This Row],[cu_id]],'[1]Customer Revenue'!$Q:$Q,'[1]Customer Revenue'!$K:$K, "None")</f>
        <v>None</v>
      </c>
      <c r="AF307" s="53" t="str">
        <f>_xlfn.XLOOKUP(Master[[#This Row],[cu_id]],'[1]Customer Revenue'!$Q:$Q,'[1]Customer Revenue'!$L:$L, "None")</f>
        <v>None</v>
      </c>
      <c r="AG307" s="53">
        <v>80.033333333333331</v>
      </c>
      <c r="AH307" s="53">
        <v>189.20666666666668</v>
      </c>
      <c r="AI307" s="53">
        <v>170.19</v>
      </c>
      <c r="AJ307" s="53">
        <v>71.084999999999994</v>
      </c>
      <c r="AK307" s="53" t="str">
        <f>_xlfn.XLOOKUP(Master[[#This Row],[cu_id]],'[1]Customer Revenue'!$Q:$Q,'[1]Customer Revenue'!$I:$I, "None")</f>
        <v>None</v>
      </c>
      <c r="AL307" s="53">
        <v>134.62</v>
      </c>
      <c r="AM307" s="61">
        <v>0.25</v>
      </c>
      <c r="AN307" s="60">
        <v>0</v>
      </c>
      <c r="AO307" s="60" t="s">
        <v>36</v>
      </c>
      <c r="AP307" s="60" t="s">
        <v>36</v>
      </c>
      <c r="AQ307" s="58" t="s">
        <v>305</v>
      </c>
      <c r="AR307" s="58"/>
      <c r="AS307" s="58"/>
      <c r="AT307" s="52">
        <v>0</v>
      </c>
      <c r="AU307" s="52" t="e">
        <f>IF(Master[[#This Row],[RSP StopTime override]] &lt;&gt; "",Master[[#This Row],[RSP StopTime override]],IF(Master[[#This Row],[Avg stop time helper]] &lt;&gt; 0, Master[[#This Row],[Avg stop time helper]],Average_Stop_Time))</f>
        <v>#DIV/0!</v>
      </c>
      <c r="AV307" s="21"/>
      <c r="AW307" s="20">
        <f>Master[[#This Row],[RSP StopTime override]]-Master[[#This Row],[Avg stop time helper]]</f>
        <v>0</v>
      </c>
    </row>
    <row r="308" spans="1:49" x14ac:dyDescent="0.3">
      <c r="A308" s="66" t="s">
        <v>4409</v>
      </c>
      <c r="B308" s="58">
        <v>12</v>
      </c>
      <c r="C308" s="58" t="s">
        <v>15</v>
      </c>
      <c r="D308" s="65">
        <v>499014</v>
      </c>
      <c r="E308" s="65" t="s">
        <v>1945</v>
      </c>
      <c r="F308" s="65" t="s">
        <v>1149</v>
      </c>
      <c r="G308" s="65" t="s">
        <v>2960</v>
      </c>
      <c r="H308" s="65" t="s">
        <v>2959</v>
      </c>
      <c r="I308" s="65" t="s">
        <v>50</v>
      </c>
      <c r="J308" s="65" t="s">
        <v>5</v>
      </c>
      <c r="K308" s="65" t="s">
        <v>197</v>
      </c>
      <c r="L308" s="64" t="s">
        <v>194</v>
      </c>
      <c r="M308" s="58" t="s">
        <v>193</v>
      </c>
      <c r="N308" s="58" t="s">
        <v>2</v>
      </c>
      <c r="O308" s="58">
        <v>5</v>
      </c>
      <c r="P308" s="58">
        <v>0</v>
      </c>
      <c r="Q308" s="58">
        <v>0</v>
      </c>
      <c r="R308" s="58">
        <v>0</v>
      </c>
      <c r="S308" s="58">
        <v>0</v>
      </c>
      <c r="T308" s="58">
        <v>5</v>
      </c>
      <c r="U308" s="58">
        <v>36</v>
      </c>
      <c r="V308" s="62"/>
      <c r="W308" s="62"/>
      <c r="X308" s="63">
        <f>IFERROR(1 -(Master[[#This Row],[Avg Garment Scans per Delivery]]/Master[[#This Row],[Garment Inventory]]), 0)</f>
        <v>0</v>
      </c>
      <c r="Y308" s="62"/>
      <c r="Z308" s="62"/>
      <c r="AA308" s="53">
        <v>24.679999999999993</v>
      </c>
      <c r="AB308" s="53">
        <v>24.68</v>
      </c>
      <c r="AC308" s="53">
        <v>21.857499999999998</v>
      </c>
      <c r="AD308" s="53">
        <v>52.292500000000004</v>
      </c>
      <c r="AE308" s="53" t="str">
        <f>_xlfn.XLOOKUP(Master[[#This Row],[cu_id]],'[1]Customer Revenue'!$Q:$Q,'[1]Customer Revenue'!$K:$K, "None")</f>
        <v>None</v>
      </c>
      <c r="AF308" s="53" t="str">
        <f>_xlfn.XLOOKUP(Master[[#This Row],[cu_id]],'[1]Customer Revenue'!$Q:$Q,'[1]Customer Revenue'!$L:$L, "None")</f>
        <v>None</v>
      </c>
      <c r="AG308" s="53">
        <v>16.011874999999996</v>
      </c>
      <c r="AH308" s="53">
        <v>48.323125000000012</v>
      </c>
      <c r="AI308" s="53">
        <v>24.679999999999996</v>
      </c>
      <c r="AJ308" s="53">
        <v>37.075000000000003</v>
      </c>
      <c r="AK308" s="53" t="str">
        <f>_xlfn.XLOOKUP(Master[[#This Row],[cu_id]],'[1]Customer Revenue'!$Q:$Q,'[1]Customer Revenue'!$I:$I, "None")</f>
        <v>None</v>
      </c>
      <c r="AL308" s="53">
        <v>32.167500000000004</v>
      </c>
      <c r="AM308" s="61">
        <v>0.33333333333333331</v>
      </c>
      <c r="AN308" s="60">
        <v>0.70833333333333337</v>
      </c>
      <c r="AO308" s="60" t="s">
        <v>36</v>
      </c>
      <c r="AP308" s="60" t="s">
        <v>36</v>
      </c>
      <c r="AQ308" s="58" t="s">
        <v>0</v>
      </c>
      <c r="AR308" s="58"/>
      <c r="AS308" s="58"/>
      <c r="AT308" s="52">
        <v>0</v>
      </c>
      <c r="AU308" s="52" t="e">
        <f>IF(Master[[#This Row],[RSP StopTime override]] &lt;&gt; "",Master[[#This Row],[RSP StopTime override]],IF(Master[[#This Row],[Avg stop time helper]] &lt;&gt; 0, Master[[#This Row],[Avg stop time helper]],Average_Stop_Time))</f>
        <v>#DIV/0!</v>
      </c>
      <c r="AV308" s="21"/>
      <c r="AW308" s="20">
        <f>Master[[#This Row],[RSP StopTime override]]-Master[[#This Row],[Avg stop time helper]]</f>
        <v>0</v>
      </c>
    </row>
    <row r="309" spans="1:49" x14ac:dyDescent="0.3">
      <c r="A309" s="66" t="s">
        <v>4410</v>
      </c>
      <c r="B309" s="58">
        <v>12</v>
      </c>
      <c r="C309" s="58" t="s">
        <v>15</v>
      </c>
      <c r="D309" s="65">
        <v>522624</v>
      </c>
      <c r="E309" s="65" t="s">
        <v>42</v>
      </c>
      <c r="F309" s="65" t="s">
        <v>2958</v>
      </c>
      <c r="G309" s="65" t="s">
        <v>2957</v>
      </c>
      <c r="H309" s="65" t="s">
        <v>32</v>
      </c>
      <c r="I309" s="65" t="s">
        <v>2956</v>
      </c>
      <c r="J309" s="65" t="s">
        <v>5</v>
      </c>
      <c r="K309" s="65" t="s">
        <v>2215</v>
      </c>
      <c r="L309" s="64" t="s">
        <v>77</v>
      </c>
      <c r="M309" s="58" t="s">
        <v>29</v>
      </c>
      <c r="N309" s="58" t="s">
        <v>2</v>
      </c>
      <c r="O309" s="58">
        <v>40</v>
      </c>
      <c r="P309" s="58">
        <v>0</v>
      </c>
      <c r="Q309" s="58">
        <v>0</v>
      </c>
      <c r="R309" s="58">
        <v>0</v>
      </c>
      <c r="S309" s="58">
        <v>0</v>
      </c>
      <c r="T309" s="58">
        <v>40</v>
      </c>
      <c r="U309" s="58">
        <v>22</v>
      </c>
      <c r="V309" s="62"/>
      <c r="W309" s="62"/>
      <c r="X309" s="63">
        <f>IFERROR(1 -(Master[[#This Row],[Avg Garment Scans per Delivery]]/Master[[#This Row],[Garment Inventory]]), 0)</f>
        <v>0</v>
      </c>
      <c r="Y309" s="62"/>
      <c r="Z309" s="62"/>
      <c r="AA309" s="53">
        <v>131.41999999999999</v>
      </c>
      <c r="AB309" s="53">
        <v>237.9</v>
      </c>
      <c r="AC309" s="53">
        <v>122.35792517006803</v>
      </c>
      <c r="AD309" s="53">
        <v>218.55874149659866</v>
      </c>
      <c r="AE309" s="53" t="str">
        <f>_xlfn.XLOOKUP(Master[[#This Row],[cu_id]],'[1]Customer Revenue'!$Q:$Q,'[1]Customer Revenue'!$K:$K, "None")</f>
        <v>None</v>
      </c>
      <c r="AF309" s="53" t="str">
        <f>_xlfn.XLOOKUP(Master[[#This Row],[cu_id]],'[1]Customer Revenue'!$Q:$Q,'[1]Customer Revenue'!$L:$L, "None")</f>
        <v>None</v>
      </c>
      <c r="AG309" s="53">
        <v>111.07851851851854</v>
      </c>
      <c r="AH309" s="53">
        <v>270.23703703703706</v>
      </c>
      <c r="AI309" s="53">
        <v>184.66</v>
      </c>
      <c r="AJ309" s="53">
        <v>170.45833333333334</v>
      </c>
      <c r="AK309" s="53" t="str">
        <f>_xlfn.XLOOKUP(Master[[#This Row],[cu_id]],'[1]Customer Revenue'!$Q:$Q,'[1]Customer Revenue'!$I:$I, "None")</f>
        <v>None</v>
      </c>
      <c r="AL309" s="53">
        <v>190.6577777777778</v>
      </c>
      <c r="AM309" s="61">
        <v>0.33333333333333331</v>
      </c>
      <c r="AN309" s="60">
        <v>0.66666666666666663</v>
      </c>
      <c r="AO309" s="60" t="s">
        <v>36</v>
      </c>
      <c r="AP309" s="60" t="s">
        <v>36</v>
      </c>
      <c r="AQ309" s="58" t="s">
        <v>0</v>
      </c>
      <c r="AR309" s="58"/>
      <c r="AS309" s="58"/>
      <c r="AT309" s="52">
        <v>0</v>
      </c>
      <c r="AU309" s="52" t="e">
        <f>IF(Master[[#This Row],[RSP StopTime override]] &lt;&gt; "",Master[[#This Row],[RSP StopTime override]],IF(Master[[#This Row],[Avg stop time helper]] &lt;&gt; 0, Master[[#This Row],[Avg stop time helper]],Average_Stop_Time))</f>
        <v>#DIV/0!</v>
      </c>
      <c r="AV309" s="21"/>
      <c r="AW309" s="20">
        <f>Master[[#This Row],[RSP StopTime override]]-Master[[#This Row],[Avg stop time helper]]</f>
        <v>0</v>
      </c>
    </row>
    <row r="310" spans="1:49" x14ac:dyDescent="0.3">
      <c r="A310" s="73" t="s">
        <v>4014</v>
      </c>
      <c r="B310" s="64">
        <v>56</v>
      </c>
      <c r="C310" s="64" t="s">
        <v>15</v>
      </c>
      <c r="D310" s="65">
        <v>99161</v>
      </c>
      <c r="E310" s="65" t="s">
        <v>1151</v>
      </c>
      <c r="F310" s="65" t="s">
        <v>3614</v>
      </c>
      <c r="G310" s="65" t="s">
        <v>1150</v>
      </c>
      <c r="H310" s="65" t="s">
        <v>7</v>
      </c>
      <c r="I310" s="65" t="s">
        <v>1084</v>
      </c>
      <c r="J310" s="65" t="s">
        <v>5</v>
      </c>
      <c r="K310" s="65" t="s">
        <v>1088</v>
      </c>
      <c r="L310" s="64" t="s">
        <v>67</v>
      </c>
      <c r="M310" s="65" t="s">
        <v>3</v>
      </c>
      <c r="N310" s="65" t="s">
        <v>2</v>
      </c>
      <c r="O310" s="65">
        <v>1</v>
      </c>
      <c r="P310" s="65">
        <v>0</v>
      </c>
      <c r="Q310" s="65">
        <v>0</v>
      </c>
      <c r="R310" s="65">
        <v>0</v>
      </c>
      <c r="S310" s="65">
        <v>0</v>
      </c>
      <c r="T310" s="65">
        <v>1</v>
      </c>
      <c r="U310" s="65"/>
      <c r="V310" s="65"/>
      <c r="W310" s="65"/>
      <c r="X310" s="72">
        <f>IFERROR(1 -(Master[[#This Row],[Avg Garment Scans per Delivery]]/Master[[#This Row],[Garment Inventory]]), 0)</f>
        <v>0</v>
      </c>
      <c r="Y310" s="65"/>
      <c r="Z310" s="65"/>
      <c r="AA310" s="53"/>
      <c r="AB310" s="53"/>
      <c r="AC310" s="53"/>
      <c r="AD310" s="53"/>
      <c r="AE310" s="53" t="str">
        <f>_xlfn.XLOOKUP(Master[[#This Row],[cu_id]],'[1]Customer Revenue'!$Q:$Q,'[1]Customer Revenue'!$K:$K, "0")</f>
        <v>0</v>
      </c>
      <c r="AF310" s="53" t="str">
        <f>_xlfn.XLOOKUP(Master[[#This Row],[cu_id]],'[1]Customer Revenue'!$Q:$Q,'[1]Customer Revenue'!$L:$L, "0")</f>
        <v>0</v>
      </c>
      <c r="AG310" s="53"/>
      <c r="AH310" s="53"/>
      <c r="AI310" s="53"/>
      <c r="AJ310" s="53"/>
      <c r="AK310" s="53" t="str">
        <f>_xlfn.XLOOKUP(Master[[#This Row],[cu_id]],'[1]Customer Revenue'!$Q:$Q,'[1]Customer Revenue'!$I:$I, "0")</f>
        <v>0</v>
      </c>
      <c r="AL310" s="53"/>
      <c r="AM310" s="71">
        <v>0.29166666666666669</v>
      </c>
      <c r="AN310" s="60">
        <v>0.70833333333333337</v>
      </c>
      <c r="AO310" s="71" t="s">
        <v>36</v>
      </c>
      <c r="AP310" s="71" t="s">
        <v>36</v>
      </c>
      <c r="AQ310" s="64" t="s">
        <v>0</v>
      </c>
      <c r="AR310" s="64"/>
      <c r="AS310" s="65"/>
      <c r="AT310" s="52">
        <v>0</v>
      </c>
      <c r="AU310" s="52" t="e">
        <f>IF(Master[[#This Row],[RSP StopTime override]] &lt;&gt; "",Master[[#This Row],[RSP StopTime override]],IF(Master[[#This Row],[Avg stop time helper]] &lt;&gt; 0, Master[[#This Row],[Avg stop time helper]],Average_Stop_Time))</f>
        <v>#DIV/0!</v>
      </c>
      <c r="AV310" s="21"/>
      <c r="AW310" s="20">
        <f>Master[[#This Row],[RSP StopTime override]]-Master[[#This Row],[Avg stop time helper]]</f>
        <v>0</v>
      </c>
    </row>
    <row r="311" spans="1:49" x14ac:dyDescent="0.3">
      <c r="A311" s="66" t="s">
        <v>4411</v>
      </c>
      <c r="B311" s="58">
        <v>12</v>
      </c>
      <c r="C311" s="58" t="s">
        <v>15</v>
      </c>
      <c r="D311" s="65">
        <v>528436</v>
      </c>
      <c r="E311" s="65" t="s">
        <v>42</v>
      </c>
      <c r="F311" s="65" t="s">
        <v>2954</v>
      </c>
      <c r="G311" s="65" t="s">
        <v>2953</v>
      </c>
      <c r="H311" s="65" t="s">
        <v>2952</v>
      </c>
      <c r="I311" s="65" t="s">
        <v>50</v>
      </c>
      <c r="J311" s="65" t="s">
        <v>5</v>
      </c>
      <c r="K311" s="65" t="s">
        <v>2215</v>
      </c>
      <c r="L311" s="64" t="s">
        <v>194</v>
      </c>
      <c r="M311" s="58" t="s">
        <v>193</v>
      </c>
      <c r="N311" s="58" t="s">
        <v>2</v>
      </c>
      <c r="O311" s="58">
        <v>30</v>
      </c>
      <c r="P311" s="58">
        <v>0</v>
      </c>
      <c r="Q311" s="58">
        <v>0</v>
      </c>
      <c r="R311" s="58">
        <v>0</v>
      </c>
      <c r="S311" s="58">
        <v>0</v>
      </c>
      <c r="T311" s="58">
        <v>30</v>
      </c>
      <c r="U311" s="58">
        <v>13</v>
      </c>
      <c r="V311" s="62"/>
      <c r="W311" s="62"/>
      <c r="X311" s="63">
        <f>IFERROR(1 -(Master[[#This Row],[Avg Garment Scans per Delivery]]/Master[[#This Row],[Garment Inventory]]), 0)</f>
        <v>0</v>
      </c>
      <c r="Y311" s="62"/>
      <c r="Z311" s="62"/>
      <c r="AA311" s="53">
        <v>55.5</v>
      </c>
      <c r="AB311" s="53">
        <v>55.5</v>
      </c>
      <c r="AC311" s="53">
        <v>57.405000000000001</v>
      </c>
      <c r="AD311" s="53">
        <v>59.474999999999994</v>
      </c>
      <c r="AE311" s="53" t="str">
        <f>_xlfn.XLOOKUP(Master[[#This Row],[cu_id]],'[1]Customer Revenue'!$Q:$Q,'[1]Customer Revenue'!$K:$K, "None")</f>
        <v>None</v>
      </c>
      <c r="AF311" s="53" t="str">
        <f>_xlfn.XLOOKUP(Master[[#This Row],[cu_id]],'[1]Customer Revenue'!$Q:$Q,'[1]Customer Revenue'!$L:$L, "None")</f>
        <v>None</v>
      </c>
      <c r="AG311" s="53">
        <v>55.5</v>
      </c>
      <c r="AH311" s="53">
        <v>55.5</v>
      </c>
      <c r="AI311" s="53">
        <v>55.5</v>
      </c>
      <c r="AJ311" s="53">
        <v>58.44</v>
      </c>
      <c r="AK311" s="53" t="str">
        <f>_xlfn.XLOOKUP(Master[[#This Row],[cu_id]],'[1]Customer Revenue'!$Q:$Q,'[1]Customer Revenue'!$I:$I, "None")</f>
        <v>None</v>
      </c>
      <c r="AL311" s="53">
        <v>55.5</v>
      </c>
      <c r="AM311" s="61">
        <v>0.33333333333333331</v>
      </c>
      <c r="AN311" s="60">
        <v>0.66666666666666663</v>
      </c>
      <c r="AO311" s="60" t="s">
        <v>36</v>
      </c>
      <c r="AP311" s="60" t="s">
        <v>36</v>
      </c>
      <c r="AQ311" s="58" t="s">
        <v>0</v>
      </c>
      <c r="AR311" s="58"/>
      <c r="AS311" s="58"/>
      <c r="AT311" s="52">
        <v>0</v>
      </c>
      <c r="AU311" s="52" t="e">
        <f>IF(Master[[#This Row],[RSP StopTime override]] &lt;&gt; "",Master[[#This Row],[RSP StopTime override]],IF(Master[[#This Row],[Avg stop time helper]] &lt;&gt; 0, Master[[#This Row],[Avg stop time helper]],Average_Stop_Time))</f>
        <v>#DIV/0!</v>
      </c>
      <c r="AV311" s="21"/>
      <c r="AW311" s="20">
        <f>Master[[#This Row],[RSP StopTime override]]-Master[[#This Row],[Avg stop time helper]]</f>
        <v>0</v>
      </c>
    </row>
    <row r="312" spans="1:49" x14ac:dyDescent="0.3">
      <c r="A312" s="66" t="s">
        <v>4412</v>
      </c>
      <c r="B312" s="58">
        <v>12</v>
      </c>
      <c r="C312" s="58" t="s">
        <v>15</v>
      </c>
      <c r="D312" s="65">
        <v>530600</v>
      </c>
      <c r="E312" s="65" t="s">
        <v>42</v>
      </c>
      <c r="F312" s="65" t="s">
        <v>2951</v>
      </c>
      <c r="G312" s="65" t="s">
        <v>2950</v>
      </c>
      <c r="H312" s="65" t="s">
        <v>21</v>
      </c>
      <c r="I312" s="65" t="s">
        <v>12</v>
      </c>
      <c r="J312" s="65" t="s">
        <v>5</v>
      </c>
      <c r="K312" s="65" t="s">
        <v>2255</v>
      </c>
      <c r="L312" s="64">
        <v>5</v>
      </c>
      <c r="M312" s="58" t="s">
        <v>3</v>
      </c>
      <c r="N312" s="58" t="s">
        <v>2</v>
      </c>
      <c r="O312" s="58">
        <v>100</v>
      </c>
      <c r="P312" s="58">
        <v>0</v>
      </c>
      <c r="Q312" s="58">
        <v>0</v>
      </c>
      <c r="R312" s="58">
        <v>0</v>
      </c>
      <c r="S312" s="58">
        <v>0</v>
      </c>
      <c r="T312" s="58">
        <v>100</v>
      </c>
      <c r="U312" s="58">
        <v>53</v>
      </c>
      <c r="V312" s="62"/>
      <c r="W312" s="62"/>
      <c r="X312" s="63">
        <f>IFERROR(1 -(Master[[#This Row],[Avg Garment Scans per Delivery]]/Master[[#This Row],[Garment Inventory]]), 0)</f>
        <v>0</v>
      </c>
      <c r="Y312" s="62"/>
      <c r="Z312" s="62"/>
      <c r="AA312" s="53">
        <v>31.440000000000005</v>
      </c>
      <c r="AB312" s="53">
        <v>32.690000000000005</v>
      </c>
      <c r="AC312" s="53">
        <v>34.242394034536886</v>
      </c>
      <c r="AD312" s="53">
        <v>46.096067503924644</v>
      </c>
      <c r="AE312" s="53" t="str">
        <f>_xlfn.XLOOKUP(Master[[#This Row],[cu_id]],'[1]Customer Revenue'!$Q:$Q,'[1]Customer Revenue'!$K:$K, "None")</f>
        <v>None</v>
      </c>
      <c r="AF312" s="53" t="str">
        <f>_xlfn.XLOOKUP(Master[[#This Row],[cu_id]],'[1]Customer Revenue'!$Q:$Q,'[1]Customer Revenue'!$L:$L, "None")</f>
        <v>None</v>
      </c>
      <c r="AG312" s="53">
        <v>31.051568047337291</v>
      </c>
      <c r="AH312" s="53">
        <v>35.652278106508909</v>
      </c>
      <c r="AI312" s="53">
        <v>32.065000000000005</v>
      </c>
      <c r="AJ312" s="53">
        <v>40.169230769230765</v>
      </c>
      <c r="AK312" s="53" t="str">
        <f>_xlfn.XLOOKUP(Master[[#This Row],[cu_id]],'[1]Customer Revenue'!$Q:$Q,'[1]Customer Revenue'!$I:$I, "None")</f>
        <v>None</v>
      </c>
      <c r="AL312" s="53">
        <v>33.3519230769231</v>
      </c>
      <c r="AM312" s="61">
        <v>0.375</v>
      </c>
      <c r="AN312" s="60">
        <v>0.70833333333333337</v>
      </c>
      <c r="AO312" s="60" t="s">
        <v>36</v>
      </c>
      <c r="AP312" s="60" t="s">
        <v>36</v>
      </c>
      <c r="AQ312" s="58" t="s">
        <v>0</v>
      </c>
      <c r="AR312" s="58"/>
      <c r="AS312" s="58"/>
      <c r="AT312" s="52">
        <v>0</v>
      </c>
      <c r="AU312" s="52" t="e">
        <f>IF(Master[[#This Row],[RSP StopTime override]] &lt;&gt; "",Master[[#This Row],[RSP StopTime override]],IF(Master[[#This Row],[Avg stop time helper]] &lt;&gt; 0, Master[[#This Row],[Avg stop time helper]],Average_Stop_Time))</f>
        <v>#DIV/0!</v>
      </c>
      <c r="AV312" s="21"/>
      <c r="AW312" s="20">
        <f>Master[[#This Row],[RSP StopTime override]]-Master[[#This Row],[Avg stop time helper]]</f>
        <v>0</v>
      </c>
    </row>
    <row r="313" spans="1:49" x14ac:dyDescent="0.3">
      <c r="A313" s="66" t="s">
        <v>4413</v>
      </c>
      <c r="B313" s="58">
        <v>12</v>
      </c>
      <c r="C313" s="58" t="s">
        <v>15</v>
      </c>
      <c r="D313" s="65">
        <v>530870</v>
      </c>
      <c r="E313" s="65" t="s">
        <v>42</v>
      </c>
      <c r="F313" s="65" t="s">
        <v>2949</v>
      </c>
      <c r="G313" s="65" t="s">
        <v>2948</v>
      </c>
      <c r="H313" s="65" t="s">
        <v>7</v>
      </c>
      <c r="I313" s="65" t="s">
        <v>12</v>
      </c>
      <c r="J313" s="65" t="s">
        <v>5</v>
      </c>
      <c r="K313" s="65" t="s">
        <v>197</v>
      </c>
      <c r="L313" s="64" t="s">
        <v>67</v>
      </c>
      <c r="M313" s="58" t="s">
        <v>3</v>
      </c>
      <c r="N313" s="58" t="s">
        <v>2</v>
      </c>
      <c r="O313" s="58">
        <v>220</v>
      </c>
      <c r="P313" s="58">
        <v>0</v>
      </c>
      <c r="Q313" s="58">
        <v>0</v>
      </c>
      <c r="R313" s="58">
        <v>0</v>
      </c>
      <c r="S313" s="58">
        <v>0</v>
      </c>
      <c r="T313" s="58">
        <v>220</v>
      </c>
      <c r="U313" s="58">
        <v>55</v>
      </c>
      <c r="V313" s="62"/>
      <c r="W313" s="62"/>
      <c r="X313" s="63">
        <f>IFERROR(1 -(Master[[#This Row],[Avg Garment Scans per Delivery]]/Master[[#This Row],[Garment Inventory]]), 0)</f>
        <v>0</v>
      </c>
      <c r="Y313" s="62"/>
      <c r="Z313" s="62"/>
      <c r="AA313" s="53">
        <v>296.78208333333333</v>
      </c>
      <c r="AB313" s="53">
        <v>317.47624999999999</v>
      </c>
      <c r="AC313" s="53">
        <v>214.14700892857147</v>
      </c>
      <c r="AD313" s="53">
        <v>396.66013392857144</v>
      </c>
      <c r="AE313" s="53" t="str">
        <f>_xlfn.XLOOKUP(Master[[#This Row],[cu_id]],'[1]Customer Revenue'!$Q:$Q,'[1]Customer Revenue'!$K:$K, "None")</f>
        <v>None</v>
      </c>
      <c r="AF313" s="53" t="str">
        <f>_xlfn.XLOOKUP(Master[[#This Row],[cu_id]],'[1]Customer Revenue'!$Q:$Q,'[1]Customer Revenue'!$L:$L, "None")</f>
        <v>None</v>
      </c>
      <c r="AG313" s="53">
        <v>281.61270408163278</v>
      </c>
      <c r="AH313" s="53">
        <v>339.13801020408181</v>
      </c>
      <c r="AI313" s="53">
        <v>307.12916666666666</v>
      </c>
      <c r="AJ313" s="53">
        <v>305.40357142857147</v>
      </c>
      <c r="AK313" s="53" t="str">
        <f>_xlfn.XLOOKUP(Master[[#This Row],[cu_id]],'[1]Customer Revenue'!$Q:$Q,'[1]Customer Revenue'!$I:$I, "None")</f>
        <v>None</v>
      </c>
      <c r="AL313" s="53">
        <v>310.3753571428573</v>
      </c>
      <c r="AM313" s="61">
        <v>0.45833333333333331</v>
      </c>
      <c r="AN313" s="60">
        <v>0.70833333333333337</v>
      </c>
      <c r="AO313" s="60" t="s">
        <v>36</v>
      </c>
      <c r="AP313" s="60" t="s">
        <v>36</v>
      </c>
      <c r="AQ313" s="58" t="s">
        <v>0</v>
      </c>
      <c r="AR313" s="58"/>
      <c r="AS313" s="58"/>
      <c r="AT313" s="52">
        <v>0</v>
      </c>
      <c r="AU313" s="52" t="e">
        <f>IF(Master[[#This Row],[RSP StopTime override]] &lt;&gt; "",Master[[#This Row],[RSP StopTime override]],IF(Master[[#This Row],[Avg stop time helper]] &lt;&gt; 0, Master[[#This Row],[Avg stop time helper]],Average_Stop_Time))</f>
        <v>#DIV/0!</v>
      </c>
      <c r="AV313" s="21"/>
      <c r="AW313" s="20">
        <f>Master[[#This Row],[RSP StopTime override]]-Master[[#This Row],[Avg stop time helper]]</f>
        <v>0</v>
      </c>
    </row>
    <row r="314" spans="1:49" x14ac:dyDescent="0.3">
      <c r="A314" s="66" t="s">
        <v>4414</v>
      </c>
      <c r="B314" s="58">
        <v>12</v>
      </c>
      <c r="C314" s="58" t="s">
        <v>15</v>
      </c>
      <c r="D314" s="65">
        <v>532299</v>
      </c>
      <c r="E314" s="65" t="s">
        <v>42</v>
      </c>
      <c r="F314" s="65" t="s">
        <v>2947</v>
      </c>
      <c r="G314" s="65" t="s">
        <v>2946</v>
      </c>
      <c r="H314" s="65" t="s">
        <v>7</v>
      </c>
      <c r="I314" s="65" t="s">
        <v>12</v>
      </c>
      <c r="J314" s="65" t="s">
        <v>5</v>
      </c>
      <c r="K314" s="65" t="s">
        <v>2215</v>
      </c>
      <c r="L314" s="64" t="s">
        <v>67</v>
      </c>
      <c r="M314" s="58" t="s">
        <v>3</v>
      </c>
      <c r="N314" s="58" t="s">
        <v>2</v>
      </c>
      <c r="O314" s="58">
        <v>30</v>
      </c>
      <c r="P314" s="58">
        <v>0</v>
      </c>
      <c r="Q314" s="58">
        <v>0</v>
      </c>
      <c r="R314" s="58">
        <v>0</v>
      </c>
      <c r="S314" s="58">
        <v>0</v>
      </c>
      <c r="T314" s="58">
        <v>30</v>
      </c>
      <c r="U314" s="58">
        <v>52</v>
      </c>
      <c r="V314" s="62"/>
      <c r="W314" s="62"/>
      <c r="X314" s="63">
        <f>IFERROR(1 -(Master[[#This Row],[Avg Garment Scans per Delivery]]/Master[[#This Row],[Garment Inventory]]), 0)</f>
        <v>0</v>
      </c>
      <c r="Y314" s="62"/>
      <c r="Z314" s="62"/>
      <c r="AA314" s="53">
        <v>35</v>
      </c>
      <c r="AB314" s="53">
        <v>35</v>
      </c>
      <c r="AC314" s="53">
        <v>30.357142857142858</v>
      </c>
      <c r="AD314" s="53">
        <v>39.642857142857146</v>
      </c>
      <c r="AE314" s="53" t="str">
        <f>_xlfn.XLOOKUP(Master[[#This Row],[cu_id]],'[1]Customer Revenue'!$Q:$Q,'[1]Customer Revenue'!$K:$K, "None")</f>
        <v>None</v>
      </c>
      <c r="AF314" s="53" t="str">
        <f>_xlfn.XLOOKUP(Master[[#This Row],[cu_id]],'[1]Customer Revenue'!$Q:$Q,'[1]Customer Revenue'!$L:$L, "None")</f>
        <v>None</v>
      </c>
      <c r="AG314" s="53">
        <v>30.357142857142858</v>
      </c>
      <c r="AH314" s="53">
        <v>39.642857142857146</v>
      </c>
      <c r="AI314" s="53">
        <v>35</v>
      </c>
      <c r="AJ314" s="53">
        <v>35</v>
      </c>
      <c r="AK314" s="53" t="str">
        <f>_xlfn.XLOOKUP(Master[[#This Row],[cu_id]],'[1]Customer Revenue'!$Q:$Q,'[1]Customer Revenue'!$I:$I, "None")</f>
        <v>None</v>
      </c>
      <c r="AL314" s="53">
        <v>35</v>
      </c>
      <c r="AM314" s="61">
        <v>0.33333333333333331</v>
      </c>
      <c r="AN314" s="60">
        <v>0.66666666666666663</v>
      </c>
      <c r="AO314" s="60" t="s">
        <v>36</v>
      </c>
      <c r="AP314" s="60" t="s">
        <v>36</v>
      </c>
      <c r="AQ314" s="58" t="s">
        <v>0</v>
      </c>
      <c r="AR314" s="58"/>
      <c r="AS314" s="58"/>
      <c r="AT314" s="52">
        <v>0</v>
      </c>
      <c r="AU314" s="52" t="e">
        <f>IF(Master[[#This Row],[RSP StopTime override]] &lt;&gt; "",Master[[#This Row],[RSP StopTime override]],IF(Master[[#This Row],[Avg stop time helper]] &lt;&gt; 0, Master[[#This Row],[Avg stop time helper]],Average_Stop_Time))</f>
        <v>#DIV/0!</v>
      </c>
      <c r="AV314" s="21"/>
      <c r="AW314" s="20">
        <f>Master[[#This Row],[RSP StopTime override]]-Master[[#This Row],[Avg stop time helper]]</f>
        <v>0</v>
      </c>
    </row>
    <row r="315" spans="1:49" x14ac:dyDescent="0.3">
      <c r="A315" s="66" t="s">
        <v>4415</v>
      </c>
      <c r="B315" s="58">
        <v>12</v>
      </c>
      <c r="C315" s="58" t="s">
        <v>15</v>
      </c>
      <c r="D315" s="65">
        <v>532319</v>
      </c>
      <c r="E315" s="65" t="s">
        <v>42</v>
      </c>
      <c r="F315" s="65" t="s">
        <v>2945</v>
      </c>
      <c r="G315" s="65" t="s">
        <v>2944</v>
      </c>
      <c r="H315" s="65" t="s">
        <v>7</v>
      </c>
      <c r="I315" s="65" t="s">
        <v>12</v>
      </c>
      <c r="J315" s="65" t="s">
        <v>5</v>
      </c>
      <c r="K315" s="65" t="s">
        <v>2215</v>
      </c>
      <c r="L315" s="64" t="s">
        <v>67</v>
      </c>
      <c r="M315" s="58" t="s">
        <v>3</v>
      </c>
      <c r="N315" s="58" t="s">
        <v>2</v>
      </c>
      <c r="O315" s="58">
        <v>70</v>
      </c>
      <c r="P315" s="58">
        <v>0</v>
      </c>
      <c r="Q315" s="58">
        <v>0</v>
      </c>
      <c r="R315" s="58">
        <v>0</v>
      </c>
      <c r="S315" s="58">
        <v>0</v>
      </c>
      <c r="T315" s="58">
        <v>70</v>
      </c>
      <c r="U315" s="58">
        <v>54</v>
      </c>
      <c r="V315" s="62"/>
      <c r="W315" s="62"/>
      <c r="X315" s="63">
        <f>IFERROR(1 -(Master[[#This Row],[Avg Garment Scans per Delivery]]/Master[[#This Row],[Garment Inventory]]), 0)</f>
        <v>0</v>
      </c>
      <c r="Y315" s="62"/>
      <c r="Z315" s="62"/>
      <c r="AA315" s="53">
        <v>62.191666666666677</v>
      </c>
      <c r="AB315" s="53">
        <v>103.25833333333334</v>
      </c>
      <c r="AC315" s="53">
        <v>63.269324960753529</v>
      </c>
      <c r="AD315" s="53">
        <v>117.88605965463108</v>
      </c>
      <c r="AE315" s="53" t="str">
        <f>_xlfn.XLOOKUP(Master[[#This Row],[cu_id]],'[1]Customer Revenue'!$Q:$Q,'[1]Customer Revenue'!$K:$K, "None")</f>
        <v>None</v>
      </c>
      <c r="AF315" s="53" t="str">
        <f>_xlfn.XLOOKUP(Master[[#This Row],[cu_id]],'[1]Customer Revenue'!$Q:$Q,'[1]Customer Revenue'!$L:$L, "None")</f>
        <v>None</v>
      </c>
      <c r="AG315" s="53">
        <v>58.508351648351677</v>
      </c>
      <c r="AH315" s="53">
        <v>101.08549450549454</v>
      </c>
      <c r="AI315" s="53">
        <v>82.725000000000009</v>
      </c>
      <c r="AJ315" s="53">
        <v>90.577692307692303</v>
      </c>
      <c r="AK315" s="53" t="str">
        <f>_xlfn.XLOOKUP(Master[[#This Row],[cu_id]],'[1]Customer Revenue'!$Q:$Q,'[1]Customer Revenue'!$I:$I, "None")</f>
        <v>None</v>
      </c>
      <c r="AL315" s="53">
        <v>79.796923076923107</v>
      </c>
      <c r="AM315" s="61">
        <v>0.29166666666666669</v>
      </c>
      <c r="AN315" s="60">
        <v>0.66666666666666663</v>
      </c>
      <c r="AO315" s="60" t="s">
        <v>36</v>
      </c>
      <c r="AP315" s="60" t="s">
        <v>36</v>
      </c>
      <c r="AQ315" s="58" t="s">
        <v>0</v>
      </c>
      <c r="AR315" s="58"/>
      <c r="AS315" s="58"/>
      <c r="AT315" s="52">
        <v>0</v>
      </c>
      <c r="AU315" s="52" t="e">
        <f>IF(Master[[#This Row],[RSP StopTime override]] &lt;&gt; "",Master[[#This Row],[RSP StopTime override]],IF(Master[[#This Row],[Avg stop time helper]] &lt;&gt; 0, Master[[#This Row],[Avg stop time helper]],Average_Stop_Time))</f>
        <v>#DIV/0!</v>
      </c>
      <c r="AV315" s="21"/>
      <c r="AW315" s="20">
        <f>Master[[#This Row],[RSP StopTime override]]-Master[[#This Row],[Avg stop time helper]]</f>
        <v>0</v>
      </c>
    </row>
    <row r="316" spans="1:49" x14ac:dyDescent="0.3">
      <c r="A316" s="66" t="s">
        <v>4416</v>
      </c>
      <c r="B316" s="58">
        <v>12</v>
      </c>
      <c r="C316" s="58" t="s">
        <v>15</v>
      </c>
      <c r="D316" s="65">
        <v>533082</v>
      </c>
      <c r="E316" s="65" t="s">
        <v>42</v>
      </c>
      <c r="F316" s="65" t="s">
        <v>2943</v>
      </c>
      <c r="G316" s="65" t="s">
        <v>2942</v>
      </c>
      <c r="H316" s="65" t="s">
        <v>7</v>
      </c>
      <c r="I316" s="65" t="s">
        <v>12</v>
      </c>
      <c r="J316" s="65" t="s">
        <v>5</v>
      </c>
      <c r="K316" s="65" t="s">
        <v>197</v>
      </c>
      <c r="L316" s="64" t="s">
        <v>67</v>
      </c>
      <c r="M316" s="58" t="s">
        <v>3</v>
      </c>
      <c r="N316" s="58" t="s">
        <v>2</v>
      </c>
      <c r="O316" s="58">
        <v>160</v>
      </c>
      <c r="P316" s="58">
        <v>0</v>
      </c>
      <c r="Q316" s="58">
        <v>0</v>
      </c>
      <c r="R316" s="58">
        <v>0</v>
      </c>
      <c r="S316" s="58">
        <v>0</v>
      </c>
      <c r="T316" s="58">
        <v>160</v>
      </c>
      <c r="U316" s="58">
        <v>19</v>
      </c>
      <c r="V316" s="62"/>
      <c r="W316" s="62"/>
      <c r="X316" s="63">
        <f>IFERROR(1 -(Master[[#This Row],[Avg Garment Scans per Delivery]]/Master[[#This Row],[Garment Inventory]]), 0)</f>
        <v>0</v>
      </c>
      <c r="Y316" s="62"/>
      <c r="Z316" s="62"/>
      <c r="AA316" s="53">
        <v>48.113232323232332</v>
      </c>
      <c r="AB316" s="53">
        <v>117.69767676767677</v>
      </c>
      <c r="AC316" s="53">
        <v>52.888875739644966</v>
      </c>
      <c r="AD316" s="53">
        <v>102.20035502958581</v>
      </c>
      <c r="AE316" s="53" t="str">
        <f>_xlfn.XLOOKUP(Master[[#This Row],[cu_id]],'[1]Customer Revenue'!$Q:$Q,'[1]Customer Revenue'!$K:$K, "None")</f>
        <v>None</v>
      </c>
      <c r="AF316" s="53" t="str">
        <f>_xlfn.XLOOKUP(Master[[#This Row],[cu_id]],'[1]Customer Revenue'!$Q:$Q,'[1]Customer Revenue'!$L:$L, "None")</f>
        <v>None</v>
      </c>
      <c r="AG316" s="53">
        <v>32.632358276643998</v>
      </c>
      <c r="AH316" s="53">
        <v>158.04478458049888</v>
      </c>
      <c r="AI316" s="53">
        <v>82.905454545454546</v>
      </c>
      <c r="AJ316" s="53">
        <v>77.544615384615383</v>
      </c>
      <c r="AK316" s="53" t="str">
        <f>_xlfn.XLOOKUP(Master[[#This Row],[cu_id]],'[1]Customer Revenue'!$Q:$Q,'[1]Customer Revenue'!$I:$I, "None")</f>
        <v>None</v>
      </c>
      <c r="AL316" s="53">
        <v>95.338571428571441</v>
      </c>
      <c r="AM316" s="61">
        <v>0.33333333333333331</v>
      </c>
      <c r="AN316" s="60">
        <v>0.58333333333333337</v>
      </c>
      <c r="AO316" s="60" t="s">
        <v>36</v>
      </c>
      <c r="AP316" s="60" t="s">
        <v>36</v>
      </c>
      <c r="AQ316" s="58" t="s">
        <v>0</v>
      </c>
      <c r="AR316" s="58"/>
      <c r="AS316" s="58"/>
      <c r="AT316" s="52">
        <v>0</v>
      </c>
      <c r="AU316" s="52" t="e">
        <f>IF(Master[[#This Row],[RSP StopTime override]] &lt;&gt; "",Master[[#This Row],[RSP StopTime override]],IF(Master[[#This Row],[Avg stop time helper]] &lt;&gt; 0, Master[[#This Row],[Avg stop time helper]],Average_Stop_Time))</f>
        <v>#DIV/0!</v>
      </c>
      <c r="AV316" s="21"/>
      <c r="AW316" s="20">
        <f>Master[[#This Row],[RSP StopTime override]]-Master[[#This Row],[Avg stop time helper]]</f>
        <v>0</v>
      </c>
    </row>
    <row r="317" spans="1:49" x14ac:dyDescent="0.3">
      <c r="A317" s="73" t="s">
        <v>4016</v>
      </c>
      <c r="B317" s="64">
        <v>12</v>
      </c>
      <c r="C317" s="64" t="s">
        <v>35</v>
      </c>
      <c r="D317" s="65">
        <v>99161</v>
      </c>
      <c r="E317" s="65" t="s">
        <v>2701</v>
      </c>
      <c r="F317" s="65" t="s">
        <v>3615</v>
      </c>
      <c r="G317" s="65" t="s">
        <v>3124</v>
      </c>
      <c r="H317" s="65" t="s">
        <v>7</v>
      </c>
      <c r="I317" s="65" t="s">
        <v>1582</v>
      </c>
      <c r="J317" s="65" t="s">
        <v>5</v>
      </c>
      <c r="K317" s="65" t="s">
        <v>57</v>
      </c>
      <c r="L317" s="64" t="s">
        <v>67</v>
      </c>
      <c r="M317" s="65" t="s">
        <v>3</v>
      </c>
      <c r="N317" s="65" t="s">
        <v>2</v>
      </c>
      <c r="O317" s="65">
        <v>1</v>
      </c>
      <c r="P317" s="65">
        <v>0</v>
      </c>
      <c r="Q317" s="65">
        <v>1</v>
      </c>
      <c r="R317" s="65">
        <v>0</v>
      </c>
      <c r="S317" s="65">
        <v>0</v>
      </c>
      <c r="T317" s="65">
        <v>0</v>
      </c>
      <c r="U317" s="65"/>
      <c r="V317" s="65"/>
      <c r="W317" s="65"/>
      <c r="X317" s="72">
        <f>IFERROR(1 -(Master[[#This Row],[Avg Garment Scans per Delivery]]/Master[[#This Row],[Garment Inventory]]), 0)</f>
        <v>0</v>
      </c>
      <c r="Y317" s="65"/>
      <c r="Z317" s="65"/>
      <c r="AA317" s="53"/>
      <c r="AB317" s="53"/>
      <c r="AC317" s="53"/>
      <c r="AD317" s="53"/>
      <c r="AE317" s="53" t="str">
        <f>_xlfn.XLOOKUP(Master[[#This Row],[cu_id]],'[1]Customer Revenue'!$Q:$Q,'[1]Customer Revenue'!$K:$K, "0")</f>
        <v>0</v>
      </c>
      <c r="AF317" s="53" t="str">
        <f>_xlfn.XLOOKUP(Master[[#This Row],[cu_id]],'[1]Customer Revenue'!$Q:$Q,'[1]Customer Revenue'!$L:$L, "0")</f>
        <v>0</v>
      </c>
      <c r="AG317" s="53"/>
      <c r="AH317" s="53"/>
      <c r="AI317" s="53"/>
      <c r="AJ317" s="53"/>
      <c r="AK317" s="53" t="str">
        <f>_xlfn.XLOOKUP(Master[[#This Row],[cu_id]],'[1]Customer Revenue'!$Q:$Q,'[1]Customer Revenue'!$I:$I, "0")</f>
        <v>0</v>
      </c>
      <c r="AL317" s="53"/>
      <c r="AM317" s="61">
        <v>0.375</v>
      </c>
      <c r="AN317" s="60">
        <v>0</v>
      </c>
      <c r="AO317" s="71" t="s">
        <v>36</v>
      </c>
      <c r="AP317" s="71" t="s">
        <v>36</v>
      </c>
      <c r="AQ317" s="58" t="s">
        <v>305</v>
      </c>
      <c r="AR317" s="58"/>
      <c r="AS317" s="58"/>
      <c r="AT317" s="52">
        <v>0</v>
      </c>
      <c r="AU317" s="52" t="e">
        <f>IF(Master[[#This Row],[RSP StopTime override]] &lt;&gt; "",Master[[#This Row],[RSP StopTime override]],IF(Master[[#This Row],[Avg stop time helper]] &lt;&gt; 0, Master[[#This Row],[Avg stop time helper]],Average_Stop_Time))</f>
        <v>#DIV/0!</v>
      </c>
      <c r="AV317" s="21"/>
      <c r="AW317" s="20">
        <f>Master[[#This Row],[RSP StopTime override]]-Master[[#This Row],[Avg stop time helper]]</f>
        <v>0</v>
      </c>
    </row>
    <row r="318" spans="1:49" x14ac:dyDescent="0.3">
      <c r="A318" s="66" t="s">
        <v>4417</v>
      </c>
      <c r="B318" s="58">
        <v>12</v>
      </c>
      <c r="C318" s="58" t="s">
        <v>15</v>
      </c>
      <c r="D318" s="65">
        <v>599000</v>
      </c>
      <c r="E318" s="65" t="s">
        <v>1156</v>
      </c>
      <c r="F318" s="65" t="s">
        <v>1200</v>
      </c>
      <c r="G318" s="65" t="s">
        <v>2940</v>
      </c>
      <c r="H318" s="65" t="s">
        <v>32</v>
      </c>
      <c r="I318" s="65" t="s">
        <v>2939</v>
      </c>
      <c r="J318" s="65" t="s">
        <v>5</v>
      </c>
      <c r="K318" s="65" t="s">
        <v>197</v>
      </c>
      <c r="L318" s="64" t="s">
        <v>67</v>
      </c>
      <c r="M318" s="58" t="s">
        <v>3</v>
      </c>
      <c r="N318" s="58" t="s">
        <v>2</v>
      </c>
      <c r="O318" s="58">
        <v>140</v>
      </c>
      <c r="P318" s="58">
        <v>0</v>
      </c>
      <c r="Q318" s="58">
        <v>0</v>
      </c>
      <c r="R318" s="58">
        <v>0</v>
      </c>
      <c r="S318" s="58">
        <v>0</v>
      </c>
      <c r="T318" s="58">
        <v>140</v>
      </c>
      <c r="U318" s="58">
        <v>52</v>
      </c>
      <c r="V318" s="62">
        <v>78</v>
      </c>
      <c r="W318" s="62">
        <v>6</v>
      </c>
      <c r="X318" s="63">
        <f>IFERROR(1 -(Master[[#This Row],[Avg Garment Scans per Delivery]]/Master[[#This Row],[Garment Inventory]]), 0)</f>
        <v>0.92307692307692313</v>
      </c>
      <c r="Y318" s="62">
        <v>3</v>
      </c>
      <c r="Z318" s="62">
        <v>77</v>
      </c>
      <c r="AA318" s="53">
        <v>35.122361111111104</v>
      </c>
      <c r="AB318" s="53">
        <v>46.845972222222215</v>
      </c>
      <c r="AC318" s="53">
        <v>46.908402366863896</v>
      </c>
      <c r="AD318" s="53">
        <v>48.143905325443768</v>
      </c>
      <c r="AE318" s="53" t="str">
        <f>_xlfn.XLOOKUP(Master[[#This Row],[cu_id]],'[1]Customer Revenue'!$Q:$Q,'[1]Customer Revenue'!$K:$K, "None")</f>
        <v>None</v>
      </c>
      <c r="AF318" s="53" t="str">
        <f>_xlfn.XLOOKUP(Master[[#This Row],[cu_id]],'[1]Customer Revenue'!$Q:$Q,'[1]Customer Revenue'!$L:$L, "None")</f>
        <v>None</v>
      </c>
      <c r="AG318" s="53">
        <v>39.065976331360979</v>
      </c>
      <c r="AH318" s="53">
        <v>45.460946745562133</v>
      </c>
      <c r="AI318" s="53">
        <v>40.98416666666666</v>
      </c>
      <c r="AJ318" s="53">
        <v>47.526153846153832</v>
      </c>
      <c r="AK318" s="53" t="str">
        <f>_xlfn.XLOOKUP(Master[[#This Row],[cu_id]],'[1]Customer Revenue'!$Q:$Q,'[1]Customer Revenue'!$I:$I, "None")</f>
        <v>None</v>
      </c>
      <c r="AL318" s="53">
        <v>42.263461538461556</v>
      </c>
      <c r="AM318" s="61">
        <v>0.25</v>
      </c>
      <c r="AN318" s="60">
        <v>0.60416666666666663</v>
      </c>
      <c r="AO318" s="60" t="s">
        <v>36</v>
      </c>
      <c r="AP318" s="60" t="s">
        <v>36</v>
      </c>
      <c r="AQ318" s="58" t="s">
        <v>0</v>
      </c>
      <c r="AR318" s="58"/>
      <c r="AS318" s="58"/>
      <c r="AT318" s="52">
        <v>0</v>
      </c>
      <c r="AU318" s="52" t="e">
        <f>IF(Master[[#This Row],[RSP StopTime override]] &lt;&gt; "",Master[[#This Row],[RSP StopTime override]],IF(Master[[#This Row],[Avg stop time helper]] &lt;&gt; 0, Master[[#This Row],[Avg stop time helper]],Average_Stop_Time))</f>
        <v>#DIV/0!</v>
      </c>
      <c r="AV318" s="21"/>
      <c r="AW318" s="20">
        <f>Master[[#This Row],[RSP StopTime override]]-Master[[#This Row],[Avg stop time helper]]</f>
        <v>0</v>
      </c>
    </row>
    <row r="319" spans="1:49" x14ac:dyDescent="0.3">
      <c r="A319" s="66" t="s">
        <v>4418</v>
      </c>
      <c r="B319" s="58">
        <v>47</v>
      </c>
      <c r="C319" s="58" t="s">
        <v>24</v>
      </c>
      <c r="D319" s="65">
        <v>99031</v>
      </c>
      <c r="E319" s="65" t="s">
        <v>1526</v>
      </c>
      <c r="F319" s="65" t="s">
        <v>2938</v>
      </c>
      <c r="G319" s="65" t="s">
        <v>2937</v>
      </c>
      <c r="H319" s="65" t="s">
        <v>1178</v>
      </c>
      <c r="I319" s="65" t="s">
        <v>2081</v>
      </c>
      <c r="J319" s="65" t="s">
        <v>5</v>
      </c>
      <c r="K319" s="65" t="s">
        <v>2080</v>
      </c>
      <c r="L319" s="64" t="s">
        <v>67</v>
      </c>
      <c r="M319" s="58" t="s">
        <v>3</v>
      </c>
      <c r="N319" s="58" t="s">
        <v>2</v>
      </c>
      <c r="O319" s="58">
        <v>10</v>
      </c>
      <c r="P319" s="58">
        <v>10</v>
      </c>
      <c r="Q319" s="58">
        <v>0</v>
      </c>
      <c r="R319" s="58">
        <v>0</v>
      </c>
      <c r="S319" s="58">
        <v>0</v>
      </c>
      <c r="T319" s="58">
        <v>0</v>
      </c>
      <c r="U319" s="58">
        <v>51</v>
      </c>
      <c r="V319" s="62"/>
      <c r="W319" s="62"/>
      <c r="X319" s="63">
        <f>IFERROR(1 -(Master[[#This Row],[Avg Garment Scans per Delivery]]/Master[[#This Row],[Garment Inventory]]), 0)</f>
        <v>0</v>
      </c>
      <c r="Y319" s="62"/>
      <c r="Z319" s="62"/>
      <c r="AA319" s="53">
        <v>50.671711145996852</v>
      </c>
      <c r="AB319" s="53">
        <v>96.879058084772367</v>
      </c>
      <c r="AC319" s="53">
        <v>67.645207100591719</v>
      </c>
      <c r="AD319" s="53">
        <v>128.8901775147929</v>
      </c>
      <c r="AE319" s="53" t="str">
        <f>_xlfn.XLOOKUP(Master[[#This Row],[cu_id]],'[1]Customer Revenue'!$Q:$Q,'[1]Customer Revenue'!$K:$K, "None")</f>
        <v>None</v>
      </c>
      <c r="AF319" s="53" t="str">
        <f>_xlfn.XLOOKUP(Master[[#This Row],[cu_id]],'[1]Customer Revenue'!$Q:$Q,'[1]Customer Revenue'!$L:$L, "None")</f>
        <v>None</v>
      </c>
      <c r="AG319" s="53">
        <v>49.660906404980473</v>
      </c>
      <c r="AH319" s="53">
        <v>93.740632056557985</v>
      </c>
      <c r="AI319" s="53">
        <v>73.77538461538461</v>
      </c>
      <c r="AJ319" s="53">
        <v>98.267692307692315</v>
      </c>
      <c r="AK319" s="53" t="str">
        <f>_xlfn.XLOOKUP(Master[[#This Row],[cu_id]],'[1]Customer Revenue'!$Q:$Q,'[1]Customer Revenue'!$I:$I, "None")</f>
        <v>None</v>
      </c>
      <c r="AL319" s="53">
        <v>71.700769230769225</v>
      </c>
      <c r="AM319" s="61" t="s">
        <v>36</v>
      </c>
      <c r="AN319" s="60" t="s">
        <v>36</v>
      </c>
      <c r="AO319" s="60" t="s">
        <v>36</v>
      </c>
      <c r="AP319" s="60" t="s">
        <v>36</v>
      </c>
      <c r="AQ319" s="58" t="s">
        <v>0</v>
      </c>
      <c r="AR319" s="58"/>
      <c r="AS319" s="58"/>
      <c r="AT319" s="52">
        <v>0</v>
      </c>
      <c r="AU319" s="52" t="e">
        <f>IF(Master[[#This Row],[RSP StopTime override]] &lt;&gt; "",Master[[#This Row],[RSP StopTime override]],IF(Master[[#This Row],[Avg stop time helper]] &lt;&gt; 0, Master[[#This Row],[Avg stop time helper]],Average_Stop_Time))</f>
        <v>#DIV/0!</v>
      </c>
      <c r="AV319" s="21"/>
      <c r="AW319" s="20">
        <f>Master[[#This Row],[RSP StopTime override]]-Master[[#This Row],[Avg stop time helper]]</f>
        <v>0</v>
      </c>
    </row>
    <row r="320" spans="1:49" x14ac:dyDescent="0.3">
      <c r="A320" s="66" t="s">
        <v>4419</v>
      </c>
      <c r="B320" s="58">
        <v>47</v>
      </c>
      <c r="C320" s="58" t="s">
        <v>24</v>
      </c>
      <c r="D320" s="65">
        <v>99031</v>
      </c>
      <c r="E320" s="65" t="s">
        <v>1910</v>
      </c>
      <c r="F320" s="65" t="s">
        <v>2936</v>
      </c>
      <c r="G320" s="65" t="s">
        <v>2935</v>
      </c>
      <c r="H320" s="65" t="s">
        <v>7</v>
      </c>
      <c r="I320" s="65" t="s">
        <v>2884</v>
      </c>
      <c r="J320" s="65" t="s">
        <v>5</v>
      </c>
      <c r="K320" s="65" t="s">
        <v>2883</v>
      </c>
      <c r="L320" s="64" t="s">
        <v>77</v>
      </c>
      <c r="M320" s="58" t="s">
        <v>29</v>
      </c>
      <c r="N320" s="58" t="s">
        <v>2</v>
      </c>
      <c r="O320" s="58">
        <v>90</v>
      </c>
      <c r="P320" s="58">
        <v>90</v>
      </c>
      <c r="Q320" s="58">
        <v>0</v>
      </c>
      <c r="R320" s="58">
        <v>0</v>
      </c>
      <c r="S320" s="58">
        <v>0</v>
      </c>
      <c r="T320" s="58">
        <v>0</v>
      </c>
      <c r="U320" s="58">
        <v>27</v>
      </c>
      <c r="V320" s="62"/>
      <c r="W320" s="62"/>
      <c r="X320" s="63">
        <f>IFERROR(1 -(Master[[#This Row],[Avg Garment Scans per Delivery]]/Master[[#This Row],[Garment Inventory]]), 0)</f>
        <v>0</v>
      </c>
      <c r="Y320" s="62"/>
      <c r="Z320" s="62"/>
      <c r="AA320" s="53">
        <v>85.908333333333317</v>
      </c>
      <c r="AB320" s="53">
        <v>128.80166666666665</v>
      </c>
      <c r="AC320" s="53">
        <v>86.573265306122437</v>
      </c>
      <c r="AD320" s="53">
        <v>135.29816326530613</v>
      </c>
      <c r="AE320" s="53" t="str">
        <f>_xlfn.XLOOKUP(Master[[#This Row],[cu_id]],'[1]Customer Revenue'!$Q:$Q,'[1]Customer Revenue'!$K:$K, "None")</f>
        <v>None</v>
      </c>
      <c r="AF320" s="53" t="str">
        <f>_xlfn.XLOOKUP(Master[[#This Row],[cu_id]],'[1]Customer Revenue'!$Q:$Q,'[1]Customer Revenue'!$L:$L, "None")</f>
        <v>None</v>
      </c>
      <c r="AG320" s="53">
        <v>84.877069841269829</v>
      </c>
      <c r="AH320" s="53">
        <v>140.00435873015871</v>
      </c>
      <c r="AI320" s="53">
        <v>107.35499999999998</v>
      </c>
      <c r="AJ320" s="53">
        <v>110.93571428571428</v>
      </c>
      <c r="AK320" s="53" t="str">
        <f>_xlfn.XLOOKUP(Master[[#This Row],[cu_id]],'[1]Customer Revenue'!$Q:$Q,'[1]Customer Revenue'!$I:$I, "None")</f>
        <v>None</v>
      </c>
      <c r="AL320" s="53">
        <v>112.44071428571428</v>
      </c>
      <c r="AM320" s="61" t="s">
        <v>36</v>
      </c>
      <c r="AN320" s="60" t="s">
        <v>36</v>
      </c>
      <c r="AO320" s="60" t="s">
        <v>36</v>
      </c>
      <c r="AP320" s="60" t="s">
        <v>36</v>
      </c>
      <c r="AQ320" s="58" t="s">
        <v>0</v>
      </c>
      <c r="AR320" s="58"/>
      <c r="AS320" s="58"/>
      <c r="AT320" s="52">
        <v>0</v>
      </c>
      <c r="AU320" s="52" t="e">
        <f>IF(Master[[#This Row],[RSP StopTime override]] &lt;&gt; "",Master[[#This Row],[RSP StopTime override]],IF(Master[[#This Row],[Avg stop time helper]] &lt;&gt; 0, Master[[#This Row],[Avg stop time helper]],Average_Stop_Time))</f>
        <v>#DIV/0!</v>
      </c>
      <c r="AV320" s="21"/>
      <c r="AW320" s="20">
        <f>Master[[#This Row],[RSP StopTime override]]-Master[[#This Row],[Avg stop time helper]]</f>
        <v>0</v>
      </c>
    </row>
    <row r="321" spans="1:49" x14ac:dyDescent="0.3">
      <c r="A321" s="66" t="s">
        <v>4420</v>
      </c>
      <c r="B321" s="58">
        <v>47</v>
      </c>
      <c r="C321" s="58" t="s">
        <v>24</v>
      </c>
      <c r="D321" s="65">
        <v>99059</v>
      </c>
      <c r="E321" s="65" t="s">
        <v>1572</v>
      </c>
      <c r="F321" s="65" t="s">
        <v>3616</v>
      </c>
      <c r="G321" s="65" t="s">
        <v>2934</v>
      </c>
      <c r="H321" s="65" t="s">
        <v>32</v>
      </c>
      <c r="I321" s="65" t="s">
        <v>2572</v>
      </c>
      <c r="J321" s="65" t="s">
        <v>5</v>
      </c>
      <c r="K321" s="65" t="s">
        <v>2080</v>
      </c>
      <c r="L321" s="64" t="s">
        <v>67</v>
      </c>
      <c r="M321" s="58" t="s">
        <v>3</v>
      </c>
      <c r="N321" s="58" t="s">
        <v>2</v>
      </c>
      <c r="O321" s="58">
        <v>15</v>
      </c>
      <c r="P321" s="58">
        <v>15</v>
      </c>
      <c r="Q321" s="58">
        <v>0</v>
      </c>
      <c r="R321" s="58">
        <v>0</v>
      </c>
      <c r="S321" s="58">
        <v>0</v>
      </c>
      <c r="T321" s="58">
        <v>0</v>
      </c>
      <c r="U321" s="58">
        <v>52</v>
      </c>
      <c r="V321" s="62">
        <v>158</v>
      </c>
      <c r="W321" s="62">
        <v>44</v>
      </c>
      <c r="X321" s="63">
        <f>IFERROR(1 -(Master[[#This Row],[Avg Garment Scans per Delivery]]/Master[[#This Row],[Garment Inventory]]), 0)</f>
        <v>0.72151898734177222</v>
      </c>
      <c r="Y321" s="62">
        <v>14</v>
      </c>
      <c r="Z321" s="62">
        <v>156</v>
      </c>
      <c r="AA321" s="53">
        <v>151.10946745562131</v>
      </c>
      <c r="AB321" s="53">
        <v>189.87514792899407</v>
      </c>
      <c r="AC321" s="53">
        <v>155.10207100591714</v>
      </c>
      <c r="AD321" s="53">
        <v>201.17331360946747</v>
      </c>
      <c r="AE321" s="53" t="str">
        <f>_xlfn.XLOOKUP(Master[[#This Row],[cu_id]],'[1]Customer Revenue'!$Q:$Q,'[1]Customer Revenue'!$K:$K, "None")</f>
        <v>None</v>
      </c>
      <c r="AF321" s="53" t="str">
        <f>_xlfn.XLOOKUP(Master[[#This Row],[cu_id]],'[1]Customer Revenue'!$Q:$Q,'[1]Customer Revenue'!$L:$L, "None")</f>
        <v>None</v>
      </c>
      <c r="AG321" s="53">
        <v>149.5649112426035</v>
      </c>
      <c r="AH321" s="53">
        <v>189.84124260355026</v>
      </c>
      <c r="AI321" s="53">
        <v>170.49230769230769</v>
      </c>
      <c r="AJ321" s="53">
        <v>178.1376923076923</v>
      </c>
      <c r="AK321" s="53" t="str">
        <f>_xlfn.XLOOKUP(Master[[#This Row],[cu_id]],'[1]Customer Revenue'!$Q:$Q,'[1]Customer Revenue'!$I:$I, "None")</f>
        <v>None</v>
      </c>
      <c r="AL321" s="53">
        <v>169.70307692307688</v>
      </c>
      <c r="AM321" s="61">
        <v>0.25</v>
      </c>
      <c r="AN321" s="60">
        <v>0.875</v>
      </c>
      <c r="AO321" s="60" t="s">
        <v>36</v>
      </c>
      <c r="AP321" s="60" t="s">
        <v>36</v>
      </c>
      <c r="AQ321" s="58" t="s">
        <v>0</v>
      </c>
      <c r="AR321" s="58"/>
      <c r="AS321" s="58"/>
      <c r="AT321" s="52">
        <v>0</v>
      </c>
      <c r="AU321" s="52" t="e">
        <f>IF(Master[[#This Row],[RSP StopTime override]] &lt;&gt; "",Master[[#This Row],[RSP StopTime override]],IF(Master[[#This Row],[Avg stop time helper]] &lt;&gt; 0, Master[[#This Row],[Avg stop time helper]],Average_Stop_Time))</f>
        <v>#DIV/0!</v>
      </c>
      <c r="AV321" s="21"/>
      <c r="AW321" s="20">
        <f>Master[[#This Row],[RSP StopTime override]]-Master[[#This Row],[Avg stop time helper]]</f>
        <v>0</v>
      </c>
    </row>
    <row r="322" spans="1:49" x14ac:dyDescent="0.3">
      <c r="A322" s="66" t="s">
        <v>4421</v>
      </c>
      <c r="B322" s="58">
        <v>47</v>
      </c>
      <c r="C322" s="58" t="s">
        <v>24</v>
      </c>
      <c r="D322" s="65">
        <v>99062</v>
      </c>
      <c r="E322" s="65" t="s">
        <v>1181</v>
      </c>
      <c r="F322" s="65" t="s">
        <v>2933</v>
      </c>
      <c r="G322" s="65" t="s">
        <v>2932</v>
      </c>
      <c r="H322" s="65" t="s">
        <v>32</v>
      </c>
      <c r="I322" s="65" t="s">
        <v>2884</v>
      </c>
      <c r="J322" s="65" t="s">
        <v>5</v>
      </c>
      <c r="K322" s="65" t="s">
        <v>2883</v>
      </c>
      <c r="L322" s="64" t="s">
        <v>67</v>
      </c>
      <c r="M322" s="58" t="s">
        <v>3</v>
      </c>
      <c r="N322" s="58" t="s">
        <v>2</v>
      </c>
      <c r="O322" s="58">
        <v>75</v>
      </c>
      <c r="P322" s="58">
        <v>75</v>
      </c>
      <c r="Q322" s="58">
        <v>0</v>
      </c>
      <c r="R322" s="58">
        <v>0</v>
      </c>
      <c r="S322" s="58">
        <v>0</v>
      </c>
      <c r="T322" s="58">
        <v>0</v>
      </c>
      <c r="U322" s="58">
        <v>52</v>
      </c>
      <c r="V322" s="62"/>
      <c r="W322" s="62">
        <v>0</v>
      </c>
      <c r="X322" s="63">
        <f>IFERROR(1 -(Master[[#This Row],[Avg Garment Scans per Delivery]]/Master[[#This Row],[Garment Inventory]]), 0)</f>
        <v>0</v>
      </c>
      <c r="Y322" s="62"/>
      <c r="Z322" s="62"/>
      <c r="AA322" s="53">
        <v>61.371360946745554</v>
      </c>
      <c r="AB322" s="53">
        <v>94.127100591715973</v>
      </c>
      <c r="AC322" s="53">
        <v>54.792426035502963</v>
      </c>
      <c r="AD322" s="53">
        <v>160.97988165680474</v>
      </c>
      <c r="AE322" s="53" t="str">
        <f>_xlfn.XLOOKUP(Master[[#This Row],[cu_id]],'[1]Customer Revenue'!$Q:$Q,'[1]Customer Revenue'!$K:$K, "None")</f>
        <v>None</v>
      </c>
      <c r="AF322" s="53" t="str">
        <f>_xlfn.XLOOKUP(Master[[#This Row],[cu_id]],'[1]Customer Revenue'!$Q:$Q,'[1]Customer Revenue'!$L:$L, "None")</f>
        <v>None</v>
      </c>
      <c r="AG322" s="53">
        <v>67.653816568047375</v>
      </c>
      <c r="AH322" s="53">
        <v>100.44541420118347</v>
      </c>
      <c r="AI322" s="53">
        <v>77.749230769230763</v>
      </c>
      <c r="AJ322" s="53">
        <v>107.88615384615385</v>
      </c>
      <c r="AK322" s="53" t="str">
        <f>_xlfn.XLOOKUP(Master[[#This Row],[cu_id]],'[1]Customer Revenue'!$Q:$Q,'[1]Customer Revenue'!$I:$I, "None")</f>
        <v>None</v>
      </c>
      <c r="AL322" s="53">
        <v>84.049615384615421</v>
      </c>
      <c r="AM322" s="61" t="s">
        <v>1</v>
      </c>
      <c r="AN322" s="60" t="s">
        <v>1</v>
      </c>
      <c r="AO322" s="60" t="s">
        <v>36</v>
      </c>
      <c r="AP322" s="60" t="s">
        <v>36</v>
      </c>
      <c r="AQ322" s="58" t="s">
        <v>0</v>
      </c>
      <c r="AR322" s="58"/>
      <c r="AS322" s="58"/>
      <c r="AT322" s="52">
        <v>0</v>
      </c>
      <c r="AU322" s="52" t="e">
        <f>IF(Master[[#This Row],[RSP StopTime override]] &lt;&gt; "",Master[[#This Row],[RSP StopTime override]],IF(Master[[#This Row],[Avg stop time helper]] &lt;&gt; 0, Master[[#This Row],[Avg stop time helper]],Average_Stop_Time))</f>
        <v>#DIV/0!</v>
      </c>
      <c r="AV322" s="21"/>
      <c r="AW322" s="20">
        <f>Master[[#This Row],[RSP StopTime override]]-Master[[#This Row],[Avg stop time helper]]</f>
        <v>0</v>
      </c>
    </row>
    <row r="323" spans="1:49" x14ac:dyDescent="0.3">
      <c r="A323" s="66" t="s">
        <v>4422</v>
      </c>
      <c r="B323" s="58">
        <v>47</v>
      </c>
      <c r="C323" s="58" t="s">
        <v>24</v>
      </c>
      <c r="D323" s="65">
        <v>99094</v>
      </c>
      <c r="E323" s="65" t="s">
        <v>2173</v>
      </c>
      <c r="F323" s="65" t="s">
        <v>2931</v>
      </c>
      <c r="G323" s="65" t="s">
        <v>2930</v>
      </c>
      <c r="H323" s="65" t="s">
        <v>7</v>
      </c>
      <c r="I323" s="65" t="s">
        <v>1930</v>
      </c>
      <c r="J323" s="65" t="s">
        <v>5</v>
      </c>
      <c r="K323" s="65" t="s">
        <v>1929</v>
      </c>
      <c r="L323" s="64" t="s">
        <v>91</v>
      </c>
      <c r="M323" s="58" t="s">
        <v>90</v>
      </c>
      <c r="N323" s="58" t="s">
        <v>2</v>
      </c>
      <c r="O323" s="58">
        <v>130</v>
      </c>
      <c r="P323" s="58">
        <v>130</v>
      </c>
      <c r="Q323" s="58">
        <v>0</v>
      </c>
      <c r="R323" s="58">
        <v>0</v>
      </c>
      <c r="S323" s="58">
        <v>0</v>
      </c>
      <c r="T323" s="58">
        <v>0</v>
      </c>
      <c r="U323" s="58">
        <v>36</v>
      </c>
      <c r="V323" s="62"/>
      <c r="W323" s="62"/>
      <c r="X323" s="63">
        <f>IFERROR(1 -(Master[[#This Row],[Avg Garment Scans per Delivery]]/Master[[#This Row],[Garment Inventory]]), 0)</f>
        <v>0</v>
      </c>
      <c r="Y323" s="62"/>
      <c r="Z323" s="62"/>
      <c r="AA323" s="53">
        <v>32.474378698224861</v>
      </c>
      <c r="AB323" s="53">
        <v>35.933313609467454</v>
      </c>
      <c r="AC323" s="53">
        <v>19.222222222222221</v>
      </c>
      <c r="AD323" s="53">
        <v>49.977777777777781</v>
      </c>
      <c r="AE323" s="53" t="str">
        <f>_xlfn.XLOOKUP(Master[[#This Row],[cu_id]],'[1]Customer Revenue'!$Q:$Q,'[1]Customer Revenue'!$K:$K, "None")</f>
        <v>None</v>
      </c>
      <c r="AF323" s="53" t="str">
        <f>_xlfn.XLOOKUP(Master[[#This Row],[cu_id]],'[1]Customer Revenue'!$Q:$Q,'[1]Customer Revenue'!$L:$L, "None")</f>
        <v>None</v>
      </c>
      <c r="AG323" s="53">
        <v>28.843950850661621</v>
      </c>
      <c r="AH323" s="53">
        <v>36.732570888468807</v>
      </c>
      <c r="AI323" s="53">
        <v>34.203846153846158</v>
      </c>
      <c r="AJ323" s="53">
        <v>34.6</v>
      </c>
      <c r="AK323" s="53" t="str">
        <f>_xlfn.XLOOKUP(Master[[#This Row],[cu_id]],'[1]Customer Revenue'!$Q:$Q,'[1]Customer Revenue'!$I:$I, "None")</f>
        <v>None</v>
      </c>
      <c r="AL323" s="53">
        <v>32.788260869565214</v>
      </c>
      <c r="AM323" s="61">
        <v>0.375</v>
      </c>
      <c r="AN323" s="60">
        <v>0.70833333333333337</v>
      </c>
      <c r="AO323" s="60" t="s">
        <v>36</v>
      </c>
      <c r="AP323" s="60" t="s">
        <v>36</v>
      </c>
      <c r="AQ323" s="58" t="s">
        <v>0</v>
      </c>
      <c r="AR323" s="58"/>
      <c r="AS323" s="58"/>
      <c r="AT323" s="52">
        <v>0</v>
      </c>
      <c r="AU323" s="52" t="e">
        <f>IF(Master[[#This Row],[RSP StopTime override]] &lt;&gt; "",Master[[#This Row],[RSP StopTime override]],IF(Master[[#This Row],[Avg stop time helper]] &lt;&gt; 0, Master[[#This Row],[Avg stop time helper]],Average_Stop_Time))</f>
        <v>#DIV/0!</v>
      </c>
      <c r="AV323" s="21"/>
      <c r="AW323" s="20">
        <f>Master[[#This Row],[RSP StopTime override]]-Master[[#This Row],[Avg stop time helper]]</f>
        <v>0</v>
      </c>
    </row>
    <row r="324" spans="1:49" x14ac:dyDescent="0.3">
      <c r="A324" s="66" t="s">
        <v>4423</v>
      </c>
      <c r="B324" s="58">
        <v>47</v>
      </c>
      <c r="C324" s="58" t="s">
        <v>24</v>
      </c>
      <c r="D324" s="65">
        <v>99102</v>
      </c>
      <c r="E324" s="65" t="s">
        <v>42</v>
      </c>
      <c r="F324" s="65" t="s">
        <v>2929</v>
      </c>
      <c r="G324" s="65" t="s">
        <v>2928</v>
      </c>
      <c r="H324" s="65" t="s">
        <v>7</v>
      </c>
      <c r="I324" s="65" t="s">
        <v>2925</v>
      </c>
      <c r="J324" s="65" t="s">
        <v>5</v>
      </c>
      <c r="K324" s="65" t="s">
        <v>2924</v>
      </c>
      <c r="L324" s="64" t="s">
        <v>67</v>
      </c>
      <c r="M324" s="58" t="s">
        <v>3</v>
      </c>
      <c r="N324" s="58" t="s">
        <v>2</v>
      </c>
      <c r="O324" s="58">
        <v>110</v>
      </c>
      <c r="P324" s="58">
        <v>110</v>
      </c>
      <c r="Q324" s="58">
        <v>0</v>
      </c>
      <c r="R324" s="58">
        <v>0</v>
      </c>
      <c r="S324" s="58">
        <v>0</v>
      </c>
      <c r="T324" s="58">
        <v>0</v>
      </c>
      <c r="U324" s="58">
        <v>56</v>
      </c>
      <c r="V324" s="62"/>
      <c r="W324" s="62">
        <v>0</v>
      </c>
      <c r="X324" s="63">
        <f>IFERROR(1 -(Master[[#This Row],[Avg Garment Scans per Delivery]]/Master[[#This Row],[Garment Inventory]]), 0)</f>
        <v>0</v>
      </c>
      <c r="Y324" s="62"/>
      <c r="Z324" s="62"/>
      <c r="AA324" s="53">
        <v>484.62680473372785</v>
      </c>
      <c r="AB324" s="53">
        <v>536.36242603550318</v>
      </c>
      <c r="AC324" s="53">
        <v>368.28444126984141</v>
      </c>
      <c r="AD324" s="53">
        <v>603.07413015873021</v>
      </c>
      <c r="AE324" s="53" t="str">
        <f>_xlfn.XLOOKUP(Master[[#This Row],[cu_id]],'[1]Customer Revenue'!$Q:$Q,'[1]Customer Revenue'!$K:$K, "None")</f>
        <v>None</v>
      </c>
      <c r="AF324" s="53" t="str">
        <f>_xlfn.XLOOKUP(Master[[#This Row],[cu_id]],'[1]Customer Revenue'!$Q:$Q,'[1]Customer Revenue'!$L:$L, "None")</f>
        <v>None</v>
      </c>
      <c r="AG324" s="53">
        <v>487.98840236686385</v>
      </c>
      <c r="AH324" s="53">
        <v>521.02775147928969</v>
      </c>
      <c r="AI324" s="53">
        <v>510.49461538461549</v>
      </c>
      <c r="AJ324" s="53">
        <v>485.67928571428581</v>
      </c>
      <c r="AK324" s="53" t="str">
        <f>_xlfn.XLOOKUP(Master[[#This Row],[cu_id]],'[1]Customer Revenue'!$Q:$Q,'[1]Customer Revenue'!$I:$I, "None")</f>
        <v>None</v>
      </c>
      <c r="AL324" s="53">
        <v>504.50807692307677</v>
      </c>
      <c r="AM324" s="61">
        <v>0.25</v>
      </c>
      <c r="AN324" s="60">
        <v>0.70833333333333337</v>
      </c>
      <c r="AO324" s="60" t="s">
        <v>36</v>
      </c>
      <c r="AP324" s="60" t="s">
        <v>36</v>
      </c>
      <c r="AQ324" s="58" t="s">
        <v>0</v>
      </c>
      <c r="AR324" s="58"/>
      <c r="AS324" s="58"/>
      <c r="AT324" s="52">
        <v>0</v>
      </c>
      <c r="AU324" s="52">
        <f>IF(Master[[#This Row],[RSP StopTime override]] &lt;&gt; "",Master[[#This Row],[RSP StopTime override]],IF(Master[[#This Row],[Avg stop time helper]] &lt;&gt; 0, Master[[#This Row],[Avg stop time helper]],Average_Stop_Time))</f>
        <v>35</v>
      </c>
      <c r="AV324" s="21">
        <v>35</v>
      </c>
      <c r="AW324" s="20">
        <f>Master[[#This Row],[RSP StopTime override]]-Master[[#This Row],[Avg stop time helper]]</f>
        <v>35</v>
      </c>
    </row>
    <row r="325" spans="1:49" x14ac:dyDescent="0.3">
      <c r="A325" s="66" t="s">
        <v>4424</v>
      </c>
      <c r="B325" s="58">
        <v>47</v>
      </c>
      <c r="C325" s="58" t="s">
        <v>24</v>
      </c>
      <c r="D325" s="65">
        <v>99102</v>
      </c>
      <c r="E325" s="65" t="s">
        <v>686</v>
      </c>
      <c r="F325" s="65" t="s">
        <v>2927</v>
      </c>
      <c r="G325" s="65" t="s">
        <v>2926</v>
      </c>
      <c r="H325" s="65" t="s">
        <v>7</v>
      </c>
      <c r="I325" s="65" t="s">
        <v>2925</v>
      </c>
      <c r="J325" s="65" t="s">
        <v>5</v>
      </c>
      <c r="K325" s="65" t="s">
        <v>2924</v>
      </c>
      <c r="L325" s="64" t="s">
        <v>67</v>
      </c>
      <c r="M325" s="58" t="s">
        <v>3</v>
      </c>
      <c r="N325" s="58" t="s">
        <v>2</v>
      </c>
      <c r="O325" s="58">
        <v>105</v>
      </c>
      <c r="P325" s="58">
        <v>105</v>
      </c>
      <c r="Q325" s="58">
        <v>0</v>
      </c>
      <c r="R325" s="58">
        <v>0</v>
      </c>
      <c r="S325" s="58">
        <v>0</v>
      </c>
      <c r="T325" s="58">
        <v>0</v>
      </c>
      <c r="U325" s="58">
        <v>53</v>
      </c>
      <c r="V325" s="62">
        <v>44</v>
      </c>
      <c r="W325" s="62">
        <v>0</v>
      </c>
      <c r="X325" s="63">
        <f>IFERROR(1 -(Master[[#This Row],[Avg Garment Scans per Delivery]]/Master[[#This Row],[Garment Inventory]]), 0)</f>
        <v>1</v>
      </c>
      <c r="Y325" s="62">
        <v>3</v>
      </c>
      <c r="Z325" s="62">
        <v>44</v>
      </c>
      <c r="AA325" s="53">
        <v>285.31041420118345</v>
      </c>
      <c r="AB325" s="53">
        <v>286.90804733727816</v>
      </c>
      <c r="AC325" s="53">
        <v>274.03130298273152</v>
      </c>
      <c r="AD325" s="53">
        <v>367.95946624803764</v>
      </c>
      <c r="AE325" s="53" t="str">
        <f>_xlfn.XLOOKUP(Master[[#This Row],[cu_id]],'[1]Customer Revenue'!$Q:$Q,'[1]Customer Revenue'!$K:$K, "None")</f>
        <v>None</v>
      </c>
      <c r="AF325" s="53" t="str">
        <f>_xlfn.XLOOKUP(Master[[#This Row],[cu_id]],'[1]Customer Revenue'!$Q:$Q,'[1]Customer Revenue'!$L:$L, "None")</f>
        <v>None</v>
      </c>
      <c r="AG325" s="53">
        <v>285.39029585798818</v>
      </c>
      <c r="AH325" s="53">
        <v>286.30893491124272</v>
      </c>
      <c r="AI325" s="53">
        <v>286.10923076923081</v>
      </c>
      <c r="AJ325" s="53">
        <v>320.99538461538458</v>
      </c>
      <c r="AK325" s="53" t="str">
        <f>_xlfn.XLOOKUP(Master[[#This Row],[cu_id]],'[1]Customer Revenue'!$Q:$Q,'[1]Customer Revenue'!$I:$I, "None")</f>
        <v>None</v>
      </c>
      <c r="AL325" s="53">
        <v>285.84961538461545</v>
      </c>
      <c r="AM325" s="61">
        <v>0.25</v>
      </c>
      <c r="AN325" s="60">
        <v>0.70833333333333337</v>
      </c>
      <c r="AO325" s="60" t="s">
        <v>36</v>
      </c>
      <c r="AP325" s="60" t="s">
        <v>36</v>
      </c>
      <c r="AQ325" s="58" t="s">
        <v>0</v>
      </c>
      <c r="AR325" s="58"/>
      <c r="AS325" s="58"/>
      <c r="AT325" s="52">
        <v>0</v>
      </c>
      <c r="AU325" s="52">
        <f>IF(Master[[#This Row],[RSP StopTime override]] &lt;&gt; "",Master[[#This Row],[RSP StopTime override]],IF(Master[[#This Row],[Avg stop time helper]] &lt;&gt; 0, Master[[#This Row],[Avg stop time helper]],Average_Stop_Time))</f>
        <v>30</v>
      </c>
      <c r="AV325" s="21">
        <v>30</v>
      </c>
      <c r="AW325" s="20">
        <f>Master[[#This Row],[RSP StopTime override]]-Master[[#This Row],[Avg stop time helper]]</f>
        <v>30</v>
      </c>
    </row>
    <row r="326" spans="1:49" x14ac:dyDescent="0.3">
      <c r="A326" s="66" t="s">
        <v>4425</v>
      </c>
      <c r="B326" s="58">
        <v>47</v>
      </c>
      <c r="C326" s="58" t="s">
        <v>24</v>
      </c>
      <c r="D326" s="65">
        <v>99103</v>
      </c>
      <c r="E326" s="65" t="s">
        <v>1523</v>
      </c>
      <c r="F326" s="65" t="s">
        <v>3617</v>
      </c>
      <c r="G326" s="65" t="s">
        <v>2923</v>
      </c>
      <c r="H326" s="65" t="s">
        <v>7</v>
      </c>
      <c r="I326" s="65" t="s">
        <v>2922</v>
      </c>
      <c r="J326" s="65" t="s">
        <v>5</v>
      </c>
      <c r="K326" s="65" t="s">
        <v>2911</v>
      </c>
      <c r="L326" s="64" t="s">
        <v>67</v>
      </c>
      <c r="M326" s="58" t="s">
        <v>3</v>
      </c>
      <c r="N326" s="58" t="s">
        <v>2</v>
      </c>
      <c r="O326" s="58">
        <v>35</v>
      </c>
      <c r="P326" s="58">
        <v>35</v>
      </c>
      <c r="Q326" s="58">
        <v>0</v>
      </c>
      <c r="R326" s="58">
        <v>0</v>
      </c>
      <c r="S326" s="58">
        <v>0</v>
      </c>
      <c r="T326" s="58">
        <v>0</v>
      </c>
      <c r="U326" s="58">
        <v>50</v>
      </c>
      <c r="V326" s="62"/>
      <c r="W326" s="62"/>
      <c r="X326" s="63">
        <f>IFERROR(1 -(Master[[#This Row],[Avg Garment Scans per Delivery]]/Master[[#This Row],[Garment Inventory]]), 0)</f>
        <v>0</v>
      </c>
      <c r="Y326" s="62"/>
      <c r="Z326" s="62"/>
      <c r="AA326" s="53">
        <v>14.792899408284024</v>
      </c>
      <c r="AB326" s="53">
        <v>25.207100591715978</v>
      </c>
      <c r="AC326" s="53">
        <v>20</v>
      </c>
      <c r="AD326" s="53">
        <v>20</v>
      </c>
      <c r="AE326" s="53" t="str">
        <f>_xlfn.XLOOKUP(Master[[#This Row],[cu_id]],'[1]Customer Revenue'!$Q:$Q,'[1]Customer Revenue'!$K:$K, "None")</f>
        <v>None</v>
      </c>
      <c r="AF326" s="53" t="str">
        <f>_xlfn.XLOOKUP(Master[[#This Row],[cu_id]],'[1]Customer Revenue'!$Q:$Q,'[1]Customer Revenue'!$L:$L, "None")</f>
        <v>None</v>
      </c>
      <c r="AG326" s="53">
        <v>14.446425049309667</v>
      </c>
      <c r="AH326" s="53">
        <v>21.645241617357001</v>
      </c>
      <c r="AI326" s="53">
        <v>20</v>
      </c>
      <c r="AJ326" s="53">
        <v>20</v>
      </c>
      <c r="AK326" s="53" t="str">
        <f>_xlfn.XLOOKUP(Master[[#This Row],[cu_id]],'[1]Customer Revenue'!$Q:$Q,'[1]Customer Revenue'!$I:$I, "None")</f>
        <v>None</v>
      </c>
      <c r="AL326" s="53">
        <v>18.045833333333334</v>
      </c>
      <c r="AM326" s="61">
        <v>0.25</v>
      </c>
      <c r="AN326" s="60">
        <v>0.91666666666666663</v>
      </c>
      <c r="AO326" s="60" t="s">
        <v>36</v>
      </c>
      <c r="AP326" s="60" t="s">
        <v>36</v>
      </c>
      <c r="AQ326" s="58" t="s">
        <v>0</v>
      </c>
      <c r="AR326" s="58"/>
      <c r="AS326" s="58"/>
      <c r="AT326" s="52">
        <v>0</v>
      </c>
      <c r="AU326" s="52" t="e">
        <f>IF(Master[[#This Row],[RSP StopTime override]] &lt;&gt; "",Master[[#This Row],[RSP StopTime override]],IF(Master[[#This Row],[Avg stop time helper]] &lt;&gt; 0, Master[[#This Row],[Avg stop time helper]],Average_Stop_Time))</f>
        <v>#DIV/0!</v>
      </c>
      <c r="AV326" s="21"/>
      <c r="AW326" s="20">
        <f>Master[[#This Row],[RSP StopTime override]]-Master[[#This Row],[Avg stop time helper]]</f>
        <v>0</v>
      </c>
    </row>
    <row r="327" spans="1:49" x14ac:dyDescent="0.3">
      <c r="A327" s="66" t="s">
        <v>4426</v>
      </c>
      <c r="B327" s="58">
        <v>47</v>
      </c>
      <c r="C327" s="58" t="s">
        <v>24</v>
      </c>
      <c r="D327" s="65">
        <v>99103</v>
      </c>
      <c r="E327" s="65" t="s">
        <v>64</v>
      </c>
      <c r="F327" s="65" t="s">
        <v>3618</v>
      </c>
      <c r="G327" s="65" t="s">
        <v>2921</v>
      </c>
      <c r="H327" s="65" t="s">
        <v>7</v>
      </c>
      <c r="I327" s="65" t="s">
        <v>2880</v>
      </c>
      <c r="J327" s="65" t="s">
        <v>5</v>
      </c>
      <c r="K327" s="65" t="s">
        <v>2879</v>
      </c>
      <c r="L327" s="64" t="s">
        <v>77</v>
      </c>
      <c r="M327" s="58" t="s">
        <v>29</v>
      </c>
      <c r="N327" s="58" t="s">
        <v>2</v>
      </c>
      <c r="O327" s="58">
        <v>100</v>
      </c>
      <c r="P327" s="58">
        <v>100</v>
      </c>
      <c r="Q327" s="58">
        <v>0</v>
      </c>
      <c r="R327" s="58">
        <v>0</v>
      </c>
      <c r="S327" s="58">
        <v>0</v>
      </c>
      <c r="T327" s="58">
        <v>0</v>
      </c>
      <c r="U327" s="58">
        <v>26</v>
      </c>
      <c r="V327" s="62"/>
      <c r="W327" s="62"/>
      <c r="X327" s="63">
        <f>IFERROR(1 -(Master[[#This Row],[Avg Garment Scans per Delivery]]/Master[[#This Row],[Garment Inventory]]), 0)</f>
        <v>0</v>
      </c>
      <c r="Y327" s="62"/>
      <c r="Z327" s="62"/>
      <c r="AA327" s="53">
        <v>22.803333333333331</v>
      </c>
      <c r="AB327" s="53">
        <v>23.636666666666667</v>
      </c>
      <c r="AC327" s="53">
        <v>24.359795918367347</v>
      </c>
      <c r="AD327" s="53">
        <v>25.094489795918371</v>
      </c>
      <c r="AE327" s="53" t="str">
        <f>_xlfn.XLOOKUP(Master[[#This Row],[cu_id]],'[1]Customer Revenue'!$Q:$Q,'[1]Customer Revenue'!$K:$K, "None")</f>
        <v>None</v>
      </c>
      <c r="AF327" s="53" t="str">
        <f>_xlfn.XLOOKUP(Master[[#This Row],[cu_id]],'[1]Customer Revenue'!$Q:$Q,'[1]Customer Revenue'!$L:$L, "None")</f>
        <v>None</v>
      </c>
      <c r="AG327" s="53">
        <v>22.47082840236687</v>
      </c>
      <c r="AH327" s="53">
        <v>23.210710059171603</v>
      </c>
      <c r="AI327" s="53">
        <v>23.22</v>
      </c>
      <c r="AJ327" s="53">
        <v>24.727142857142859</v>
      </c>
      <c r="AK327" s="53" t="str">
        <f>_xlfn.XLOOKUP(Master[[#This Row],[cu_id]],'[1]Customer Revenue'!$Q:$Q,'[1]Customer Revenue'!$I:$I, "None")</f>
        <v>None</v>
      </c>
      <c r="AL327" s="53">
        <v>22.840769230769236</v>
      </c>
      <c r="AM327" s="61">
        <v>0.25</v>
      </c>
      <c r="AN327" s="60">
        <v>0.91666666666666663</v>
      </c>
      <c r="AO327" s="60" t="s">
        <v>36</v>
      </c>
      <c r="AP327" s="60" t="s">
        <v>36</v>
      </c>
      <c r="AQ327" s="58" t="s">
        <v>0</v>
      </c>
      <c r="AR327" s="58"/>
      <c r="AS327" s="58"/>
      <c r="AT327" s="52">
        <v>0</v>
      </c>
      <c r="AU327" s="52" t="e">
        <f>IF(Master[[#This Row],[RSP StopTime override]] &lt;&gt; "",Master[[#This Row],[RSP StopTime override]],IF(Master[[#This Row],[Avg stop time helper]] &lt;&gt; 0, Master[[#This Row],[Avg stop time helper]],Average_Stop_Time))</f>
        <v>#DIV/0!</v>
      </c>
      <c r="AV327" s="21"/>
      <c r="AW327" s="20">
        <f>Master[[#This Row],[RSP StopTime override]]-Master[[#This Row],[Avg stop time helper]]</f>
        <v>0</v>
      </c>
    </row>
    <row r="328" spans="1:49" x14ac:dyDescent="0.3">
      <c r="A328" s="66" t="s">
        <v>4427</v>
      </c>
      <c r="B328" s="58">
        <v>47</v>
      </c>
      <c r="C328" s="58" t="s">
        <v>24</v>
      </c>
      <c r="D328" s="65">
        <v>99103</v>
      </c>
      <c r="E328" s="65" t="s">
        <v>1343</v>
      </c>
      <c r="F328" s="65" t="s">
        <v>3619</v>
      </c>
      <c r="G328" s="65" t="s">
        <v>2920</v>
      </c>
      <c r="H328" s="65" t="s">
        <v>7</v>
      </c>
      <c r="I328" s="65" t="s">
        <v>2888</v>
      </c>
      <c r="J328" s="65" t="s">
        <v>5</v>
      </c>
      <c r="K328" s="65" t="s">
        <v>2887</v>
      </c>
      <c r="L328" s="64" t="s">
        <v>67</v>
      </c>
      <c r="M328" s="58" t="s">
        <v>3</v>
      </c>
      <c r="N328" s="58" t="s">
        <v>2</v>
      </c>
      <c r="O328" s="58">
        <v>67</v>
      </c>
      <c r="P328" s="58">
        <v>55</v>
      </c>
      <c r="Q328" s="58">
        <v>0</v>
      </c>
      <c r="R328" s="58">
        <v>0</v>
      </c>
      <c r="S328" s="58">
        <v>0</v>
      </c>
      <c r="T328" s="58">
        <v>0</v>
      </c>
      <c r="U328" s="58">
        <v>51</v>
      </c>
      <c r="V328" s="62"/>
      <c r="W328" s="62"/>
      <c r="X328" s="63">
        <f>IFERROR(1 -(Master[[#This Row],[Avg Garment Scans per Delivery]]/Master[[#This Row],[Garment Inventory]]), 0)</f>
        <v>0</v>
      </c>
      <c r="Y328" s="62"/>
      <c r="Z328" s="62"/>
      <c r="AA328" s="53">
        <v>20</v>
      </c>
      <c r="AB328" s="53">
        <v>20</v>
      </c>
      <c r="AC328" s="53">
        <v>20</v>
      </c>
      <c r="AD328" s="53">
        <v>20</v>
      </c>
      <c r="AE328" s="53" t="str">
        <f>_xlfn.XLOOKUP(Master[[#This Row],[cu_id]],'[1]Customer Revenue'!$Q:$Q,'[1]Customer Revenue'!$K:$K, "None")</f>
        <v>None</v>
      </c>
      <c r="AF328" s="53" t="str">
        <f>_xlfn.XLOOKUP(Master[[#This Row],[cu_id]],'[1]Customer Revenue'!$Q:$Q,'[1]Customer Revenue'!$L:$L, "None")</f>
        <v>None</v>
      </c>
      <c r="AG328" s="53">
        <v>15.710059171597635</v>
      </c>
      <c r="AH328" s="53">
        <v>20.443786982248518</v>
      </c>
      <c r="AI328" s="53">
        <v>20</v>
      </c>
      <c r="AJ328" s="53">
        <v>20</v>
      </c>
      <c r="AK328" s="53" t="str">
        <f>_xlfn.XLOOKUP(Master[[#This Row],[cu_id]],'[1]Customer Revenue'!$Q:$Q,'[1]Customer Revenue'!$I:$I, "None")</f>
        <v>None</v>
      </c>
      <c r="AL328" s="53">
        <v>18.076923076923077</v>
      </c>
      <c r="AM328" s="61">
        <v>0.25</v>
      </c>
      <c r="AN328" s="60">
        <v>0.91666666666666663</v>
      </c>
      <c r="AO328" s="60" t="s">
        <v>36</v>
      </c>
      <c r="AP328" s="60" t="s">
        <v>36</v>
      </c>
      <c r="AQ328" s="58" t="s">
        <v>0</v>
      </c>
      <c r="AR328" s="58"/>
      <c r="AS328" s="58"/>
      <c r="AT328" s="52">
        <v>0</v>
      </c>
      <c r="AU328" s="52" t="e">
        <f>IF(Master[[#This Row],[RSP StopTime override]] &lt;&gt; "",Master[[#This Row],[RSP StopTime override]],IF(Master[[#This Row],[Avg stop time helper]] &lt;&gt; 0, Master[[#This Row],[Avg stop time helper]],Average_Stop_Time))</f>
        <v>#DIV/0!</v>
      </c>
      <c r="AV328" s="21"/>
      <c r="AW328" s="20">
        <f>Master[[#This Row],[RSP StopTime override]]-Master[[#This Row],[Avg stop time helper]]</f>
        <v>0</v>
      </c>
    </row>
    <row r="329" spans="1:49" x14ac:dyDescent="0.3">
      <c r="A329" s="66" t="s">
        <v>4428</v>
      </c>
      <c r="B329" s="58">
        <v>47</v>
      </c>
      <c r="C329" s="58" t="s">
        <v>24</v>
      </c>
      <c r="D329" s="65">
        <v>99117</v>
      </c>
      <c r="E329" s="65" t="s">
        <v>1520</v>
      </c>
      <c r="F329" s="65" t="s">
        <v>3620</v>
      </c>
      <c r="G329" s="65" t="s">
        <v>2919</v>
      </c>
      <c r="H329" s="65" t="s">
        <v>7</v>
      </c>
      <c r="I329" s="65" t="s">
        <v>2912</v>
      </c>
      <c r="J329" s="65" t="s">
        <v>5</v>
      </c>
      <c r="K329" s="65" t="s">
        <v>2911</v>
      </c>
      <c r="L329" s="64" t="s">
        <v>67</v>
      </c>
      <c r="M329" s="58" t="s">
        <v>3</v>
      </c>
      <c r="N329" s="58" t="s">
        <v>2</v>
      </c>
      <c r="O329" s="58">
        <v>21</v>
      </c>
      <c r="P329" s="58">
        <v>30</v>
      </c>
      <c r="Q329" s="58">
        <v>0</v>
      </c>
      <c r="R329" s="58">
        <v>0</v>
      </c>
      <c r="S329" s="58">
        <v>0</v>
      </c>
      <c r="T329" s="58">
        <v>0</v>
      </c>
      <c r="U329" s="58">
        <v>52</v>
      </c>
      <c r="V329" s="62"/>
      <c r="W329" s="62"/>
      <c r="X329" s="63">
        <f>IFERROR(1 -(Master[[#This Row],[Avg Garment Scans per Delivery]]/Master[[#This Row],[Garment Inventory]]), 0)</f>
        <v>0</v>
      </c>
      <c r="Y329" s="62"/>
      <c r="Z329" s="62"/>
      <c r="AA329" s="53">
        <v>63.753609467455632</v>
      </c>
      <c r="AB329" s="53">
        <v>64.818698224852099</v>
      </c>
      <c r="AC329" s="53">
        <v>58.529881656804733</v>
      </c>
      <c r="AD329" s="53">
        <v>63.794733727810652</v>
      </c>
      <c r="AE329" s="53" t="str">
        <f>_xlfn.XLOOKUP(Master[[#This Row],[cu_id]],'[1]Customer Revenue'!$Q:$Q,'[1]Customer Revenue'!$K:$K, "None")</f>
        <v>None</v>
      </c>
      <c r="AF329" s="53" t="str">
        <f>_xlfn.XLOOKUP(Master[[#This Row],[cu_id]],'[1]Customer Revenue'!$Q:$Q,'[1]Customer Revenue'!$L:$L, "None")</f>
        <v>None</v>
      </c>
      <c r="AG329" s="53">
        <v>59.576745562130235</v>
      </c>
      <c r="AH329" s="53">
        <v>64.940177514792907</v>
      </c>
      <c r="AI329" s="53">
        <v>64.286153846153866</v>
      </c>
      <c r="AJ329" s="53">
        <v>61.162307692307692</v>
      </c>
      <c r="AK329" s="53" t="str">
        <f>_xlfn.XLOOKUP(Master[[#This Row],[cu_id]],'[1]Customer Revenue'!$Q:$Q,'[1]Customer Revenue'!$I:$I, "None")</f>
        <v>None</v>
      </c>
      <c r="AL329" s="53">
        <v>62.258461538461574</v>
      </c>
      <c r="AM329" s="61" t="s">
        <v>36</v>
      </c>
      <c r="AN329" s="61" t="s">
        <v>36</v>
      </c>
      <c r="AO329" s="60" t="s">
        <v>36</v>
      </c>
      <c r="AP329" s="60" t="s">
        <v>36</v>
      </c>
      <c r="AQ329" s="58" t="s">
        <v>0</v>
      </c>
      <c r="AR329" s="58"/>
      <c r="AS329" s="58"/>
      <c r="AT329" s="52">
        <v>0</v>
      </c>
      <c r="AU329" s="52" t="e">
        <f>IF(Master[[#This Row],[RSP StopTime override]] &lt;&gt; "",Master[[#This Row],[RSP StopTime override]],IF(Master[[#This Row],[Avg stop time helper]] &lt;&gt; 0, Master[[#This Row],[Avg stop time helper]],Average_Stop_Time))</f>
        <v>#DIV/0!</v>
      </c>
      <c r="AV329" s="21"/>
      <c r="AW329" s="20">
        <f>Master[[#This Row],[RSP StopTime override]]-Master[[#This Row],[Avg stop time helper]]</f>
        <v>0</v>
      </c>
    </row>
    <row r="330" spans="1:49" x14ac:dyDescent="0.3">
      <c r="A330" s="73" t="s">
        <v>4429</v>
      </c>
      <c r="B330" s="64">
        <v>50</v>
      </c>
      <c r="C330" s="64" t="s">
        <v>15</v>
      </c>
      <c r="D330" s="65">
        <v>99161</v>
      </c>
      <c r="E330" s="65" t="s">
        <v>1336</v>
      </c>
      <c r="F330" s="65" t="s">
        <v>2232</v>
      </c>
      <c r="G330" s="65" t="s">
        <v>2231</v>
      </c>
      <c r="H330" s="65" t="s">
        <v>7</v>
      </c>
      <c r="I330" s="65" t="s">
        <v>1920</v>
      </c>
      <c r="J330" s="65" t="s">
        <v>5</v>
      </c>
      <c r="K330" s="65" t="s">
        <v>1919</v>
      </c>
      <c r="L330" s="64" t="s">
        <v>67</v>
      </c>
      <c r="M330" s="65" t="s">
        <v>3</v>
      </c>
      <c r="N330" s="65" t="s">
        <v>2</v>
      </c>
      <c r="O330" s="65">
        <v>25</v>
      </c>
      <c r="P330" s="65">
        <v>0</v>
      </c>
      <c r="Q330" s="65">
        <v>0</v>
      </c>
      <c r="R330" s="65">
        <v>0</v>
      </c>
      <c r="S330" s="65">
        <v>0</v>
      </c>
      <c r="T330" s="65">
        <v>25</v>
      </c>
      <c r="U330" s="65"/>
      <c r="V330" s="65"/>
      <c r="W330" s="65"/>
      <c r="X330" s="72">
        <f>IFERROR(1 -(Master[[#This Row],[Avg Garment Scans per Delivery]]/Master[[#This Row],[Garment Inventory]]), 0)</f>
        <v>0</v>
      </c>
      <c r="Y330" s="65"/>
      <c r="Z330" s="65"/>
      <c r="AA330" s="53"/>
      <c r="AB330" s="53"/>
      <c r="AC330" s="53"/>
      <c r="AD330" s="53"/>
      <c r="AE330" s="53" t="str">
        <f>_xlfn.XLOOKUP(Master[[#This Row],[cu_id]],'[1]Customer Revenue'!$Q:$Q,'[1]Customer Revenue'!$K:$K, "0")</f>
        <v>0</v>
      </c>
      <c r="AF330" s="53" t="str">
        <f>_xlfn.XLOOKUP(Master[[#This Row],[cu_id]],'[1]Customer Revenue'!$Q:$Q,'[1]Customer Revenue'!$L:$L, "0")</f>
        <v>0</v>
      </c>
      <c r="AG330" s="53"/>
      <c r="AH330" s="53"/>
      <c r="AI330" s="53"/>
      <c r="AJ330" s="53"/>
      <c r="AK330" s="53" t="str">
        <f>_xlfn.XLOOKUP(Master[[#This Row],[cu_id]],'[1]Customer Revenue'!$Q:$Q,'[1]Customer Revenue'!$I:$I, "0")</f>
        <v>0</v>
      </c>
      <c r="AL330" s="53"/>
      <c r="AM330" s="71">
        <v>0.25</v>
      </c>
      <c r="AN330" s="71" t="s">
        <v>1</v>
      </c>
      <c r="AO330" s="71" t="s">
        <v>36</v>
      </c>
      <c r="AP330" s="71" t="s">
        <v>36</v>
      </c>
      <c r="AQ330" s="64" t="s">
        <v>0</v>
      </c>
      <c r="AR330" s="64"/>
      <c r="AS330" s="65"/>
      <c r="AT330" s="52">
        <v>0</v>
      </c>
      <c r="AU330" s="52">
        <f>IF(Master[[#This Row],[RSP StopTime override]] &lt;&gt; "",Master[[#This Row],[RSP StopTime override]],IF(Master[[#This Row],[Avg stop time helper]] &lt;&gt; 0, Master[[#This Row],[Avg stop time helper]],Average_Stop_Time))</f>
        <v>8</v>
      </c>
      <c r="AV330" s="21">
        <v>8</v>
      </c>
      <c r="AW330" s="20">
        <f>Master[[#This Row],[RSP StopTime override]]-Master[[#This Row],[Avg stop time helper]]</f>
        <v>8</v>
      </c>
    </row>
    <row r="331" spans="1:49" x14ac:dyDescent="0.3">
      <c r="A331" s="66" t="s">
        <v>4430</v>
      </c>
      <c r="B331" s="58">
        <v>47</v>
      </c>
      <c r="C331" s="58" t="s">
        <v>24</v>
      </c>
      <c r="D331" s="65">
        <v>99162</v>
      </c>
      <c r="E331" s="65" t="s">
        <v>42</v>
      </c>
      <c r="F331" s="65" t="s">
        <v>2916</v>
      </c>
      <c r="G331" s="65" t="s">
        <v>2915</v>
      </c>
      <c r="H331" s="65" t="s">
        <v>7</v>
      </c>
      <c r="I331" s="65" t="s">
        <v>2912</v>
      </c>
      <c r="J331" s="65" t="s">
        <v>5</v>
      </c>
      <c r="K331" s="65" t="s">
        <v>2911</v>
      </c>
      <c r="L331" s="64" t="s">
        <v>67</v>
      </c>
      <c r="M331" s="58" t="s">
        <v>3</v>
      </c>
      <c r="N331" s="58" t="s">
        <v>2</v>
      </c>
      <c r="O331" s="58">
        <v>37</v>
      </c>
      <c r="P331" s="58">
        <v>25</v>
      </c>
      <c r="Q331" s="58">
        <v>0</v>
      </c>
      <c r="R331" s="58">
        <v>0</v>
      </c>
      <c r="S331" s="58">
        <v>0</v>
      </c>
      <c r="T331" s="58">
        <v>0</v>
      </c>
      <c r="U331" s="58">
        <v>8</v>
      </c>
      <c r="V331" s="62">
        <v>48</v>
      </c>
      <c r="W331" s="62">
        <v>4</v>
      </c>
      <c r="X331" s="63">
        <f>IFERROR(1 -(Master[[#This Row],[Avg Garment Scans per Delivery]]/Master[[#This Row],[Garment Inventory]]), 0)</f>
        <v>0.91666666666666663</v>
      </c>
      <c r="Y331" s="62">
        <v>2</v>
      </c>
      <c r="Z331" s="62">
        <v>48</v>
      </c>
      <c r="AA331" s="53">
        <v>83.169795918367356</v>
      </c>
      <c r="AB331" s="53">
        <v>125.09877551020406</v>
      </c>
      <c r="AC331" s="53">
        <v>65.175333333333299</v>
      </c>
      <c r="AD331" s="53">
        <v>144.28466666666668</v>
      </c>
      <c r="AE331" s="53" t="str">
        <f>_xlfn.XLOOKUP(Master[[#This Row],[cu_id]],'[1]Customer Revenue'!$Q:$Q,'[1]Customer Revenue'!$K:$K, "None")</f>
        <v>None</v>
      </c>
      <c r="AF331" s="53" t="str">
        <f>_xlfn.XLOOKUP(Master[[#This Row],[cu_id]],'[1]Customer Revenue'!$Q:$Q,'[1]Customer Revenue'!$L:$L, "None")</f>
        <v>None</v>
      </c>
      <c r="AG331" s="53">
        <v>83.169795918367356</v>
      </c>
      <c r="AH331" s="53">
        <v>125.09877551020406</v>
      </c>
      <c r="AI331" s="53">
        <v>104.13428571428571</v>
      </c>
      <c r="AJ331" s="53">
        <v>104.72999999999999</v>
      </c>
      <c r="AK331" s="53" t="str">
        <f>_xlfn.XLOOKUP(Master[[#This Row],[cu_id]],'[1]Customer Revenue'!$Q:$Q,'[1]Customer Revenue'!$I:$I, "None")</f>
        <v>None</v>
      </c>
      <c r="AL331" s="53">
        <v>104.13428571428571</v>
      </c>
      <c r="AM331" s="61">
        <v>0.33333333333333331</v>
      </c>
      <c r="AN331" s="60">
        <v>0.70833333333333337</v>
      </c>
      <c r="AO331" s="60" t="s">
        <v>36</v>
      </c>
      <c r="AP331" s="60" t="s">
        <v>36</v>
      </c>
      <c r="AQ331" s="58" t="s">
        <v>0</v>
      </c>
      <c r="AR331" s="58"/>
      <c r="AS331" s="58"/>
      <c r="AT331" s="52">
        <v>0</v>
      </c>
      <c r="AU331" s="52" t="e">
        <f>IF(Master[[#This Row],[RSP StopTime override]] &lt;&gt; "",Master[[#This Row],[RSP StopTime override]],IF(Master[[#This Row],[Avg stop time helper]] &lt;&gt; 0, Master[[#This Row],[Avg stop time helper]],Average_Stop_Time))</f>
        <v>#DIV/0!</v>
      </c>
      <c r="AV331" s="21"/>
      <c r="AW331" s="20">
        <f>Master[[#This Row],[RSP StopTime override]]-Master[[#This Row],[Avg stop time helper]]</f>
        <v>0</v>
      </c>
    </row>
    <row r="332" spans="1:49" x14ac:dyDescent="0.3">
      <c r="A332" s="73" t="s">
        <v>4431</v>
      </c>
      <c r="B332" s="58">
        <v>47</v>
      </c>
      <c r="C332" s="58" t="s">
        <v>24</v>
      </c>
      <c r="D332" s="65">
        <v>99169</v>
      </c>
      <c r="E332" s="65" t="s">
        <v>1343</v>
      </c>
      <c r="F332" s="65" t="s">
        <v>2914</v>
      </c>
      <c r="G332" s="65" t="s">
        <v>2913</v>
      </c>
      <c r="H332" s="65" t="s">
        <v>7</v>
      </c>
      <c r="I332" s="65" t="s">
        <v>2912</v>
      </c>
      <c r="J332" s="65" t="s">
        <v>5</v>
      </c>
      <c r="K332" s="65" t="s">
        <v>2911</v>
      </c>
      <c r="L332" s="64" t="s">
        <v>67</v>
      </c>
      <c r="M332" s="65" t="s">
        <v>3</v>
      </c>
      <c r="N332" s="65" t="s">
        <v>2</v>
      </c>
      <c r="O332" s="65">
        <v>25</v>
      </c>
      <c r="P332" s="65">
        <v>25</v>
      </c>
      <c r="Q332" s="65">
        <v>0</v>
      </c>
      <c r="R332" s="65">
        <v>0</v>
      </c>
      <c r="S332" s="65">
        <v>0</v>
      </c>
      <c r="T332" s="65">
        <v>0</v>
      </c>
      <c r="U332" s="65">
        <v>3</v>
      </c>
      <c r="V332" s="65">
        <v>28</v>
      </c>
      <c r="W332" s="65"/>
      <c r="X332" s="72">
        <f>IFERROR(1 -(Master[[#This Row],[Avg Garment Scans per Delivery]]/Master[[#This Row],[Garment Inventory]]), 0)</f>
        <v>1</v>
      </c>
      <c r="Y332" s="65"/>
      <c r="Z332" s="65"/>
      <c r="AA332" s="53">
        <v>36</v>
      </c>
      <c r="AB332" s="53">
        <v>53</v>
      </c>
      <c r="AC332" s="53">
        <v>36</v>
      </c>
      <c r="AD332" s="53">
        <v>53</v>
      </c>
      <c r="AE332" s="53" t="str">
        <f>_xlfn.XLOOKUP(Master[[#This Row],[cu_id]],'[1]Customer Revenue'!$Q:$Q,'[1]Customer Revenue'!$K:$K, "None")</f>
        <v>None</v>
      </c>
      <c r="AF332" s="53" t="str">
        <f>_xlfn.XLOOKUP(Master[[#This Row],[cu_id]],'[1]Customer Revenue'!$Q:$Q,'[1]Customer Revenue'!$L:$L, "None")</f>
        <v>None</v>
      </c>
      <c r="AG332" s="53">
        <v>36</v>
      </c>
      <c r="AH332" s="53">
        <v>53</v>
      </c>
      <c r="AI332" s="53" t="s">
        <v>680</v>
      </c>
      <c r="AJ332" s="53" t="s">
        <v>680</v>
      </c>
      <c r="AK332" s="53" t="str">
        <f>_xlfn.XLOOKUP(Master[[#This Row],[cu_id]],'[1]Customer Revenue'!$Q:$Q,'[1]Customer Revenue'!$I:$I, "None")</f>
        <v>None</v>
      </c>
      <c r="AL332" s="53" t="s">
        <v>680</v>
      </c>
      <c r="AM332" s="71" t="s">
        <v>1</v>
      </c>
      <c r="AN332" s="71" t="s">
        <v>1</v>
      </c>
      <c r="AO332" s="71" t="s">
        <v>36</v>
      </c>
      <c r="AP332" s="71" t="s">
        <v>36</v>
      </c>
      <c r="AQ332" s="64" t="s">
        <v>0</v>
      </c>
      <c r="AR332" s="64"/>
      <c r="AS332" s="65"/>
      <c r="AT332" s="52">
        <v>0</v>
      </c>
      <c r="AU332" s="52" t="e">
        <f>IF(Master[[#This Row],[RSP StopTime override]] &lt;&gt; "",Master[[#This Row],[RSP StopTime override]],IF(Master[[#This Row],[Avg stop time helper]] &lt;&gt; 0, Master[[#This Row],[Avg stop time helper]],Average_Stop_Time))</f>
        <v>#DIV/0!</v>
      </c>
      <c r="AV332" s="21"/>
      <c r="AW332" s="20">
        <f>Master[[#This Row],[RSP StopTime override]]-Master[[#This Row],[Avg stop time helper]]</f>
        <v>0</v>
      </c>
    </row>
    <row r="333" spans="1:49" x14ac:dyDescent="0.3">
      <c r="A333" s="66" t="s">
        <v>4432</v>
      </c>
      <c r="B333" s="58">
        <v>47</v>
      </c>
      <c r="C333" s="58" t="s">
        <v>24</v>
      </c>
      <c r="D333" s="65">
        <v>132819</v>
      </c>
      <c r="E333" s="65" t="s">
        <v>42</v>
      </c>
      <c r="F333" s="65" t="s">
        <v>2910</v>
      </c>
      <c r="G333" s="65" t="s">
        <v>2909</v>
      </c>
      <c r="H333" s="65" t="s">
        <v>7</v>
      </c>
      <c r="I333" s="65" t="s">
        <v>2884</v>
      </c>
      <c r="J333" s="65" t="s">
        <v>5</v>
      </c>
      <c r="K333" s="65" t="s">
        <v>2883</v>
      </c>
      <c r="L333" s="64" t="s">
        <v>141</v>
      </c>
      <c r="M333" s="58" t="s">
        <v>140</v>
      </c>
      <c r="N333" s="58" t="s">
        <v>2</v>
      </c>
      <c r="O333" s="58">
        <v>85</v>
      </c>
      <c r="P333" s="58">
        <v>85</v>
      </c>
      <c r="Q333" s="58">
        <v>0</v>
      </c>
      <c r="R333" s="58">
        <v>0</v>
      </c>
      <c r="S333" s="58">
        <v>0</v>
      </c>
      <c r="T333" s="58">
        <v>0</v>
      </c>
      <c r="U333" s="58">
        <v>13</v>
      </c>
      <c r="V333" s="62"/>
      <c r="W333" s="62"/>
      <c r="X333" s="63">
        <f>IFERROR(1 -(Master[[#This Row],[Avg Garment Scans per Delivery]]/Master[[#This Row],[Garment Inventory]]), 0)</f>
        <v>0</v>
      </c>
      <c r="Y333" s="62"/>
      <c r="Z333" s="62"/>
      <c r="AA333" s="53">
        <v>60</v>
      </c>
      <c r="AB333" s="53">
        <v>60</v>
      </c>
      <c r="AC333" s="53">
        <v>60</v>
      </c>
      <c r="AD333" s="53">
        <v>60</v>
      </c>
      <c r="AE333" s="53" t="str">
        <f>_xlfn.XLOOKUP(Master[[#This Row],[cu_id]],'[1]Customer Revenue'!$Q:$Q,'[1]Customer Revenue'!$K:$K, "None")</f>
        <v>None</v>
      </c>
      <c r="AF333" s="53" t="str">
        <f>_xlfn.XLOOKUP(Master[[#This Row],[cu_id]],'[1]Customer Revenue'!$Q:$Q,'[1]Customer Revenue'!$L:$L, "None")</f>
        <v>None</v>
      </c>
      <c r="AG333" s="53">
        <v>60</v>
      </c>
      <c r="AH333" s="53">
        <v>60</v>
      </c>
      <c r="AI333" s="53">
        <v>60</v>
      </c>
      <c r="AJ333" s="53">
        <v>60</v>
      </c>
      <c r="AK333" s="53" t="str">
        <f>_xlfn.XLOOKUP(Master[[#This Row],[cu_id]],'[1]Customer Revenue'!$Q:$Q,'[1]Customer Revenue'!$I:$I, "None")</f>
        <v>None</v>
      </c>
      <c r="AL333" s="53">
        <v>60</v>
      </c>
      <c r="AM333" s="61">
        <v>0.375</v>
      </c>
      <c r="AN333" s="60">
        <v>0.70833333333333337</v>
      </c>
      <c r="AO333" s="60" t="s">
        <v>36</v>
      </c>
      <c r="AP333" s="60" t="s">
        <v>36</v>
      </c>
      <c r="AQ333" s="58" t="s">
        <v>0</v>
      </c>
      <c r="AR333" s="58"/>
      <c r="AS333" s="58"/>
      <c r="AT333" s="52">
        <v>0</v>
      </c>
      <c r="AU333" s="52" t="e">
        <f>IF(Master[[#This Row],[RSP StopTime override]] &lt;&gt; "",Master[[#This Row],[RSP StopTime override]],IF(Master[[#This Row],[Avg stop time helper]] &lt;&gt; 0, Master[[#This Row],[Avg stop time helper]],Average_Stop_Time))</f>
        <v>#DIV/0!</v>
      </c>
      <c r="AV333" s="21"/>
      <c r="AW333" s="20">
        <f>Master[[#This Row],[RSP StopTime override]]-Master[[#This Row],[Avg stop time helper]]</f>
        <v>0</v>
      </c>
    </row>
    <row r="334" spans="1:49" x14ac:dyDescent="0.3">
      <c r="A334" s="66" t="s">
        <v>4433</v>
      </c>
      <c r="B334" s="58">
        <v>47</v>
      </c>
      <c r="C334" s="58" t="s">
        <v>24</v>
      </c>
      <c r="D334" s="65">
        <v>530442</v>
      </c>
      <c r="E334" s="65" t="s">
        <v>42</v>
      </c>
      <c r="F334" s="65" t="s">
        <v>2908</v>
      </c>
      <c r="G334" s="65" t="s">
        <v>2907</v>
      </c>
      <c r="H334" s="65" t="s">
        <v>7</v>
      </c>
      <c r="I334" s="65" t="s">
        <v>46</v>
      </c>
      <c r="J334" s="65" t="s">
        <v>5</v>
      </c>
      <c r="K334" s="65" t="s">
        <v>2034</v>
      </c>
      <c r="L334" s="64" t="s">
        <v>67</v>
      </c>
      <c r="M334" s="58" t="s">
        <v>3</v>
      </c>
      <c r="N334" s="58" t="s">
        <v>2</v>
      </c>
      <c r="O334" s="58">
        <v>20</v>
      </c>
      <c r="P334" s="58">
        <v>20</v>
      </c>
      <c r="Q334" s="58">
        <v>0</v>
      </c>
      <c r="R334" s="58">
        <v>0</v>
      </c>
      <c r="S334" s="58">
        <v>0</v>
      </c>
      <c r="T334" s="58">
        <v>0</v>
      </c>
      <c r="U334" s="58">
        <v>52</v>
      </c>
      <c r="V334" s="62"/>
      <c r="W334" s="62"/>
      <c r="X334" s="63">
        <f>IFERROR(1 -(Master[[#This Row],[Avg Garment Scans per Delivery]]/Master[[#This Row],[Garment Inventory]]), 0)</f>
        <v>0</v>
      </c>
      <c r="Y334" s="62"/>
      <c r="Z334" s="62"/>
      <c r="AA334" s="53">
        <v>210.32775147928993</v>
      </c>
      <c r="AB334" s="53">
        <v>231.30763313609458</v>
      </c>
      <c r="AC334" s="53">
        <v>216.95508875739648</v>
      </c>
      <c r="AD334" s="53">
        <v>271.19721893491123</v>
      </c>
      <c r="AE334" s="53" t="str">
        <f>_xlfn.XLOOKUP(Master[[#This Row],[cu_id]],'[1]Customer Revenue'!$Q:$Q,'[1]Customer Revenue'!$K:$K, "None")</f>
        <v>None</v>
      </c>
      <c r="AF334" s="53" t="str">
        <f>_xlfn.XLOOKUP(Master[[#This Row],[cu_id]],'[1]Customer Revenue'!$Q:$Q,'[1]Customer Revenue'!$L:$L, "None")</f>
        <v>None</v>
      </c>
      <c r="AG334" s="53">
        <v>212.56343195266288</v>
      </c>
      <c r="AH334" s="53">
        <v>226.89349112426038</v>
      </c>
      <c r="AI334" s="53">
        <v>220.81769230769225</v>
      </c>
      <c r="AJ334" s="53">
        <v>244.07615384615386</v>
      </c>
      <c r="AK334" s="53" t="str">
        <f>_xlfn.XLOOKUP(Master[[#This Row],[cu_id]],'[1]Customer Revenue'!$Q:$Q,'[1]Customer Revenue'!$I:$I, "None")</f>
        <v>None</v>
      </c>
      <c r="AL334" s="53">
        <v>219.72846153846163</v>
      </c>
      <c r="AM334" s="61">
        <v>0.29166666666666669</v>
      </c>
      <c r="AN334" s="60">
        <v>0.625</v>
      </c>
      <c r="AO334" s="60" t="s">
        <v>36</v>
      </c>
      <c r="AP334" s="60" t="s">
        <v>36</v>
      </c>
      <c r="AQ334" s="58" t="s">
        <v>0</v>
      </c>
      <c r="AR334" s="58"/>
      <c r="AS334" s="58"/>
      <c r="AT334" s="52">
        <v>0</v>
      </c>
      <c r="AU334" s="52" t="e">
        <f>IF(Master[[#This Row],[RSP StopTime override]] &lt;&gt; "",Master[[#This Row],[RSP StopTime override]],IF(Master[[#This Row],[Avg stop time helper]] &lt;&gt; 0, Master[[#This Row],[Avg stop time helper]],Average_Stop_Time))</f>
        <v>#DIV/0!</v>
      </c>
      <c r="AV334" s="21"/>
      <c r="AW334" s="20">
        <f>Master[[#This Row],[RSP StopTime override]]-Master[[#This Row],[Avg stop time helper]]</f>
        <v>0</v>
      </c>
    </row>
    <row r="335" spans="1:49" x14ac:dyDescent="0.3">
      <c r="A335" s="66" t="s">
        <v>4434</v>
      </c>
      <c r="B335" s="58">
        <v>47</v>
      </c>
      <c r="C335" s="58" t="s">
        <v>24</v>
      </c>
      <c r="D335" s="65">
        <v>531648</v>
      </c>
      <c r="E335" s="65" t="s">
        <v>42</v>
      </c>
      <c r="F335" s="65" t="s">
        <v>2906</v>
      </c>
      <c r="G335" s="65" t="s">
        <v>2905</v>
      </c>
      <c r="H335" s="65" t="s">
        <v>7</v>
      </c>
      <c r="I335" s="65" t="s">
        <v>2888</v>
      </c>
      <c r="J335" s="65" t="s">
        <v>5</v>
      </c>
      <c r="K335" s="65" t="s">
        <v>2887</v>
      </c>
      <c r="L335" s="64" t="s">
        <v>67</v>
      </c>
      <c r="M335" s="58" t="s">
        <v>3</v>
      </c>
      <c r="N335" s="58" t="s">
        <v>2</v>
      </c>
      <c r="O335" s="58">
        <v>65</v>
      </c>
      <c r="P335" s="58">
        <v>65</v>
      </c>
      <c r="Q335" s="58">
        <v>0</v>
      </c>
      <c r="R335" s="58">
        <v>0</v>
      </c>
      <c r="S335" s="58">
        <v>0</v>
      </c>
      <c r="T335" s="58">
        <v>0</v>
      </c>
      <c r="U335" s="58">
        <v>52</v>
      </c>
      <c r="V335" s="62"/>
      <c r="W335" s="62"/>
      <c r="X335" s="63">
        <f>IFERROR(1 -(Master[[#This Row],[Avg Garment Scans per Delivery]]/Master[[#This Row],[Garment Inventory]]), 0)</f>
        <v>0</v>
      </c>
      <c r="Y335" s="62"/>
      <c r="Z335" s="62"/>
      <c r="AA335" s="53">
        <v>63.308402366863902</v>
      </c>
      <c r="AB335" s="53">
        <v>104.75621301775146</v>
      </c>
      <c r="AC335" s="53">
        <v>55.66266272189349</v>
      </c>
      <c r="AD335" s="53">
        <v>101.08964497041421</v>
      </c>
      <c r="AE335" s="53" t="str">
        <f>_xlfn.XLOOKUP(Master[[#This Row],[cu_id]],'[1]Customer Revenue'!$Q:$Q,'[1]Customer Revenue'!$K:$K, "None")</f>
        <v>None</v>
      </c>
      <c r="AF335" s="53" t="str">
        <f>_xlfn.XLOOKUP(Master[[#This Row],[cu_id]],'[1]Customer Revenue'!$Q:$Q,'[1]Customer Revenue'!$L:$L, "None")</f>
        <v>None</v>
      </c>
      <c r="AG335" s="53">
        <v>65.583136094674558</v>
      </c>
      <c r="AH335" s="53">
        <v>97.51917159763309</v>
      </c>
      <c r="AI335" s="53">
        <v>84.032307692307683</v>
      </c>
      <c r="AJ335" s="53">
        <v>78.376153846153855</v>
      </c>
      <c r="AK335" s="53" t="str">
        <f>_xlfn.XLOOKUP(Master[[#This Row],[cu_id]],'[1]Customer Revenue'!$Q:$Q,'[1]Customer Revenue'!$I:$I, "None")</f>
        <v>None</v>
      </c>
      <c r="AL335" s="53">
        <v>81.551153846153824</v>
      </c>
      <c r="AM335" s="61">
        <v>0.29166666666666669</v>
      </c>
      <c r="AN335" s="60">
        <v>0.58333333333333337</v>
      </c>
      <c r="AO335" s="60" t="s">
        <v>36</v>
      </c>
      <c r="AP335" s="60" t="s">
        <v>36</v>
      </c>
      <c r="AQ335" s="58" t="s">
        <v>174</v>
      </c>
      <c r="AR335" s="58"/>
      <c r="AS335" s="58"/>
      <c r="AT335" s="52">
        <v>0</v>
      </c>
      <c r="AU335" s="52" t="e">
        <f>IF(Master[[#This Row],[RSP StopTime override]] &lt;&gt; "",Master[[#This Row],[RSP StopTime override]],IF(Master[[#This Row],[Avg stop time helper]] &lt;&gt; 0, Master[[#This Row],[Avg stop time helper]],Average_Stop_Time))</f>
        <v>#DIV/0!</v>
      </c>
      <c r="AV335" s="21"/>
      <c r="AW335" s="20">
        <f>Master[[#This Row],[RSP StopTime override]]-Master[[#This Row],[Avg stop time helper]]</f>
        <v>0</v>
      </c>
    </row>
    <row r="336" spans="1:49" x14ac:dyDescent="0.3">
      <c r="A336" s="66" t="s">
        <v>4435</v>
      </c>
      <c r="B336" s="58">
        <v>47</v>
      </c>
      <c r="C336" s="58" t="s">
        <v>24</v>
      </c>
      <c r="D336" s="65">
        <v>531703</v>
      </c>
      <c r="E336" s="65" t="s">
        <v>42</v>
      </c>
      <c r="F336" s="65" t="s">
        <v>2904</v>
      </c>
      <c r="G336" s="65" t="s">
        <v>2903</v>
      </c>
      <c r="H336" s="65" t="s">
        <v>7</v>
      </c>
      <c r="I336" s="65" t="s">
        <v>2888</v>
      </c>
      <c r="J336" s="65" t="s">
        <v>5</v>
      </c>
      <c r="K336" s="65" t="s">
        <v>2887</v>
      </c>
      <c r="L336" s="64" t="s">
        <v>67</v>
      </c>
      <c r="M336" s="58" t="s">
        <v>3</v>
      </c>
      <c r="N336" s="58" t="s">
        <v>2</v>
      </c>
      <c r="O336" s="58">
        <v>40</v>
      </c>
      <c r="P336" s="58">
        <v>40</v>
      </c>
      <c r="Q336" s="58">
        <v>0</v>
      </c>
      <c r="R336" s="58">
        <v>0</v>
      </c>
      <c r="S336" s="58">
        <v>0</v>
      </c>
      <c r="T336" s="58">
        <v>0</v>
      </c>
      <c r="U336" s="58">
        <v>52</v>
      </c>
      <c r="V336" s="62">
        <v>55</v>
      </c>
      <c r="W336" s="62">
        <v>10</v>
      </c>
      <c r="X336" s="63">
        <f>IFERROR(1 -(Master[[#This Row],[Avg Garment Scans per Delivery]]/Master[[#This Row],[Garment Inventory]]), 0)</f>
        <v>0.81818181818181812</v>
      </c>
      <c r="Y336" s="62">
        <v>3</v>
      </c>
      <c r="Z336" s="62">
        <v>55</v>
      </c>
      <c r="AA336" s="53">
        <v>39.901242603550301</v>
      </c>
      <c r="AB336" s="53">
        <v>71.491065088757395</v>
      </c>
      <c r="AC336" s="53">
        <v>42.066982248520716</v>
      </c>
      <c r="AD336" s="53">
        <v>74.83147928994083</v>
      </c>
      <c r="AE336" s="53" t="str">
        <f>_xlfn.XLOOKUP(Master[[#This Row],[cu_id]],'[1]Customer Revenue'!$Q:$Q,'[1]Customer Revenue'!$K:$K, "None")</f>
        <v>None</v>
      </c>
      <c r="AF336" s="53" t="str">
        <f>_xlfn.XLOOKUP(Master[[#This Row],[cu_id]],'[1]Customer Revenue'!$Q:$Q,'[1]Customer Revenue'!$L:$L, "None")</f>
        <v>None</v>
      </c>
      <c r="AG336" s="53">
        <v>38.383076923076942</v>
      </c>
      <c r="AH336" s="53">
        <v>70.066153846153853</v>
      </c>
      <c r="AI336" s="53">
        <v>55.696153846153848</v>
      </c>
      <c r="AJ336" s="53">
        <v>58.449230769230773</v>
      </c>
      <c r="AK336" s="53" t="str">
        <f>_xlfn.XLOOKUP(Master[[#This Row],[cu_id]],'[1]Customer Revenue'!$Q:$Q,'[1]Customer Revenue'!$I:$I, "None")</f>
        <v>None</v>
      </c>
      <c r="AL336" s="53">
        <v>54.224615384615397</v>
      </c>
      <c r="AM336" s="61">
        <v>0.29166666666666669</v>
      </c>
      <c r="AN336" s="60">
        <v>0.70833333333333337</v>
      </c>
      <c r="AO336" s="60" t="s">
        <v>36</v>
      </c>
      <c r="AP336" s="60" t="s">
        <v>36</v>
      </c>
      <c r="AQ336" s="58" t="s">
        <v>0</v>
      </c>
      <c r="AR336" s="58"/>
      <c r="AS336" s="58"/>
      <c r="AT336" s="52">
        <v>0</v>
      </c>
      <c r="AU336" s="52" t="e">
        <f>IF(Master[[#This Row],[RSP StopTime override]] &lt;&gt; "",Master[[#This Row],[RSP StopTime override]],IF(Master[[#This Row],[Avg stop time helper]] &lt;&gt; 0, Master[[#This Row],[Avg stop time helper]],Average_Stop_Time))</f>
        <v>#DIV/0!</v>
      </c>
      <c r="AV336" s="21"/>
      <c r="AW336" s="20">
        <f>Master[[#This Row],[RSP StopTime override]]-Master[[#This Row],[Avg stop time helper]]</f>
        <v>0</v>
      </c>
    </row>
    <row r="337" spans="1:49" x14ac:dyDescent="0.3">
      <c r="A337" s="66" t="s">
        <v>4436</v>
      </c>
      <c r="B337" s="58">
        <v>47</v>
      </c>
      <c r="C337" s="58" t="s">
        <v>24</v>
      </c>
      <c r="D337" s="65">
        <v>531834</v>
      </c>
      <c r="E337" s="65" t="s">
        <v>42</v>
      </c>
      <c r="F337" s="65" t="s">
        <v>2902</v>
      </c>
      <c r="G337" s="65" t="s">
        <v>2901</v>
      </c>
      <c r="H337" s="65" t="s">
        <v>7</v>
      </c>
      <c r="I337" s="65" t="s">
        <v>12</v>
      </c>
      <c r="J337" s="65" t="s">
        <v>5</v>
      </c>
      <c r="K337" s="65" t="s">
        <v>30</v>
      </c>
      <c r="L337" s="64" t="s">
        <v>91</v>
      </c>
      <c r="M337" s="58" t="s">
        <v>90</v>
      </c>
      <c r="N337" s="58" t="s">
        <v>2</v>
      </c>
      <c r="O337" s="58">
        <v>5</v>
      </c>
      <c r="P337" s="58">
        <v>5</v>
      </c>
      <c r="Q337" s="58">
        <v>0</v>
      </c>
      <c r="R337" s="58">
        <v>0</v>
      </c>
      <c r="S337" s="58">
        <v>0</v>
      </c>
      <c r="T337" s="58">
        <v>0</v>
      </c>
      <c r="U337" s="58">
        <v>22</v>
      </c>
      <c r="V337" s="62"/>
      <c r="W337" s="62"/>
      <c r="X337" s="63">
        <f>IFERROR(1 -(Master[[#This Row],[Avg Garment Scans per Delivery]]/Master[[#This Row],[Garment Inventory]]), 0)</f>
        <v>0</v>
      </c>
      <c r="Y337" s="62"/>
      <c r="Z337" s="62"/>
      <c r="AA337" s="53">
        <v>72.365624999999966</v>
      </c>
      <c r="AB337" s="53">
        <v>197.94937499999997</v>
      </c>
      <c r="AC337" s="53">
        <v>116.42918367346938</v>
      </c>
      <c r="AD337" s="53">
        <v>238.0022448979592</v>
      </c>
      <c r="AE337" s="53" t="str">
        <f>_xlfn.XLOOKUP(Master[[#This Row],[cu_id]],'[1]Customer Revenue'!$Q:$Q,'[1]Customer Revenue'!$K:$K, "None")</f>
        <v>None</v>
      </c>
      <c r="AF337" s="53" t="str">
        <f>_xlfn.XLOOKUP(Master[[#This Row],[cu_id]],'[1]Customer Revenue'!$Q:$Q,'[1]Customer Revenue'!$L:$L, "None")</f>
        <v>None</v>
      </c>
      <c r="AG337" s="53">
        <v>93.149722222222238</v>
      </c>
      <c r="AH337" s="53">
        <v>253.22194444444443</v>
      </c>
      <c r="AI337" s="53">
        <v>135.15749999999997</v>
      </c>
      <c r="AJ337" s="53">
        <v>177.21571428571428</v>
      </c>
      <c r="AK337" s="53" t="str">
        <f>_xlfn.XLOOKUP(Master[[#This Row],[cu_id]],'[1]Customer Revenue'!$Q:$Q,'[1]Customer Revenue'!$I:$I, "None")</f>
        <v>None</v>
      </c>
      <c r="AL337" s="53">
        <v>173.18583333333333</v>
      </c>
      <c r="AM337" s="61" t="s">
        <v>36</v>
      </c>
      <c r="AN337" s="60" t="s">
        <v>36</v>
      </c>
      <c r="AO337" s="60" t="s">
        <v>36</v>
      </c>
      <c r="AP337" s="60" t="s">
        <v>36</v>
      </c>
      <c r="AQ337" s="58" t="s">
        <v>0</v>
      </c>
      <c r="AR337" s="58"/>
      <c r="AS337" s="58"/>
      <c r="AT337" s="52">
        <v>0</v>
      </c>
      <c r="AU337" s="52" t="e">
        <f>IF(Master[[#This Row],[RSP StopTime override]] &lt;&gt; "",Master[[#This Row],[RSP StopTime override]],IF(Master[[#This Row],[Avg stop time helper]] &lt;&gt; 0, Master[[#This Row],[Avg stop time helper]],Average_Stop_Time))</f>
        <v>#DIV/0!</v>
      </c>
      <c r="AV337" s="21"/>
      <c r="AW337" s="20">
        <f>Master[[#This Row],[RSP StopTime override]]-Master[[#This Row],[Avg stop time helper]]</f>
        <v>0</v>
      </c>
    </row>
    <row r="338" spans="1:49" x14ac:dyDescent="0.3">
      <c r="A338" s="66" t="s">
        <v>4437</v>
      </c>
      <c r="B338" s="58">
        <v>47</v>
      </c>
      <c r="C338" s="58" t="s">
        <v>24</v>
      </c>
      <c r="D338" s="65">
        <v>531891</v>
      </c>
      <c r="E338" s="65" t="s">
        <v>42</v>
      </c>
      <c r="F338" s="65" t="s">
        <v>2900</v>
      </c>
      <c r="G338" s="65" t="s">
        <v>2899</v>
      </c>
      <c r="H338" s="65" t="s">
        <v>7</v>
      </c>
      <c r="I338" s="65" t="s">
        <v>2876</v>
      </c>
      <c r="J338" s="65" t="s">
        <v>5</v>
      </c>
      <c r="K338" s="65" t="s">
        <v>2875</v>
      </c>
      <c r="L338" s="64" t="s">
        <v>77</v>
      </c>
      <c r="M338" s="58" t="s">
        <v>29</v>
      </c>
      <c r="N338" s="58" t="s">
        <v>2</v>
      </c>
      <c r="O338" s="58">
        <v>125</v>
      </c>
      <c r="P338" s="58">
        <v>125</v>
      </c>
      <c r="Q338" s="58">
        <v>0</v>
      </c>
      <c r="R338" s="58">
        <v>0</v>
      </c>
      <c r="S338" s="58">
        <v>0</v>
      </c>
      <c r="T338" s="58">
        <v>0</v>
      </c>
      <c r="U338" s="58">
        <v>26</v>
      </c>
      <c r="V338" s="62"/>
      <c r="W338" s="62"/>
      <c r="X338" s="63">
        <f>IFERROR(1 -(Master[[#This Row],[Avg Garment Scans per Delivery]]/Master[[#This Row],[Garment Inventory]]), 0)</f>
        <v>0</v>
      </c>
      <c r="Y338" s="62"/>
      <c r="Z338" s="62"/>
      <c r="AA338" s="53">
        <v>71.834444444444443</v>
      </c>
      <c r="AB338" s="53">
        <v>78.568888888888893</v>
      </c>
      <c r="AC338" s="53">
        <v>73.979183673469407</v>
      </c>
      <c r="AD338" s="53">
        <v>78.706530612244904</v>
      </c>
      <c r="AE338" s="53" t="str">
        <f>_xlfn.XLOOKUP(Master[[#This Row],[cu_id]],'[1]Customer Revenue'!$Q:$Q,'[1]Customer Revenue'!$K:$K, "None")</f>
        <v>None</v>
      </c>
      <c r="AF338" s="53" t="str">
        <f>_xlfn.XLOOKUP(Master[[#This Row],[cu_id]],'[1]Customer Revenue'!$Q:$Q,'[1]Customer Revenue'!$L:$L, "None")</f>
        <v>None</v>
      </c>
      <c r="AG338" s="53">
        <v>72.528106508875752</v>
      </c>
      <c r="AH338" s="53">
        <v>77.978047337278113</v>
      </c>
      <c r="AI338" s="53">
        <v>75.201666666666668</v>
      </c>
      <c r="AJ338" s="53">
        <v>76.342857142857156</v>
      </c>
      <c r="AK338" s="53" t="str">
        <f>_xlfn.XLOOKUP(Master[[#This Row],[cu_id]],'[1]Customer Revenue'!$Q:$Q,'[1]Customer Revenue'!$I:$I, "None")</f>
        <v>None</v>
      </c>
      <c r="AL338" s="53">
        <v>75.253076923076932</v>
      </c>
      <c r="AM338" s="61">
        <v>0.20833333333333334</v>
      </c>
      <c r="AN338" s="60">
        <v>0.91666666666666663</v>
      </c>
      <c r="AO338" s="60" t="s">
        <v>36</v>
      </c>
      <c r="AP338" s="60" t="s">
        <v>36</v>
      </c>
      <c r="AQ338" s="58" t="s">
        <v>0</v>
      </c>
      <c r="AR338" s="58"/>
      <c r="AS338" s="58"/>
      <c r="AT338" s="52">
        <v>0</v>
      </c>
      <c r="AU338" s="52" t="e">
        <f>IF(Master[[#This Row],[RSP StopTime override]] &lt;&gt; "",Master[[#This Row],[RSP StopTime override]],IF(Master[[#This Row],[Avg stop time helper]] &lt;&gt; 0, Master[[#This Row],[Avg stop time helper]],Average_Stop_Time))</f>
        <v>#DIV/0!</v>
      </c>
      <c r="AV338" s="21"/>
      <c r="AW338" s="20">
        <f>Master[[#This Row],[RSP StopTime override]]-Master[[#This Row],[Avg stop time helper]]</f>
        <v>0</v>
      </c>
    </row>
    <row r="339" spans="1:49" x14ac:dyDescent="0.3">
      <c r="A339" s="66" t="s">
        <v>4438</v>
      </c>
      <c r="B339" s="58">
        <v>47</v>
      </c>
      <c r="C339" s="58" t="s">
        <v>24</v>
      </c>
      <c r="D339" s="65">
        <v>532010</v>
      </c>
      <c r="E339" s="65" t="s">
        <v>42</v>
      </c>
      <c r="F339" s="65" t="s">
        <v>2898</v>
      </c>
      <c r="G339" s="65" t="s">
        <v>2897</v>
      </c>
      <c r="H339" s="65" t="s">
        <v>7</v>
      </c>
      <c r="I339" s="65" t="s">
        <v>2876</v>
      </c>
      <c r="J339" s="65" t="s">
        <v>5</v>
      </c>
      <c r="K339" s="65" t="s">
        <v>2875</v>
      </c>
      <c r="L339" s="64" t="s">
        <v>67</v>
      </c>
      <c r="M339" s="58" t="s">
        <v>3</v>
      </c>
      <c r="N339" s="58" t="s">
        <v>2</v>
      </c>
      <c r="O339" s="58">
        <v>115</v>
      </c>
      <c r="P339" s="58">
        <v>115</v>
      </c>
      <c r="Q339" s="58">
        <v>0</v>
      </c>
      <c r="R339" s="58">
        <v>0</v>
      </c>
      <c r="S339" s="58">
        <v>0</v>
      </c>
      <c r="T339" s="58">
        <v>0</v>
      </c>
      <c r="U339" s="58">
        <v>52</v>
      </c>
      <c r="V339" s="62"/>
      <c r="W339" s="62"/>
      <c r="X339" s="63">
        <f>IFERROR(1 -(Master[[#This Row],[Avg Garment Scans per Delivery]]/Master[[#This Row],[Garment Inventory]]), 0)</f>
        <v>0</v>
      </c>
      <c r="Y339" s="62"/>
      <c r="Z339" s="62"/>
      <c r="AA339" s="53">
        <v>96.004142011834318</v>
      </c>
      <c r="AB339" s="53">
        <v>107.74355029585797</v>
      </c>
      <c r="AC339" s="53">
        <v>108.44372781065087</v>
      </c>
      <c r="AD339" s="53">
        <v>113.09934911242601</v>
      </c>
      <c r="AE339" s="53" t="str">
        <f>_xlfn.XLOOKUP(Master[[#This Row],[cu_id]],'[1]Customer Revenue'!$Q:$Q,'[1]Customer Revenue'!$K:$K, "None")</f>
        <v>None</v>
      </c>
      <c r="AF339" s="53" t="str">
        <f>_xlfn.XLOOKUP(Master[[#This Row],[cu_id]],'[1]Customer Revenue'!$Q:$Q,'[1]Customer Revenue'!$L:$L, "None")</f>
        <v>None</v>
      </c>
      <c r="AG339" s="53">
        <v>96.453786982248545</v>
      </c>
      <c r="AH339" s="53">
        <v>104.06313609467463</v>
      </c>
      <c r="AI339" s="53">
        <v>101.87384615384615</v>
      </c>
      <c r="AJ339" s="53">
        <v>110.77153846153844</v>
      </c>
      <c r="AK339" s="53" t="str">
        <f>_xlfn.XLOOKUP(Master[[#This Row],[cu_id]],'[1]Customer Revenue'!$Q:$Q,'[1]Customer Revenue'!$I:$I, "None")</f>
        <v>None</v>
      </c>
      <c r="AL339" s="53">
        <v>100.25846153846159</v>
      </c>
      <c r="AM339" s="61">
        <v>0.20833333333333334</v>
      </c>
      <c r="AN339" s="60">
        <v>0.91666666666666663</v>
      </c>
      <c r="AO339" s="60" t="s">
        <v>36</v>
      </c>
      <c r="AP339" s="60" t="s">
        <v>36</v>
      </c>
      <c r="AQ339" s="58" t="s">
        <v>0</v>
      </c>
      <c r="AR339" s="58"/>
      <c r="AS339" s="58"/>
      <c r="AT339" s="52">
        <v>0</v>
      </c>
      <c r="AU339" s="52" t="e">
        <f>IF(Master[[#This Row],[RSP StopTime override]] &lt;&gt; "",Master[[#This Row],[RSP StopTime override]],IF(Master[[#This Row],[Avg stop time helper]] &lt;&gt; 0, Master[[#This Row],[Avg stop time helper]],Average_Stop_Time))</f>
        <v>#DIV/0!</v>
      </c>
      <c r="AV339" s="21"/>
      <c r="AW339" s="20">
        <f>Master[[#This Row],[RSP StopTime override]]-Master[[#This Row],[Avg stop time helper]]</f>
        <v>0</v>
      </c>
    </row>
    <row r="340" spans="1:49" x14ac:dyDescent="0.3">
      <c r="A340" s="66" t="s">
        <v>4439</v>
      </c>
      <c r="B340" s="58">
        <v>47</v>
      </c>
      <c r="C340" s="58" t="s">
        <v>24</v>
      </c>
      <c r="D340" s="65">
        <v>532155</v>
      </c>
      <c r="E340" s="65" t="s">
        <v>42</v>
      </c>
      <c r="F340" s="65" t="s">
        <v>2896</v>
      </c>
      <c r="G340" s="65" t="s">
        <v>2895</v>
      </c>
      <c r="H340" s="65" t="s">
        <v>7</v>
      </c>
      <c r="I340" s="65" t="s">
        <v>2894</v>
      </c>
      <c r="J340" s="65" t="s">
        <v>5</v>
      </c>
      <c r="K340" s="65" t="s">
        <v>2893</v>
      </c>
      <c r="L340" s="64" t="s">
        <v>67</v>
      </c>
      <c r="M340" s="58" t="s">
        <v>3</v>
      </c>
      <c r="N340" s="58" t="s">
        <v>2</v>
      </c>
      <c r="O340" s="58">
        <v>60</v>
      </c>
      <c r="P340" s="58">
        <v>60</v>
      </c>
      <c r="Q340" s="58">
        <v>0</v>
      </c>
      <c r="R340" s="58">
        <v>0</v>
      </c>
      <c r="S340" s="58">
        <v>0</v>
      </c>
      <c r="T340" s="58">
        <v>0</v>
      </c>
      <c r="U340" s="58">
        <v>54</v>
      </c>
      <c r="V340" s="62">
        <v>818</v>
      </c>
      <c r="W340" s="62">
        <v>225</v>
      </c>
      <c r="X340" s="63">
        <f>IFERROR(1 -(Master[[#This Row],[Avg Garment Scans per Delivery]]/Master[[#This Row],[Garment Inventory]]), 0)</f>
        <v>0.7249388753056234</v>
      </c>
      <c r="Y340" s="62">
        <v>40</v>
      </c>
      <c r="Z340" s="62">
        <v>988</v>
      </c>
      <c r="AA340" s="53">
        <v>571.32491124260366</v>
      </c>
      <c r="AB340" s="53">
        <v>659.82739644970422</v>
      </c>
      <c r="AC340" s="53">
        <v>645.31520710059181</v>
      </c>
      <c r="AD340" s="53">
        <v>732.40940828402381</v>
      </c>
      <c r="AE340" s="53" t="str">
        <f>_xlfn.XLOOKUP(Master[[#This Row],[cu_id]],'[1]Customer Revenue'!$Q:$Q,'[1]Customer Revenue'!$K:$K, "None")</f>
        <v>None</v>
      </c>
      <c r="AF340" s="53" t="str">
        <f>_xlfn.XLOOKUP(Master[[#This Row],[cu_id]],'[1]Customer Revenue'!$Q:$Q,'[1]Customer Revenue'!$L:$L, "None")</f>
        <v>None</v>
      </c>
      <c r="AG340" s="53">
        <v>553.96763313609472</v>
      </c>
      <c r="AH340" s="53">
        <v>648.4731360946746</v>
      </c>
      <c r="AI340" s="53">
        <v>615.57615384615394</v>
      </c>
      <c r="AJ340" s="53">
        <v>688.86230769230781</v>
      </c>
      <c r="AK340" s="53" t="str">
        <f>_xlfn.XLOOKUP(Master[[#This Row],[cu_id]],'[1]Customer Revenue'!$Q:$Q,'[1]Customer Revenue'!$I:$I, "None")</f>
        <v>None</v>
      </c>
      <c r="AL340" s="53">
        <v>601.22038461538466</v>
      </c>
      <c r="AM340" s="61">
        <v>0.33333333333333331</v>
      </c>
      <c r="AN340" s="60">
        <v>0.70833333333333337</v>
      </c>
      <c r="AO340" s="60" t="s">
        <v>36</v>
      </c>
      <c r="AP340" s="60" t="s">
        <v>36</v>
      </c>
      <c r="AQ340" s="58" t="s">
        <v>0</v>
      </c>
      <c r="AR340" s="58"/>
      <c r="AS340" s="58"/>
      <c r="AT340" s="52">
        <v>0</v>
      </c>
      <c r="AU340" s="52" t="e">
        <f>IF(Master[[#This Row],[RSP StopTime override]] &lt;&gt; "",Master[[#This Row],[RSP StopTime override]],IF(Master[[#This Row],[Avg stop time helper]] &lt;&gt; 0, Master[[#This Row],[Avg stop time helper]],Average_Stop_Time))</f>
        <v>#DIV/0!</v>
      </c>
      <c r="AV340" s="21"/>
      <c r="AW340" s="20">
        <f>Master[[#This Row],[RSP StopTime override]]-Master[[#This Row],[Avg stop time helper]]</f>
        <v>0</v>
      </c>
    </row>
    <row r="341" spans="1:49" x14ac:dyDescent="0.3">
      <c r="A341" s="66" t="s">
        <v>4440</v>
      </c>
      <c r="B341" s="58">
        <v>47</v>
      </c>
      <c r="C341" s="58" t="s">
        <v>24</v>
      </c>
      <c r="D341" s="65">
        <v>532202</v>
      </c>
      <c r="E341" s="65" t="s">
        <v>42</v>
      </c>
      <c r="F341" s="65" t="s">
        <v>2892</v>
      </c>
      <c r="G341" s="65" t="s">
        <v>2891</v>
      </c>
      <c r="H341" s="65" t="s">
        <v>7</v>
      </c>
      <c r="I341" s="65" t="s">
        <v>2876</v>
      </c>
      <c r="J341" s="65" t="s">
        <v>5</v>
      </c>
      <c r="K341" s="65" t="s">
        <v>2875</v>
      </c>
      <c r="L341" s="64" t="s">
        <v>67</v>
      </c>
      <c r="M341" s="58" t="s">
        <v>3</v>
      </c>
      <c r="N341" s="58" t="s">
        <v>2</v>
      </c>
      <c r="O341" s="58">
        <v>120</v>
      </c>
      <c r="P341" s="58">
        <v>120</v>
      </c>
      <c r="Q341" s="58">
        <v>0</v>
      </c>
      <c r="R341" s="58">
        <v>0</v>
      </c>
      <c r="S341" s="58">
        <v>0</v>
      </c>
      <c r="T341" s="58">
        <v>0</v>
      </c>
      <c r="U341" s="58">
        <v>52</v>
      </c>
      <c r="V341" s="62">
        <v>66</v>
      </c>
      <c r="W341" s="62">
        <v>4</v>
      </c>
      <c r="X341" s="63">
        <f>IFERROR(1 -(Master[[#This Row],[Avg Garment Scans per Delivery]]/Master[[#This Row],[Garment Inventory]]), 0)</f>
        <v>0.93939393939393945</v>
      </c>
      <c r="Y341" s="62">
        <v>3</v>
      </c>
      <c r="Z341" s="62">
        <v>66</v>
      </c>
      <c r="AA341" s="53">
        <v>141.28597633136096</v>
      </c>
      <c r="AB341" s="53">
        <v>193.28171597633136</v>
      </c>
      <c r="AC341" s="53">
        <v>161.81792899408285</v>
      </c>
      <c r="AD341" s="53">
        <v>170.62668639053257</v>
      </c>
      <c r="AE341" s="53" t="str">
        <f>_xlfn.XLOOKUP(Master[[#This Row],[cu_id]],'[1]Customer Revenue'!$Q:$Q,'[1]Customer Revenue'!$K:$K, "None")</f>
        <v>None</v>
      </c>
      <c r="AF341" s="53" t="str">
        <f>_xlfn.XLOOKUP(Master[[#This Row],[cu_id]],'[1]Customer Revenue'!$Q:$Q,'[1]Customer Revenue'!$L:$L, "None")</f>
        <v>None</v>
      </c>
      <c r="AG341" s="53">
        <v>145.904674556213</v>
      </c>
      <c r="AH341" s="53">
        <v>173.9791715976331</v>
      </c>
      <c r="AI341" s="53">
        <v>167.28384615384616</v>
      </c>
      <c r="AJ341" s="53">
        <v>166.22230769230771</v>
      </c>
      <c r="AK341" s="53" t="str">
        <f>_xlfn.XLOOKUP(Master[[#This Row],[cu_id]],'[1]Customer Revenue'!$Q:$Q,'[1]Customer Revenue'!$I:$I, "None")</f>
        <v>None</v>
      </c>
      <c r="AL341" s="53">
        <v>159.94192307692305</v>
      </c>
      <c r="AM341" s="61">
        <v>0.41666666666666669</v>
      </c>
      <c r="AN341" s="60">
        <v>0.91666666666666663</v>
      </c>
      <c r="AO341" s="60" t="s">
        <v>36</v>
      </c>
      <c r="AP341" s="60" t="s">
        <v>36</v>
      </c>
      <c r="AQ341" s="58" t="s">
        <v>0</v>
      </c>
      <c r="AR341" s="58"/>
      <c r="AS341" s="58"/>
      <c r="AT341" s="52">
        <v>0</v>
      </c>
      <c r="AU341" s="52" t="e">
        <f>IF(Master[[#This Row],[RSP StopTime override]] &lt;&gt; "",Master[[#This Row],[RSP StopTime override]],IF(Master[[#This Row],[Avg stop time helper]] &lt;&gt; 0, Master[[#This Row],[Avg stop time helper]],Average_Stop_Time))</f>
        <v>#DIV/0!</v>
      </c>
      <c r="AV341" s="21"/>
      <c r="AW341" s="20">
        <f>Master[[#This Row],[RSP StopTime override]]-Master[[#This Row],[Avg stop time helper]]</f>
        <v>0</v>
      </c>
    </row>
    <row r="342" spans="1:49" x14ac:dyDescent="0.3">
      <c r="A342" s="66" t="s">
        <v>4441</v>
      </c>
      <c r="B342" s="58">
        <v>47</v>
      </c>
      <c r="C342" s="58" t="s">
        <v>24</v>
      </c>
      <c r="D342" s="65">
        <v>532284</v>
      </c>
      <c r="E342" s="65" t="s">
        <v>42</v>
      </c>
      <c r="F342" s="65" t="s">
        <v>2890</v>
      </c>
      <c r="G342" s="65" t="s">
        <v>2889</v>
      </c>
      <c r="H342" s="65" t="s">
        <v>7</v>
      </c>
      <c r="I342" s="65" t="s">
        <v>2888</v>
      </c>
      <c r="J342" s="65" t="s">
        <v>5</v>
      </c>
      <c r="K342" s="65" t="s">
        <v>2887</v>
      </c>
      <c r="L342" s="64" t="s">
        <v>67</v>
      </c>
      <c r="M342" s="58" t="s">
        <v>3</v>
      </c>
      <c r="N342" s="58" t="s">
        <v>2</v>
      </c>
      <c r="O342" s="58">
        <v>50</v>
      </c>
      <c r="P342" s="58">
        <v>50</v>
      </c>
      <c r="Q342" s="58">
        <v>0</v>
      </c>
      <c r="R342" s="58">
        <v>0</v>
      </c>
      <c r="S342" s="58">
        <v>0</v>
      </c>
      <c r="T342" s="58">
        <v>0</v>
      </c>
      <c r="U342" s="58">
        <v>52</v>
      </c>
      <c r="V342" s="62">
        <v>319</v>
      </c>
      <c r="W342" s="62">
        <v>58</v>
      </c>
      <c r="X342" s="63">
        <f>IFERROR(1 -(Master[[#This Row],[Avg Garment Scans per Delivery]]/Master[[#This Row],[Garment Inventory]]), 0)</f>
        <v>0.81818181818181812</v>
      </c>
      <c r="Y342" s="62">
        <v>16</v>
      </c>
      <c r="Z342" s="62">
        <v>342</v>
      </c>
      <c r="AA342" s="53">
        <v>121.26378698224853</v>
      </c>
      <c r="AB342" s="53">
        <v>133.31775147928994</v>
      </c>
      <c r="AC342" s="53">
        <v>115.51461538461538</v>
      </c>
      <c r="AD342" s="53">
        <v>195.94538461538465</v>
      </c>
      <c r="AE342" s="53" t="str">
        <f>_xlfn.XLOOKUP(Master[[#This Row],[cu_id]],'[1]Customer Revenue'!$Q:$Q,'[1]Customer Revenue'!$K:$K, "None")</f>
        <v>None</v>
      </c>
      <c r="AF342" s="53" t="str">
        <f>_xlfn.XLOOKUP(Master[[#This Row],[cu_id]],'[1]Customer Revenue'!$Q:$Q,'[1]Customer Revenue'!$L:$L, "None")</f>
        <v>None</v>
      </c>
      <c r="AG342" s="53">
        <v>120.44627218934912</v>
      </c>
      <c r="AH342" s="53">
        <v>133.32603550295858</v>
      </c>
      <c r="AI342" s="53">
        <v>127.29076923076924</v>
      </c>
      <c r="AJ342" s="53">
        <v>155.73000000000002</v>
      </c>
      <c r="AK342" s="53" t="str">
        <f>_xlfn.XLOOKUP(Master[[#This Row],[cu_id]],'[1]Customer Revenue'!$Q:$Q,'[1]Customer Revenue'!$I:$I, "None")</f>
        <v>None</v>
      </c>
      <c r="AL342" s="53">
        <v>126.88615384615385</v>
      </c>
      <c r="AM342" s="61">
        <v>0.33333333333333331</v>
      </c>
      <c r="AN342" s="60">
        <v>0.70833333333333337</v>
      </c>
      <c r="AO342" s="60" t="s">
        <v>36</v>
      </c>
      <c r="AP342" s="60" t="s">
        <v>36</v>
      </c>
      <c r="AQ342" s="58" t="s">
        <v>0</v>
      </c>
      <c r="AR342" s="58"/>
      <c r="AS342" s="58"/>
      <c r="AT342" s="52">
        <v>0</v>
      </c>
      <c r="AU342" s="52" t="e">
        <f>IF(Master[[#This Row],[RSP StopTime override]] &lt;&gt; "",Master[[#This Row],[RSP StopTime override]],IF(Master[[#This Row],[Avg stop time helper]] &lt;&gt; 0, Master[[#This Row],[Avg stop time helper]],Average_Stop_Time))</f>
        <v>#DIV/0!</v>
      </c>
      <c r="AV342" s="21"/>
      <c r="AW342" s="20">
        <f>Master[[#This Row],[RSP StopTime override]]-Master[[#This Row],[Avg stop time helper]]</f>
        <v>0</v>
      </c>
    </row>
    <row r="343" spans="1:49" x14ac:dyDescent="0.3">
      <c r="A343" s="66" t="s">
        <v>4442</v>
      </c>
      <c r="B343" s="58">
        <v>47</v>
      </c>
      <c r="C343" s="58" t="s">
        <v>24</v>
      </c>
      <c r="D343" s="65">
        <v>533000</v>
      </c>
      <c r="E343" s="65" t="s">
        <v>42</v>
      </c>
      <c r="F343" s="65" t="s">
        <v>2886</v>
      </c>
      <c r="G343" s="65" t="s">
        <v>2885</v>
      </c>
      <c r="H343" s="65" t="s">
        <v>32</v>
      </c>
      <c r="I343" s="65" t="s">
        <v>2884</v>
      </c>
      <c r="J343" s="65" t="s">
        <v>5</v>
      </c>
      <c r="K343" s="65" t="s">
        <v>2883</v>
      </c>
      <c r="L343" s="64" t="s">
        <v>77</v>
      </c>
      <c r="M343" s="58" t="s">
        <v>29</v>
      </c>
      <c r="N343" s="58" t="s">
        <v>2</v>
      </c>
      <c r="O343" s="58">
        <v>70</v>
      </c>
      <c r="P343" s="58">
        <v>70</v>
      </c>
      <c r="Q343" s="58">
        <v>0</v>
      </c>
      <c r="R343" s="58">
        <v>0</v>
      </c>
      <c r="S343" s="58">
        <v>0</v>
      </c>
      <c r="T343" s="58">
        <v>0</v>
      </c>
      <c r="U343" s="58">
        <v>26</v>
      </c>
      <c r="V343" s="62"/>
      <c r="W343" s="62"/>
      <c r="X343" s="63">
        <f>IFERROR(1 -(Master[[#This Row],[Avg Garment Scans per Delivery]]/Master[[#This Row],[Garment Inventory]]), 0)</f>
        <v>0</v>
      </c>
      <c r="Y343" s="62"/>
      <c r="Z343" s="62"/>
      <c r="AA343" s="53">
        <v>105.87666666666665</v>
      </c>
      <c r="AB343" s="53">
        <v>143.39999999999998</v>
      </c>
      <c r="AC343" s="53">
        <v>92.750612244897951</v>
      </c>
      <c r="AD343" s="53">
        <v>185.5808163265306</v>
      </c>
      <c r="AE343" s="53" t="str">
        <f>_xlfn.XLOOKUP(Master[[#This Row],[cu_id]],'[1]Customer Revenue'!$Q:$Q,'[1]Customer Revenue'!$K:$K, "None")</f>
        <v>None</v>
      </c>
      <c r="AF343" s="53" t="str">
        <f>_xlfn.XLOOKUP(Master[[#This Row],[cu_id]],'[1]Customer Revenue'!$Q:$Q,'[1]Customer Revenue'!$L:$L, "None")</f>
        <v>None</v>
      </c>
      <c r="AG343" s="53">
        <v>91.761715976331359</v>
      </c>
      <c r="AH343" s="53">
        <v>139.762899408284</v>
      </c>
      <c r="AI343" s="53">
        <v>124.63833333333332</v>
      </c>
      <c r="AJ343" s="53">
        <v>139.16571428571427</v>
      </c>
      <c r="AK343" s="53" t="str">
        <f>_xlfn.XLOOKUP(Master[[#This Row],[cu_id]],'[1]Customer Revenue'!$Q:$Q,'[1]Customer Revenue'!$I:$I, "None")</f>
        <v>None</v>
      </c>
      <c r="AL343" s="53">
        <v>115.76230769230769</v>
      </c>
      <c r="AM343" s="61">
        <v>0.25</v>
      </c>
      <c r="AN343" s="60">
        <v>0.875</v>
      </c>
      <c r="AO343" s="60" t="s">
        <v>36</v>
      </c>
      <c r="AP343" s="60" t="s">
        <v>36</v>
      </c>
      <c r="AQ343" s="58" t="s">
        <v>0</v>
      </c>
      <c r="AR343" s="58"/>
      <c r="AS343" s="58"/>
      <c r="AT343" s="52">
        <v>0</v>
      </c>
      <c r="AU343" s="52" t="e">
        <f>IF(Master[[#This Row],[RSP StopTime override]] &lt;&gt; "",Master[[#This Row],[RSP StopTime override]],IF(Master[[#This Row],[Avg stop time helper]] &lt;&gt; 0, Master[[#This Row],[Avg stop time helper]],Average_Stop_Time))</f>
        <v>#DIV/0!</v>
      </c>
      <c r="AV343" s="21"/>
      <c r="AW343" s="20">
        <f>Master[[#This Row],[RSP StopTime override]]-Master[[#This Row],[Avg stop time helper]]</f>
        <v>0</v>
      </c>
    </row>
    <row r="344" spans="1:49" x14ac:dyDescent="0.3">
      <c r="A344" s="66" t="s">
        <v>4443</v>
      </c>
      <c r="B344" s="58">
        <v>47</v>
      </c>
      <c r="C344" s="58" t="s">
        <v>24</v>
      </c>
      <c r="D344" s="65">
        <v>533001</v>
      </c>
      <c r="E344" s="65" t="s">
        <v>42</v>
      </c>
      <c r="F344" s="65" t="s">
        <v>2882</v>
      </c>
      <c r="G344" s="65" t="s">
        <v>2881</v>
      </c>
      <c r="H344" s="65" t="s">
        <v>32</v>
      </c>
      <c r="I344" s="65" t="s">
        <v>2880</v>
      </c>
      <c r="J344" s="65" t="s">
        <v>5</v>
      </c>
      <c r="K344" s="65" t="s">
        <v>2879</v>
      </c>
      <c r="L344" s="64" t="s">
        <v>77</v>
      </c>
      <c r="M344" s="58" t="s">
        <v>29</v>
      </c>
      <c r="N344" s="58" t="s">
        <v>2</v>
      </c>
      <c r="O344" s="58">
        <v>95</v>
      </c>
      <c r="P344" s="58">
        <v>95</v>
      </c>
      <c r="Q344" s="58">
        <v>0</v>
      </c>
      <c r="R344" s="58">
        <v>0</v>
      </c>
      <c r="S344" s="58">
        <v>0</v>
      </c>
      <c r="T344" s="58">
        <v>0</v>
      </c>
      <c r="U344" s="58">
        <v>26</v>
      </c>
      <c r="V344" s="62"/>
      <c r="W344" s="62"/>
      <c r="X344" s="63">
        <f>IFERROR(1 -(Master[[#This Row],[Avg Garment Scans per Delivery]]/Master[[#This Row],[Garment Inventory]]), 0)</f>
        <v>0</v>
      </c>
      <c r="Y344" s="62"/>
      <c r="Z344" s="62"/>
      <c r="AA344" s="53">
        <v>35.11722222222221</v>
      </c>
      <c r="AB344" s="53">
        <v>97.11944444444444</v>
      </c>
      <c r="AC344" s="53">
        <v>45.767551020408163</v>
      </c>
      <c r="AD344" s="53">
        <v>57.898163265306124</v>
      </c>
      <c r="AE344" s="53" t="str">
        <f>_xlfn.XLOOKUP(Master[[#This Row],[cu_id]],'[1]Customer Revenue'!$Q:$Q,'[1]Customer Revenue'!$K:$K, "None")</f>
        <v>None</v>
      </c>
      <c r="AF344" s="53" t="str">
        <f>_xlfn.XLOOKUP(Master[[#This Row],[cu_id]],'[1]Customer Revenue'!$Q:$Q,'[1]Customer Revenue'!$L:$L, "None")</f>
        <v>None</v>
      </c>
      <c r="AG344" s="53">
        <v>33.065918367346946</v>
      </c>
      <c r="AH344" s="53">
        <v>78.462653061224501</v>
      </c>
      <c r="AI344" s="53">
        <v>66.118333333333325</v>
      </c>
      <c r="AJ344" s="53">
        <v>51.832857142857144</v>
      </c>
      <c r="AK344" s="53" t="str">
        <f>_xlfn.XLOOKUP(Master[[#This Row],[cu_id]],'[1]Customer Revenue'!$Q:$Q,'[1]Customer Revenue'!$I:$I, "None")</f>
        <v>None</v>
      </c>
      <c r="AL344" s="53">
        <v>55.76428571428572</v>
      </c>
      <c r="AM344" s="61">
        <v>0.25</v>
      </c>
      <c r="AN344" s="60">
        <v>0.875</v>
      </c>
      <c r="AO344" s="60" t="s">
        <v>36</v>
      </c>
      <c r="AP344" s="60" t="s">
        <v>36</v>
      </c>
      <c r="AQ344" s="58" t="s">
        <v>0</v>
      </c>
      <c r="AR344" s="58"/>
      <c r="AS344" s="58"/>
      <c r="AT344" s="52">
        <v>0</v>
      </c>
      <c r="AU344" s="52" t="e">
        <f>IF(Master[[#This Row],[RSP StopTime override]] &lt;&gt; "",Master[[#This Row],[RSP StopTime override]],IF(Master[[#This Row],[Avg stop time helper]] &lt;&gt; 0, Master[[#This Row],[Avg stop time helper]],Average_Stop_Time))</f>
        <v>#DIV/0!</v>
      </c>
      <c r="AV344" s="21"/>
      <c r="AW344" s="20">
        <f>Master[[#This Row],[RSP StopTime override]]-Master[[#This Row],[Avg stop time helper]]</f>
        <v>0</v>
      </c>
    </row>
    <row r="345" spans="1:49" x14ac:dyDescent="0.3">
      <c r="A345" s="66" t="s">
        <v>4444</v>
      </c>
      <c r="B345" s="58">
        <v>47</v>
      </c>
      <c r="C345" s="58" t="s">
        <v>24</v>
      </c>
      <c r="D345" s="65">
        <v>533037</v>
      </c>
      <c r="E345" s="65" t="s">
        <v>42</v>
      </c>
      <c r="F345" s="65" t="s">
        <v>2878</v>
      </c>
      <c r="G345" s="65" t="s">
        <v>2877</v>
      </c>
      <c r="H345" s="65" t="s">
        <v>7</v>
      </c>
      <c r="I345" s="65" t="s">
        <v>2876</v>
      </c>
      <c r="J345" s="65" t="s">
        <v>5</v>
      </c>
      <c r="K345" s="65" t="s">
        <v>2875</v>
      </c>
      <c r="L345" s="64" t="s">
        <v>91</v>
      </c>
      <c r="M345" s="58" t="s">
        <v>90</v>
      </c>
      <c r="N345" s="58" t="s">
        <v>2</v>
      </c>
      <c r="O345" s="58">
        <v>90</v>
      </c>
      <c r="P345" s="58">
        <v>90</v>
      </c>
      <c r="Q345" s="58">
        <v>0</v>
      </c>
      <c r="R345" s="58">
        <v>0</v>
      </c>
      <c r="S345" s="58">
        <v>0</v>
      </c>
      <c r="T345" s="58">
        <v>0</v>
      </c>
      <c r="U345" s="58">
        <v>17</v>
      </c>
      <c r="V345" s="62"/>
      <c r="W345" s="62"/>
      <c r="X345" s="63">
        <f>IFERROR(1 -(Master[[#This Row],[Avg Garment Scans per Delivery]]/Master[[#This Row],[Garment Inventory]]), 0)</f>
        <v>0</v>
      </c>
      <c r="Y345" s="62"/>
      <c r="Z345" s="62"/>
      <c r="AA345" s="53">
        <v>35</v>
      </c>
      <c r="AB345" s="53">
        <v>35</v>
      </c>
      <c r="AC345" s="53">
        <v>35</v>
      </c>
      <c r="AD345" s="53">
        <v>35</v>
      </c>
      <c r="AE345" s="53" t="str">
        <f>_xlfn.XLOOKUP(Master[[#This Row],[cu_id]],'[1]Customer Revenue'!$Q:$Q,'[1]Customer Revenue'!$K:$K, "None")</f>
        <v>None</v>
      </c>
      <c r="AF345" s="53" t="str">
        <f>_xlfn.XLOOKUP(Master[[#This Row],[cu_id]],'[1]Customer Revenue'!$Q:$Q,'[1]Customer Revenue'!$L:$L, "None")</f>
        <v>None</v>
      </c>
      <c r="AG345" s="53">
        <v>29.652777777777779</v>
      </c>
      <c r="AH345" s="53">
        <v>40.347222222222221</v>
      </c>
      <c r="AI345" s="53">
        <v>35</v>
      </c>
      <c r="AJ345" s="53">
        <v>35</v>
      </c>
      <c r="AK345" s="53" t="str">
        <f>_xlfn.XLOOKUP(Master[[#This Row],[cu_id]],'[1]Customer Revenue'!$Q:$Q,'[1]Customer Revenue'!$I:$I, "None")</f>
        <v>None</v>
      </c>
      <c r="AL345" s="53">
        <v>35</v>
      </c>
      <c r="AM345" s="61">
        <v>0.33333333333333331</v>
      </c>
      <c r="AN345" s="60">
        <v>0.625</v>
      </c>
      <c r="AO345" s="60" t="s">
        <v>36</v>
      </c>
      <c r="AP345" s="60" t="s">
        <v>36</v>
      </c>
      <c r="AQ345" s="58" t="s">
        <v>0</v>
      </c>
      <c r="AR345" s="58"/>
      <c r="AS345" s="58"/>
      <c r="AT345" s="52">
        <v>0</v>
      </c>
      <c r="AU345" s="52" t="e">
        <f>IF(Master[[#This Row],[RSP StopTime override]] &lt;&gt; "",Master[[#This Row],[RSP StopTime override]],IF(Master[[#This Row],[Avg stop time helper]] &lt;&gt; 0, Master[[#This Row],[Avg stop time helper]],Average_Stop_Time))</f>
        <v>#DIV/0!</v>
      </c>
      <c r="AV345" s="21"/>
      <c r="AW345" s="20">
        <f>Master[[#This Row],[RSP StopTime override]]-Master[[#This Row],[Avg stop time helper]]</f>
        <v>0</v>
      </c>
    </row>
    <row r="346" spans="1:49" x14ac:dyDescent="0.3">
      <c r="A346" s="66" t="s">
        <v>4445</v>
      </c>
      <c r="B346" s="58">
        <v>47</v>
      </c>
      <c r="C346" s="58" t="s">
        <v>24</v>
      </c>
      <c r="D346" s="65">
        <v>533364</v>
      </c>
      <c r="E346" s="65" t="s">
        <v>42</v>
      </c>
      <c r="F346" s="65" t="s">
        <v>2874</v>
      </c>
      <c r="G346" s="65" t="s">
        <v>2873</v>
      </c>
      <c r="H346" s="65" t="s">
        <v>7</v>
      </c>
      <c r="I346" s="65" t="s">
        <v>12</v>
      </c>
      <c r="J346" s="65" t="s">
        <v>5</v>
      </c>
      <c r="K346" s="65" t="s">
        <v>197</v>
      </c>
      <c r="L346" s="64" t="s">
        <v>145</v>
      </c>
      <c r="M346" s="58" t="s">
        <v>123</v>
      </c>
      <c r="N346" s="58" t="s">
        <v>144</v>
      </c>
      <c r="O346" s="58">
        <v>1</v>
      </c>
      <c r="P346" s="58">
        <v>1</v>
      </c>
      <c r="Q346" s="58">
        <v>0</v>
      </c>
      <c r="R346" s="58">
        <v>0</v>
      </c>
      <c r="S346" s="58">
        <v>0</v>
      </c>
      <c r="T346" s="58">
        <v>0</v>
      </c>
      <c r="U346" s="58">
        <v>10</v>
      </c>
      <c r="V346" s="62"/>
      <c r="W346" s="62"/>
      <c r="X346" s="63">
        <f>IFERROR(1 -(Master[[#This Row],[Avg Garment Scans per Delivery]]/Master[[#This Row],[Garment Inventory]]), 0)</f>
        <v>0</v>
      </c>
      <c r="Y346" s="62"/>
      <c r="Z346" s="62"/>
      <c r="AA346" s="53"/>
      <c r="AB346" s="53"/>
      <c r="AC346" s="53">
        <v>218</v>
      </c>
      <c r="AD346" s="53">
        <v>436</v>
      </c>
      <c r="AE346" s="53" t="str">
        <f>_xlfn.XLOOKUP(Master[[#This Row],[cu_id]],'[1]Customer Revenue'!$Q:$Q,'[1]Customer Revenue'!$K:$K, "None")</f>
        <v>None</v>
      </c>
      <c r="AF346" s="53" t="str">
        <f>_xlfn.XLOOKUP(Master[[#This Row],[cu_id]],'[1]Customer Revenue'!$Q:$Q,'[1]Customer Revenue'!$L:$L, "None")</f>
        <v>None</v>
      </c>
      <c r="AG346" s="53">
        <v>731.84</v>
      </c>
      <c r="AH346" s="53">
        <v>731.84</v>
      </c>
      <c r="AI346" s="53"/>
      <c r="AJ346" s="53">
        <v>327</v>
      </c>
      <c r="AK346" s="53" t="str">
        <f>_xlfn.XLOOKUP(Master[[#This Row],[cu_id]],'[1]Customer Revenue'!$Q:$Q,'[1]Customer Revenue'!$I:$I, "None")</f>
        <v>None</v>
      </c>
      <c r="AL346" s="53">
        <v>731.84</v>
      </c>
      <c r="AM346" s="61">
        <v>0.375</v>
      </c>
      <c r="AN346" s="60">
        <v>0.70833333333333337</v>
      </c>
      <c r="AO346" s="60" t="s">
        <v>36</v>
      </c>
      <c r="AP346" s="60" t="s">
        <v>36</v>
      </c>
      <c r="AQ346" s="58" t="s">
        <v>0</v>
      </c>
      <c r="AR346" s="58"/>
      <c r="AS346" s="58"/>
      <c r="AT346" s="52">
        <v>0</v>
      </c>
      <c r="AU346" s="52" t="e">
        <f>IF(Master[[#This Row],[RSP StopTime override]] &lt;&gt; "",Master[[#This Row],[RSP StopTime override]],IF(Master[[#This Row],[Avg stop time helper]] &lt;&gt; 0, Master[[#This Row],[Avg stop time helper]],Average_Stop_Time))</f>
        <v>#DIV/0!</v>
      </c>
      <c r="AV346" s="21"/>
      <c r="AW346" s="20">
        <f>Master[[#This Row],[RSP StopTime override]]-Master[[#This Row],[Avg stop time helper]]</f>
        <v>0</v>
      </c>
    </row>
    <row r="347" spans="1:49" x14ac:dyDescent="0.3">
      <c r="A347" s="66" t="s">
        <v>4446</v>
      </c>
      <c r="B347" s="58">
        <v>47</v>
      </c>
      <c r="C347" s="58" t="s">
        <v>35</v>
      </c>
      <c r="D347" s="65">
        <v>99031</v>
      </c>
      <c r="E347" s="65" t="s">
        <v>683</v>
      </c>
      <c r="F347" s="65" t="s">
        <v>2872</v>
      </c>
      <c r="G347" s="65" t="s">
        <v>2871</v>
      </c>
      <c r="H347" s="65" t="s">
        <v>1178</v>
      </c>
      <c r="I347" s="65" t="s">
        <v>2791</v>
      </c>
      <c r="J347" s="65" t="s">
        <v>5</v>
      </c>
      <c r="K347" s="65" t="s">
        <v>2790</v>
      </c>
      <c r="L347" s="64" t="s">
        <v>67</v>
      </c>
      <c r="M347" s="58" t="s">
        <v>3</v>
      </c>
      <c r="N347" s="58" t="s">
        <v>2</v>
      </c>
      <c r="O347" s="58">
        <v>10</v>
      </c>
      <c r="P347" s="58">
        <v>0</v>
      </c>
      <c r="Q347" s="58">
        <v>10</v>
      </c>
      <c r="R347" s="58">
        <v>0</v>
      </c>
      <c r="S347" s="58">
        <v>0</v>
      </c>
      <c r="T347" s="58">
        <v>0</v>
      </c>
      <c r="U347" s="58">
        <v>53</v>
      </c>
      <c r="V347" s="62"/>
      <c r="W347" s="62"/>
      <c r="X347" s="63">
        <f>IFERROR(1 -(Master[[#This Row],[Avg Garment Scans per Delivery]]/Master[[#This Row],[Garment Inventory]]), 0)</f>
        <v>0</v>
      </c>
      <c r="Y347" s="62"/>
      <c r="Z347" s="62"/>
      <c r="AA347" s="53">
        <v>79.412755102040805</v>
      </c>
      <c r="AB347" s="53">
        <v>134.92581632653059</v>
      </c>
      <c r="AC347" s="53">
        <v>71.206326530612245</v>
      </c>
      <c r="AD347" s="53">
        <v>149.269387755102</v>
      </c>
      <c r="AE347" s="53" t="str">
        <f>_xlfn.XLOOKUP(Master[[#This Row],[cu_id]],'[1]Customer Revenue'!$Q:$Q,'[1]Customer Revenue'!$K:$K, "None")</f>
        <v>None</v>
      </c>
      <c r="AF347" s="53" t="str">
        <f>_xlfn.XLOOKUP(Master[[#This Row],[cu_id]],'[1]Customer Revenue'!$Q:$Q,'[1]Customer Revenue'!$L:$L, "None")</f>
        <v>None</v>
      </c>
      <c r="AG347" s="53">
        <v>74.157341269841268</v>
      </c>
      <c r="AH347" s="53">
        <v>137.29376984126984</v>
      </c>
      <c r="AI347" s="53">
        <v>107.16928571428571</v>
      </c>
      <c r="AJ347" s="53">
        <v>110.23785714285712</v>
      </c>
      <c r="AK347" s="53" t="str">
        <f>_xlfn.XLOOKUP(Master[[#This Row],[cu_id]],'[1]Customer Revenue'!$Q:$Q,'[1]Customer Revenue'!$I:$I, "None")</f>
        <v>None</v>
      </c>
      <c r="AL347" s="53">
        <v>105.72555555555556</v>
      </c>
      <c r="AM347" s="61" t="s">
        <v>36</v>
      </c>
      <c r="AN347" s="60" t="s">
        <v>36</v>
      </c>
      <c r="AO347" s="60" t="s">
        <v>36</v>
      </c>
      <c r="AP347" s="60" t="s">
        <v>36</v>
      </c>
      <c r="AQ347" s="58" t="s">
        <v>0</v>
      </c>
      <c r="AR347" s="58"/>
      <c r="AS347" s="58"/>
      <c r="AT347" s="52">
        <v>0</v>
      </c>
      <c r="AU347" s="52" t="e">
        <f>IF(Master[[#This Row],[RSP StopTime override]] &lt;&gt; "",Master[[#This Row],[RSP StopTime override]],IF(Master[[#This Row],[Avg stop time helper]] &lt;&gt; 0, Master[[#This Row],[Avg stop time helper]],Average_Stop_Time))</f>
        <v>#DIV/0!</v>
      </c>
      <c r="AV347" s="21"/>
      <c r="AW347" s="20">
        <f>Master[[#This Row],[RSP StopTime override]]-Master[[#This Row],[Avg stop time helper]]</f>
        <v>0</v>
      </c>
    </row>
    <row r="348" spans="1:49" x14ac:dyDescent="0.3">
      <c r="A348" s="66" t="s">
        <v>4447</v>
      </c>
      <c r="B348" s="58">
        <v>47</v>
      </c>
      <c r="C348" s="58" t="s">
        <v>35</v>
      </c>
      <c r="D348" s="65">
        <v>99031</v>
      </c>
      <c r="E348" s="65" t="s">
        <v>2870</v>
      </c>
      <c r="F348" s="65" t="s">
        <v>2869</v>
      </c>
      <c r="G348" s="65" t="s">
        <v>2868</v>
      </c>
      <c r="H348" s="65" t="s">
        <v>7</v>
      </c>
      <c r="I348" s="65" t="s">
        <v>2826</v>
      </c>
      <c r="J348" s="65" t="s">
        <v>5</v>
      </c>
      <c r="K348" s="65" t="s">
        <v>2825</v>
      </c>
      <c r="L348" s="64" t="s">
        <v>67</v>
      </c>
      <c r="M348" s="58" t="s">
        <v>3</v>
      </c>
      <c r="N348" s="58" t="s">
        <v>2</v>
      </c>
      <c r="O348" s="58">
        <v>15</v>
      </c>
      <c r="P348" s="58">
        <v>0</v>
      </c>
      <c r="Q348" s="58">
        <v>15</v>
      </c>
      <c r="R348" s="58">
        <v>0</v>
      </c>
      <c r="S348" s="58">
        <v>0</v>
      </c>
      <c r="T348" s="58">
        <v>0</v>
      </c>
      <c r="U348" s="58">
        <v>52</v>
      </c>
      <c r="V348" s="62"/>
      <c r="W348" s="62"/>
      <c r="X348" s="63">
        <f>IFERROR(1 -(Master[[#This Row],[Avg Garment Scans per Delivery]]/Master[[#This Row],[Garment Inventory]]), 0)</f>
        <v>0</v>
      </c>
      <c r="Y348" s="62"/>
      <c r="Z348" s="62"/>
      <c r="AA348" s="53">
        <v>66.440355029585803</v>
      </c>
      <c r="AB348" s="53">
        <v>107.12579881656806</v>
      </c>
      <c r="AC348" s="53">
        <v>67.380204081632655</v>
      </c>
      <c r="AD348" s="53">
        <v>101.69836734693877</v>
      </c>
      <c r="AE348" s="53" t="str">
        <f>_xlfn.XLOOKUP(Master[[#This Row],[cu_id]],'[1]Customer Revenue'!$Q:$Q,'[1]Customer Revenue'!$K:$K, "None")</f>
        <v>None</v>
      </c>
      <c r="AF348" s="53" t="str">
        <f>_xlfn.XLOOKUP(Master[[#This Row],[cu_id]],'[1]Customer Revenue'!$Q:$Q,'[1]Customer Revenue'!$L:$L, "None")</f>
        <v>None</v>
      </c>
      <c r="AG348" s="53">
        <v>63.459171597633109</v>
      </c>
      <c r="AH348" s="53">
        <v>97.017751479289899</v>
      </c>
      <c r="AI348" s="53">
        <v>86.783076923076933</v>
      </c>
      <c r="AJ348" s="53">
        <v>84.539285714285711</v>
      </c>
      <c r="AK348" s="53" t="str">
        <f>_xlfn.XLOOKUP(Master[[#This Row],[cu_id]],'[1]Customer Revenue'!$Q:$Q,'[1]Customer Revenue'!$I:$I, "None")</f>
        <v>None</v>
      </c>
      <c r="AL348" s="53">
        <v>80.238461538461507</v>
      </c>
      <c r="AM348" s="61" t="s">
        <v>36</v>
      </c>
      <c r="AN348" s="60" t="s">
        <v>36</v>
      </c>
      <c r="AO348" s="60" t="s">
        <v>36</v>
      </c>
      <c r="AP348" s="60" t="s">
        <v>36</v>
      </c>
      <c r="AQ348" s="58" t="s">
        <v>0</v>
      </c>
      <c r="AR348" s="58"/>
      <c r="AS348" s="58"/>
      <c r="AT348" s="52">
        <v>0</v>
      </c>
      <c r="AU348" s="52" t="e">
        <f>IF(Master[[#This Row],[RSP StopTime override]] &lt;&gt; "",Master[[#This Row],[RSP StopTime override]],IF(Master[[#This Row],[Avg stop time helper]] &lt;&gt; 0, Master[[#This Row],[Avg stop time helper]],Average_Stop_Time))</f>
        <v>#DIV/0!</v>
      </c>
      <c r="AV348" s="21"/>
      <c r="AW348" s="20">
        <f>Master[[#This Row],[RSP StopTime override]]-Master[[#This Row],[Avg stop time helper]]</f>
        <v>0</v>
      </c>
    </row>
    <row r="349" spans="1:49" x14ac:dyDescent="0.3">
      <c r="A349" s="66" t="s">
        <v>4448</v>
      </c>
      <c r="B349" s="58">
        <v>47</v>
      </c>
      <c r="C349" s="58" t="s">
        <v>35</v>
      </c>
      <c r="D349" s="65">
        <v>99031</v>
      </c>
      <c r="E349" s="65" t="s">
        <v>2147</v>
      </c>
      <c r="F349" s="65" t="s">
        <v>2867</v>
      </c>
      <c r="G349" s="65" t="s">
        <v>2866</v>
      </c>
      <c r="H349" s="65" t="s">
        <v>7</v>
      </c>
      <c r="I349" s="65" t="s">
        <v>2822</v>
      </c>
      <c r="J349" s="65" t="s">
        <v>5</v>
      </c>
      <c r="K349" s="65" t="s">
        <v>2821</v>
      </c>
      <c r="L349" s="64" t="s">
        <v>67</v>
      </c>
      <c r="M349" s="58" t="s">
        <v>3</v>
      </c>
      <c r="N349" s="58" t="s">
        <v>2</v>
      </c>
      <c r="O349" s="58">
        <v>75</v>
      </c>
      <c r="P349" s="58">
        <v>0</v>
      </c>
      <c r="Q349" s="58">
        <v>75</v>
      </c>
      <c r="R349" s="58">
        <v>0</v>
      </c>
      <c r="S349" s="58">
        <v>0</v>
      </c>
      <c r="T349" s="58">
        <v>0</v>
      </c>
      <c r="U349" s="58">
        <v>53</v>
      </c>
      <c r="V349" s="62"/>
      <c r="W349" s="62"/>
      <c r="X349" s="63">
        <f>IFERROR(1 -(Master[[#This Row],[Avg Garment Scans per Delivery]]/Master[[#This Row],[Garment Inventory]]), 0)</f>
        <v>0</v>
      </c>
      <c r="Y349" s="62"/>
      <c r="Z349" s="62"/>
      <c r="AA349" s="53">
        <v>26.815562130177515</v>
      </c>
      <c r="AB349" s="53">
        <v>66.099822485207099</v>
      </c>
      <c r="AC349" s="53">
        <v>26.47917159763314</v>
      </c>
      <c r="AD349" s="53">
        <v>58.693136094674571</v>
      </c>
      <c r="AE349" s="53" t="str">
        <f>_xlfn.XLOOKUP(Master[[#This Row],[cu_id]],'[1]Customer Revenue'!$Q:$Q,'[1]Customer Revenue'!$K:$K, "None")</f>
        <v>None</v>
      </c>
      <c r="AF349" s="53" t="str">
        <f>_xlfn.XLOOKUP(Master[[#This Row],[cu_id]],'[1]Customer Revenue'!$Q:$Q,'[1]Customer Revenue'!$L:$L, "None")</f>
        <v>None</v>
      </c>
      <c r="AG349" s="53">
        <v>24.47538461538462</v>
      </c>
      <c r="AH349" s="53">
        <v>72.634615384615358</v>
      </c>
      <c r="AI349" s="53">
        <v>46.457692307692305</v>
      </c>
      <c r="AJ349" s="53">
        <v>42.586153846153856</v>
      </c>
      <c r="AK349" s="53" t="str">
        <f>_xlfn.XLOOKUP(Master[[#This Row],[cu_id]],'[1]Customer Revenue'!$Q:$Q,'[1]Customer Revenue'!$I:$I, "None")</f>
        <v>None</v>
      </c>
      <c r="AL349" s="53">
        <v>48.554999999999993</v>
      </c>
      <c r="AM349" s="61" t="s">
        <v>36</v>
      </c>
      <c r="AN349" s="60" t="s">
        <v>36</v>
      </c>
      <c r="AO349" s="60" t="s">
        <v>36</v>
      </c>
      <c r="AP349" s="60" t="s">
        <v>36</v>
      </c>
      <c r="AQ349" s="58" t="s">
        <v>0</v>
      </c>
      <c r="AR349" s="58"/>
      <c r="AS349" s="58"/>
      <c r="AT349" s="52">
        <v>0</v>
      </c>
      <c r="AU349" s="52" t="e">
        <f>IF(Master[[#This Row],[RSP StopTime override]] &lt;&gt; "",Master[[#This Row],[RSP StopTime override]],IF(Master[[#This Row],[Avg stop time helper]] &lt;&gt; 0, Master[[#This Row],[Avg stop time helper]],Average_Stop_Time))</f>
        <v>#DIV/0!</v>
      </c>
      <c r="AV349" s="21"/>
      <c r="AW349" s="20">
        <f>Master[[#This Row],[RSP StopTime override]]-Master[[#This Row],[Avg stop time helper]]</f>
        <v>0</v>
      </c>
    </row>
    <row r="350" spans="1:49" x14ac:dyDescent="0.3">
      <c r="A350" s="66" t="s">
        <v>4449</v>
      </c>
      <c r="B350" s="58">
        <v>47</v>
      </c>
      <c r="C350" s="58" t="s">
        <v>35</v>
      </c>
      <c r="D350" s="65">
        <v>99031</v>
      </c>
      <c r="E350" s="65" t="s">
        <v>1978</v>
      </c>
      <c r="F350" s="65" t="s">
        <v>2865</v>
      </c>
      <c r="G350" s="65" t="s">
        <v>2864</v>
      </c>
      <c r="H350" s="65" t="s">
        <v>7</v>
      </c>
      <c r="I350" s="65" t="s">
        <v>2787</v>
      </c>
      <c r="J350" s="65" t="s">
        <v>5</v>
      </c>
      <c r="K350" s="65" t="s">
        <v>2863</v>
      </c>
      <c r="L350" s="64" t="s">
        <v>67</v>
      </c>
      <c r="M350" s="58" t="s">
        <v>3</v>
      </c>
      <c r="N350" s="58" t="s">
        <v>2</v>
      </c>
      <c r="O350" s="58">
        <v>70</v>
      </c>
      <c r="P350" s="58">
        <v>0</v>
      </c>
      <c r="Q350" s="58">
        <v>70</v>
      </c>
      <c r="R350" s="58">
        <v>0</v>
      </c>
      <c r="S350" s="58">
        <v>0</v>
      </c>
      <c r="T350" s="58">
        <v>0</v>
      </c>
      <c r="U350" s="58">
        <v>57</v>
      </c>
      <c r="V350" s="62"/>
      <c r="W350" s="62"/>
      <c r="X350" s="63">
        <f>IFERROR(1 -(Master[[#This Row],[Avg Garment Scans per Delivery]]/Master[[#This Row],[Garment Inventory]]), 0)</f>
        <v>0</v>
      </c>
      <c r="Y350" s="62"/>
      <c r="Z350" s="62"/>
      <c r="AA350" s="53">
        <v>80.53693877551018</v>
      </c>
      <c r="AB350" s="53">
        <v>162.86591836734689</v>
      </c>
      <c r="AC350" s="53">
        <v>90.371242603550286</v>
      </c>
      <c r="AD350" s="53">
        <v>174.47798816568047</v>
      </c>
      <c r="AE350" s="53" t="str">
        <f>_xlfn.XLOOKUP(Master[[#This Row],[cu_id]],'[1]Customer Revenue'!$Q:$Q,'[1]Customer Revenue'!$K:$K, "None")</f>
        <v>None</v>
      </c>
      <c r="AF350" s="53" t="str">
        <f>_xlfn.XLOOKUP(Master[[#This Row],[cu_id]],'[1]Customer Revenue'!$Q:$Q,'[1]Customer Revenue'!$L:$L, "None")</f>
        <v>None</v>
      </c>
      <c r="AG350" s="53">
        <v>69.267558299039791</v>
      </c>
      <c r="AH350" s="53">
        <v>177.32281207133059</v>
      </c>
      <c r="AI350" s="53">
        <v>121.70142857142854</v>
      </c>
      <c r="AJ350" s="53">
        <v>132.42461538461538</v>
      </c>
      <c r="AK350" s="53" t="str">
        <f>_xlfn.XLOOKUP(Master[[#This Row],[cu_id]],'[1]Customer Revenue'!$Q:$Q,'[1]Customer Revenue'!$I:$I, "None")</f>
        <v>None</v>
      </c>
      <c r="AL350" s="53">
        <v>123.29518518518519</v>
      </c>
      <c r="AM350" s="61" t="s">
        <v>36</v>
      </c>
      <c r="AN350" s="60" t="s">
        <v>36</v>
      </c>
      <c r="AO350" s="60" t="s">
        <v>36</v>
      </c>
      <c r="AP350" s="60" t="s">
        <v>36</v>
      </c>
      <c r="AQ350" s="58" t="s">
        <v>0</v>
      </c>
      <c r="AR350" s="58"/>
      <c r="AS350" s="58"/>
      <c r="AT350" s="52">
        <v>0</v>
      </c>
      <c r="AU350" s="52" t="e">
        <f>IF(Master[[#This Row],[RSP StopTime override]] &lt;&gt; "",Master[[#This Row],[RSP StopTime override]],IF(Master[[#This Row],[Avg stop time helper]] &lt;&gt; 0, Master[[#This Row],[Avg stop time helper]],Average_Stop_Time))</f>
        <v>#DIV/0!</v>
      </c>
      <c r="AV350" s="21"/>
      <c r="AW350" s="20">
        <f>Master[[#This Row],[RSP StopTime override]]-Master[[#This Row],[Avg stop time helper]]</f>
        <v>0</v>
      </c>
    </row>
    <row r="351" spans="1:49" x14ac:dyDescent="0.3">
      <c r="A351" s="66" t="s">
        <v>4450</v>
      </c>
      <c r="B351" s="58">
        <v>47</v>
      </c>
      <c r="C351" s="58" t="s">
        <v>15</v>
      </c>
      <c r="D351" s="65">
        <v>99035</v>
      </c>
      <c r="E351" s="65" t="s">
        <v>2590</v>
      </c>
      <c r="F351" s="103" t="s">
        <v>3560</v>
      </c>
      <c r="G351" s="65" t="s">
        <v>2589</v>
      </c>
      <c r="H351" s="65" t="s">
        <v>7</v>
      </c>
      <c r="I351" s="65" t="s">
        <v>2544</v>
      </c>
      <c r="J351" s="65" t="s">
        <v>5</v>
      </c>
      <c r="K351" s="65" t="s">
        <v>2543</v>
      </c>
      <c r="L351" s="64">
        <v>7</v>
      </c>
      <c r="M351" s="58" t="s">
        <v>205</v>
      </c>
      <c r="N351" s="58" t="s">
        <v>2</v>
      </c>
      <c r="O351" s="58">
        <v>65</v>
      </c>
      <c r="P351" s="58">
        <v>0</v>
      </c>
      <c r="Q351" s="58">
        <v>0</v>
      </c>
      <c r="R351" s="58">
        <v>0</v>
      </c>
      <c r="S351" s="58">
        <v>0</v>
      </c>
      <c r="T351" s="58">
        <v>65</v>
      </c>
      <c r="U351" s="58">
        <v>28</v>
      </c>
      <c r="V351" s="62"/>
      <c r="W351" s="62"/>
      <c r="X351" s="63">
        <f>IFERROR(1 -(Master[[#This Row],[Avg Garment Scans per Delivery]]/Master[[#This Row],[Garment Inventory]]), 0)</f>
        <v>0</v>
      </c>
      <c r="Y351" s="62"/>
      <c r="Z351" s="62"/>
      <c r="AA351" s="53">
        <v>44.296111111111117</v>
      </c>
      <c r="AB351" s="53">
        <v>49.057222222222222</v>
      </c>
      <c r="AC351" s="53">
        <v>29.826250000000005</v>
      </c>
      <c r="AD351" s="53">
        <v>54.558750000000003</v>
      </c>
      <c r="AE351" s="53" t="str">
        <f>_xlfn.XLOOKUP(Master[[#This Row],[cu_id]],'[1]Customer Revenue'!$Q:$Q,'[1]Customer Revenue'!$K:$K, "None")</f>
        <v>None</v>
      </c>
      <c r="AF351" s="53" t="str">
        <f>_xlfn.XLOOKUP(Master[[#This Row],[cu_id]],'[1]Customer Revenue'!$Q:$Q,'[1]Customer Revenue'!$L:$L, "None")</f>
        <v>None</v>
      </c>
      <c r="AG351" s="53">
        <v>43.253388429752079</v>
      </c>
      <c r="AH351" s="53">
        <v>47.502975206611595</v>
      </c>
      <c r="AI351" s="53">
        <v>46.676666666666669</v>
      </c>
      <c r="AJ351" s="53">
        <v>42.192500000000003</v>
      </c>
      <c r="AK351" s="53" t="str">
        <f>_xlfn.XLOOKUP(Master[[#This Row],[cu_id]],'[1]Customer Revenue'!$Q:$Q,'[1]Customer Revenue'!$I:$I, "None")</f>
        <v>None</v>
      </c>
      <c r="AL351" s="53">
        <v>45.378181818181837</v>
      </c>
      <c r="AM351" s="61">
        <v>0.375</v>
      </c>
      <c r="AN351" s="60">
        <v>0.70833333333333337</v>
      </c>
      <c r="AO351" s="60" t="s">
        <v>36</v>
      </c>
      <c r="AP351" s="60" t="s">
        <v>36</v>
      </c>
      <c r="AQ351" s="58" t="s">
        <v>0</v>
      </c>
      <c r="AR351" s="58"/>
      <c r="AS351" s="58"/>
      <c r="AT351" s="52">
        <v>0</v>
      </c>
      <c r="AU351" s="52" t="e">
        <f>IF(Master[[#This Row],[RSP StopTime override]] &lt;&gt; "",Master[[#This Row],[RSP StopTime override]],IF(Master[[#This Row],[Avg stop time helper]] &lt;&gt; 0, Master[[#This Row],[Avg stop time helper]],Average_Stop_Time))</f>
        <v>#DIV/0!</v>
      </c>
      <c r="AV351" s="21"/>
      <c r="AW351" s="20">
        <f>Master[[#This Row],[RSP StopTime override]]-Master[[#This Row],[Avg stop time helper]]</f>
        <v>0</v>
      </c>
    </row>
    <row r="352" spans="1:49" x14ac:dyDescent="0.3">
      <c r="A352" s="66" t="s">
        <v>4451</v>
      </c>
      <c r="B352" s="58">
        <v>56</v>
      </c>
      <c r="C352" s="58" t="s">
        <v>24</v>
      </c>
      <c r="D352" s="65">
        <v>99035</v>
      </c>
      <c r="E352" s="65" t="s">
        <v>1536</v>
      </c>
      <c r="F352" s="65" t="s">
        <v>1535</v>
      </c>
      <c r="G352" s="65" t="s">
        <v>1534</v>
      </c>
      <c r="H352" s="65" t="s">
        <v>7</v>
      </c>
      <c r="I352" s="65" t="s">
        <v>6</v>
      </c>
      <c r="J352" s="65" t="s">
        <v>5</v>
      </c>
      <c r="K352" s="65" t="s">
        <v>115</v>
      </c>
      <c r="L352" s="64">
        <v>7</v>
      </c>
      <c r="M352" s="58" t="s">
        <v>205</v>
      </c>
      <c r="N352" s="58" t="s">
        <v>2</v>
      </c>
      <c r="O352" s="58">
        <v>45</v>
      </c>
      <c r="P352" s="58">
        <v>45</v>
      </c>
      <c r="Q352" s="58">
        <v>0</v>
      </c>
      <c r="R352" s="58">
        <v>0</v>
      </c>
      <c r="S352" s="58">
        <v>0</v>
      </c>
      <c r="T352" s="58">
        <v>0</v>
      </c>
      <c r="U352" s="58">
        <v>29</v>
      </c>
      <c r="V352" s="62"/>
      <c r="W352" s="62"/>
      <c r="X352" s="63">
        <f>IFERROR(1 -(Master[[#This Row],[Avg Garment Scans per Delivery]]/Master[[#This Row],[Garment Inventory]]), 0)</f>
        <v>0</v>
      </c>
      <c r="Y352" s="62"/>
      <c r="Z352" s="62"/>
      <c r="AA352" s="53">
        <v>48.590414201183428</v>
      </c>
      <c r="AB352" s="53">
        <v>50.1880473372781</v>
      </c>
      <c r="AC352" s="53">
        <v>30.484399999999994</v>
      </c>
      <c r="AD352" s="53">
        <v>62.903599999999997</v>
      </c>
      <c r="AE352" s="53" t="str">
        <f>_xlfn.XLOOKUP(Master[[#This Row],[cu_id]],'[1]Customer Revenue'!$Q:$Q,'[1]Customer Revenue'!$K:$K, "None")</f>
        <v>None</v>
      </c>
      <c r="AF352" s="53" t="str">
        <f>_xlfn.XLOOKUP(Master[[#This Row],[cu_id]],'[1]Customer Revenue'!$Q:$Q,'[1]Customer Revenue'!$L:$L, "None")</f>
        <v>None</v>
      </c>
      <c r="AG352" s="53">
        <v>48.65308128544423</v>
      </c>
      <c r="AH352" s="53">
        <v>49.673875236294876</v>
      </c>
      <c r="AI352" s="53">
        <v>49.389230769230764</v>
      </c>
      <c r="AJ352" s="53">
        <v>46.693999999999996</v>
      </c>
      <c r="AK352" s="53" t="str">
        <f>_xlfn.XLOOKUP(Master[[#This Row],[cu_id]],'[1]Customer Revenue'!$Q:$Q,'[1]Customer Revenue'!$I:$I, "None")</f>
        <v>None</v>
      </c>
      <c r="AL352" s="53">
        <v>49.163478260869553</v>
      </c>
      <c r="AM352" s="61">
        <v>0.375</v>
      </c>
      <c r="AN352" s="60">
        <v>0.70833333333333337</v>
      </c>
      <c r="AO352" s="60" t="s">
        <v>36</v>
      </c>
      <c r="AP352" s="60" t="s">
        <v>36</v>
      </c>
      <c r="AQ352" s="58" t="s">
        <v>0</v>
      </c>
      <c r="AR352" s="58"/>
      <c r="AS352" s="58"/>
      <c r="AT352" s="52">
        <v>0</v>
      </c>
      <c r="AU352" s="52" t="e">
        <f>IF(Master[[#This Row],[RSP StopTime override]] &lt;&gt; "",Master[[#This Row],[RSP StopTime override]],IF(Master[[#This Row],[Avg stop time helper]] &lt;&gt; 0, Master[[#This Row],[Avg stop time helper]],Average_Stop_Time))</f>
        <v>#DIV/0!</v>
      </c>
      <c r="AV352" s="21"/>
      <c r="AW352" s="20">
        <f>Master[[#This Row],[RSP StopTime override]]-Master[[#This Row],[Avg stop time helper]]</f>
        <v>0</v>
      </c>
    </row>
    <row r="353" spans="1:49" x14ac:dyDescent="0.3">
      <c r="A353" s="66" t="s">
        <v>4452</v>
      </c>
      <c r="B353" s="58">
        <v>47</v>
      </c>
      <c r="C353" s="58" t="s">
        <v>35</v>
      </c>
      <c r="D353" s="65">
        <v>99054</v>
      </c>
      <c r="E353" s="65" t="s">
        <v>683</v>
      </c>
      <c r="F353" s="65" t="s">
        <v>1462</v>
      </c>
      <c r="G353" s="65" t="s">
        <v>2855</v>
      </c>
      <c r="H353" s="65" t="s">
        <v>7</v>
      </c>
      <c r="I353" s="65" t="s">
        <v>2791</v>
      </c>
      <c r="J353" s="65" t="s">
        <v>5</v>
      </c>
      <c r="K353" s="65" t="s">
        <v>2790</v>
      </c>
      <c r="L353" s="64" t="s">
        <v>77</v>
      </c>
      <c r="M353" s="58" t="s">
        <v>29</v>
      </c>
      <c r="N353" s="58" t="s">
        <v>2</v>
      </c>
      <c r="O353" s="58">
        <v>120</v>
      </c>
      <c r="P353" s="58">
        <v>0</v>
      </c>
      <c r="Q353" s="58">
        <v>120</v>
      </c>
      <c r="R353" s="58">
        <v>0</v>
      </c>
      <c r="S353" s="58">
        <v>0</v>
      </c>
      <c r="T353" s="58">
        <v>0</v>
      </c>
      <c r="U353" s="58">
        <v>26</v>
      </c>
      <c r="V353" s="62"/>
      <c r="W353" s="62"/>
      <c r="X353" s="63">
        <f>IFERROR(1 -(Master[[#This Row],[Avg Garment Scans per Delivery]]/Master[[#This Row],[Garment Inventory]]), 0)</f>
        <v>0</v>
      </c>
      <c r="Y353" s="62"/>
      <c r="Z353" s="62"/>
      <c r="AA353" s="53">
        <v>44.986666666666665</v>
      </c>
      <c r="AB353" s="53">
        <v>81.25333333333333</v>
      </c>
      <c r="AC353" s="53">
        <v>54.050408163265296</v>
      </c>
      <c r="AD353" s="53">
        <v>55.678163265306118</v>
      </c>
      <c r="AE353" s="53" t="str">
        <f>_xlfn.XLOOKUP(Master[[#This Row],[cu_id]],'[1]Customer Revenue'!$Q:$Q,'[1]Customer Revenue'!$K:$K, "None")</f>
        <v>None</v>
      </c>
      <c r="AF353" s="53" t="str">
        <f>_xlfn.XLOOKUP(Master[[#This Row],[cu_id]],'[1]Customer Revenue'!$Q:$Q,'[1]Customer Revenue'!$L:$L, "None")</f>
        <v>None</v>
      </c>
      <c r="AG353" s="53">
        <v>46.210414201183433</v>
      </c>
      <c r="AH353" s="53">
        <v>88.663431952662734</v>
      </c>
      <c r="AI353" s="53">
        <v>63.12</v>
      </c>
      <c r="AJ353" s="53">
        <v>54.864285714285707</v>
      </c>
      <c r="AK353" s="53" t="str">
        <f>_xlfn.XLOOKUP(Master[[#This Row],[cu_id]],'[1]Customer Revenue'!$Q:$Q,'[1]Customer Revenue'!$I:$I, "None")</f>
        <v>None</v>
      </c>
      <c r="AL353" s="53">
        <v>67.43692307692308</v>
      </c>
      <c r="AM353" s="61">
        <v>0.33333333333333331</v>
      </c>
      <c r="AN353" s="60">
        <v>0.20833333333333334</v>
      </c>
      <c r="AO353" s="60" t="s">
        <v>36</v>
      </c>
      <c r="AP353" s="60" t="s">
        <v>36</v>
      </c>
      <c r="AQ353" s="58" t="s">
        <v>0</v>
      </c>
      <c r="AR353" s="58"/>
      <c r="AS353" s="58"/>
      <c r="AT353" s="52">
        <v>0</v>
      </c>
      <c r="AU353" s="52" t="e">
        <f>IF(Master[[#This Row],[RSP StopTime override]] &lt;&gt; "",Master[[#This Row],[RSP StopTime override]],IF(Master[[#This Row],[Avg stop time helper]] &lt;&gt; 0, Master[[#This Row],[Avg stop time helper]],Average_Stop_Time))</f>
        <v>#DIV/0!</v>
      </c>
      <c r="AV353" s="21"/>
      <c r="AW353" s="20">
        <f>Master[[#This Row],[RSP StopTime override]]-Master[[#This Row],[Avg stop time helper]]</f>
        <v>0</v>
      </c>
    </row>
    <row r="354" spans="1:49" x14ac:dyDescent="0.3">
      <c r="A354" s="66" t="s">
        <v>4453</v>
      </c>
      <c r="B354" s="58">
        <v>47</v>
      </c>
      <c r="C354" s="58" t="s">
        <v>35</v>
      </c>
      <c r="D354" s="65">
        <v>99103</v>
      </c>
      <c r="E354" s="65" t="s">
        <v>1161</v>
      </c>
      <c r="F354" s="65" t="s">
        <v>3621</v>
      </c>
      <c r="G354" s="65" t="s">
        <v>2854</v>
      </c>
      <c r="H354" s="65" t="s">
        <v>7</v>
      </c>
      <c r="I354" s="65" t="s">
        <v>2822</v>
      </c>
      <c r="J354" s="65" t="s">
        <v>5</v>
      </c>
      <c r="K354" s="65" t="s">
        <v>2821</v>
      </c>
      <c r="L354" s="64" t="s">
        <v>67</v>
      </c>
      <c r="M354" s="58" t="s">
        <v>3</v>
      </c>
      <c r="N354" s="58" t="s">
        <v>2</v>
      </c>
      <c r="O354" s="58">
        <v>60</v>
      </c>
      <c r="P354" s="58">
        <v>0</v>
      </c>
      <c r="Q354" s="58">
        <v>60</v>
      </c>
      <c r="R354" s="58">
        <v>0</v>
      </c>
      <c r="S354" s="58">
        <v>0</v>
      </c>
      <c r="T354" s="58">
        <v>0</v>
      </c>
      <c r="U354" s="58">
        <v>52</v>
      </c>
      <c r="V354" s="62"/>
      <c r="W354" s="62"/>
      <c r="X354" s="63">
        <f>IFERROR(1 -(Master[[#This Row],[Avg Garment Scans per Delivery]]/Master[[#This Row],[Garment Inventory]]), 0)</f>
        <v>0</v>
      </c>
      <c r="Y354" s="62"/>
      <c r="Z354" s="62"/>
      <c r="AA354" s="53">
        <v>20</v>
      </c>
      <c r="AB354" s="53">
        <v>20</v>
      </c>
      <c r="AC354" s="53">
        <v>20</v>
      </c>
      <c r="AD354" s="53">
        <v>20</v>
      </c>
      <c r="AE354" s="53" t="str">
        <f>_xlfn.XLOOKUP(Master[[#This Row],[cu_id]],'[1]Customer Revenue'!$Q:$Q,'[1]Customer Revenue'!$K:$K, "None")</f>
        <v>None</v>
      </c>
      <c r="AF354" s="53" t="str">
        <f>_xlfn.XLOOKUP(Master[[#This Row],[cu_id]],'[1]Customer Revenue'!$Q:$Q,'[1]Customer Revenue'!$L:$L, "None")</f>
        <v>None</v>
      </c>
      <c r="AG354" s="53">
        <v>15.710059171597635</v>
      </c>
      <c r="AH354" s="53">
        <v>20.443786982248518</v>
      </c>
      <c r="AI354" s="53">
        <v>20</v>
      </c>
      <c r="AJ354" s="53">
        <v>20</v>
      </c>
      <c r="AK354" s="53" t="str">
        <f>_xlfn.XLOOKUP(Master[[#This Row],[cu_id]],'[1]Customer Revenue'!$Q:$Q,'[1]Customer Revenue'!$I:$I, "None")</f>
        <v>None</v>
      </c>
      <c r="AL354" s="53">
        <v>18.076923076923077</v>
      </c>
      <c r="AM354" s="61" t="s">
        <v>36</v>
      </c>
      <c r="AN354" s="60" t="s">
        <v>36</v>
      </c>
      <c r="AO354" s="60" t="s">
        <v>36</v>
      </c>
      <c r="AP354" s="60" t="s">
        <v>36</v>
      </c>
      <c r="AQ354" s="58" t="s">
        <v>0</v>
      </c>
      <c r="AR354" s="58"/>
      <c r="AS354" s="58"/>
      <c r="AT354" s="52">
        <v>0</v>
      </c>
      <c r="AU354" s="52" t="e">
        <f>IF(Master[[#This Row],[RSP StopTime override]] &lt;&gt; "",Master[[#This Row],[RSP StopTime override]],IF(Master[[#This Row],[Avg stop time helper]] &lt;&gt; 0, Master[[#This Row],[Avg stop time helper]],Average_Stop_Time))</f>
        <v>#DIV/0!</v>
      </c>
      <c r="AV354" s="21"/>
      <c r="AW354" s="20">
        <f>Master[[#This Row],[RSP StopTime override]]-Master[[#This Row],[Avg stop time helper]]</f>
        <v>0</v>
      </c>
    </row>
    <row r="355" spans="1:49" x14ac:dyDescent="0.3">
      <c r="A355" s="66" t="s">
        <v>4454</v>
      </c>
      <c r="B355" s="58">
        <v>47</v>
      </c>
      <c r="C355" s="58" t="s">
        <v>35</v>
      </c>
      <c r="D355" s="65">
        <v>99117</v>
      </c>
      <c r="E355" s="65" t="s">
        <v>1523</v>
      </c>
      <c r="F355" s="65" t="s">
        <v>3622</v>
      </c>
      <c r="G355" s="65" t="s">
        <v>2853</v>
      </c>
      <c r="H355" s="65" t="s">
        <v>7</v>
      </c>
      <c r="I355" s="65" t="s">
        <v>2791</v>
      </c>
      <c r="J355" s="65" t="s">
        <v>5</v>
      </c>
      <c r="K355" s="65" t="s">
        <v>2790</v>
      </c>
      <c r="L355" s="64" t="s">
        <v>67</v>
      </c>
      <c r="M355" s="58" t="s">
        <v>3</v>
      </c>
      <c r="N355" s="58" t="s">
        <v>2</v>
      </c>
      <c r="O355" s="58">
        <v>5</v>
      </c>
      <c r="P355" s="58">
        <v>0</v>
      </c>
      <c r="Q355" s="58">
        <v>5</v>
      </c>
      <c r="R355" s="58">
        <v>0</v>
      </c>
      <c r="S355" s="58">
        <v>0</v>
      </c>
      <c r="T355" s="58">
        <v>0</v>
      </c>
      <c r="U355" s="58">
        <v>52</v>
      </c>
      <c r="V355" s="62"/>
      <c r="W355" s="62"/>
      <c r="X355" s="63">
        <f>IFERROR(1 -(Master[[#This Row],[Avg Garment Scans per Delivery]]/Master[[#This Row],[Garment Inventory]]), 0)</f>
        <v>0</v>
      </c>
      <c r="Y355" s="62"/>
      <c r="Z355" s="62"/>
      <c r="AA355" s="53">
        <v>62.26360946745563</v>
      </c>
      <c r="AB355" s="53">
        <v>63.328698224852083</v>
      </c>
      <c r="AC355" s="53">
        <v>60.709289940828391</v>
      </c>
      <c r="AD355" s="53">
        <v>63.178402366863885</v>
      </c>
      <c r="AE355" s="53" t="str">
        <f>_xlfn.XLOOKUP(Master[[#This Row],[cu_id]],'[1]Customer Revenue'!$Q:$Q,'[1]Customer Revenue'!$K:$K, "None")</f>
        <v>None</v>
      </c>
      <c r="AF355" s="53" t="str">
        <f>_xlfn.XLOOKUP(Master[[#This Row],[cu_id]],'[1]Customer Revenue'!$Q:$Q,'[1]Customer Revenue'!$L:$L, "None")</f>
        <v>None</v>
      </c>
      <c r="AG355" s="53">
        <v>57.892071005917195</v>
      </c>
      <c r="AH355" s="53">
        <v>63.787159763313618</v>
      </c>
      <c r="AI355" s="53">
        <v>62.796153846153857</v>
      </c>
      <c r="AJ355" s="53">
        <v>61.943846153846138</v>
      </c>
      <c r="AK355" s="53" t="str">
        <f>_xlfn.XLOOKUP(Master[[#This Row],[cu_id]],'[1]Customer Revenue'!$Q:$Q,'[1]Customer Revenue'!$I:$I, "None")</f>
        <v>None</v>
      </c>
      <c r="AL355" s="53">
        <v>60.839615384615406</v>
      </c>
      <c r="AM355" s="61" t="s">
        <v>36</v>
      </c>
      <c r="AN355" s="60" t="s">
        <v>36</v>
      </c>
      <c r="AO355" s="60" t="s">
        <v>36</v>
      </c>
      <c r="AP355" s="60" t="s">
        <v>36</v>
      </c>
      <c r="AQ355" s="58" t="s">
        <v>0</v>
      </c>
      <c r="AR355" s="58"/>
      <c r="AS355" s="58"/>
      <c r="AT355" s="52">
        <v>0</v>
      </c>
      <c r="AU355" s="52" t="e">
        <f>IF(Master[[#This Row],[RSP StopTime override]] &lt;&gt; "",Master[[#This Row],[RSP StopTime override]],IF(Master[[#This Row],[Avg stop time helper]] &lt;&gt; 0, Master[[#This Row],[Avg stop time helper]],Average_Stop_Time))</f>
        <v>#DIV/0!</v>
      </c>
      <c r="AV355" s="21"/>
      <c r="AW355" s="20">
        <f>Master[[#This Row],[RSP StopTime override]]-Master[[#This Row],[Avg stop time helper]]</f>
        <v>0</v>
      </c>
    </row>
    <row r="356" spans="1:49" x14ac:dyDescent="0.3">
      <c r="A356" s="66" t="s">
        <v>4455</v>
      </c>
      <c r="B356" s="58">
        <v>47</v>
      </c>
      <c r="C356" s="58" t="s">
        <v>35</v>
      </c>
      <c r="D356" s="65">
        <v>99117</v>
      </c>
      <c r="E356" s="65" t="s">
        <v>1829</v>
      </c>
      <c r="F356" s="65" t="s">
        <v>3623</v>
      </c>
      <c r="G356" s="65" t="s">
        <v>2852</v>
      </c>
      <c r="H356" s="65" t="s">
        <v>7</v>
      </c>
      <c r="I356" s="65" t="s">
        <v>2797</v>
      </c>
      <c r="J356" s="65" t="s">
        <v>5</v>
      </c>
      <c r="K356" s="65" t="s">
        <v>2796</v>
      </c>
      <c r="L356" s="64" t="s">
        <v>67</v>
      </c>
      <c r="M356" s="58" t="s">
        <v>3</v>
      </c>
      <c r="N356" s="58" t="s">
        <v>2</v>
      </c>
      <c r="O356" s="58">
        <v>85</v>
      </c>
      <c r="P356" s="58">
        <v>0</v>
      </c>
      <c r="Q356" s="58">
        <v>85</v>
      </c>
      <c r="R356" s="58">
        <v>0</v>
      </c>
      <c r="S356" s="58">
        <v>0</v>
      </c>
      <c r="T356" s="58">
        <v>0</v>
      </c>
      <c r="U356" s="58">
        <v>52</v>
      </c>
      <c r="V356" s="62"/>
      <c r="W356" s="62"/>
      <c r="X356" s="63">
        <f>IFERROR(1 -(Master[[#This Row],[Avg Garment Scans per Delivery]]/Master[[#This Row],[Garment Inventory]]), 0)</f>
        <v>0</v>
      </c>
      <c r="Y356" s="62"/>
      <c r="Z356" s="62"/>
      <c r="AA356" s="53">
        <v>99.213372781065075</v>
      </c>
      <c r="AB356" s="53">
        <v>100.82970414201183</v>
      </c>
      <c r="AC356" s="53">
        <v>91.253550295857991</v>
      </c>
      <c r="AD356" s="53">
        <v>99.535680473372793</v>
      </c>
      <c r="AE356" s="53" t="str">
        <f>_xlfn.XLOOKUP(Master[[#This Row],[cu_id]],'[1]Customer Revenue'!$Q:$Q,'[1]Customer Revenue'!$K:$K, "None")</f>
        <v>None</v>
      </c>
      <c r="AF356" s="53" t="str">
        <f>_xlfn.XLOOKUP(Master[[#This Row],[cu_id]],'[1]Customer Revenue'!$Q:$Q,'[1]Customer Revenue'!$L:$L, "None")</f>
        <v>None</v>
      </c>
      <c r="AG356" s="53">
        <v>92.148520710059174</v>
      </c>
      <c r="AH356" s="53">
        <v>101.47455621301775</v>
      </c>
      <c r="AI356" s="53">
        <v>100.02153846153846</v>
      </c>
      <c r="AJ356" s="53">
        <v>95.394615384615392</v>
      </c>
      <c r="AK356" s="53" t="str">
        <f>_xlfn.XLOOKUP(Master[[#This Row],[cu_id]],'[1]Customer Revenue'!$Q:$Q,'[1]Customer Revenue'!$I:$I, "None")</f>
        <v>None</v>
      </c>
      <c r="AL356" s="53">
        <v>96.811538461538461</v>
      </c>
      <c r="AM356" s="61" t="s">
        <v>36</v>
      </c>
      <c r="AN356" s="60" t="s">
        <v>36</v>
      </c>
      <c r="AO356" s="60" t="s">
        <v>36</v>
      </c>
      <c r="AP356" s="60" t="s">
        <v>36</v>
      </c>
      <c r="AQ356" s="58" t="s">
        <v>0</v>
      </c>
      <c r="AR356" s="58"/>
      <c r="AS356" s="58"/>
      <c r="AT356" s="52">
        <v>0</v>
      </c>
      <c r="AU356" s="52" t="e">
        <f>IF(Master[[#This Row],[RSP StopTime override]] &lt;&gt; "",Master[[#This Row],[RSP StopTime override]],IF(Master[[#This Row],[Avg stop time helper]] &lt;&gt; 0, Master[[#This Row],[Avg stop time helper]],Average_Stop_Time))</f>
        <v>#DIV/0!</v>
      </c>
      <c r="AV356" s="21"/>
      <c r="AW356" s="20">
        <f>Master[[#This Row],[RSP StopTime override]]-Master[[#This Row],[Avg stop time helper]]</f>
        <v>0</v>
      </c>
    </row>
    <row r="357" spans="1:49" x14ac:dyDescent="0.3">
      <c r="A357" s="66" t="s">
        <v>4456</v>
      </c>
      <c r="B357" s="58">
        <v>47</v>
      </c>
      <c r="C357" s="58" t="s">
        <v>35</v>
      </c>
      <c r="D357" s="65">
        <v>99162</v>
      </c>
      <c r="E357" s="65" t="s">
        <v>686</v>
      </c>
      <c r="F357" s="65" t="s">
        <v>2851</v>
      </c>
      <c r="G357" s="65" t="s">
        <v>2850</v>
      </c>
      <c r="H357" s="65" t="s">
        <v>7</v>
      </c>
      <c r="I357" s="65" t="s">
        <v>2791</v>
      </c>
      <c r="J357" s="65" t="s">
        <v>5</v>
      </c>
      <c r="K357" s="65" t="s">
        <v>2790</v>
      </c>
      <c r="L357" s="64" t="s">
        <v>67</v>
      </c>
      <c r="M357" s="58" t="s">
        <v>3</v>
      </c>
      <c r="N357" s="58" t="s">
        <v>2</v>
      </c>
      <c r="O357" s="58">
        <v>115</v>
      </c>
      <c r="P357" s="58">
        <v>0</v>
      </c>
      <c r="Q357" s="58">
        <v>115</v>
      </c>
      <c r="R357" s="58">
        <v>0</v>
      </c>
      <c r="S357" s="58">
        <v>0</v>
      </c>
      <c r="T357" s="58">
        <v>0</v>
      </c>
      <c r="U357" s="58">
        <v>7</v>
      </c>
      <c r="V357" s="62">
        <v>48</v>
      </c>
      <c r="W357" s="62">
        <v>2</v>
      </c>
      <c r="X357" s="63">
        <f>IFERROR(1 -(Master[[#This Row],[Avg Garment Scans per Delivery]]/Master[[#This Row],[Garment Inventory]]), 0)</f>
        <v>0.95833333333333337</v>
      </c>
      <c r="Y357" s="62">
        <v>2</v>
      </c>
      <c r="Z357" s="62">
        <v>48</v>
      </c>
      <c r="AA357" s="53">
        <v>56.977991071428569</v>
      </c>
      <c r="AB357" s="53">
        <v>117.94486607142858</v>
      </c>
      <c r="AC357" s="53">
        <v>47.69389455782315</v>
      </c>
      <c r="AD357" s="53">
        <v>103.08777210884355</v>
      </c>
      <c r="AE357" s="53" t="str">
        <f>_xlfn.XLOOKUP(Master[[#This Row],[cu_id]],'[1]Customer Revenue'!$Q:$Q,'[1]Customer Revenue'!$K:$K, "None")</f>
        <v>None</v>
      </c>
      <c r="AF357" s="53" t="str">
        <f>_xlfn.XLOOKUP(Master[[#This Row],[cu_id]],'[1]Customer Revenue'!$Q:$Q,'[1]Customer Revenue'!$L:$L, "None")</f>
        <v>None</v>
      </c>
      <c r="AG357" s="53">
        <v>56.977991071428569</v>
      </c>
      <c r="AH357" s="53">
        <v>117.94486607142858</v>
      </c>
      <c r="AI357" s="53">
        <v>87.46142857142857</v>
      </c>
      <c r="AJ357" s="53">
        <v>75.390833333333347</v>
      </c>
      <c r="AK357" s="53" t="str">
        <f>_xlfn.XLOOKUP(Master[[#This Row],[cu_id]],'[1]Customer Revenue'!$Q:$Q,'[1]Customer Revenue'!$I:$I, "None")</f>
        <v>None</v>
      </c>
      <c r="AL357" s="53">
        <v>87.46142857142857</v>
      </c>
      <c r="AM357" s="61">
        <v>0.33333333333333331</v>
      </c>
      <c r="AN357" s="60">
        <v>0.20833333333333334</v>
      </c>
      <c r="AO357" s="60" t="s">
        <v>36</v>
      </c>
      <c r="AP357" s="60" t="s">
        <v>36</v>
      </c>
      <c r="AQ357" s="58" t="s">
        <v>0</v>
      </c>
      <c r="AR357" s="58"/>
      <c r="AS357" s="58"/>
      <c r="AT357" s="52">
        <v>0</v>
      </c>
      <c r="AU357" s="52" t="e">
        <f>IF(Master[[#This Row],[RSP StopTime override]] &lt;&gt; "",Master[[#This Row],[RSP StopTime override]],IF(Master[[#This Row],[Avg stop time helper]] &lt;&gt; 0, Master[[#This Row],[Avg stop time helper]],Average_Stop_Time))</f>
        <v>#DIV/0!</v>
      </c>
      <c r="AV357" s="21"/>
      <c r="AW357" s="20">
        <f>Master[[#This Row],[RSP StopTime override]]-Master[[#This Row],[Avg stop time helper]]</f>
        <v>0</v>
      </c>
    </row>
    <row r="358" spans="1:49" x14ac:dyDescent="0.3">
      <c r="A358" s="66" t="s">
        <v>4457</v>
      </c>
      <c r="B358" s="58">
        <v>47</v>
      </c>
      <c r="C358" s="58" t="s">
        <v>35</v>
      </c>
      <c r="D358" s="65">
        <v>99172</v>
      </c>
      <c r="E358" s="65" t="s">
        <v>686</v>
      </c>
      <c r="F358" s="65" t="s">
        <v>2849</v>
      </c>
      <c r="G358" s="65" t="s">
        <v>2848</v>
      </c>
      <c r="H358" s="65" t="s">
        <v>7</v>
      </c>
      <c r="I358" s="65" t="s">
        <v>2811</v>
      </c>
      <c r="J358" s="65" t="s">
        <v>5</v>
      </c>
      <c r="K358" s="65" t="s">
        <v>2810</v>
      </c>
      <c r="L358" s="64" t="s">
        <v>77</v>
      </c>
      <c r="M358" s="58" t="s">
        <v>29</v>
      </c>
      <c r="N358" s="58" t="s">
        <v>2</v>
      </c>
      <c r="O358" s="58">
        <v>45</v>
      </c>
      <c r="P358" s="58">
        <v>0</v>
      </c>
      <c r="Q358" s="58">
        <v>45</v>
      </c>
      <c r="R358" s="58">
        <v>0</v>
      </c>
      <c r="S358" s="58">
        <v>0</v>
      </c>
      <c r="T358" s="58">
        <v>0</v>
      </c>
      <c r="U358" s="58">
        <v>23</v>
      </c>
      <c r="V358" s="62"/>
      <c r="W358" s="62"/>
      <c r="X358" s="63">
        <f>IFERROR(1 -(Master[[#This Row],[Avg Garment Scans per Delivery]]/Master[[#This Row],[Garment Inventory]]), 0)</f>
        <v>0</v>
      </c>
      <c r="Y358" s="62"/>
      <c r="Z358" s="62"/>
      <c r="AA358" s="53">
        <v>45.548888888888889</v>
      </c>
      <c r="AB358" s="53">
        <v>49.637777777777778</v>
      </c>
      <c r="AC358" s="53">
        <v>35.823333333333331</v>
      </c>
      <c r="AD358" s="53">
        <v>80.106666666666655</v>
      </c>
      <c r="AE358" s="53" t="str">
        <f>_xlfn.XLOOKUP(Master[[#This Row],[cu_id]],'[1]Customer Revenue'!$Q:$Q,'[1]Customer Revenue'!$K:$K, "None")</f>
        <v>None</v>
      </c>
      <c r="AF358" s="53" t="str">
        <f>_xlfn.XLOOKUP(Master[[#This Row],[cu_id]],'[1]Customer Revenue'!$Q:$Q,'[1]Customer Revenue'!$L:$L, "None")</f>
        <v>None</v>
      </c>
      <c r="AG358" s="53">
        <v>30.904350649350651</v>
      </c>
      <c r="AH358" s="53">
        <v>64.62292207792207</v>
      </c>
      <c r="AI358" s="53">
        <v>47.593333333333334</v>
      </c>
      <c r="AJ358" s="53">
        <v>57.964999999999996</v>
      </c>
      <c r="AK358" s="53" t="str">
        <f>_xlfn.XLOOKUP(Master[[#This Row],[cu_id]],'[1]Customer Revenue'!$Q:$Q,'[1]Customer Revenue'!$I:$I, "None")</f>
        <v>None</v>
      </c>
      <c r="AL358" s="53">
        <v>47.763636363636358</v>
      </c>
      <c r="AM358" s="61">
        <v>0.20833333333333334</v>
      </c>
      <c r="AN358" s="60">
        <v>0.41666666666666669</v>
      </c>
      <c r="AO358" s="60" t="s">
        <v>36</v>
      </c>
      <c r="AP358" s="60" t="s">
        <v>36</v>
      </c>
      <c r="AQ358" s="58" t="s">
        <v>0</v>
      </c>
      <c r="AR358" s="58"/>
      <c r="AS358" s="58"/>
      <c r="AT358" s="52">
        <v>0</v>
      </c>
      <c r="AU358" s="52" t="e">
        <f>IF(Master[[#This Row],[RSP StopTime override]] &lt;&gt; "",Master[[#This Row],[RSP StopTime override]],IF(Master[[#This Row],[Avg stop time helper]] &lt;&gt; 0, Master[[#This Row],[Avg stop time helper]],Average_Stop_Time))</f>
        <v>#DIV/0!</v>
      </c>
      <c r="AV358" s="21"/>
      <c r="AW358" s="20">
        <f>Master[[#This Row],[RSP StopTime override]]-Master[[#This Row],[Avg stop time helper]]</f>
        <v>0</v>
      </c>
    </row>
    <row r="359" spans="1:49" x14ac:dyDescent="0.3">
      <c r="A359" s="66" t="s">
        <v>4458</v>
      </c>
      <c r="B359" s="58">
        <v>47</v>
      </c>
      <c r="C359" s="58" t="s">
        <v>35</v>
      </c>
      <c r="D359" s="65">
        <v>99172</v>
      </c>
      <c r="E359" s="65" t="s">
        <v>42</v>
      </c>
      <c r="F359" s="65" t="s">
        <v>2847</v>
      </c>
      <c r="G359" s="65" t="s">
        <v>2846</v>
      </c>
      <c r="H359" s="65" t="s">
        <v>7</v>
      </c>
      <c r="I359" s="65" t="s">
        <v>2811</v>
      </c>
      <c r="J359" s="65" t="s">
        <v>5</v>
      </c>
      <c r="K359" s="65" t="s">
        <v>2810</v>
      </c>
      <c r="L359" s="64" t="s">
        <v>67</v>
      </c>
      <c r="M359" s="58" t="s">
        <v>3</v>
      </c>
      <c r="N359" s="58" t="s">
        <v>2</v>
      </c>
      <c r="O359" s="58">
        <v>30</v>
      </c>
      <c r="P359" s="58">
        <v>0</v>
      </c>
      <c r="Q359" s="58">
        <v>30</v>
      </c>
      <c r="R359" s="58">
        <v>0</v>
      </c>
      <c r="S359" s="58">
        <v>0</v>
      </c>
      <c r="T359" s="58">
        <v>0</v>
      </c>
      <c r="U359" s="58">
        <v>52</v>
      </c>
      <c r="V359" s="62"/>
      <c r="W359" s="62"/>
      <c r="X359" s="63">
        <f>IFERROR(1 -(Master[[#This Row],[Avg Garment Scans per Delivery]]/Master[[#This Row],[Garment Inventory]]), 0)</f>
        <v>0</v>
      </c>
      <c r="Y359" s="62"/>
      <c r="Z359" s="62"/>
      <c r="AA359" s="53">
        <v>56.213372781065097</v>
      </c>
      <c r="AB359" s="53">
        <v>65.718934911242599</v>
      </c>
      <c r="AC359" s="53">
        <v>57.210887573964499</v>
      </c>
      <c r="AD359" s="53">
        <v>82.859881656804731</v>
      </c>
      <c r="AE359" s="53" t="str">
        <f>_xlfn.XLOOKUP(Master[[#This Row],[cu_id]],'[1]Customer Revenue'!$Q:$Q,'[1]Customer Revenue'!$K:$K, "None")</f>
        <v>None</v>
      </c>
      <c r="AF359" s="53" t="str">
        <f>_xlfn.XLOOKUP(Master[[#This Row],[cu_id]],'[1]Customer Revenue'!$Q:$Q,'[1]Customer Revenue'!$L:$L, "None")</f>
        <v>None</v>
      </c>
      <c r="AG359" s="53">
        <v>54.778284023668647</v>
      </c>
      <c r="AH359" s="53">
        <v>62.56940828402368</v>
      </c>
      <c r="AI359" s="53">
        <v>60.966153846153851</v>
      </c>
      <c r="AJ359" s="53">
        <v>70.035384615384615</v>
      </c>
      <c r="AK359" s="53" t="str">
        <f>_xlfn.XLOOKUP(Master[[#This Row],[cu_id]],'[1]Customer Revenue'!$Q:$Q,'[1]Customer Revenue'!$I:$I, "None")</f>
        <v>None</v>
      </c>
      <c r="AL359" s="53">
        <v>58.673846153846164</v>
      </c>
      <c r="AM359" s="61">
        <v>0.25</v>
      </c>
      <c r="AN359" s="60">
        <v>0.41666666666666669</v>
      </c>
      <c r="AO359" s="60" t="s">
        <v>36</v>
      </c>
      <c r="AP359" s="60" t="s">
        <v>36</v>
      </c>
      <c r="AQ359" s="58" t="s">
        <v>0</v>
      </c>
      <c r="AR359" s="58"/>
      <c r="AS359" s="58"/>
      <c r="AT359" s="52">
        <v>0</v>
      </c>
      <c r="AU359" s="52" t="e">
        <f>IF(Master[[#This Row],[RSP StopTime override]] &lt;&gt; "",Master[[#This Row],[RSP StopTime override]],IF(Master[[#This Row],[Avg stop time helper]] &lt;&gt; 0, Master[[#This Row],[Avg stop time helper]],Average_Stop_Time))</f>
        <v>#DIV/0!</v>
      </c>
      <c r="AV359" s="21"/>
      <c r="AW359" s="20">
        <f>Master[[#This Row],[RSP StopTime override]]-Master[[#This Row],[Avg stop time helper]]</f>
        <v>0</v>
      </c>
    </row>
    <row r="360" spans="1:49" x14ac:dyDescent="0.3">
      <c r="A360" s="73" t="s">
        <v>4135</v>
      </c>
      <c r="B360" s="64">
        <v>47</v>
      </c>
      <c r="C360" s="64" t="s">
        <v>35</v>
      </c>
      <c r="D360" s="65">
        <v>99172</v>
      </c>
      <c r="E360" s="65" t="s">
        <v>1455</v>
      </c>
      <c r="F360" s="65" t="s">
        <v>2845</v>
      </c>
      <c r="G360" s="65" t="s">
        <v>2844</v>
      </c>
      <c r="H360" s="65" t="s">
        <v>7</v>
      </c>
      <c r="I360" s="65" t="s">
        <v>2811</v>
      </c>
      <c r="J360" s="65" t="s">
        <v>5</v>
      </c>
      <c r="K360" s="65" t="s">
        <v>2810</v>
      </c>
      <c r="L360" s="64" t="s">
        <v>67</v>
      </c>
      <c r="M360" s="65" t="s">
        <v>3</v>
      </c>
      <c r="N360" s="65" t="s">
        <v>2</v>
      </c>
      <c r="O360" s="65">
        <v>32</v>
      </c>
      <c r="P360" s="65">
        <v>0</v>
      </c>
      <c r="Q360" s="65">
        <v>32</v>
      </c>
      <c r="R360" s="65">
        <v>0</v>
      </c>
      <c r="S360" s="65">
        <v>0</v>
      </c>
      <c r="T360" s="65">
        <v>0</v>
      </c>
      <c r="U360" s="65">
        <v>7</v>
      </c>
      <c r="V360" s="65"/>
      <c r="W360" s="65"/>
      <c r="X360" s="72">
        <f>IFERROR(1 -(Master[[#This Row],[Avg Garment Scans per Delivery]]/Master[[#This Row],[Garment Inventory]]), 0)</f>
        <v>0</v>
      </c>
      <c r="Y360" s="65"/>
      <c r="Z360" s="65"/>
      <c r="AA360" s="53">
        <v>45</v>
      </c>
      <c r="AB360" s="53">
        <v>153</v>
      </c>
      <c r="AC360" s="53">
        <v>45</v>
      </c>
      <c r="AD360" s="53">
        <v>153</v>
      </c>
      <c r="AE360" s="53" t="str">
        <f>_xlfn.XLOOKUP(Master[[#This Row],[cu_id]],'[1]Customer Revenue'!$Q:$Q,'[1]Customer Revenue'!$K:$K, "None")</f>
        <v>None</v>
      </c>
      <c r="AF360" s="53" t="str">
        <f>_xlfn.XLOOKUP(Master[[#This Row],[cu_id]],'[1]Customer Revenue'!$Q:$Q,'[1]Customer Revenue'!$L:$L, "None")</f>
        <v>None</v>
      </c>
      <c r="AG360" s="53">
        <v>45</v>
      </c>
      <c r="AH360" s="53">
        <v>153</v>
      </c>
      <c r="AI360" s="53" t="s">
        <v>680</v>
      </c>
      <c r="AJ360" s="53" t="s">
        <v>680</v>
      </c>
      <c r="AK360" s="53" t="str">
        <f>_xlfn.XLOOKUP(Master[[#This Row],[cu_id]],'[1]Customer Revenue'!$Q:$Q,'[1]Customer Revenue'!$I:$I, "None")</f>
        <v>None</v>
      </c>
      <c r="AL360" s="53" t="s">
        <v>680</v>
      </c>
      <c r="AM360" s="71" t="s">
        <v>2843</v>
      </c>
      <c r="AN360" s="71" t="s">
        <v>1</v>
      </c>
      <c r="AO360" s="71" t="s">
        <v>36</v>
      </c>
      <c r="AP360" s="71" t="s">
        <v>36</v>
      </c>
      <c r="AQ360" s="64" t="s">
        <v>0</v>
      </c>
      <c r="AR360" s="64"/>
      <c r="AS360" s="65"/>
      <c r="AT360" s="52">
        <v>0</v>
      </c>
      <c r="AU360" s="52">
        <f>IF(Master[[#This Row],[RSP StopTime override]] &lt;&gt; "",Master[[#This Row],[RSP StopTime override]],IF(Master[[#This Row],[Avg stop time helper]] &lt;&gt; 0, Master[[#This Row],[Avg stop time helper]],Average_Stop_Time))</f>
        <v>5</v>
      </c>
      <c r="AV360" s="21">
        <v>5</v>
      </c>
      <c r="AW360" s="20">
        <f>Master[[#This Row],[RSP StopTime override]]-Master[[#This Row],[Avg stop time helper]]</f>
        <v>5</v>
      </c>
    </row>
    <row r="361" spans="1:49" x14ac:dyDescent="0.3">
      <c r="A361" s="66" t="s">
        <v>4459</v>
      </c>
      <c r="B361" s="58">
        <v>47</v>
      </c>
      <c r="C361" s="58" t="s">
        <v>35</v>
      </c>
      <c r="D361" s="65">
        <v>518077</v>
      </c>
      <c r="E361" s="65" t="s">
        <v>42</v>
      </c>
      <c r="F361" s="65" t="s">
        <v>2842</v>
      </c>
      <c r="G361" s="65" t="s">
        <v>2841</v>
      </c>
      <c r="H361" s="65" t="s">
        <v>32</v>
      </c>
      <c r="I361" s="65" t="s">
        <v>2840</v>
      </c>
      <c r="J361" s="65" t="s">
        <v>5</v>
      </c>
      <c r="K361" s="65" t="s">
        <v>2825</v>
      </c>
      <c r="L361" s="64" t="s">
        <v>91</v>
      </c>
      <c r="M361" s="58" t="s">
        <v>90</v>
      </c>
      <c r="N361" s="58" t="s">
        <v>2</v>
      </c>
      <c r="O361" s="58">
        <v>20</v>
      </c>
      <c r="P361" s="58">
        <v>0</v>
      </c>
      <c r="Q361" s="58">
        <v>20</v>
      </c>
      <c r="R361" s="58">
        <v>0</v>
      </c>
      <c r="S361" s="58">
        <v>0</v>
      </c>
      <c r="T361" s="58">
        <v>0</v>
      </c>
      <c r="U361" s="58">
        <v>26</v>
      </c>
      <c r="V361" s="62">
        <v>10</v>
      </c>
      <c r="W361" s="62">
        <v>3</v>
      </c>
      <c r="X361" s="63">
        <f>IFERROR(1 -(Master[[#This Row],[Avg Garment Scans per Delivery]]/Master[[#This Row],[Garment Inventory]]), 0)</f>
        <v>0.7</v>
      </c>
      <c r="Y361" s="62">
        <v>1</v>
      </c>
      <c r="Z361" s="62">
        <v>23</v>
      </c>
      <c r="AA361" s="53">
        <v>61.175918367346952</v>
      </c>
      <c r="AB361" s="53">
        <v>63.801224489795928</v>
      </c>
      <c r="AC361" s="53">
        <v>62.351111111111116</v>
      </c>
      <c r="AD361" s="53">
        <v>72.262222222222221</v>
      </c>
      <c r="AE361" s="53" t="str">
        <f>_xlfn.XLOOKUP(Master[[#This Row],[cu_id]],'[1]Customer Revenue'!$Q:$Q,'[1]Customer Revenue'!$K:$K, "None")</f>
        <v>None</v>
      </c>
      <c r="AF361" s="53" t="str">
        <f>_xlfn.XLOOKUP(Master[[#This Row],[cu_id]],'[1]Customer Revenue'!$Q:$Q,'[1]Customer Revenue'!$L:$L, "None")</f>
        <v>None</v>
      </c>
      <c r="AG361" s="53">
        <v>61.967928994082854</v>
      </c>
      <c r="AH361" s="53">
        <v>76.54591715976332</v>
      </c>
      <c r="AI361" s="53">
        <v>62.48857142857144</v>
      </c>
      <c r="AJ361" s="53">
        <v>67.306666666666672</v>
      </c>
      <c r="AK361" s="53" t="str">
        <f>_xlfn.XLOOKUP(Master[[#This Row],[cu_id]],'[1]Customer Revenue'!$Q:$Q,'[1]Customer Revenue'!$I:$I, "None")</f>
        <v>None</v>
      </c>
      <c r="AL361" s="53">
        <v>69.256923076923087</v>
      </c>
      <c r="AM361" s="61">
        <v>0.29166666666666669</v>
      </c>
      <c r="AN361" s="60">
        <v>0.33333333333333331</v>
      </c>
      <c r="AO361" s="60" t="s">
        <v>36</v>
      </c>
      <c r="AP361" s="60" t="s">
        <v>36</v>
      </c>
      <c r="AQ361" s="58" t="s">
        <v>0</v>
      </c>
      <c r="AR361" s="58"/>
      <c r="AS361" s="58"/>
      <c r="AT361" s="52">
        <v>0</v>
      </c>
      <c r="AU361" s="52" t="e">
        <f>IF(Master[[#This Row],[RSP StopTime override]] &lt;&gt; "",Master[[#This Row],[RSP StopTime override]],IF(Master[[#This Row],[Avg stop time helper]] &lt;&gt; 0, Master[[#This Row],[Avg stop time helper]],Average_Stop_Time))</f>
        <v>#DIV/0!</v>
      </c>
      <c r="AV361" s="21"/>
      <c r="AW361" s="20">
        <f>Master[[#This Row],[RSP StopTime override]]-Master[[#This Row],[Avg stop time helper]]</f>
        <v>0</v>
      </c>
    </row>
    <row r="362" spans="1:49" x14ac:dyDescent="0.3">
      <c r="A362" s="66" t="s">
        <v>4460</v>
      </c>
      <c r="B362" s="58">
        <v>47</v>
      </c>
      <c r="C362" s="58" t="s">
        <v>35</v>
      </c>
      <c r="D362" s="65">
        <v>523413</v>
      </c>
      <c r="E362" s="65" t="s">
        <v>1996</v>
      </c>
      <c r="F362" s="65" t="s">
        <v>2839</v>
      </c>
      <c r="G362" s="65" t="s">
        <v>2838</v>
      </c>
      <c r="H362" s="65" t="s">
        <v>32</v>
      </c>
      <c r="I362" s="65" t="s">
        <v>2835</v>
      </c>
      <c r="J362" s="65" t="s">
        <v>5</v>
      </c>
      <c r="K362" s="65" t="s">
        <v>2790</v>
      </c>
      <c r="L362" s="64" t="s">
        <v>67</v>
      </c>
      <c r="M362" s="58" t="s">
        <v>3</v>
      </c>
      <c r="N362" s="58" t="s">
        <v>2</v>
      </c>
      <c r="O362" s="58">
        <v>130</v>
      </c>
      <c r="P362" s="58">
        <v>0</v>
      </c>
      <c r="Q362" s="58">
        <v>130</v>
      </c>
      <c r="R362" s="58">
        <v>0</v>
      </c>
      <c r="S362" s="58">
        <v>0</v>
      </c>
      <c r="T362" s="58">
        <v>0</v>
      </c>
      <c r="U362" s="58">
        <v>52</v>
      </c>
      <c r="V362" s="62">
        <v>48</v>
      </c>
      <c r="W362" s="62">
        <v>10</v>
      </c>
      <c r="X362" s="63">
        <f>IFERROR(1 -(Master[[#This Row],[Avg Garment Scans per Delivery]]/Master[[#This Row],[Garment Inventory]]), 0)</f>
        <v>0.79166666666666663</v>
      </c>
      <c r="Y362" s="62">
        <v>6</v>
      </c>
      <c r="Z362" s="62">
        <v>42</v>
      </c>
      <c r="AA362" s="53">
        <v>81.311301775147939</v>
      </c>
      <c r="AB362" s="53">
        <v>86.204082840236708</v>
      </c>
      <c r="AC362" s="53">
        <v>87.415443786982252</v>
      </c>
      <c r="AD362" s="53">
        <v>89.392248520710069</v>
      </c>
      <c r="AE362" s="53" t="str">
        <f>_xlfn.XLOOKUP(Master[[#This Row],[cu_id]],'[1]Customer Revenue'!$Q:$Q,'[1]Customer Revenue'!$K:$K, "None")</f>
        <v>None</v>
      </c>
      <c r="AF362" s="53" t="str">
        <f>_xlfn.XLOOKUP(Master[[#This Row],[cu_id]],'[1]Customer Revenue'!$Q:$Q,'[1]Customer Revenue'!$L:$L, "None")</f>
        <v>None</v>
      </c>
      <c r="AG362" s="53">
        <v>76.860252189511442</v>
      </c>
      <c r="AH362" s="53">
        <v>88.667440118180849</v>
      </c>
      <c r="AI362" s="53">
        <v>83.757692307692324</v>
      </c>
      <c r="AJ362" s="53">
        <v>88.40384615384616</v>
      </c>
      <c r="AK362" s="53" t="str">
        <f>_xlfn.XLOOKUP(Master[[#This Row],[cu_id]],'[1]Customer Revenue'!$Q:$Q,'[1]Customer Revenue'!$I:$I, "None")</f>
        <v>None</v>
      </c>
      <c r="AL362" s="53">
        <v>82.763846153846146</v>
      </c>
      <c r="AM362" s="61">
        <v>0.33333333333333331</v>
      </c>
      <c r="AN362" s="60">
        <v>0.1875</v>
      </c>
      <c r="AO362" s="60" t="s">
        <v>36</v>
      </c>
      <c r="AP362" s="60" t="s">
        <v>36</v>
      </c>
      <c r="AQ362" s="58" t="s">
        <v>0</v>
      </c>
      <c r="AR362" s="58"/>
      <c r="AS362" s="58"/>
      <c r="AT362" s="52">
        <v>0</v>
      </c>
      <c r="AU362" s="52">
        <f>IF(Master[[#This Row],[RSP StopTime override]] &lt;&gt; "",Master[[#This Row],[RSP StopTime override]],IF(Master[[#This Row],[Avg stop time helper]] &lt;&gt; 0, Master[[#This Row],[Avg stop time helper]],Average_Stop_Time))</f>
        <v>5</v>
      </c>
      <c r="AV362" s="21">
        <v>5</v>
      </c>
      <c r="AW362" s="20">
        <f>Master[[#This Row],[RSP StopTime override]]-Master[[#This Row],[Avg stop time helper]]</f>
        <v>5</v>
      </c>
    </row>
    <row r="363" spans="1:49" x14ac:dyDescent="0.3">
      <c r="A363" s="66" t="s">
        <v>4040</v>
      </c>
      <c r="B363" s="58">
        <v>47</v>
      </c>
      <c r="C363" s="58" t="s">
        <v>35</v>
      </c>
      <c r="D363" s="65">
        <v>528332</v>
      </c>
      <c r="E363" s="65" t="s">
        <v>42</v>
      </c>
      <c r="F363" s="65" t="s">
        <v>2837</v>
      </c>
      <c r="G363" s="65" t="s">
        <v>2836</v>
      </c>
      <c r="H363" s="65" t="s">
        <v>32</v>
      </c>
      <c r="I363" s="65" t="s">
        <v>2835</v>
      </c>
      <c r="J363" s="65" t="s">
        <v>5</v>
      </c>
      <c r="K363" s="65" t="s">
        <v>2790</v>
      </c>
      <c r="L363" s="64" t="s">
        <v>91</v>
      </c>
      <c r="M363" s="58" t="s">
        <v>90</v>
      </c>
      <c r="N363" s="58" t="s">
        <v>2</v>
      </c>
      <c r="O363" s="58">
        <v>115</v>
      </c>
      <c r="P363" s="58">
        <v>0</v>
      </c>
      <c r="Q363" s="58">
        <v>115</v>
      </c>
      <c r="R363" s="58">
        <v>0</v>
      </c>
      <c r="S363" s="58">
        <v>0</v>
      </c>
      <c r="T363" s="58">
        <v>0</v>
      </c>
      <c r="U363" s="58">
        <v>25</v>
      </c>
      <c r="V363" s="62"/>
      <c r="W363" s="62"/>
      <c r="X363" s="63">
        <f>IFERROR(1 -(Master[[#This Row],[Avg Garment Scans per Delivery]]/Master[[#This Row],[Garment Inventory]]), 0)</f>
        <v>0</v>
      </c>
      <c r="Y363" s="62"/>
      <c r="Z363" s="62"/>
      <c r="AA363" s="53">
        <v>28.834829931972791</v>
      </c>
      <c r="AB363" s="53">
        <v>47.538503401360543</v>
      </c>
      <c r="AC363" s="53">
        <v>40.313333333333333</v>
      </c>
      <c r="AD363" s="53">
        <v>42.766666666666666</v>
      </c>
      <c r="AE363" s="53" t="str">
        <f>_xlfn.XLOOKUP(Master[[#This Row],[cu_id]],'[1]Customer Revenue'!$Q:$Q,'[1]Customer Revenue'!$K:$K, "None")</f>
        <v>None</v>
      </c>
      <c r="AF363" s="53" t="str">
        <f>_xlfn.XLOOKUP(Master[[#This Row],[cu_id]],'[1]Customer Revenue'!$Q:$Q,'[1]Customer Revenue'!$L:$L, "None")</f>
        <v>None</v>
      </c>
      <c r="AG363" s="53">
        <v>28.375476190476199</v>
      </c>
      <c r="AH363" s="53">
        <v>46.781190476190481</v>
      </c>
      <c r="AI363" s="53">
        <v>38.186666666666667</v>
      </c>
      <c r="AJ363" s="53">
        <v>41.54</v>
      </c>
      <c r="AK363" s="53" t="str">
        <f>_xlfn.XLOOKUP(Master[[#This Row],[cu_id]],'[1]Customer Revenue'!$Q:$Q,'[1]Customer Revenue'!$I:$I, "None")</f>
        <v>None</v>
      </c>
      <c r="AL363" s="53">
        <v>37.57833333333334</v>
      </c>
      <c r="AM363" s="61">
        <v>0.33333333333333331</v>
      </c>
      <c r="AN363" s="60">
        <v>0.33333333333333331</v>
      </c>
      <c r="AO363" s="60" t="s">
        <v>36</v>
      </c>
      <c r="AP363" s="60" t="s">
        <v>36</v>
      </c>
      <c r="AQ363" s="58" t="s">
        <v>0</v>
      </c>
      <c r="AR363" s="58"/>
      <c r="AS363" s="58"/>
      <c r="AT363" s="52">
        <v>0</v>
      </c>
      <c r="AU363" s="52" t="e">
        <f>IF(Master[[#This Row],[RSP StopTime override]] &lt;&gt; "",Master[[#This Row],[RSP StopTime override]],IF(Master[[#This Row],[Avg stop time helper]] &lt;&gt; 0, Master[[#This Row],[Avg stop time helper]],Average_Stop_Time))</f>
        <v>#DIV/0!</v>
      </c>
      <c r="AV363" s="21"/>
      <c r="AW363" s="20">
        <f>Master[[#This Row],[RSP StopTime override]]-Master[[#This Row],[Avg stop time helper]]</f>
        <v>0</v>
      </c>
    </row>
    <row r="364" spans="1:49" x14ac:dyDescent="0.3">
      <c r="A364" s="66" t="s">
        <v>4461</v>
      </c>
      <c r="B364" s="58">
        <v>47</v>
      </c>
      <c r="C364" s="58" t="s">
        <v>35</v>
      </c>
      <c r="D364" s="65">
        <v>531568</v>
      </c>
      <c r="E364" s="65" t="s">
        <v>42</v>
      </c>
      <c r="F364" s="65" t="s">
        <v>2834</v>
      </c>
      <c r="G364" s="65" t="s">
        <v>2833</v>
      </c>
      <c r="H364" s="65" t="s">
        <v>7</v>
      </c>
      <c r="I364" s="65" t="s">
        <v>2832</v>
      </c>
      <c r="J364" s="65" t="s">
        <v>5</v>
      </c>
      <c r="K364" s="65" t="s">
        <v>2831</v>
      </c>
      <c r="L364" s="64">
        <v>6</v>
      </c>
      <c r="M364" s="58" t="s">
        <v>90</v>
      </c>
      <c r="N364" s="58" t="s">
        <v>2</v>
      </c>
      <c r="O364" s="58">
        <v>80</v>
      </c>
      <c r="P364" s="58">
        <v>0</v>
      </c>
      <c r="Q364" s="58">
        <v>80</v>
      </c>
      <c r="R364" s="58">
        <v>0</v>
      </c>
      <c r="S364" s="58">
        <v>0</v>
      </c>
      <c r="T364" s="58">
        <v>0</v>
      </c>
      <c r="U364" s="58">
        <v>24</v>
      </c>
      <c r="V364" s="62"/>
      <c r="W364" s="62"/>
      <c r="X364" s="63">
        <f>IFERROR(1 -(Master[[#This Row],[Avg Garment Scans per Delivery]]/Master[[#This Row],[Garment Inventory]]), 0)</f>
        <v>0</v>
      </c>
      <c r="Y364" s="62"/>
      <c r="Z364" s="62"/>
      <c r="AA364" s="53">
        <v>38.487551020408162</v>
      </c>
      <c r="AB364" s="53">
        <v>63.452448979591836</v>
      </c>
      <c r="AC364" s="53">
        <v>52.131111111111103</v>
      </c>
      <c r="AD364" s="53">
        <v>54.842222222222212</v>
      </c>
      <c r="AE364" s="53" t="str">
        <f>_xlfn.XLOOKUP(Master[[#This Row],[cu_id]],'[1]Customer Revenue'!$Q:$Q,'[1]Customer Revenue'!$K:$K, "None")</f>
        <v>None</v>
      </c>
      <c r="AF364" s="53" t="str">
        <f>_xlfn.XLOOKUP(Master[[#This Row],[cu_id]],'[1]Customer Revenue'!$Q:$Q,'[1]Customer Revenue'!$L:$L, "None")</f>
        <v>None</v>
      </c>
      <c r="AG364" s="53">
        <v>42.723520710059198</v>
      </c>
      <c r="AH364" s="53">
        <v>56.866479289940834</v>
      </c>
      <c r="AI364" s="53">
        <v>50.97</v>
      </c>
      <c r="AJ364" s="53">
        <v>53.486666666666657</v>
      </c>
      <c r="AK364" s="53" t="str">
        <f>_xlfn.XLOOKUP(Master[[#This Row],[cu_id]],'[1]Customer Revenue'!$Q:$Q,'[1]Customer Revenue'!$I:$I, "None")</f>
        <v>None</v>
      </c>
      <c r="AL364" s="53">
        <v>49.795000000000016</v>
      </c>
      <c r="AM364" s="61">
        <v>0.25</v>
      </c>
      <c r="AN364" s="60">
        <v>0.41666666666666669</v>
      </c>
      <c r="AO364" s="60" t="s">
        <v>36</v>
      </c>
      <c r="AP364" s="60" t="s">
        <v>36</v>
      </c>
      <c r="AQ364" s="58" t="s">
        <v>0</v>
      </c>
      <c r="AR364" s="58"/>
      <c r="AS364" s="58"/>
      <c r="AT364" s="52">
        <v>0</v>
      </c>
      <c r="AU364" s="52" t="e">
        <f>IF(Master[[#This Row],[RSP StopTime override]] &lt;&gt; "",Master[[#This Row],[RSP StopTime override]],IF(Master[[#This Row],[Avg stop time helper]] &lt;&gt; 0, Master[[#This Row],[Avg stop time helper]],Average_Stop_Time))</f>
        <v>#DIV/0!</v>
      </c>
      <c r="AV364" s="21"/>
      <c r="AW364" s="20">
        <f>Master[[#This Row],[RSP StopTime override]]-Master[[#This Row],[Avg stop time helper]]</f>
        <v>0</v>
      </c>
    </row>
    <row r="365" spans="1:49" x14ac:dyDescent="0.3">
      <c r="A365" s="66" t="s">
        <v>4462</v>
      </c>
      <c r="B365" s="58">
        <v>47</v>
      </c>
      <c r="C365" s="58" t="s">
        <v>35</v>
      </c>
      <c r="D365" s="65">
        <v>531622</v>
      </c>
      <c r="E365" s="65" t="s">
        <v>42</v>
      </c>
      <c r="F365" s="65" t="s">
        <v>2830</v>
      </c>
      <c r="G365" s="65" t="s">
        <v>2829</v>
      </c>
      <c r="H365" s="65" t="s">
        <v>7</v>
      </c>
      <c r="I365" s="65" t="s">
        <v>2797</v>
      </c>
      <c r="J365" s="65" t="s">
        <v>5</v>
      </c>
      <c r="K365" s="65" t="s">
        <v>2796</v>
      </c>
      <c r="L365" s="64" t="s">
        <v>67</v>
      </c>
      <c r="M365" s="58" t="s">
        <v>3</v>
      </c>
      <c r="N365" s="58" t="s">
        <v>2</v>
      </c>
      <c r="O365" s="58">
        <v>100</v>
      </c>
      <c r="P365" s="58">
        <v>0</v>
      </c>
      <c r="Q365" s="58">
        <v>100</v>
      </c>
      <c r="R365" s="58">
        <v>0</v>
      </c>
      <c r="S365" s="58">
        <v>0</v>
      </c>
      <c r="T365" s="58">
        <v>0</v>
      </c>
      <c r="U365" s="58">
        <v>50</v>
      </c>
      <c r="V365" s="62"/>
      <c r="W365" s="62"/>
      <c r="X365" s="63">
        <f>IFERROR(1 -(Master[[#This Row],[Avg Garment Scans per Delivery]]/Master[[#This Row],[Garment Inventory]]), 0)</f>
        <v>0</v>
      </c>
      <c r="Y365" s="62"/>
      <c r="Z365" s="62"/>
      <c r="AA365" s="53">
        <v>45.230000000000004</v>
      </c>
      <c r="AB365" s="53">
        <v>79.87</v>
      </c>
      <c r="AC365" s="53">
        <v>63.22301775147929</v>
      </c>
      <c r="AD365" s="53">
        <v>122.01544378698225</v>
      </c>
      <c r="AE365" s="53" t="str">
        <f>_xlfn.XLOOKUP(Master[[#This Row],[cu_id]],'[1]Customer Revenue'!$Q:$Q,'[1]Customer Revenue'!$K:$K, "None")</f>
        <v>None</v>
      </c>
      <c r="AF365" s="53" t="str">
        <f>_xlfn.XLOOKUP(Master[[#This Row],[cu_id]],'[1]Customer Revenue'!$Q:$Q,'[1]Customer Revenue'!$L:$L, "None")</f>
        <v>None</v>
      </c>
      <c r="AG365" s="53">
        <v>42.516279585798813</v>
      </c>
      <c r="AH365" s="53">
        <v>97.806220414201178</v>
      </c>
      <c r="AI365" s="53">
        <v>62.550000000000004</v>
      </c>
      <c r="AJ365" s="53">
        <v>92.619230769230768</v>
      </c>
      <c r="AK365" s="53" t="str">
        <f>_xlfn.XLOOKUP(Master[[#This Row],[cu_id]],'[1]Customer Revenue'!$Q:$Q,'[1]Customer Revenue'!$I:$I, "None")</f>
        <v>None</v>
      </c>
      <c r="AL365" s="53">
        <v>70.161249999999995</v>
      </c>
      <c r="AM365" s="61">
        <v>0.45833333333333331</v>
      </c>
      <c r="AN365" s="60">
        <v>0</v>
      </c>
      <c r="AO365" s="60" t="s">
        <v>36</v>
      </c>
      <c r="AP365" s="60" t="s">
        <v>36</v>
      </c>
      <c r="AQ365" s="58" t="s">
        <v>0</v>
      </c>
      <c r="AR365" s="58"/>
      <c r="AS365" s="58"/>
      <c r="AT365" s="52">
        <v>0</v>
      </c>
      <c r="AU365" s="52" t="e">
        <f>IF(Master[[#This Row],[RSP StopTime override]] &lt;&gt; "",Master[[#This Row],[RSP StopTime override]],IF(Master[[#This Row],[Avg stop time helper]] &lt;&gt; 0, Master[[#This Row],[Avg stop time helper]],Average_Stop_Time))</f>
        <v>#DIV/0!</v>
      </c>
      <c r="AV365" s="21"/>
      <c r="AW365" s="20">
        <f>Master[[#This Row],[RSP StopTime override]]-Master[[#This Row],[Avg stop time helper]]</f>
        <v>0</v>
      </c>
    </row>
    <row r="366" spans="1:49" x14ac:dyDescent="0.3">
      <c r="A366" s="66" t="s">
        <v>4463</v>
      </c>
      <c r="B366" s="58">
        <v>47</v>
      </c>
      <c r="C366" s="58" t="s">
        <v>35</v>
      </c>
      <c r="D366" s="65">
        <v>531649</v>
      </c>
      <c r="E366" s="65" t="s">
        <v>42</v>
      </c>
      <c r="F366" s="65" t="s">
        <v>2828</v>
      </c>
      <c r="G366" s="65" t="s">
        <v>2827</v>
      </c>
      <c r="H366" s="65" t="s">
        <v>7</v>
      </c>
      <c r="I366" s="65" t="s">
        <v>2826</v>
      </c>
      <c r="J366" s="65" t="s">
        <v>5</v>
      </c>
      <c r="K366" s="65" t="s">
        <v>2825</v>
      </c>
      <c r="L366" s="64" t="s">
        <v>67</v>
      </c>
      <c r="M366" s="58" t="s">
        <v>3</v>
      </c>
      <c r="N366" s="58" t="s">
        <v>2</v>
      </c>
      <c r="O366" s="58">
        <v>25</v>
      </c>
      <c r="P366" s="58">
        <v>0</v>
      </c>
      <c r="Q366" s="58">
        <v>25</v>
      </c>
      <c r="R366" s="58">
        <v>0</v>
      </c>
      <c r="S366" s="58">
        <v>0</v>
      </c>
      <c r="T366" s="58">
        <v>0</v>
      </c>
      <c r="U366" s="58">
        <v>53</v>
      </c>
      <c r="V366" s="62">
        <v>80</v>
      </c>
      <c r="W366" s="62">
        <v>20</v>
      </c>
      <c r="X366" s="63">
        <f>IFERROR(1 -(Master[[#This Row],[Avg Garment Scans per Delivery]]/Master[[#This Row],[Garment Inventory]]), 0)</f>
        <v>0.75</v>
      </c>
      <c r="Y366" s="62">
        <v>4</v>
      </c>
      <c r="Z366" s="62">
        <v>83</v>
      </c>
      <c r="AA366" s="53">
        <v>68.324142011834311</v>
      </c>
      <c r="AB366" s="53">
        <v>119.54355029585798</v>
      </c>
      <c r="AC366" s="53">
        <v>71.751834319526623</v>
      </c>
      <c r="AD366" s="53">
        <v>110.22047337278106</v>
      </c>
      <c r="AE366" s="53" t="str">
        <f>_xlfn.XLOOKUP(Master[[#This Row],[cu_id]],'[1]Customer Revenue'!$Q:$Q,'[1]Customer Revenue'!$K:$K, "None")</f>
        <v>None</v>
      </c>
      <c r="AF366" s="53" t="str">
        <f>_xlfn.XLOOKUP(Master[[#This Row],[cu_id]],'[1]Customer Revenue'!$Q:$Q,'[1]Customer Revenue'!$L:$L, "None")</f>
        <v>None</v>
      </c>
      <c r="AG366" s="53">
        <v>71.345828402366891</v>
      </c>
      <c r="AH366" s="53">
        <v>120.72263313609471</v>
      </c>
      <c r="AI366" s="53">
        <v>93.933846153846147</v>
      </c>
      <c r="AJ366" s="53">
        <v>90.98615384615384</v>
      </c>
      <c r="AK366" s="53" t="str">
        <f>_xlfn.XLOOKUP(Master[[#This Row],[cu_id]],'[1]Customer Revenue'!$Q:$Q,'[1]Customer Revenue'!$I:$I, "None")</f>
        <v>None</v>
      </c>
      <c r="AL366" s="53">
        <v>96.034230769230803</v>
      </c>
      <c r="AM366" s="61">
        <v>0.33333333333333331</v>
      </c>
      <c r="AN366" s="60">
        <v>0.20833333333333334</v>
      </c>
      <c r="AO366" s="60" t="s">
        <v>36</v>
      </c>
      <c r="AP366" s="60" t="s">
        <v>36</v>
      </c>
      <c r="AQ366" s="58" t="s">
        <v>0</v>
      </c>
      <c r="AR366" s="58"/>
      <c r="AS366" s="58"/>
      <c r="AT366" s="52">
        <v>0</v>
      </c>
      <c r="AU366" s="52" t="e">
        <f>IF(Master[[#This Row],[RSP StopTime override]] &lt;&gt; "",Master[[#This Row],[RSP StopTime override]],IF(Master[[#This Row],[Avg stop time helper]] &lt;&gt; 0, Master[[#This Row],[Avg stop time helper]],Average_Stop_Time))</f>
        <v>#DIV/0!</v>
      </c>
      <c r="AV366" s="21"/>
      <c r="AW366" s="20">
        <f>Master[[#This Row],[RSP StopTime override]]-Master[[#This Row],[Avg stop time helper]]</f>
        <v>0</v>
      </c>
    </row>
    <row r="367" spans="1:49" x14ac:dyDescent="0.3">
      <c r="A367" s="66" t="s">
        <v>4464</v>
      </c>
      <c r="B367" s="58">
        <v>47</v>
      </c>
      <c r="C367" s="58" t="s">
        <v>35</v>
      </c>
      <c r="D367" s="65">
        <v>531741</v>
      </c>
      <c r="E367" s="65" t="s">
        <v>42</v>
      </c>
      <c r="F367" s="65" t="s">
        <v>2824</v>
      </c>
      <c r="G367" s="65" t="s">
        <v>2823</v>
      </c>
      <c r="H367" s="65" t="s">
        <v>7</v>
      </c>
      <c r="I367" s="65" t="s">
        <v>2822</v>
      </c>
      <c r="J367" s="65" t="s">
        <v>5</v>
      </c>
      <c r="K367" s="65" t="s">
        <v>2821</v>
      </c>
      <c r="L367" s="64" t="s">
        <v>67</v>
      </c>
      <c r="M367" s="58" t="s">
        <v>3</v>
      </c>
      <c r="N367" s="58" t="s">
        <v>2</v>
      </c>
      <c r="O367" s="58">
        <v>55</v>
      </c>
      <c r="P367" s="58">
        <v>0</v>
      </c>
      <c r="Q367" s="58">
        <v>55</v>
      </c>
      <c r="R367" s="58">
        <v>0</v>
      </c>
      <c r="S367" s="58">
        <v>0</v>
      </c>
      <c r="T367" s="58">
        <v>0</v>
      </c>
      <c r="U367" s="58">
        <v>52</v>
      </c>
      <c r="V367" s="62"/>
      <c r="W367" s="62"/>
      <c r="X367" s="63">
        <f>IFERROR(1 -(Master[[#This Row],[Avg Garment Scans per Delivery]]/Master[[#This Row],[Garment Inventory]]), 0)</f>
        <v>0</v>
      </c>
      <c r="Y367" s="62"/>
      <c r="Z367" s="62"/>
      <c r="AA367" s="53">
        <v>109.28520710059173</v>
      </c>
      <c r="AB367" s="53">
        <v>163.97633136094677</v>
      </c>
      <c r="AC367" s="53">
        <v>107.70071005917158</v>
      </c>
      <c r="AD367" s="53">
        <v>164.84082840236687</v>
      </c>
      <c r="AE367" s="53" t="str">
        <f>_xlfn.XLOOKUP(Master[[#This Row],[cu_id]],'[1]Customer Revenue'!$Q:$Q,'[1]Customer Revenue'!$K:$K, "None")</f>
        <v>None</v>
      </c>
      <c r="AF367" s="53" t="str">
        <f>_xlfn.XLOOKUP(Master[[#This Row],[cu_id]],'[1]Customer Revenue'!$Q:$Q,'[1]Customer Revenue'!$L:$L, "None")</f>
        <v>None</v>
      </c>
      <c r="AG367" s="53">
        <v>107.72011834319528</v>
      </c>
      <c r="AH367" s="53">
        <v>163.68834319526627</v>
      </c>
      <c r="AI367" s="53">
        <v>136.63076923076926</v>
      </c>
      <c r="AJ367" s="53">
        <v>136.27076923076922</v>
      </c>
      <c r="AK367" s="53" t="str">
        <f>_xlfn.XLOOKUP(Master[[#This Row],[cu_id]],'[1]Customer Revenue'!$Q:$Q,'[1]Customer Revenue'!$I:$I, "None")</f>
        <v>None</v>
      </c>
      <c r="AL367" s="53">
        <v>135.70423076923078</v>
      </c>
      <c r="AM367" s="61">
        <v>0.29166666666666669</v>
      </c>
      <c r="AN367" s="60">
        <v>0.33333333333333331</v>
      </c>
      <c r="AO367" s="60" t="s">
        <v>36</v>
      </c>
      <c r="AP367" s="60" t="s">
        <v>36</v>
      </c>
      <c r="AQ367" s="58" t="s">
        <v>0</v>
      </c>
      <c r="AR367" s="58"/>
      <c r="AS367" s="58"/>
      <c r="AT367" s="52">
        <v>0</v>
      </c>
      <c r="AU367" s="52" t="e">
        <f>IF(Master[[#This Row],[RSP StopTime override]] &lt;&gt; "",Master[[#This Row],[RSP StopTime override]],IF(Master[[#This Row],[Avg stop time helper]] &lt;&gt; 0, Master[[#This Row],[Avg stop time helper]],Average_Stop_Time))</f>
        <v>#DIV/0!</v>
      </c>
      <c r="AV367" s="21"/>
      <c r="AW367" s="20">
        <f>Master[[#This Row],[RSP StopTime override]]-Master[[#This Row],[Avg stop time helper]]</f>
        <v>0</v>
      </c>
    </row>
    <row r="368" spans="1:49" x14ac:dyDescent="0.3">
      <c r="A368" s="66" t="s">
        <v>4465</v>
      </c>
      <c r="B368" s="58">
        <v>47</v>
      </c>
      <c r="C368" s="58" t="s">
        <v>35</v>
      </c>
      <c r="D368" s="65">
        <v>531777</v>
      </c>
      <c r="E368" s="65" t="s">
        <v>42</v>
      </c>
      <c r="F368" s="65" t="s">
        <v>2820</v>
      </c>
      <c r="G368" s="65" t="s">
        <v>2819</v>
      </c>
      <c r="H368" s="65" t="s">
        <v>7</v>
      </c>
      <c r="I368" s="65" t="s">
        <v>2811</v>
      </c>
      <c r="J368" s="65" t="s">
        <v>5</v>
      </c>
      <c r="K368" s="65" t="s">
        <v>2810</v>
      </c>
      <c r="L368" s="64" t="s">
        <v>67</v>
      </c>
      <c r="M368" s="58" t="s">
        <v>3</v>
      </c>
      <c r="N368" s="58" t="s">
        <v>2</v>
      </c>
      <c r="O368" s="58">
        <v>52</v>
      </c>
      <c r="P368" s="58">
        <v>0</v>
      </c>
      <c r="Q368" s="58">
        <v>35</v>
      </c>
      <c r="R368" s="58">
        <v>0</v>
      </c>
      <c r="S368" s="58">
        <v>0</v>
      </c>
      <c r="T368" s="58">
        <v>0</v>
      </c>
      <c r="U368" s="58">
        <v>52</v>
      </c>
      <c r="V368" s="62">
        <v>24</v>
      </c>
      <c r="W368" s="62">
        <v>2</v>
      </c>
      <c r="X368" s="63">
        <f>IFERROR(1 -(Master[[#This Row],[Avg Garment Scans per Delivery]]/Master[[#This Row],[Garment Inventory]]), 0)</f>
        <v>0.91666666666666663</v>
      </c>
      <c r="Y368" s="62">
        <v>1</v>
      </c>
      <c r="Z368" s="62">
        <v>23</v>
      </c>
      <c r="AA368" s="53">
        <v>94.610532544378714</v>
      </c>
      <c r="AB368" s="53">
        <v>141.82331360946748</v>
      </c>
      <c r="AC368" s="53">
        <v>101.59532544378698</v>
      </c>
      <c r="AD368" s="53">
        <v>129.50775147928994</v>
      </c>
      <c r="AE368" s="53" t="str">
        <f>_xlfn.XLOOKUP(Master[[#This Row],[cu_id]],'[1]Customer Revenue'!$Q:$Q,'[1]Customer Revenue'!$K:$K, "None")</f>
        <v>None</v>
      </c>
      <c r="AF368" s="53" t="str">
        <f>_xlfn.XLOOKUP(Master[[#This Row],[cu_id]],'[1]Customer Revenue'!$Q:$Q,'[1]Customer Revenue'!$L:$L, "None")</f>
        <v>None</v>
      </c>
      <c r="AG368" s="53">
        <v>91.81192307692308</v>
      </c>
      <c r="AH368" s="53">
        <v>136.21807692307692</v>
      </c>
      <c r="AI368" s="53">
        <v>118.21692307692309</v>
      </c>
      <c r="AJ368" s="53">
        <v>115.55153846153846</v>
      </c>
      <c r="AK368" s="53" t="str">
        <f>_xlfn.XLOOKUP(Master[[#This Row],[cu_id]],'[1]Customer Revenue'!$Q:$Q,'[1]Customer Revenue'!$I:$I, "None")</f>
        <v>None</v>
      </c>
      <c r="AL368" s="53">
        <v>114.015</v>
      </c>
      <c r="AM368" s="61">
        <v>0.29166666666666669</v>
      </c>
      <c r="AN368" s="60">
        <v>0.41666666666666669</v>
      </c>
      <c r="AO368" s="60" t="s">
        <v>36</v>
      </c>
      <c r="AP368" s="60" t="s">
        <v>36</v>
      </c>
      <c r="AQ368" s="58" t="s">
        <v>0</v>
      </c>
      <c r="AR368" s="58"/>
      <c r="AS368" s="58"/>
      <c r="AT368" s="52">
        <v>0</v>
      </c>
      <c r="AU368" s="52" t="e">
        <f>IF(Master[[#This Row],[RSP StopTime override]] &lt;&gt; "",Master[[#This Row],[RSP StopTime override]],IF(Master[[#This Row],[Avg stop time helper]] &lt;&gt; 0, Master[[#This Row],[Avg stop time helper]],Average_Stop_Time))</f>
        <v>#DIV/0!</v>
      </c>
      <c r="AV368" s="21"/>
      <c r="AW368" s="20">
        <f>Master[[#This Row],[RSP StopTime override]]-Master[[#This Row],[Avg stop time helper]]</f>
        <v>0</v>
      </c>
    </row>
    <row r="369" spans="1:49" x14ac:dyDescent="0.3">
      <c r="A369" s="66" t="s">
        <v>4466</v>
      </c>
      <c r="B369" s="58">
        <v>47</v>
      </c>
      <c r="C369" s="58" t="s">
        <v>35</v>
      </c>
      <c r="D369" s="65">
        <v>531897</v>
      </c>
      <c r="E369" s="65" t="s">
        <v>42</v>
      </c>
      <c r="F369" s="65" t="s">
        <v>2818</v>
      </c>
      <c r="G369" s="65" t="s">
        <v>2817</v>
      </c>
      <c r="H369" s="65" t="s">
        <v>7</v>
      </c>
      <c r="I369" s="65" t="s">
        <v>2811</v>
      </c>
      <c r="J369" s="65" t="s">
        <v>5</v>
      </c>
      <c r="K369" s="65" t="s">
        <v>2810</v>
      </c>
      <c r="L369" s="64" t="s">
        <v>77</v>
      </c>
      <c r="M369" s="58" t="s">
        <v>29</v>
      </c>
      <c r="N369" s="58" t="s">
        <v>2</v>
      </c>
      <c r="O369" s="58">
        <v>40</v>
      </c>
      <c r="P369" s="58">
        <v>0</v>
      </c>
      <c r="Q369" s="58">
        <v>40</v>
      </c>
      <c r="R369" s="58">
        <v>0</v>
      </c>
      <c r="S369" s="58">
        <v>0</v>
      </c>
      <c r="T369" s="58">
        <v>0</v>
      </c>
      <c r="U369" s="58">
        <v>25</v>
      </c>
      <c r="V369" s="62"/>
      <c r="W369" s="62"/>
      <c r="X369" s="63">
        <f>IFERROR(1 -(Master[[#This Row],[Avg Garment Scans per Delivery]]/Master[[#This Row],[Garment Inventory]]), 0)</f>
        <v>0</v>
      </c>
      <c r="Y369" s="62"/>
      <c r="Z369" s="62"/>
      <c r="AA369" s="53">
        <v>39.590000000000003</v>
      </c>
      <c r="AB369" s="53">
        <v>40.840000000000003</v>
      </c>
      <c r="AC369" s="53">
        <v>41.796122448979595</v>
      </c>
      <c r="AD369" s="53">
        <v>43.755306122448978</v>
      </c>
      <c r="AE369" s="53" t="str">
        <f>_xlfn.XLOOKUP(Master[[#This Row],[cu_id]],'[1]Customer Revenue'!$Q:$Q,'[1]Customer Revenue'!$K:$K, "None")</f>
        <v>None</v>
      </c>
      <c r="AF369" s="53" t="str">
        <f>_xlfn.XLOOKUP(Master[[#This Row],[cu_id]],'[1]Customer Revenue'!$Q:$Q,'[1]Customer Revenue'!$L:$L, "None")</f>
        <v>None</v>
      </c>
      <c r="AG369" s="53">
        <v>39.011301775147942</v>
      </c>
      <c r="AH369" s="53">
        <v>40.310236686390539</v>
      </c>
      <c r="AI369" s="53">
        <v>40.215000000000003</v>
      </c>
      <c r="AJ369" s="53">
        <v>42.775714285714287</v>
      </c>
      <c r="AK369" s="53" t="str">
        <f>_xlfn.XLOOKUP(Master[[#This Row],[cu_id]],'[1]Customer Revenue'!$Q:$Q,'[1]Customer Revenue'!$I:$I, "None")</f>
        <v>None</v>
      </c>
      <c r="AL369" s="53">
        <v>39.66076923076924</v>
      </c>
      <c r="AM369" s="61">
        <v>0.25</v>
      </c>
      <c r="AN369" s="60">
        <v>0.3125</v>
      </c>
      <c r="AO369" s="60" t="s">
        <v>36</v>
      </c>
      <c r="AP369" s="60" t="s">
        <v>36</v>
      </c>
      <c r="AQ369" s="58" t="s">
        <v>0</v>
      </c>
      <c r="AR369" s="58"/>
      <c r="AS369" s="58"/>
      <c r="AT369" s="52">
        <v>0</v>
      </c>
      <c r="AU369" s="52" t="e">
        <f>IF(Master[[#This Row],[RSP StopTime override]] &lt;&gt; "",Master[[#This Row],[RSP StopTime override]],IF(Master[[#This Row],[Avg stop time helper]] &lt;&gt; 0, Master[[#This Row],[Avg stop time helper]],Average_Stop_Time))</f>
        <v>#DIV/0!</v>
      </c>
      <c r="AV369" s="21"/>
      <c r="AW369" s="20">
        <f>Master[[#This Row],[RSP StopTime override]]-Master[[#This Row],[Avg stop time helper]]</f>
        <v>0</v>
      </c>
    </row>
    <row r="370" spans="1:49" x14ac:dyDescent="0.3">
      <c r="A370" s="66" t="s">
        <v>4467</v>
      </c>
      <c r="B370" s="58">
        <v>47</v>
      </c>
      <c r="C370" s="58" t="s">
        <v>35</v>
      </c>
      <c r="D370" s="65">
        <v>532268</v>
      </c>
      <c r="E370" s="65" t="s">
        <v>42</v>
      </c>
      <c r="F370" s="65" t="s">
        <v>2816</v>
      </c>
      <c r="G370" s="65" t="s">
        <v>2815</v>
      </c>
      <c r="H370" s="65" t="s">
        <v>2814</v>
      </c>
      <c r="I370" s="65" t="s">
        <v>2791</v>
      </c>
      <c r="J370" s="65" t="s">
        <v>5</v>
      </c>
      <c r="K370" s="65" t="s">
        <v>2790</v>
      </c>
      <c r="L370" s="64" t="s">
        <v>67</v>
      </c>
      <c r="M370" s="58" t="s">
        <v>3</v>
      </c>
      <c r="N370" s="58" t="s">
        <v>2</v>
      </c>
      <c r="O370" s="58">
        <v>140</v>
      </c>
      <c r="P370" s="58">
        <v>0</v>
      </c>
      <c r="Q370" s="58">
        <v>140</v>
      </c>
      <c r="R370" s="58">
        <v>0</v>
      </c>
      <c r="S370" s="58">
        <v>0</v>
      </c>
      <c r="T370" s="58">
        <v>0</v>
      </c>
      <c r="U370" s="58">
        <v>51</v>
      </c>
      <c r="V370" s="62"/>
      <c r="W370" s="62"/>
      <c r="X370" s="63">
        <f>IFERROR(1 -(Master[[#This Row],[Avg Garment Scans per Delivery]]/Master[[#This Row],[Garment Inventory]]), 0)</f>
        <v>0</v>
      </c>
      <c r="Y370" s="62"/>
      <c r="Z370" s="62"/>
      <c r="AA370" s="53">
        <v>79.443846153846138</v>
      </c>
      <c r="AB370" s="53">
        <v>146.2961538461538</v>
      </c>
      <c r="AC370" s="53">
        <v>105.12059171597633</v>
      </c>
      <c r="AD370" s="53">
        <v>191.65786982248522</v>
      </c>
      <c r="AE370" s="53" t="str">
        <f>_xlfn.XLOOKUP(Master[[#This Row],[cu_id]],'[1]Customer Revenue'!$Q:$Q,'[1]Customer Revenue'!$K:$K, "None")</f>
        <v>None</v>
      </c>
      <c r="AF370" s="53" t="str">
        <f>_xlfn.XLOOKUP(Master[[#This Row],[cu_id]],'[1]Customer Revenue'!$Q:$Q,'[1]Customer Revenue'!$L:$L, "None")</f>
        <v>None</v>
      </c>
      <c r="AG370" s="53">
        <v>65.898276923076892</v>
      </c>
      <c r="AH370" s="53">
        <v>134.41212307692302</v>
      </c>
      <c r="AI370" s="53">
        <v>112.86999999999998</v>
      </c>
      <c r="AJ370" s="53">
        <v>148.38923076923078</v>
      </c>
      <c r="AK370" s="53" t="str">
        <f>_xlfn.XLOOKUP(Master[[#This Row],[cu_id]],'[1]Customer Revenue'!$Q:$Q,'[1]Customer Revenue'!$I:$I, "None")</f>
        <v>None</v>
      </c>
      <c r="AL370" s="53">
        <v>100.15519999999997</v>
      </c>
      <c r="AM370" s="61">
        <v>0.45833333333333331</v>
      </c>
      <c r="AN370" s="60">
        <v>0.375</v>
      </c>
      <c r="AO370" s="60" t="s">
        <v>36</v>
      </c>
      <c r="AP370" s="60" t="s">
        <v>36</v>
      </c>
      <c r="AQ370" s="58" t="s">
        <v>0</v>
      </c>
      <c r="AR370" s="58"/>
      <c r="AS370" s="58"/>
      <c r="AT370" s="52">
        <v>0</v>
      </c>
      <c r="AU370" s="52" t="e">
        <f>IF(Master[[#This Row],[RSP StopTime override]] &lt;&gt; "",Master[[#This Row],[RSP StopTime override]],IF(Master[[#This Row],[Avg stop time helper]] &lt;&gt; 0, Master[[#This Row],[Avg stop time helper]],Average_Stop_Time))</f>
        <v>#DIV/0!</v>
      </c>
      <c r="AV370" s="21"/>
      <c r="AW370" s="20">
        <f>Master[[#This Row],[RSP StopTime override]]-Master[[#This Row],[Avg stop time helper]]</f>
        <v>0</v>
      </c>
    </row>
    <row r="371" spans="1:49" x14ac:dyDescent="0.3">
      <c r="A371" s="66" t="s">
        <v>4468</v>
      </c>
      <c r="B371" s="58">
        <v>47</v>
      </c>
      <c r="C371" s="58" t="s">
        <v>35</v>
      </c>
      <c r="D371" s="65">
        <v>532272</v>
      </c>
      <c r="E371" s="65" t="s">
        <v>42</v>
      </c>
      <c r="F371" s="65" t="s">
        <v>2813</v>
      </c>
      <c r="G371" s="65" t="s">
        <v>2812</v>
      </c>
      <c r="H371" s="65" t="s">
        <v>7</v>
      </c>
      <c r="I371" s="65" t="s">
        <v>2811</v>
      </c>
      <c r="J371" s="65" t="s">
        <v>5</v>
      </c>
      <c r="K371" s="65" t="s">
        <v>2810</v>
      </c>
      <c r="L371" s="64" t="s">
        <v>77</v>
      </c>
      <c r="M371" s="58" t="s">
        <v>29</v>
      </c>
      <c r="N371" s="58" t="s">
        <v>2</v>
      </c>
      <c r="O371" s="58">
        <v>50</v>
      </c>
      <c r="P371" s="58">
        <v>0</v>
      </c>
      <c r="Q371" s="58">
        <v>50</v>
      </c>
      <c r="R371" s="58">
        <v>0</v>
      </c>
      <c r="S371" s="58">
        <v>0</v>
      </c>
      <c r="T371" s="58">
        <v>0</v>
      </c>
      <c r="U371" s="58">
        <v>27</v>
      </c>
      <c r="V371" s="62"/>
      <c r="W371" s="62"/>
      <c r="X371" s="63">
        <f>IFERROR(1 -(Master[[#This Row],[Avg Garment Scans per Delivery]]/Master[[#This Row],[Garment Inventory]]), 0)</f>
        <v>0</v>
      </c>
      <c r="Y371" s="62"/>
      <c r="Z371" s="62"/>
      <c r="AA371" s="53">
        <v>93.647278911564626</v>
      </c>
      <c r="AB371" s="53">
        <v>166.34605442176871</v>
      </c>
      <c r="AC371" s="53">
        <v>132.18142857142857</v>
      </c>
      <c r="AD371" s="53">
        <v>163.87857142857143</v>
      </c>
      <c r="AE371" s="53" t="str">
        <f>_xlfn.XLOOKUP(Master[[#This Row],[cu_id]],'[1]Customer Revenue'!$Q:$Q,'[1]Customer Revenue'!$K:$K, "None")</f>
        <v>None</v>
      </c>
      <c r="AF371" s="53" t="str">
        <f>_xlfn.XLOOKUP(Master[[#This Row],[cu_id]],'[1]Customer Revenue'!$Q:$Q,'[1]Customer Revenue'!$L:$L, "None")</f>
        <v>None</v>
      </c>
      <c r="AG371" s="53">
        <v>83.961695447409724</v>
      </c>
      <c r="AH371" s="53">
        <v>145.28291993720566</v>
      </c>
      <c r="AI371" s="53">
        <v>129.99666666666667</v>
      </c>
      <c r="AJ371" s="53">
        <v>148.03</v>
      </c>
      <c r="AK371" s="53" t="str">
        <f>_xlfn.XLOOKUP(Master[[#This Row],[cu_id]],'[1]Customer Revenue'!$Q:$Q,'[1]Customer Revenue'!$I:$I, "None")</f>
        <v>None</v>
      </c>
      <c r="AL371" s="53">
        <v>114.62230769230769</v>
      </c>
      <c r="AM371" s="61" t="s">
        <v>36</v>
      </c>
      <c r="AN371" s="60" t="s">
        <v>36</v>
      </c>
      <c r="AO371" s="60" t="s">
        <v>36</v>
      </c>
      <c r="AP371" s="60" t="s">
        <v>36</v>
      </c>
      <c r="AQ371" s="58" t="s">
        <v>0</v>
      </c>
      <c r="AR371" s="58"/>
      <c r="AS371" s="58"/>
      <c r="AT371" s="52">
        <v>0</v>
      </c>
      <c r="AU371" s="52" t="e">
        <f>IF(Master[[#This Row],[RSP StopTime override]] &lt;&gt; "",Master[[#This Row],[RSP StopTime override]],IF(Master[[#This Row],[Avg stop time helper]] &lt;&gt; 0, Master[[#This Row],[Avg stop time helper]],Average_Stop_Time))</f>
        <v>#DIV/0!</v>
      </c>
      <c r="AV371" s="21"/>
      <c r="AW371" s="20">
        <f>Master[[#This Row],[RSP StopTime override]]-Master[[#This Row],[Avg stop time helper]]</f>
        <v>0</v>
      </c>
    </row>
    <row r="372" spans="1:49" x14ac:dyDescent="0.3">
      <c r="A372" s="66" t="s">
        <v>4469</v>
      </c>
      <c r="B372" s="58">
        <v>47</v>
      </c>
      <c r="C372" s="58" t="s">
        <v>35</v>
      </c>
      <c r="D372" s="65">
        <v>532426</v>
      </c>
      <c r="E372" s="65" t="s">
        <v>42</v>
      </c>
      <c r="F372" s="65" t="s">
        <v>2809</v>
      </c>
      <c r="G372" s="65" t="s">
        <v>2808</v>
      </c>
      <c r="H372" s="65" t="s">
        <v>7</v>
      </c>
      <c r="I372" s="65" t="s">
        <v>2791</v>
      </c>
      <c r="J372" s="65" t="s">
        <v>5</v>
      </c>
      <c r="K372" s="65" t="s">
        <v>2790</v>
      </c>
      <c r="L372" s="64" t="s">
        <v>67</v>
      </c>
      <c r="M372" s="58" t="s">
        <v>3</v>
      </c>
      <c r="N372" s="58" t="s">
        <v>2</v>
      </c>
      <c r="O372" s="58">
        <v>125</v>
      </c>
      <c r="P372" s="58">
        <v>0</v>
      </c>
      <c r="Q372" s="58">
        <v>125</v>
      </c>
      <c r="R372" s="58">
        <v>0</v>
      </c>
      <c r="S372" s="58">
        <v>0</v>
      </c>
      <c r="T372" s="58">
        <v>0</v>
      </c>
      <c r="U372" s="58">
        <v>52</v>
      </c>
      <c r="V372" s="62">
        <v>22</v>
      </c>
      <c r="W372" s="62">
        <v>8</v>
      </c>
      <c r="X372" s="63">
        <f>IFERROR(1 -(Master[[#This Row],[Avg Garment Scans per Delivery]]/Master[[#This Row],[Garment Inventory]]), 0)</f>
        <v>0.63636363636363635</v>
      </c>
      <c r="Y372" s="62">
        <v>1</v>
      </c>
      <c r="Z372" s="62">
        <v>20</v>
      </c>
      <c r="AA372" s="53">
        <v>53.597218934911226</v>
      </c>
      <c r="AB372" s="53">
        <v>61.090473372781048</v>
      </c>
      <c r="AC372" s="53">
        <v>50.850675039246468</v>
      </c>
      <c r="AD372" s="53">
        <v>84.653940345368923</v>
      </c>
      <c r="AE372" s="53" t="str">
        <f>_xlfn.XLOOKUP(Master[[#This Row],[cu_id]],'[1]Customer Revenue'!$Q:$Q,'[1]Customer Revenue'!$K:$K, "None")</f>
        <v>None</v>
      </c>
      <c r="AF372" s="53" t="str">
        <f>_xlfn.XLOOKUP(Master[[#This Row],[cu_id]],'[1]Customer Revenue'!$Q:$Q,'[1]Customer Revenue'!$L:$L, "None")</f>
        <v>None</v>
      </c>
      <c r="AG372" s="53">
        <v>48.916597633136092</v>
      </c>
      <c r="AH372" s="53">
        <v>78.608786982248574</v>
      </c>
      <c r="AI372" s="53">
        <v>57.343846153846137</v>
      </c>
      <c r="AJ372" s="53">
        <v>67.752307692307696</v>
      </c>
      <c r="AK372" s="53" t="str">
        <f>_xlfn.XLOOKUP(Master[[#This Row],[cu_id]],'[1]Customer Revenue'!$Q:$Q,'[1]Customer Revenue'!$I:$I, "None")</f>
        <v>None</v>
      </c>
      <c r="AL372" s="53">
        <v>63.762692307692333</v>
      </c>
      <c r="AM372" s="61">
        <v>0.33333333333333331</v>
      </c>
      <c r="AN372" s="60">
        <v>0.20833333333333334</v>
      </c>
      <c r="AO372" s="60" t="s">
        <v>36</v>
      </c>
      <c r="AP372" s="60" t="s">
        <v>36</v>
      </c>
      <c r="AQ372" s="58" t="s">
        <v>0</v>
      </c>
      <c r="AR372" s="58"/>
      <c r="AS372" s="58"/>
      <c r="AT372" s="52">
        <v>0</v>
      </c>
      <c r="AU372" s="52" t="e">
        <f>IF(Master[[#This Row],[RSP StopTime override]] &lt;&gt; "",Master[[#This Row],[RSP StopTime override]],IF(Master[[#This Row],[Avg stop time helper]] &lt;&gt; 0, Master[[#This Row],[Avg stop time helper]],Average_Stop_Time))</f>
        <v>#DIV/0!</v>
      </c>
      <c r="AV372" s="21"/>
      <c r="AW372" s="20">
        <f>Master[[#This Row],[RSP StopTime override]]-Master[[#This Row],[Avg stop time helper]]</f>
        <v>0</v>
      </c>
    </row>
    <row r="373" spans="1:49" x14ac:dyDescent="0.3">
      <c r="A373" s="66" t="s">
        <v>4470</v>
      </c>
      <c r="B373" s="58">
        <v>47</v>
      </c>
      <c r="C373" s="58" t="s">
        <v>35</v>
      </c>
      <c r="D373" s="65">
        <v>532993</v>
      </c>
      <c r="E373" s="65" t="s">
        <v>42</v>
      </c>
      <c r="F373" s="65" t="s">
        <v>2807</v>
      </c>
      <c r="G373" s="65" t="s">
        <v>2806</v>
      </c>
      <c r="H373" s="65" t="s">
        <v>7</v>
      </c>
      <c r="I373" s="65" t="s">
        <v>2797</v>
      </c>
      <c r="J373" s="65" t="s">
        <v>5</v>
      </c>
      <c r="K373" s="65" t="s">
        <v>2796</v>
      </c>
      <c r="L373" s="64" t="s">
        <v>67</v>
      </c>
      <c r="M373" s="58" t="s">
        <v>3</v>
      </c>
      <c r="N373" s="58" t="s">
        <v>2</v>
      </c>
      <c r="O373" s="58">
        <v>105</v>
      </c>
      <c r="P373" s="58">
        <v>0</v>
      </c>
      <c r="Q373" s="58">
        <v>105</v>
      </c>
      <c r="R373" s="58">
        <v>0</v>
      </c>
      <c r="S373" s="58">
        <v>0</v>
      </c>
      <c r="T373" s="58">
        <v>0</v>
      </c>
      <c r="U373" s="58">
        <v>52</v>
      </c>
      <c r="V373" s="62">
        <v>795</v>
      </c>
      <c r="W373" s="62">
        <v>149</v>
      </c>
      <c r="X373" s="63">
        <f>IFERROR(1 -(Master[[#This Row],[Avg Garment Scans per Delivery]]/Master[[#This Row],[Garment Inventory]]), 0)</f>
        <v>0.8125786163522013</v>
      </c>
      <c r="Y373" s="62">
        <v>31</v>
      </c>
      <c r="Z373" s="62">
        <v>784</v>
      </c>
      <c r="AA373" s="53">
        <v>199.44982248520705</v>
      </c>
      <c r="AB373" s="53">
        <v>259.62710059171587</v>
      </c>
      <c r="AC373" s="53">
        <v>210.39532544378699</v>
      </c>
      <c r="AD373" s="53">
        <v>233.18775147929</v>
      </c>
      <c r="AE373" s="53" t="str">
        <f>_xlfn.XLOOKUP(Master[[#This Row],[cu_id]],'[1]Customer Revenue'!$Q:$Q,'[1]Customer Revenue'!$K:$K, "None")</f>
        <v>None</v>
      </c>
      <c r="AF373" s="53" t="str">
        <f>_xlfn.XLOOKUP(Master[[#This Row],[cu_id]],'[1]Customer Revenue'!$Q:$Q,'[1]Customer Revenue'!$L:$L, "None")</f>
        <v>None</v>
      </c>
      <c r="AG373" s="53">
        <v>196.826795399388</v>
      </c>
      <c r="AH373" s="53">
        <v>245.56089690830436</v>
      </c>
      <c r="AI373" s="53">
        <v>229.53846153846146</v>
      </c>
      <c r="AJ373" s="53">
        <v>221.79153846153849</v>
      </c>
      <c r="AK373" s="53" t="str">
        <f>_xlfn.XLOOKUP(Master[[#This Row],[cu_id]],'[1]Customer Revenue'!$Q:$Q,'[1]Customer Revenue'!$I:$I, "None")</f>
        <v>None</v>
      </c>
      <c r="AL373" s="53">
        <v>221.19384615384618</v>
      </c>
      <c r="AM373" s="61">
        <v>0.33333333333333331</v>
      </c>
      <c r="AN373" s="60">
        <v>0.20833333333333334</v>
      </c>
      <c r="AO373" s="60" t="s">
        <v>36</v>
      </c>
      <c r="AP373" s="60" t="s">
        <v>36</v>
      </c>
      <c r="AQ373" s="58" t="s">
        <v>0</v>
      </c>
      <c r="AR373" s="58"/>
      <c r="AS373" s="58"/>
      <c r="AT373" s="52">
        <v>0</v>
      </c>
      <c r="AU373" s="52" t="e">
        <f>IF(Master[[#This Row],[RSP StopTime override]] &lt;&gt; "",Master[[#This Row],[RSP StopTime override]],IF(Master[[#This Row],[Avg stop time helper]] &lt;&gt; 0, Master[[#This Row],[Avg stop time helper]],Average_Stop_Time))</f>
        <v>#DIV/0!</v>
      </c>
      <c r="AV373" s="21"/>
      <c r="AW373" s="20">
        <f>Master[[#This Row],[RSP StopTime override]]-Master[[#This Row],[Avg stop time helper]]</f>
        <v>0</v>
      </c>
    </row>
    <row r="374" spans="1:49" x14ac:dyDescent="0.3">
      <c r="A374" s="66" t="s">
        <v>4471</v>
      </c>
      <c r="B374" s="58">
        <v>47</v>
      </c>
      <c r="C374" s="58" t="s">
        <v>35</v>
      </c>
      <c r="D374" s="65">
        <v>533009</v>
      </c>
      <c r="E374" s="65" t="s">
        <v>42</v>
      </c>
      <c r="F374" s="65" t="s">
        <v>2805</v>
      </c>
      <c r="G374" s="65" t="s">
        <v>2804</v>
      </c>
      <c r="H374" s="65" t="s">
        <v>7</v>
      </c>
      <c r="I374" s="65" t="s">
        <v>2791</v>
      </c>
      <c r="J374" s="65" t="s">
        <v>5</v>
      </c>
      <c r="K374" s="65" t="s">
        <v>2790</v>
      </c>
      <c r="L374" s="64" t="s">
        <v>77</v>
      </c>
      <c r="M374" s="58" t="s">
        <v>29</v>
      </c>
      <c r="N374" s="58" t="s">
        <v>2</v>
      </c>
      <c r="O374" s="58">
        <v>135</v>
      </c>
      <c r="P374" s="58">
        <v>0</v>
      </c>
      <c r="Q374" s="58">
        <v>135</v>
      </c>
      <c r="R374" s="58">
        <v>0</v>
      </c>
      <c r="S374" s="58">
        <v>0</v>
      </c>
      <c r="T374" s="58">
        <v>0</v>
      </c>
      <c r="U374" s="58">
        <v>26</v>
      </c>
      <c r="V374" s="62"/>
      <c r="W374" s="62"/>
      <c r="X374" s="63">
        <f>IFERROR(1 -(Master[[#This Row],[Avg Garment Scans per Delivery]]/Master[[#This Row],[Garment Inventory]]), 0)</f>
        <v>0</v>
      </c>
      <c r="Y374" s="62"/>
      <c r="Z374" s="62"/>
      <c r="AA374" s="53">
        <v>65.721111111111114</v>
      </c>
      <c r="AB374" s="53">
        <v>87.232222222222234</v>
      </c>
      <c r="AC374" s="53">
        <v>76.729591836734699</v>
      </c>
      <c r="AD374" s="53">
        <v>98.016122448979587</v>
      </c>
      <c r="AE374" s="53" t="str">
        <f>_xlfn.XLOOKUP(Master[[#This Row],[cu_id]],'[1]Customer Revenue'!$Q:$Q,'[1]Customer Revenue'!$K:$K, "None")</f>
        <v>None</v>
      </c>
      <c r="AF374" s="53" t="str">
        <f>_xlfn.XLOOKUP(Master[[#This Row],[cu_id]],'[1]Customer Revenue'!$Q:$Q,'[1]Customer Revenue'!$L:$L, "None")</f>
        <v>None</v>
      </c>
      <c r="AG374" s="53">
        <v>67.454733727810662</v>
      </c>
      <c r="AH374" s="53">
        <v>83.608343195266286</v>
      </c>
      <c r="AI374" s="53">
        <v>76.476666666666674</v>
      </c>
      <c r="AJ374" s="53">
        <v>87.372857142857143</v>
      </c>
      <c r="AK374" s="53" t="str">
        <f>_xlfn.XLOOKUP(Master[[#This Row],[cu_id]],'[1]Customer Revenue'!$Q:$Q,'[1]Customer Revenue'!$I:$I, "None")</f>
        <v>None</v>
      </c>
      <c r="AL374" s="53">
        <v>75.531538461538474</v>
      </c>
      <c r="AM374" s="61">
        <v>0.125</v>
      </c>
      <c r="AN374" s="60">
        <v>0.45833333333333331</v>
      </c>
      <c r="AO374" s="60" t="s">
        <v>36</v>
      </c>
      <c r="AP374" s="60" t="s">
        <v>36</v>
      </c>
      <c r="AQ374" s="58" t="s">
        <v>0</v>
      </c>
      <c r="AR374" s="58"/>
      <c r="AS374" s="58"/>
      <c r="AT374" s="52">
        <v>0</v>
      </c>
      <c r="AU374" s="52" t="e">
        <f>IF(Master[[#This Row],[RSP StopTime override]] &lt;&gt; "",Master[[#This Row],[RSP StopTime override]],IF(Master[[#This Row],[Avg stop time helper]] &lt;&gt; 0, Master[[#This Row],[Avg stop time helper]],Average_Stop_Time))</f>
        <v>#DIV/0!</v>
      </c>
      <c r="AV374" s="21"/>
      <c r="AW374" s="20">
        <f>Master[[#This Row],[RSP StopTime override]]-Master[[#This Row],[Avg stop time helper]]</f>
        <v>0</v>
      </c>
    </row>
    <row r="375" spans="1:49" x14ac:dyDescent="0.3">
      <c r="A375" s="66" t="s">
        <v>4472</v>
      </c>
      <c r="B375" s="58">
        <v>47</v>
      </c>
      <c r="C375" s="58" t="s">
        <v>35</v>
      </c>
      <c r="D375" s="65">
        <v>533026</v>
      </c>
      <c r="E375" s="65" t="s">
        <v>42</v>
      </c>
      <c r="F375" s="65" t="s">
        <v>2803</v>
      </c>
      <c r="G375" s="65" t="s">
        <v>2802</v>
      </c>
      <c r="H375" s="65" t="s">
        <v>7</v>
      </c>
      <c r="I375" s="65" t="s">
        <v>2801</v>
      </c>
      <c r="J375" s="65" t="s">
        <v>5</v>
      </c>
      <c r="K375" s="65" t="s">
        <v>2800</v>
      </c>
      <c r="L375" s="64" t="s">
        <v>91</v>
      </c>
      <c r="M375" s="58" t="s">
        <v>90</v>
      </c>
      <c r="N375" s="58" t="s">
        <v>2</v>
      </c>
      <c r="O375" s="58">
        <v>120</v>
      </c>
      <c r="P375" s="58">
        <v>0</v>
      </c>
      <c r="Q375" s="58">
        <v>120</v>
      </c>
      <c r="R375" s="58">
        <v>0</v>
      </c>
      <c r="S375" s="58">
        <v>0</v>
      </c>
      <c r="T375" s="58">
        <v>0</v>
      </c>
      <c r="U375" s="58">
        <v>27</v>
      </c>
      <c r="V375" s="62"/>
      <c r="W375" s="62"/>
      <c r="X375" s="63">
        <f>IFERROR(1 -(Master[[#This Row],[Avg Garment Scans per Delivery]]/Master[[#This Row],[Garment Inventory]]), 0)</f>
        <v>0</v>
      </c>
      <c r="Y375" s="62"/>
      <c r="Z375" s="62"/>
      <c r="AA375" s="53">
        <v>60.270231481481474</v>
      </c>
      <c r="AB375" s="53">
        <v>137.66726851851848</v>
      </c>
      <c r="AC375" s="53">
        <v>122.00333333333334</v>
      </c>
      <c r="AD375" s="53">
        <v>185.98000000000002</v>
      </c>
      <c r="AE375" s="53" t="str">
        <f>_xlfn.XLOOKUP(Master[[#This Row],[cu_id]],'[1]Customer Revenue'!$Q:$Q,'[1]Customer Revenue'!$K:$K, "None")</f>
        <v>None</v>
      </c>
      <c r="AF375" s="53" t="str">
        <f>_xlfn.XLOOKUP(Master[[#This Row],[cu_id]],'[1]Customer Revenue'!$Q:$Q,'[1]Customer Revenue'!$L:$L, "None")</f>
        <v>None</v>
      </c>
      <c r="AG375" s="53">
        <v>71.517419047619057</v>
      </c>
      <c r="AH375" s="53">
        <v>142.00115238095236</v>
      </c>
      <c r="AI375" s="53">
        <v>98.968749999999986</v>
      </c>
      <c r="AJ375" s="53">
        <v>153.99166666666667</v>
      </c>
      <c r="AK375" s="53" t="str">
        <f>_xlfn.XLOOKUP(Master[[#This Row],[cu_id]],'[1]Customer Revenue'!$Q:$Q,'[1]Customer Revenue'!$I:$I, "None")</f>
        <v>None</v>
      </c>
      <c r="AL375" s="53">
        <v>106.75928571428571</v>
      </c>
      <c r="AM375" s="61">
        <v>0.5</v>
      </c>
      <c r="AN375" s="60">
        <v>0.91666666666666663</v>
      </c>
      <c r="AO375" s="60" t="s">
        <v>36</v>
      </c>
      <c r="AP375" s="60" t="s">
        <v>36</v>
      </c>
      <c r="AQ375" s="58" t="s">
        <v>0</v>
      </c>
      <c r="AR375" s="58"/>
      <c r="AS375" s="58"/>
      <c r="AT375" s="52">
        <v>0</v>
      </c>
      <c r="AU375" s="52" t="e">
        <f>IF(Master[[#This Row],[RSP StopTime override]] &lt;&gt; "",Master[[#This Row],[RSP StopTime override]],IF(Master[[#This Row],[Avg stop time helper]] &lt;&gt; 0, Master[[#This Row],[Avg stop time helper]],Average_Stop_Time))</f>
        <v>#DIV/0!</v>
      </c>
      <c r="AV375" s="21"/>
      <c r="AW375" s="20">
        <f>Master[[#This Row],[RSP StopTime override]]-Master[[#This Row],[Avg stop time helper]]</f>
        <v>0</v>
      </c>
    </row>
    <row r="376" spans="1:49" x14ac:dyDescent="0.3">
      <c r="A376" s="66" t="s">
        <v>4473</v>
      </c>
      <c r="B376" s="58">
        <v>47</v>
      </c>
      <c r="C376" s="58" t="s">
        <v>35</v>
      </c>
      <c r="D376" s="65">
        <v>533103</v>
      </c>
      <c r="E376" s="65" t="s">
        <v>42</v>
      </c>
      <c r="F376" s="65" t="s">
        <v>2799</v>
      </c>
      <c r="G376" s="65" t="s">
        <v>2798</v>
      </c>
      <c r="H376" s="65" t="s">
        <v>7</v>
      </c>
      <c r="I376" s="65" t="s">
        <v>2797</v>
      </c>
      <c r="J376" s="65" t="s">
        <v>5</v>
      </c>
      <c r="K376" s="65" t="s">
        <v>2796</v>
      </c>
      <c r="L376" s="64" t="s">
        <v>141</v>
      </c>
      <c r="M376" s="58" t="s">
        <v>140</v>
      </c>
      <c r="N376" s="58" t="s">
        <v>2</v>
      </c>
      <c r="O376" s="58">
        <v>110</v>
      </c>
      <c r="P376" s="58">
        <v>0</v>
      </c>
      <c r="Q376" s="58">
        <v>110</v>
      </c>
      <c r="R376" s="58">
        <v>0</v>
      </c>
      <c r="S376" s="58">
        <v>0</v>
      </c>
      <c r="T376" s="58">
        <v>0</v>
      </c>
      <c r="U376" s="58">
        <v>13</v>
      </c>
      <c r="V376" s="62"/>
      <c r="W376" s="62"/>
      <c r="X376" s="63">
        <f>IFERROR(1 -(Master[[#This Row],[Avg Garment Scans per Delivery]]/Master[[#This Row],[Garment Inventory]]), 0)</f>
        <v>0</v>
      </c>
      <c r="Y376" s="62"/>
      <c r="Z376" s="62"/>
      <c r="AA376" s="53">
        <v>39.25</v>
      </c>
      <c r="AB376" s="53">
        <v>41.25</v>
      </c>
      <c r="AC376" s="53">
        <v>41.482222222222227</v>
      </c>
      <c r="AD376" s="53">
        <v>43.624444444444443</v>
      </c>
      <c r="AE376" s="53" t="str">
        <f>_xlfn.XLOOKUP(Master[[#This Row],[cu_id]],'[1]Customer Revenue'!$Q:$Q,'[1]Customer Revenue'!$K:$K, "None")</f>
        <v>None</v>
      </c>
      <c r="AF376" s="53" t="str">
        <f>_xlfn.XLOOKUP(Master[[#This Row],[cu_id]],'[1]Customer Revenue'!$Q:$Q,'[1]Customer Revenue'!$L:$L, "None")</f>
        <v>None</v>
      </c>
      <c r="AG376" s="53">
        <v>39.270408163265309</v>
      </c>
      <c r="AH376" s="53">
        <v>40.37244897959183</v>
      </c>
      <c r="AI376" s="53">
        <v>40.25</v>
      </c>
      <c r="AJ376" s="53">
        <v>42.553333333333335</v>
      </c>
      <c r="AK376" s="53" t="str">
        <f>_xlfn.XLOOKUP(Master[[#This Row],[cu_id]],'[1]Customer Revenue'!$Q:$Q,'[1]Customer Revenue'!$I:$I, "None")</f>
        <v>None</v>
      </c>
      <c r="AL376" s="53">
        <v>39.821428571428569</v>
      </c>
      <c r="AM376" s="61">
        <v>0.33333333333333331</v>
      </c>
      <c r="AN376" s="60">
        <v>0.20833333333333334</v>
      </c>
      <c r="AO376" s="60" t="s">
        <v>36</v>
      </c>
      <c r="AP376" s="60" t="s">
        <v>36</v>
      </c>
      <c r="AQ376" s="58" t="s">
        <v>0</v>
      </c>
      <c r="AR376" s="58"/>
      <c r="AS376" s="58"/>
      <c r="AT376" s="52">
        <v>0</v>
      </c>
      <c r="AU376" s="52" t="e">
        <f>IF(Master[[#This Row],[RSP StopTime override]] &lt;&gt; "",Master[[#This Row],[RSP StopTime override]],IF(Master[[#This Row],[Avg stop time helper]] &lt;&gt; 0, Master[[#This Row],[Avg stop time helper]],Average_Stop_Time))</f>
        <v>#DIV/0!</v>
      </c>
      <c r="AV376" s="21"/>
      <c r="AW376" s="20">
        <f>Master[[#This Row],[RSP StopTime override]]-Master[[#This Row],[Avg stop time helper]]</f>
        <v>0</v>
      </c>
    </row>
    <row r="377" spans="1:49" x14ac:dyDescent="0.3">
      <c r="A377" s="66" t="s">
        <v>4064</v>
      </c>
      <c r="B377" s="58">
        <v>47</v>
      </c>
      <c r="C377" s="58" t="s">
        <v>43</v>
      </c>
      <c r="D377" s="65">
        <v>533175</v>
      </c>
      <c r="E377" s="65" t="s">
        <v>42</v>
      </c>
      <c r="F377" s="65" t="s">
        <v>2795</v>
      </c>
      <c r="G377" s="65" t="s">
        <v>2794</v>
      </c>
      <c r="H377" s="65" t="s">
        <v>7</v>
      </c>
      <c r="I377" s="65" t="s">
        <v>2691</v>
      </c>
      <c r="J377" s="65" t="s">
        <v>5</v>
      </c>
      <c r="K377" s="65">
        <v>48881</v>
      </c>
      <c r="L377" s="64" t="s">
        <v>67</v>
      </c>
      <c r="M377" s="58" t="s">
        <v>3</v>
      </c>
      <c r="N377" s="58" t="s">
        <v>2</v>
      </c>
      <c r="O377" s="58">
        <v>82</v>
      </c>
      <c r="P377" s="58">
        <v>0</v>
      </c>
      <c r="Q377" s="58">
        <v>82</v>
      </c>
      <c r="R377" s="58">
        <v>0</v>
      </c>
      <c r="S377" s="58">
        <v>0</v>
      </c>
      <c r="T377" s="58">
        <v>0</v>
      </c>
      <c r="U377" s="58">
        <v>52</v>
      </c>
      <c r="V377" s="62">
        <v>33</v>
      </c>
      <c r="W377" s="62">
        <v>9</v>
      </c>
      <c r="X377" s="63">
        <f>IFERROR(1 -(Master[[#This Row],[Avg Garment Scans per Delivery]]/Master[[#This Row],[Garment Inventory]]), 0)</f>
        <v>0.72727272727272729</v>
      </c>
      <c r="Y377" s="62">
        <v>1</v>
      </c>
      <c r="Z377" s="62">
        <v>22</v>
      </c>
      <c r="AA377" s="53">
        <v>61.814260355029575</v>
      </c>
      <c r="AB377" s="53">
        <v>65.571893491124257</v>
      </c>
      <c r="AC377" s="53">
        <v>54.012366863905321</v>
      </c>
      <c r="AD377" s="53">
        <v>79.903017751479268</v>
      </c>
      <c r="AE377" s="53" t="str">
        <f>_xlfn.XLOOKUP(Master[[#This Row],[cu_id]],'[1]Customer Revenue'!$Q:$Q,'[1]Customer Revenue'!$K:$K, "None")</f>
        <v>None</v>
      </c>
      <c r="AF377" s="53" t="str">
        <f>_xlfn.XLOOKUP(Master[[#This Row],[cu_id]],'[1]Customer Revenue'!$Q:$Q,'[1]Customer Revenue'!$L:$L, "None")</f>
        <v>None</v>
      </c>
      <c r="AG377" s="53">
        <v>58.470674264007584</v>
      </c>
      <c r="AH377" s="53">
        <v>67.612402659069303</v>
      </c>
      <c r="AI377" s="53">
        <v>63.693076923076916</v>
      </c>
      <c r="AJ377" s="53">
        <v>66.957692307692298</v>
      </c>
      <c r="AK377" s="53" t="str">
        <f>_xlfn.XLOOKUP(Master[[#This Row],[cu_id]],'[1]Customer Revenue'!$Q:$Q,'[1]Customer Revenue'!$I:$I, "None")</f>
        <v>None</v>
      </c>
      <c r="AL377" s="53">
        <v>63.041538461538444</v>
      </c>
      <c r="AM377" s="61">
        <v>0.33333333333333331</v>
      </c>
      <c r="AN377" s="60">
        <v>0.20833333333333334</v>
      </c>
      <c r="AO377" s="60" t="s">
        <v>36</v>
      </c>
      <c r="AP377" s="60" t="s">
        <v>36</v>
      </c>
      <c r="AQ377" s="58" t="s">
        <v>0</v>
      </c>
      <c r="AR377" s="58"/>
      <c r="AS377" s="58"/>
      <c r="AT377" s="52">
        <v>0</v>
      </c>
      <c r="AU377" s="52" t="e">
        <f>IF(Master[[#This Row],[RSP StopTime override]] &lt;&gt; "",Master[[#This Row],[RSP StopTime override]],IF(Master[[#This Row],[Avg stop time helper]] &lt;&gt; 0, Master[[#This Row],[Avg stop time helper]],Average_Stop_Time))</f>
        <v>#DIV/0!</v>
      </c>
      <c r="AV377" s="21"/>
      <c r="AW377" s="20">
        <f>Master[[#This Row],[RSP StopTime override]]-Master[[#This Row],[Avg stop time helper]]</f>
        <v>0</v>
      </c>
    </row>
    <row r="378" spans="1:49" x14ac:dyDescent="0.3">
      <c r="A378" s="66" t="s">
        <v>4474</v>
      </c>
      <c r="B378" s="58">
        <v>47</v>
      </c>
      <c r="C378" s="58" t="s">
        <v>35</v>
      </c>
      <c r="D378" s="65">
        <v>533358</v>
      </c>
      <c r="E378" s="65" t="s">
        <v>42</v>
      </c>
      <c r="F378" s="65" t="s">
        <v>2793</v>
      </c>
      <c r="G378" s="65" t="s">
        <v>2792</v>
      </c>
      <c r="H378" s="65" t="s">
        <v>7</v>
      </c>
      <c r="I378" s="65" t="s">
        <v>2791</v>
      </c>
      <c r="J378" s="65" t="s">
        <v>5</v>
      </c>
      <c r="K378" s="65" t="s">
        <v>2790</v>
      </c>
      <c r="L378" s="64" t="s">
        <v>77</v>
      </c>
      <c r="M378" s="58" t="s">
        <v>29</v>
      </c>
      <c r="N378" s="58" t="s">
        <v>2</v>
      </c>
      <c r="O378" s="58">
        <v>145</v>
      </c>
      <c r="P378" s="58">
        <v>0</v>
      </c>
      <c r="Q378" s="58">
        <v>145</v>
      </c>
      <c r="R378" s="58">
        <v>0</v>
      </c>
      <c r="S378" s="58">
        <v>0</v>
      </c>
      <c r="T378" s="58">
        <v>0</v>
      </c>
      <c r="U378" s="58">
        <v>53</v>
      </c>
      <c r="V378" s="62"/>
      <c r="W378" s="62"/>
      <c r="X378" s="63">
        <f>IFERROR(1 -(Master[[#This Row],[Avg Garment Scans per Delivery]]/Master[[#This Row],[Garment Inventory]]), 0)</f>
        <v>0</v>
      </c>
      <c r="Y378" s="62"/>
      <c r="Z378" s="62"/>
      <c r="AA378" s="53">
        <v>56.867777777777782</v>
      </c>
      <c r="AB378" s="53">
        <v>63.798888888888904</v>
      </c>
      <c r="AC378" s="53">
        <v>59.980000000000018</v>
      </c>
      <c r="AD378" s="53">
        <v>312.62</v>
      </c>
      <c r="AE378" s="53" t="str">
        <f>_xlfn.XLOOKUP(Master[[#This Row],[cu_id]],'[1]Customer Revenue'!$Q:$Q,'[1]Customer Revenue'!$K:$K, "None")</f>
        <v>None</v>
      </c>
      <c r="AF378" s="53" t="str">
        <f>_xlfn.XLOOKUP(Master[[#This Row],[cu_id]],'[1]Customer Revenue'!$Q:$Q,'[1]Customer Revenue'!$L:$L, "None")</f>
        <v>None</v>
      </c>
      <c r="AG378" s="53">
        <v>45.601481481481471</v>
      </c>
      <c r="AH378" s="53">
        <v>110.14518518518517</v>
      </c>
      <c r="AI378" s="53">
        <v>60.333333333333343</v>
      </c>
      <c r="AJ378" s="53">
        <v>186.3</v>
      </c>
      <c r="AK378" s="53" t="str">
        <f>_xlfn.XLOOKUP(Master[[#This Row],[cu_id]],'[1]Customer Revenue'!$Q:$Q,'[1]Customer Revenue'!$I:$I, "None")</f>
        <v>None</v>
      </c>
      <c r="AL378" s="53">
        <v>77.873333333333321</v>
      </c>
      <c r="AM378" s="61">
        <v>0.25</v>
      </c>
      <c r="AN378" s="60">
        <v>0.20833333333333334</v>
      </c>
      <c r="AO378" s="60" t="s">
        <v>36</v>
      </c>
      <c r="AP378" s="60" t="s">
        <v>36</v>
      </c>
      <c r="AQ378" s="58" t="s">
        <v>0</v>
      </c>
      <c r="AR378" s="58"/>
      <c r="AS378" s="58"/>
      <c r="AT378" s="52">
        <v>0</v>
      </c>
      <c r="AU378" s="52" t="e">
        <f>IF(Master[[#This Row],[RSP StopTime override]] &lt;&gt; "",Master[[#This Row],[RSP StopTime override]],IF(Master[[#This Row],[Avg stop time helper]] &lt;&gt; 0, Master[[#This Row],[Avg stop time helper]],Average_Stop_Time))</f>
        <v>#DIV/0!</v>
      </c>
      <c r="AV378" s="21"/>
      <c r="AW378" s="20">
        <f>Master[[#This Row],[RSP StopTime override]]-Master[[#This Row],[Avg stop time helper]]</f>
        <v>0</v>
      </c>
    </row>
    <row r="379" spans="1:49" x14ac:dyDescent="0.3">
      <c r="A379" s="73" t="s">
        <v>4475</v>
      </c>
      <c r="B379" s="64">
        <v>47</v>
      </c>
      <c r="C379" s="64" t="s">
        <v>35</v>
      </c>
      <c r="D379" s="65">
        <v>533617</v>
      </c>
      <c r="E379" s="65" t="s">
        <v>42</v>
      </c>
      <c r="F379" s="65" t="s">
        <v>2789</v>
      </c>
      <c r="G379" s="65" t="s">
        <v>2788</v>
      </c>
      <c r="H379" s="65" t="s">
        <v>7</v>
      </c>
      <c r="I379" s="65" t="s">
        <v>2787</v>
      </c>
      <c r="J379" s="65" t="s">
        <v>5</v>
      </c>
      <c r="K379" s="65" t="s">
        <v>2786</v>
      </c>
      <c r="L379" s="64" t="s">
        <v>91</v>
      </c>
      <c r="M379" s="65" t="s">
        <v>90</v>
      </c>
      <c r="N379" s="65" t="s">
        <v>2</v>
      </c>
      <c r="O379" s="65">
        <v>72</v>
      </c>
      <c r="P379" s="65">
        <v>0</v>
      </c>
      <c r="Q379" s="65">
        <v>72</v>
      </c>
      <c r="R379" s="65">
        <v>0</v>
      </c>
      <c r="S379" s="65">
        <v>0</v>
      </c>
      <c r="T379" s="65">
        <v>0</v>
      </c>
      <c r="U379" s="65">
        <v>2</v>
      </c>
      <c r="V379" s="65"/>
      <c r="W379" s="65"/>
      <c r="X379" s="72">
        <f>IFERROR(1 -(Master[[#This Row],[Avg Garment Scans per Delivery]]/Master[[#This Row],[Garment Inventory]]), 0)</f>
        <v>0</v>
      </c>
      <c r="Y379" s="65"/>
      <c r="Z379" s="65"/>
      <c r="AA379" s="53">
        <v>83</v>
      </c>
      <c r="AB379" s="53">
        <v>83</v>
      </c>
      <c r="AC379" s="53">
        <v>83</v>
      </c>
      <c r="AD379" s="53">
        <v>83</v>
      </c>
      <c r="AE379" s="53" t="str">
        <f>_xlfn.XLOOKUP(Master[[#This Row],[cu_id]],'[1]Customer Revenue'!$Q:$Q,'[1]Customer Revenue'!$K:$K, "None")</f>
        <v>None</v>
      </c>
      <c r="AF379" s="53" t="str">
        <f>_xlfn.XLOOKUP(Master[[#This Row],[cu_id]],'[1]Customer Revenue'!$Q:$Q,'[1]Customer Revenue'!$L:$L, "None")</f>
        <v>None</v>
      </c>
      <c r="AG379" s="53">
        <v>83</v>
      </c>
      <c r="AH379" s="53">
        <v>83</v>
      </c>
      <c r="AI379" s="53">
        <v>83</v>
      </c>
      <c r="AJ379" s="53">
        <v>83</v>
      </c>
      <c r="AK379" s="53" t="str">
        <f>_xlfn.XLOOKUP(Master[[#This Row],[cu_id]],'[1]Customer Revenue'!$Q:$Q,'[1]Customer Revenue'!$I:$I, "None")</f>
        <v>None</v>
      </c>
      <c r="AL379" s="53">
        <v>83</v>
      </c>
      <c r="AM379" s="71" t="s">
        <v>1</v>
      </c>
      <c r="AN379" s="71" t="s">
        <v>1</v>
      </c>
      <c r="AO379" s="71" t="s">
        <v>36</v>
      </c>
      <c r="AP379" s="71" t="s">
        <v>36</v>
      </c>
      <c r="AQ379" s="64" t="s">
        <v>0</v>
      </c>
      <c r="AR379" s="64"/>
      <c r="AS379" s="65"/>
      <c r="AT379" s="52">
        <v>0</v>
      </c>
      <c r="AU379" s="52" t="e">
        <f>IF(Master[[#This Row],[RSP StopTime override]] &lt;&gt; "",Master[[#This Row],[RSP StopTime override]],IF(Master[[#This Row],[Avg stop time helper]] &lt;&gt; 0, Master[[#This Row],[Avg stop time helper]],Average_Stop_Time))</f>
        <v>#DIV/0!</v>
      </c>
      <c r="AV379" s="21"/>
      <c r="AW379" s="20">
        <f>Master[[#This Row],[RSP StopTime override]]-Master[[#This Row],[Avg stop time helper]]</f>
        <v>0</v>
      </c>
    </row>
    <row r="380" spans="1:49" x14ac:dyDescent="0.3">
      <c r="A380" s="66" t="s">
        <v>4476</v>
      </c>
      <c r="B380" s="58">
        <v>47</v>
      </c>
      <c r="C380" s="58" t="s">
        <v>10</v>
      </c>
      <c r="D380" s="65">
        <v>33254</v>
      </c>
      <c r="E380" s="65" t="s">
        <v>42</v>
      </c>
      <c r="F380" s="65" t="s">
        <v>2785</v>
      </c>
      <c r="G380" s="65" t="s">
        <v>2784</v>
      </c>
      <c r="H380" s="65" t="s">
        <v>7</v>
      </c>
      <c r="I380" s="65" t="s">
        <v>17</v>
      </c>
      <c r="J380" s="65" t="s">
        <v>5</v>
      </c>
      <c r="K380" s="65" t="s">
        <v>16</v>
      </c>
      <c r="L380" s="64" t="s">
        <v>67</v>
      </c>
      <c r="M380" s="58" t="s">
        <v>3</v>
      </c>
      <c r="N380" s="58" t="s">
        <v>2</v>
      </c>
      <c r="O380" s="58">
        <v>17</v>
      </c>
      <c r="P380" s="58">
        <v>0</v>
      </c>
      <c r="Q380" s="58">
        <v>0</v>
      </c>
      <c r="R380" s="58">
        <v>17</v>
      </c>
      <c r="S380" s="58">
        <v>0</v>
      </c>
      <c r="T380" s="58">
        <v>0</v>
      </c>
      <c r="U380" s="58">
        <v>52</v>
      </c>
      <c r="V380" s="62">
        <v>43</v>
      </c>
      <c r="W380" s="62">
        <v>5</v>
      </c>
      <c r="X380" s="63">
        <f>IFERROR(1 -(Master[[#This Row],[Avg Garment Scans per Delivery]]/Master[[#This Row],[Garment Inventory]]), 0)</f>
        <v>0.88372093023255816</v>
      </c>
      <c r="Y380" s="62">
        <v>5</v>
      </c>
      <c r="Z380" s="62">
        <v>43</v>
      </c>
      <c r="AA380" s="53">
        <v>201.32256671899515</v>
      </c>
      <c r="AB380" s="53">
        <v>262.90358712715852</v>
      </c>
      <c r="AC380" s="53">
        <v>198.40270800627948</v>
      </c>
      <c r="AD380" s="53">
        <v>262.37883045525899</v>
      </c>
      <c r="AE380" s="53" t="str">
        <f>_xlfn.XLOOKUP(Master[[#This Row],[cu_id]],'[1]Customer Revenue'!$Q:$Q,'[1]Customer Revenue'!$K:$K, "None")</f>
        <v>None</v>
      </c>
      <c r="AF380" s="53" t="str">
        <f>_xlfn.XLOOKUP(Master[[#This Row],[cu_id]],'[1]Customer Revenue'!$Q:$Q,'[1]Customer Revenue'!$L:$L, "None")</f>
        <v>None</v>
      </c>
      <c r="AG380" s="53">
        <v>217.7511886673</v>
      </c>
      <c r="AH380" s="53">
        <v>251.20188825577716</v>
      </c>
      <c r="AI380" s="53">
        <v>232.11307692307685</v>
      </c>
      <c r="AJ380" s="53">
        <v>230.39076923076925</v>
      </c>
      <c r="AK380" s="53" t="str">
        <f>_xlfn.XLOOKUP(Master[[#This Row],[cu_id]],'[1]Customer Revenue'!$Q:$Q,'[1]Customer Revenue'!$I:$I, "None")</f>
        <v>None</v>
      </c>
      <c r="AL380" s="53">
        <v>234.47653846153858</v>
      </c>
      <c r="AM380" s="61">
        <v>0.20833333333333334</v>
      </c>
      <c r="AN380" s="60">
        <v>0.66666666666666663</v>
      </c>
      <c r="AO380" s="60" t="s">
        <v>36</v>
      </c>
      <c r="AP380" s="60" t="s">
        <v>36</v>
      </c>
      <c r="AQ380" s="58" t="s">
        <v>0</v>
      </c>
      <c r="AR380" s="58"/>
      <c r="AS380" s="58"/>
      <c r="AT380" s="52">
        <v>0</v>
      </c>
      <c r="AU380" s="52" t="e">
        <f>IF(Master[[#This Row],[RSP StopTime override]] &lt;&gt; "",Master[[#This Row],[RSP StopTime override]],IF(Master[[#This Row],[Avg stop time helper]] &lt;&gt; 0, Master[[#This Row],[Avg stop time helper]],Average_Stop_Time))</f>
        <v>#DIV/0!</v>
      </c>
      <c r="AV380" s="21"/>
      <c r="AW380" s="20">
        <f>Master[[#This Row],[RSP StopTime override]]-Master[[#This Row],[Avg stop time helper]]</f>
        <v>0</v>
      </c>
    </row>
    <row r="381" spans="1:49" x14ac:dyDescent="0.3">
      <c r="A381" s="66" t="s">
        <v>4477</v>
      </c>
      <c r="B381" s="58">
        <v>47</v>
      </c>
      <c r="C381" s="58" t="s">
        <v>10</v>
      </c>
      <c r="D381" s="65">
        <v>99035</v>
      </c>
      <c r="E381" s="65" t="s">
        <v>2230</v>
      </c>
      <c r="F381" s="65" t="s">
        <v>2780</v>
      </c>
      <c r="G381" s="65" t="s">
        <v>2779</v>
      </c>
      <c r="H381" s="65" t="s">
        <v>7</v>
      </c>
      <c r="I381" s="65" t="s">
        <v>17</v>
      </c>
      <c r="J381" s="65" t="s">
        <v>5</v>
      </c>
      <c r="K381" s="65" t="s">
        <v>16</v>
      </c>
      <c r="L381" s="64">
        <v>7</v>
      </c>
      <c r="M381" s="58" t="s">
        <v>205</v>
      </c>
      <c r="N381" s="58" t="s">
        <v>2</v>
      </c>
      <c r="O381" s="58">
        <v>115</v>
      </c>
      <c r="P381" s="58">
        <v>0</v>
      </c>
      <c r="Q381" s="58">
        <v>0</v>
      </c>
      <c r="R381" s="58">
        <v>115</v>
      </c>
      <c r="S381" s="58">
        <v>0</v>
      </c>
      <c r="T381" s="58">
        <v>0</v>
      </c>
      <c r="U381" s="58">
        <v>29</v>
      </c>
      <c r="V381" s="62"/>
      <c r="W381" s="62"/>
      <c r="X381" s="63">
        <f>IFERROR(1 -(Master[[#This Row],[Avg Garment Scans per Delivery]]/Master[[#This Row],[Garment Inventory]]), 0)</f>
        <v>0</v>
      </c>
      <c r="Y381" s="62"/>
      <c r="Z381" s="62"/>
      <c r="AA381" s="53">
        <v>46.65041420118343</v>
      </c>
      <c r="AB381" s="53">
        <v>48.248047337278102</v>
      </c>
      <c r="AC381" s="53">
        <v>49.180000000000007</v>
      </c>
      <c r="AD381" s="53">
        <v>67.83</v>
      </c>
      <c r="AE381" s="53" t="str">
        <f>_xlfn.XLOOKUP(Master[[#This Row],[cu_id]],'[1]Customer Revenue'!$Q:$Q,'[1]Customer Revenue'!$K:$K, "None")</f>
        <v>None</v>
      </c>
      <c r="AF381" s="53" t="str">
        <f>_xlfn.XLOOKUP(Master[[#This Row],[cu_id]],'[1]Customer Revenue'!$Q:$Q,'[1]Customer Revenue'!$L:$L, "None")</f>
        <v>None</v>
      </c>
      <c r="AG381" s="53">
        <v>46.713081285444233</v>
      </c>
      <c r="AH381" s="53">
        <v>47.733875236294864</v>
      </c>
      <c r="AI381" s="53">
        <v>47.449230769230766</v>
      </c>
      <c r="AJ381" s="53">
        <v>58.505000000000003</v>
      </c>
      <c r="AK381" s="53" t="str">
        <f>_xlfn.XLOOKUP(Master[[#This Row],[cu_id]],'[1]Customer Revenue'!$Q:$Q,'[1]Customer Revenue'!$I:$I, "None")</f>
        <v>None</v>
      </c>
      <c r="AL381" s="53">
        <v>47.223478260869548</v>
      </c>
      <c r="AM381" s="61">
        <v>0.375</v>
      </c>
      <c r="AN381" s="60">
        <v>0.70833333333333337</v>
      </c>
      <c r="AO381" s="60" t="s">
        <v>36</v>
      </c>
      <c r="AP381" s="60" t="s">
        <v>36</v>
      </c>
      <c r="AQ381" s="58" t="s">
        <v>0</v>
      </c>
      <c r="AR381" s="58"/>
      <c r="AS381" s="58"/>
      <c r="AT381" s="52">
        <v>0</v>
      </c>
      <c r="AU381" s="52" t="e">
        <f>IF(Master[[#This Row],[RSP StopTime override]] &lt;&gt; "",Master[[#This Row],[RSP StopTime override]],IF(Master[[#This Row],[Avg stop time helper]] &lt;&gt; 0, Master[[#This Row],[Avg stop time helper]],Average_Stop_Time))</f>
        <v>#DIV/0!</v>
      </c>
      <c r="AV381" s="21"/>
      <c r="AW381" s="20">
        <f>Master[[#This Row],[RSP StopTime override]]-Master[[#This Row],[Avg stop time helper]]</f>
        <v>0</v>
      </c>
    </row>
    <row r="382" spans="1:49" x14ac:dyDescent="0.3">
      <c r="A382" s="66" t="s">
        <v>4478</v>
      </c>
      <c r="B382" s="58">
        <v>47</v>
      </c>
      <c r="C382" s="58" t="s">
        <v>10</v>
      </c>
      <c r="D382" s="65">
        <v>99035</v>
      </c>
      <c r="E382" s="65" t="s">
        <v>2587</v>
      </c>
      <c r="F382" s="65" t="s">
        <v>2783</v>
      </c>
      <c r="G382" s="65" t="s">
        <v>2782</v>
      </c>
      <c r="H382" s="65" t="s">
        <v>7</v>
      </c>
      <c r="I382" s="65" t="s">
        <v>1930</v>
      </c>
      <c r="J382" s="65" t="s">
        <v>5</v>
      </c>
      <c r="K382" s="65" t="s">
        <v>2781</v>
      </c>
      <c r="L382" s="64">
        <v>7</v>
      </c>
      <c r="M382" s="58" t="s">
        <v>205</v>
      </c>
      <c r="N382" s="58" t="s">
        <v>2</v>
      </c>
      <c r="O382" s="58">
        <v>87</v>
      </c>
      <c r="P382" s="58">
        <v>0</v>
      </c>
      <c r="Q382" s="58">
        <v>0</v>
      </c>
      <c r="R382" s="58">
        <v>90</v>
      </c>
      <c r="S382" s="58">
        <v>0</v>
      </c>
      <c r="T382" s="58">
        <v>0</v>
      </c>
      <c r="U382" s="58">
        <v>29</v>
      </c>
      <c r="V382" s="62"/>
      <c r="W382" s="62"/>
      <c r="X382" s="63">
        <f>IFERROR(1 -(Master[[#This Row],[Avg Garment Scans per Delivery]]/Master[[#This Row],[Garment Inventory]]), 0)</f>
        <v>0</v>
      </c>
      <c r="Y382" s="62"/>
      <c r="Z382" s="62"/>
      <c r="AA382" s="53">
        <v>72.820414201183439</v>
      </c>
      <c r="AB382" s="53">
        <v>74.418047337278125</v>
      </c>
      <c r="AC382" s="53">
        <v>52.76874999999999</v>
      </c>
      <c r="AD382" s="53">
        <v>116.09125</v>
      </c>
      <c r="AE382" s="53" t="str">
        <f>_xlfn.XLOOKUP(Master[[#This Row],[cu_id]],'[1]Customer Revenue'!$Q:$Q,'[1]Customer Revenue'!$K:$K, "None")</f>
        <v>None</v>
      </c>
      <c r="AF382" s="53" t="str">
        <f>_xlfn.XLOOKUP(Master[[#This Row],[cu_id]],'[1]Customer Revenue'!$Q:$Q,'[1]Customer Revenue'!$L:$L, "None")</f>
        <v>None</v>
      </c>
      <c r="AG382" s="53">
        <v>72.88308128544422</v>
      </c>
      <c r="AH382" s="53">
        <v>73.903875236294866</v>
      </c>
      <c r="AI382" s="53">
        <v>73.619230769230782</v>
      </c>
      <c r="AJ382" s="53">
        <v>84.429999999999993</v>
      </c>
      <c r="AK382" s="53" t="str">
        <f>_xlfn.XLOOKUP(Master[[#This Row],[cu_id]],'[1]Customer Revenue'!$Q:$Q,'[1]Customer Revenue'!$I:$I, "None")</f>
        <v>None</v>
      </c>
      <c r="AL382" s="53">
        <v>73.393478260869543</v>
      </c>
      <c r="AM382" s="61">
        <v>0.375</v>
      </c>
      <c r="AN382" s="60">
        <v>0.70833333333333337</v>
      </c>
      <c r="AO382" s="60" t="s">
        <v>36</v>
      </c>
      <c r="AP382" s="60" t="s">
        <v>36</v>
      </c>
      <c r="AQ382" s="58" t="s">
        <v>0</v>
      </c>
      <c r="AR382" s="58"/>
      <c r="AS382" s="58"/>
      <c r="AT382" s="52">
        <v>0</v>
      </c>
      <c r="AU382" s="52" t="e">
        <f>IF(Master[[#This Row],[RSP StopTime override]] &lt;&gt; "",Master[[#This Row],[RSP StopTime override]],IF(Master[[#This Row],[Avg stop time helper]] &lt;&gt; 0, Master[[#This Row],[Avg stop time helper]],Average_Stop_Time))</f>
        <v>#DIV/0!</v>
      </c>
      <c r="AV382" s="21"/>
      <c r="AW382" s="20">
        <f>Master[[#This Row],[RSP StopTime override]]-Master[[#This Row],[Avg stop time helper]]</f>
        <v>0</v>
      </c>
    </row>
    <row r="383" spans="1:49" x14ac:dyDescent="0.3">
      <c r="A383" s="66" t="s">
        <v>4479</v>
      </c>
      <c r="B383" s="58">
        <v>51</v>
      </c>
      <c r="C383" s="58" t="s">
        <v>35</v>
      </c>
      <c r="D383" s="65">
        <v>99035</v>
      </c>
      <c r="E383" s="65" t="s">
        <v>1177</v>
      </c>
      <c r="F383" s="65" t="s">
        <v>2056</v>
      </c>
      <c r="G383" s="65" t="s">
        <v>2055</v>
      </c>
      <c r="H383" s="65" t="s">
        <v>7</v>
      </c>
      <c r="I383" s="65" t="s">
        <v>1851</v>
      </c>
      <c r="J383" s="65" t="s">
        <v>5</v>
      </c>
      <c r="K383" s="65" t="s">
        <v>2054</v>
      </c>
      <c r="L383" s="64">
        <v>7</v>
      </c>
      <c r="M383" s="58" t="s">
        <v>205</v>
      </c>
      <c r="N383" s="58" t="s">
        <v>2</v>
      </c>
      <c r="O383" s="58">
        <v>25</v>
      </c>
      <c r="P383" s="58">
        <v>0</v>
      </c>
      <c r="Q383" s="58">
        <v>25</v>
      </c>
      <c r="R383" s="58">
        <v>0</v>
      </c>
      <c r="S383" s="58">
        <v>0</v>
      </c>
      <c r="T383" s="58">
        <v>0</v>
      </c>
      <c r="U383" s="58">
        <v>29</v>
      </c>
      <c r="V383" s="62"/>
      <c r="W383" s="62"/>
      <c r="X383" s="63">
        <f>IFERROR(1 -(Master[[#This Row],[Avg Garment Scans per Delivery]]/Master[[#This Row],[Garment Inventory]]), 0)</f>
        <v>0</v>
      </c>
      <c r="Y383" s="62"/>
      <c r="Z383" s="62"/>
      <c r="AA383" s="53">
        <v>55.230414201183429</v>
      </c>
      <c r="AB383" s="53">
        <v>56.828047337278115</v>
      </c>
      <c r="AC383" s="53">
        <v>36.538600000000002</v>
      </c>
      <c r="AD383" s="53">
        <v>73.431399999999996</v>
      </c>
      <c r="AE383" s="53" t="str">
        <f>_xlfn.XLOOKUP(Master[[#This Row],[cu_id]],'[1]Customer Revenue'!$Q:$Q,'[1]Customer Revenue'!$K:$K, "None")</f>
        <v>None</v>
      </c>
      <c r="AF383" s="53" t="str">
        <f>_xlfn.XLOOKUP(Master[[#This Row],[cu_id]],'[1]Customer Revenue'!$Q:$Q,'[1]Customer Revenue'!$L:$L, "None")</f>
        <v>None</v>
      </c>
      <c r="AG383" s="53">
        <v>55.293081285444231</v>
      </c>
      <c r="AH383" s="53">
        <v>56.313875236294905</v>
      </c>
      <c r="AI383" s="53">
        <v>56.029230769230772</v>
      </c>
      <c r="AJ383" s="53">
        <v>54.984999999999999</v>
      </c>
      <c r="AK383" s="53" t="str">
        <f>_xlfn.XLOOKUP(Master[[#This Row],[cu_id]],'[1]Customer Revenue'!$Q:$Q,'[1]Customer Revenue'!$I:$I, "None")</f>
        <v>None</v>
      </c>
      <c r="AL383" s="53">
        <v>55.803478260869568</v>
      </c>
      <c r="AM383" s="61">
        <v>0.375</v>
      </c>
      <c r="AN383" s="60">
        <v>0.70833333333333337</v>
      </c>
      <c r="AO383" s="60" t="s">
        <v>36</v>
      </c>
      <c r="AP383" s="60" t="s">
        <v>36</v>
      </c>
      <c r="AQ383" s="58" t="s">
        <v>0</v>
      </c>
      <c r="AR383" s="58"/>
      <c r="AS383" s="58"/>
      <c r="AT383" s="52">
        <v>0</v>
      </c>
      <c r="AU383" s="52" t="e">
        <f>IF(Master[[#This Row],[RSP StopTime override]] &lt;&gt; "",Master[[#This Row],[RSP StopTime override]],IF(Master[[#This Row],[Avg stop time helper]] &lt;&gt; 0, Master[[#This Row],[Avg stop time helper]],Average_Stop_Time))</f>
        <v>#DIV/0!</v>
      </c>
      <c r="AV383" s="21"/>
      <c r="AW383" s="20">
        <f>Master[[#This Row],[RSP StopTime override]]-Master[[#This Row],[Avg stop time helper]]</f>
        <v>0</v>
      </c>
    </row>
    <row r="384" spans="1:49" x14ac:dyDescent="0.3">
      <c r="A384" s="66" t="s">
        <v>4480</v>
      </c>
      <c r="B384" s="58">
        <v>51</v>
      </c>
      <c r="C384" s="58" t="s">
        <v>10</v>
      </c>
      <c r="D384" s="65">
        <v>99035</v>
      </c>
      <c r="E384" s="65" t="s">
        <v>1249</v>
      </c>
      <c r="F384" s="65" t="s">
        <v>2058</v>
      </c>
      <c r="G384" s="65" t="s">
        <v>2057</v>
      </c>
      <c r="H384" s="65" t="s">
        <v>7</v>
      </c>
      <c r="I384" s="65" t="s">
        <v>12</v>
      </c>
      <c r="J384" s="65" t="s">
        <v>5</v>
      </c>
      <c r="K384" s="65" t="s">
        <v>1578</v>
      </c>
      <c r="L384" s="64">
        <v>7</v>
      </c>
      <c r="M384" s="58" t="s">
        <v>205</v>
      </c>
      <c r="N384" s="58" t="s">
        <v>2</v>
      </c>
      <c r="O384" s="58">
        <v>135</v>
      </c>
      <c r="P384" s="58">
        <v>0</v>
      </c>
      <c r="Q384" s="58">
        <v>0</v>
      </c>
      <c r="R384" s="58">
        <v>135</v>
      </c>
      <c r="S384" s="58">
        <v>0</v>
      </c>
      <c r="T384" s="58">
        <v>0</v>
      </c>
      <c r="U384" s="58">
        <v>29</v>
      </c>
      <c r="V384" s="62"/>
      <c r="W384" s="62"/>
      <c r="X384" s="63">
        <f>IFERROR(1 -(Master[[#This Row],[Avg Garment Scans per Delivery]]/Master[[#This Row],[Garment Inventory]]), 0)</f>
        <v>0</v>
      </c>
      <c r="Y384" s="62"/>
      <c r="Z384" s="62"/>
      <c r="AA384" s="53">
        <v>64.100414201183426</v>
      </c>
      <c r="AB384" s="53">
        <v>65.698047337278112</v>
      </c>
      <c r="AC384" s="53">
        <v>31.586249999999993</v>
      </c>
      <c r="AD384" s="53">
        <v>71.618749999999991</v>
      </c>
      <c r="AE384" s="53" t="str">
        <f>_xlfn.XLOOKUP(Master[[#This Row],[cu_id]],'[1]Customer Revenue'!$Q:$Q,'[1]Customer Revenue'!$K:$K, "None")</f>
        <v>None</v>
      </c>
      <c r="AF384" s="53" t="str">
        <f>_xlfn.XLOOKUP(Master[[#This Row],[cu_id]],'[1]Customer Revenue'!$Q:$Q,'[1]Customer Revenue'!$L:$L, "None")</f>
        <v>None</v>
      </c>
      <c r="AG384" s="53">
        <v>64.163081285444235</v>
      </c>
      <c r="AH384" s="53">
        <v>65.183875236294966</v>
      </c>
      <c r="AI384" s="53">
        <v>64.899230769230769</v>
      </c>
      <c r="AJ384" s="53">
        <v>51.602499999999992</v>
      </c>
      <c r="AK384" s="53" t="str">
        <f>_xlfn.XLOOKUP(Master[[#This Row],[cu_id]],'[1]Customer Revenue'!$Q:$Q,'[1]Customer Revenue'!$I:$I, "None")</f>
        <v>None</v>
      </c>
      <c r="AL384" s="53">
        <v>64.673478260869601</v>
      </c>
      <c r="AM384" s="61">
        <v>0.375</v>
      </c>
      <c r="AN384" s="60">
        <v>0.70833333333333337</v>
      </c>
      <c r="AO384" s="60" t="s">
        <v>36</v>
      </c>
      <c r="AP384" s="60" t="s">
        <v>36</v>
      </c>
      <c r="AQ384" s="58" t="s">
        <v>0</v>
      </c>
      <c r="AR384" s="58"/>
      <c r="AS384" s="58"/>
      <c r="AT384" s="52">
        <v>0</v>
      </c>
      <c r="AU384" s="52" t="e">
        <f>IF(Master[[#This Row],[RSP StopTime override]] &lt;&gt; "",Master[[#This Row],[RSP StopTime override]],IF(Master[[#This Row],[Avg stop time helper]] &lt;&gt; 0, Master[[#This Row],[Avg stop time helper]],Average_Stop_Time))</f>
        <v>#DIV/0!</v>
      </c>
      <c r="AV384" s="21"/>
      <c r="AW384" s="20">
        <f>Master[[#This Row],[RSP StopTime override]]-Master[[#This Row],[Avg stop time helper]]</f>
        <v>0</v>
      </c>
    </row>
    <row r="385" spans="1:49" x14ac:dyDescent="0.3">
      <c r="A385" s="66" t="s">
        <v>4481</v>
      </c>
      <c r="B385" s="58">
        <v>47</v>
      </c>
      <c r="C385" s="58" t="s">
        <v>10</v>
      </c>
      <c r="D385" s="65">
        <v>99048</v>
      </c>
      <c r="E385" s="65" t="s">
        <v>1334</v>
      </c>
      <c r="F385" s="65" t="s">
        <v>2773</v>
      </c>
      <c r="G385" s="65" t="s">
        <v>2772</v>
      </c>
      <c r="H385" s="65" t="s">
        <v>7</v>
      </c>
      <c r="I385" s="65" t="s">
        <v>12</v>
      </c>
      <c r="J385" s="65" t="s">
        <v>5</v>
      </c>
      <c r="K385" s="65" t="s">
        <v>2080</v>
      </c>
      <c r="L385" s="64" t="s">
        <v>67</v>
      </c>
      <c r="M385" s="58" t="s">
        <v>3</v>
      </c>
      <c r="N385" s="58" t="s">
        <v>2</v>
      </c>
      <c r="O385" s="58">
        <v>150</v>
      </c>
      <c r="P385" s="58">
        <v>0</v>
      </c>
      <c r="Q385" s="58">
        <v>0</v>
      </c>
      <c r="R385" s="58">
        <v>150</v>
      </c>
      <c r="S385" s="58">
        <v>0</v>
      </c>
      <c r="T385" s="58">
        <v>0</v>
      </c>
      <c r="U385" s="58">
        <v>43</v>
      </c>
      <c r="V385" s="62"/>
      <c r="W385" s="62"/>
      <c r="X385" s="63">
        <f>IFERROR(1 -(Master[[#This Row],[Avg Garment Scans per Delivery]]/Master[[#This Row],[Garment Inventory]]), 0)</f>
        <v>0</v>
      </c>
      <c r="Y385" s="62"/>
      <c r="Z385" s="62"/>
      <c r="AA385" s="53">
        <v>99.827692307692288</v>
      </c>
      <c r="AB385" s="53">
        <v>101.21230769230768</v>
      </c>
      <c r="AC385" s="53">
        <v>101.81970414201183</v>
      </c>
      <c r="AD385" s="53">
        <v>107.42798816568046</v>
      </c>
      <c r="AE385" s="53" t="str">
        <f>_xlfn.XLOOKUP(Master[[#This Row],[cu_id]],'[1]Customer Revenue'!$Q:$Q,'[1]Customer Revenue'!$K:$K, "None")</f>
        <v>None</v>
      </c>
      <c r="AF385" s="53" t="str">
        <f>_xlfn.XLOOKUP(Master[[#This Row],[cu_id]],'[1]Customer Revenue'!$Q:$Q,'[1]Customer Revenue'!$L:$L, "None")</f>
        <v>None</v>
      </c>
      <c r="AG385" s="53">
        <v>93.140898491083661</v>
      </c>
      <c r="AH385" s="53">
        <v>107.44910150891631</v>
      </c>
      <c r="AI385" s="53">
        <v>100.51999999999998</v>
      </c>
      <c r="AJ385" s="53">
        <v>104.62384615384615</v>
      </c>
      <c r="AK385" s="53" t="str">
        <f>_xlfn.XLOOKUP(Master[[#This Row],[cu_id]],'[1]Customer Revenue'!$Q:$Q,'[1]Customer Revenue'!$I:$I, "None")</f>
        <v>None</v>
      </c>
      <c r="AL385" s="53">
        <v>100.29499999999999</v>
      </c>
      <c r="AM385" s="61">
        <v>0.4375</v>
      </c>
      <c r="AN385" s="60">
        <v>0.91666666666666663</v>
      </c>
      <c r="AO385" s="60" t="s">
        <v>36</v>
      </c>
      <c r="AP385" s="60" t="s">
        <v>36</v>
      </c>
      <c r="AQ385" s="58" t="s">
        <v>0</v>
      </c>
      <c r="AR385" s="58"/>
      <c r="AS385" s="58"/>
      <c r="AT385" s="52">
        <v>0</v>
      </c>
      <c r="AU385" s="52" t="e">
        <f>IF(Master[[#This Row],[RSP StopTime override]] &lt;&gt; "",Master[[#This Row],[RSP StopTime override]],IF(Master[[#This Row],[Avg stop time helper]] &lt;&gt; 0, Master[[#This Row],[Avg stop time helper]],Average_Stop_Time))</f>
        <v>#DIV/0!</v>
      </c>
      <c r="AV385" s="21"/>
      <c r="AW385" s="20">
        <f>Master[[#This Row],[RSP StopTime override]]-Master[[#This Row],[Avg stop time helper]]</f>
        <v>0</v>
      </c>
    </row>
    <row r="386" spans="1:49" x14ac:dyDescent="0.3">
      <c r="A386" s="66" t="s">
        <v>4482</v>
      </c>
      <c r="B386" s="58">
        <v>47</v>
      </c>
      <c r="C386" s="58" t="s">
        <v>10</v>
      </c>
      <c r="D386" s="65">
        <v>99051</v>
      </c>
      <c r="E386" s="65" t="s">
        <v>2173</v>
      </c>
      <c r="F386" s="65" t="s">
        <v>2771</v>
      </c>
      <c r="G386" s="65" t="s">
        <v>2770</v>
      </c>
      <c r="H386" s="65" t="s">
        <v>7</v>
      </c>
      <c r="I386" s="65" t="s">
        <v>17</v>
      </c>
      <c r="J386" s="65" t="s">
        <v>5</v>
      </c>
      <c r="K386" s="65" t="s">
        <v>16</v>
      </c>
      <c r="L386" s="64" t="s">
        <v>67</v>
      </c>
      <c r="M386" s="58" t="s">
        <v>3</v>
      </c>
      <c r="N386" s="58" t="s">
        <v>2</v>
      </c>
      <c r="O386" s="58">
        <v>120</v>
      </c>
      <c r="P386" s="58">
        <v>0</v>
      </c>
      <c r="Q386" s="58">
        <v>0</v>
      </c>
      <c r="R386" s="58">
        <v>120</v>
      </c>
      <c r="S386" s="58">
        <v>0</v>
      </c>
      <c r="T386" s="58">
        <v>0</v>
      </c>
      <c r="U386" s="58">
        <v>52</v>
      </c>
      <c r="V386" s="62"/>
      <c r="W386" s="62"/>
      <c r="X386" s="63">
        <f>IFERROR(1 -(Master[[#This Row],[Avg Garment Scans per Delivery]]/Master[[#This Row],[Garment Inventory]]), 0)</f>
        <v>0</v>
      </c>
      <c r="Y386" s="62"/>
      <c r="Z386" s="62"/>
      <c r="AA386" s="53">
        <v>46.657100591715981</v>
      </c>
      <c r="AB386" s="53">
        <v>52.781360946745558</v>
      </c>
      <c r="AC386" s="53">
        <v>52.997455621301775</v>
      </c>
      <c r="AD386" s="53">
        <v>53.628698224852066</v>
      </c>
      <c r="AE386" s="53" t="str">
        <f>_xlfn.XLOOKUP(Master[[#This Row],[cu_id]],'[1]Customer Revenue'!$Q:$Q,'[1]Customer Revenue'!$K:$K, "None")</f>
        <v>None</v>
      </c>
      <c r="AF386" s="53" t="str">
        <f>_xlfn.XLOOKUP(Master[[#This Row],[cu_id]],'[1]Customer Revenue'!$Q:$Q,'[1]Customer Revenue'!$L:$L, "None")</f>
        <v>None</v>
      </c>
      <c r="AG386" s="53">
        <v>46.548727810650881</v>
      </c>
      <c r="AH386" s="53">
        <v>52.304349112426017</v>
      </c>
      <c r="AI386" s="53">
        <v>49.719230769230769</v>
      </c>
      <c r="AJ386" s="53">
        <v>53.31307692307692</v>
      </c>
      <c r="AK386" s="53" t="str">
        <f>_xlfn.XLOOKUP(Master[[#This Row],[cu_id]],'[1]Customer Revenue'!$Q:$Q,'[1]Customer Revenue'!$I:$I, "None")</f>
        <v>None</v>
      </c>
      <c r="AL386" s="53">
        <v>49.426538461538449</v>
      </c>
      <c r="AM386" s="61">
        <v>0.4375</v>
      </c>
      <c r="AN386" s="60">
        <v>0.91666666666666663</v>
      </c>
      <c r="AO386" s="60" t="s">
        <v>36</v>
      </c>
      <c r="AP386" s="60" t="s">
        <v>36</v>
      </c>
      <c r="AQ386" s="58" t="s">
        <v>0</v>
      </c>
      <c r="AR386" s="58"/>
      <c r="AS386" s="58"/>
      <c r="AT386" s="52">
        <v>0</v>
      </c>
      <c r="AU386" s="52" t="e">
        <f>IF(Master[[#This Row],[RSP StopTime override]] &lt;&gt; "",Master[[#This Row],[RSP StopTime override]],IF(Master[[#This Row],[Avg stop time helper]] &lt;&gt; 0, Master[[#This Row],[Avg stop time helper]],Average_Stop_Time))</f>
        <v>#DIV/0!</v>
      </c>
      <c r="AV386" s="21"/>
      <c r="AW386" s="20">
        <f>Master[[#This Row],[RSP StopTime override]]-Master[[#This Row],[Avg stop time helper]]</f>
        <v>0</v>
      </c>
    </row>
    <row r="387" spans="1:49" x14ac:dyDescent="0.3">
      <c r="A387" s="66" t="s">
        <v>4483</v>
      </c>
      <c r="B387" s="58">
        <v>47</v>
      </c>
      <c r="C387" s="58" t="s">
        <v>10</v>
      </c>
      <c r="D387" s="65">
        <v>99061</v>
      </c>
      <c r="E387" s="65" t="s">
        <v>1818</v>
      </c>
      <c r="F387" s="65" t="s">
        <v>2769</v>
      </c>
      <c r="G387" s="65" t="s">
        <v>2751</v>
      </c>
      <c r="H387" s="65" t="s">
        <v>32</v>
      </c>
      <c r="I387" s="65" t="s">
        <v>1930</v>
      </c>
      <c r="J387" s="65" t="s">
        <v>5</v>
      </c>
      <c r="K387" s="65" t="s">
        <v>1929</v>
      </c>
      <c r="L387" s="64" t="s">
        <v>67</v>
      </c>
      <c r="M387" s="58" t="s">
        <v>3</v>
      </c>
      <c r="N387" s="58" t="s">
        <v>2</v>
      </c>
      <c r="O387" s="58">
        <v>70</v>
      </c>
      <c r="P387" s="58">
        <v>0</v>
      </c>
      <c r="Q387" s="58">
        <v>0</v>
      </c>
      <c r="R387" s="58">
        <v>70</v>
      </c>
      <c r="S387" s="58">
        <v>0</v>
      </c>
      <c r="T387" s="58">
        <v>0</v>
      </c>
      <c r="U387" s="58">
        <v>52</v>
      </c>
      <c r="V387" s="62"/>
      <c r="W387" s="62"/>
      <c r="X387" s="63">
        <f>IFERROR(1 -(Master[[#This Row],[Avg Garment Scans per Delivery]]/Master[[#This Row],[Garment Inventory]]), 0)</f>
        <v>0</v>
      </c>
      <c r="Y387" s="62"/>
      <c r="Z387" s="62"/>
      <c r="AA387" s="53">
        <v>6.75</v>
      </c>
      <c r="AB387" s="53">
        <v>6.75</v>
      </c>
      <c r="AC387" s="53">
        <v>7.0157988165680472</v>
      </c>
      <c r="AD387" s="53">
        <v>16.918047337278107</v>
      </c>
      <c r="AE387" s="53" t="str">
        <f>_xlfn.XLOOKUP(Master[[#This Row],[cu_id]],'[1]Customer Revenue'!$Q:$Q,'[1]Customer Revenue'!$K:$K, "None")</f>
        <v>None</v>
      </c>
      <c r="AF387" s="53" t="str">
        <f>_xlfn.XLOOKUP(Master[[#This Row],[cu_id]],'[1]Customer Revenue'!$Q:$Q,'[1]Customer Revenue'!$L:$L, "None")</f>
        <v>None</v>
      </c>
      <c r="AG387" s="53">
        <v>6.5698224852071005</v>
      </c>
      <c r="AH387" s="53">
        <v>6.7686390532544385</v>
      </c>
      <c r="AI387" s="53">
        <v>6.75</v>
      </c>
      <c r="AJ387" s="53">
        <v>11.966923076923077</v>
      </c>
      <c r="AK387" s="53" t="str">
        <f>_xlfn.XLOOKUP(Master[[#This Row],[cu_id]],'[1]Customer Revenue'!$Q:$Q,'[1]Customer Revenue'!$I:$I, "None")</f>
        <v>None</v>
      </c>
      <c r="AL387" s="53">
        <v>6.6692307692307695</v>
      </c>
      <c r="AM387" s="61">
        <v>0.25</v>
      </c>
      <c r="AN387" s="60">
        <v>0.5</v>
      </c>
      <c r="AO387" s="60" t="s">
        <v>36</v>
      </c>
      <c r="AP387" s="60" t="s">
        <v>36</v>
      </c>
      <c r="AQ387" s="58" t="s">
        <v>0</v>
      </c>
      <c r="AR387" s="58"/>
      <c r="AS387" s="58"/>
      <c r="AT387" s="52">
        <v>0</v>
      </c>
      <c r="AU387" s="52" t="e">
        <f>IF(Master[[#This Row],[RSP StopTime override]] &lt;&gt; "",Master[[#This Row],[RSP StopTime override]],IF(Master[[#This Row],[Avg stop time helper]] &lt;&gt; 0, Master[[#This Row],[Avg stop time helper]],Average_Stop_Time))</f>
        <v>#DIV/0!</v>
      </c>
      <c r="AV387" s="21"/>
      <c r="AW387" s="20">
        <f>Master[[#This Row],[RSP StopTime override]]-Master[[#This Row],[Avg stop time helper]]</f>
        <v>0</v>
      </c>
    </row>
    <row r="388" spans="1:49" x14ac:dyDescent="0.3">
      <c r="A388" s="66" t="s">
        <v>4484</v>
      </c>
      <c r="B388" s="58">
        <v>47</v>
      </c>
      <c r="C388" s="58" t="s">
        <v>10</v>
      </c>
      <c r="D388" s="65">
        <v>99061</v>
      </c>
      <c r="E388" s="65" t="s">
        <v>1363</v>
      </c>
      <c r="F388" s="65" t="s">
        <v>2768</v>
      </c>
      <c r="G388" s="65" t="s">
        <v>2751</v>
      </c>
      <c r="H388" s="65" t="s">
        <v>32</v>
      </c>
      <c r="I388" s="65" t="s">
        <v>1930</v>
      </c>
      <c r="J388" s="65" t="s">
        <v>5</v>
      </c>
      <c r="K388" s="65" t="s">
        <v>1929</v>
      </c>
      <c r="L388" s="64" t="s">
        <v>67</v>
      </c>
      <c r="M388" s="58" t="s">
        <v>3</v>
      </c>
      <c r="N388" s="58" t="s">
        <v>2</v>
      </c>
      <c r="O388" s="58">
        <v>55</v>
      </c>
      <c r="P388" s="58">
        <v>0</v>
      </c>
      <c r="Q388" s="58">
        <v>0</v>
      </c>
      <c r="R388" s="58">
        <v>55</v>
      </c>
      <c r="S388" s="58">
        <v>0</v>
      </c>
      <c r="T388" s="58">
        <v>0</v>
      </c>
      <c r="U388" s="58">
        <v>52</v>
      </c>
      <c r="V388" s="62"/>
      <c r="W388" s="62"/>
      <c r="X388" s="63">
        <f>IFERROR(1 -(Master[[#This Row],[Avg Garment Scans per Delivery]]/Master[[#This Row],[Garment Inventory]]), 0)</f>
        <v>0</v>
      </c>
      <c r="Y388" s="62"/>
      <c r="Z388" s="62"/>
      <c r="AA388" s="53">
        <v>20.38</v>
      </c>
      <c r="AB388" s="53">
        <v>20.38</v>
      </c>
      <c r="AC388" s="53">
        <v>18.941597633136091</v>
      </c>
      <c r="AD388" s="53">
        <v>39.226094674556215</v>
      </c>
      <c r="AE388" s="53" t="str">
        <f>_xlfn.XLOOKUP(Master[[#This Row],[cu_id]],'[1]Customer Revenue'!$Q:$Q,'[1]Customer Revenue'!$K:$K, "None")</f>
        <v>None</v>
      </c>
      <c r="AF388" s="53" t="str">
        <f>_xlfn.XLOOKUP(Master[[#This Row],[cu_id]],'[1]Customer Revenue'!$Q:$Q,'[1]Customer Revenue'!$L:$L, "None")</f>
        <v>None</v>
      </c>
      <c r="AG388" s="53">
        <v>19.8394674556213</v>
      </c>
      <c r="AH388" s="53">
        <v>20.43591715976331</v>
      </c>
      <c r="AI388" s="53">
        <v>20.38</v>
      </c>
      <c r="AJ388" s="53">
        <v>29.083846153846153</v>
      </c>
      <c r="AK388" s="53" t="str">
        <f>_xlfn.XLOOKUP(Master[[#This Row],[cu_id]],'[1]Customer Revenue'!$Q:$Q,'[1]Customer Revenue'!$I:$I, "None")</f>
        <v>None</v>
      </c>
      <c r="AL388" s="53">
        <v>20.137692307692305</v>
      </c>
      <c r="AM388" s="61">
        <v>0.25</v>
      </c>
      <c r="AN388" s="60">
        <v>0.5</v>
      </c>
      <c r="AO388" s="60" t="s">
        <v>36</v>
      </c>
      <c r="AP388" s="60" t="s">
        <v>36</v>
      </c>
      <c r="AQ388" s="58" t="s">
        <v>0</v>
      </c>
      <c r="AR388" s="58"/>
      <c r="AS388" s="58"/>
      <c r="AT388" s="52">
        <v>0</v>
      </c>
      <c r="AU388" s="52" t="e">
        <f>IF(Master[[#This Row],[RSP StopTime override]] &lt;&gt; "",Master[[#This Row],[RSP StopTime override]],IF(Master[[#This Row],[Avg stop time helper]] &lt;&gt; 0, Master[[#This Row],[Avg stop time helper]],Average_Stop_Time))</f>
        <v>#DIV/0!</v>
      </c>
      <c r="AV388" s="21"/>
      <c r="AW388" s="20">
        <f>Master[[#This Row],[RSP StopTime override]]-Master[[#This Row],[Avg stop time helper]]</f>
        <v>0</v>
      </c>
    </row>
    <row r="389" spans="1:49" x14ac:dyDescent="0.3">
      <c r="A389" s="66" t="s">
        <v>4485</v>
      </c>
      <c r="B389" s="58">
        <v>47</v>
      </c>
      <c r="C389" s="58" t="s">
        <v>10</v>
      </c>
      <c r="D389" s="65">
        <v>99061</v>
      </c>
      <c r="E389" s="65" t="s">
        <v>1257</v>
      </c>
      <c r="F389" s="65" t="s">
        <v>2767</v>
      </c>
      <c r="G389" s="65" t="s">
        <v>2751</v>
      </c>
      <c r="H389" s="65" t="s">
        <v>32</v>
      </c>
      <c r="I389" s="65" t="s">
        <v>1930</v>
      </c>
      <c r="J389" s="65" t="s">
        <v>5</v>
      </c>
      <c r="K389" s="65" t="s">
        <v>1929</v>
      </c>
      <c r="L389" s="64" t="s">
        <v>67</v>
      </c>
      <c r="M389" s="58" t="s">
        <v>3</v>
      </c>
      <c r="N389" s="58" t="s">
        <v>2</v>
      </c>
      <c r="O389" s="58">
        <v>50</v>
      </c>
      <c r="P389" s="58">
        <v>0</v>
      </c>
      <c r="Q389" s="58">
        <v>0</v>
      </c>
      <c r="R389" s="58">
        <v>50</v>
      </c>
      <c r="S389" s="58">
        <v>0</v>
      </c>
      <c r="T389" s="58">
        <v>0</v>
      </c>
      <c r="U389" s="58">
        <v>52</v>
      </c>
      <c r="V389" s="62"/>
      <c r="W389" s="62"/>
      <c r="X389" s="63">
        <f>IFERROR(1 -(Master[[#This Row],[Avg Garment Scans per Delivery]]/Master[[#This Row],[Garment Inventory]]), 0)</f>
        <v>0</v>
      </c>
      <c r="Y389" s="62"/>
      <c r="Z389" s="62"/>
      <c r="AA389" s="53">
        <v>29.22</v>
      </c>
      <c r="AB389" s="53">
        <v>29.22000000000002</v>
      </c>
      <c r="AC389" s="53">
        <v>28.640355029585798</v>
      </c>
      <c r="AD389" s="53">
        <v>49.116568047337275</v>
      </c>
      <c r="AE389" s="53" t="str">
        <f>_xlfn.XLOOKUP(Master[[#This Row],[cu_id]],'[1]Customer Revenue'!$Q:$Q,'[1]Customer Revenue'!$K:$K, "None")</f>
        <v>None</v>
      </c>
      <c r="AF389" s="53" t="str">
        <f>_xlfn.XLOOKUP(Master[[#This Row],[cu_id]],'[1]Customer Revenue'!$Q:$Q,'[1]Customer Revenue'!$L:$L, "None")</f>
        <v>None</v>
      </c>
      <c r="AG389" s="53">
        <v>28.44781065088759</v>
      </c>
      <c r="AH389" s="53">
        <v>29.299881656804743</v>
      </c>
      <c r="AI389" s="53">
        <v>29.22000000000001</v>
      </c>
      <c r="AJ389" s="53">
        <v>38.878461538461536</v>
      </c>
      <c r="AK389" s="53" t="str">
        <f>_xlfn.XLOOKUP(Master[[#This Row],[cu_id]],'[1]Customer Revenue'!$Q:$Q,'[1]Customer Revenue'!$I:$I, "None")</f>
        <v>None</v>
      </c>
      <c r="AL389" s="53">
        <v>28.873846153846166</v>
      </c>
      <c r="AM389" s="61">
        <v>0.25</v>
      </c>
      <c r="AN389" s="60">
        <v>0.5</v>
      </c>
      <c r="AO389" s="60" t="s">
        <v>36</v>
      </c>
      <c r="AP389" s="60" t="s">
        <v>36</v>
      </c>
      <c r="AQ389" s="58" t="s">
        <v>0</v>
      </c>
      <c r="AR389" s="58"/>
      <c r="AS389" s="58"/>
      <c r="AT389" s="52">
        <v>0</v>
      </c>
      <c r="AU389" s="52" t="e">
        <f>IF(Master[[#This Row],[RSP StopTime override]] &lt;&gt; "",Master[[#This Row],[RSP StopTime override]],IF(Master[[#This Row],[Avg stop time helper]] &lt;&gt; 0, Master[[#This Row],[Avg stop time helper]],Average_Stop_Time))</f>
        <v>#DIV/0!</v>
      </c>
      <c r="AV389" s="21"/>
      <c r="AW389" s="20">
        <f>Master[[#This Row],[RSP StopTime override]]-Master[[#This Row],[Avg stop time helper]]</f>
        <v>0</v>
      </c>
    </row>
    <row r="390" spans="1:49" x14ac:dyDescent="0.3">
      <c r="A390" s="66" t="s">
        <v>4486</v>
      </c>
      <c r="B390" s="58">
        <v>47</v>
      </c>
      <c r="C390" s="58" t="s">
        <v>10</v>
      </c>
      <c r="D390" s="65">
        <v>99061</v>
      </c>
      <c r="E390" s="65" t="s">
        <v>1255</v>
      </c>
      <c r="F390" s="65" t="s">
        <v>2766</v>
      </c>
      <c r="G390" s="65" t="s">
        <v>2751</v>
      </c>
      <c r="H390" s="65" t="s">
        <v>32</v>
      </c>
      <c r="I390" s="65" t="s">
        <v>1930</v>
      </c>
      <c r="J390" s="65" t="s">
        <v>5</v>
      </c>
      <c r="K390" s="65" t="s">
        <v>1929</v>
      </c>
      <c r="L390" s="64" t="s">
        <v>67</v>
      </c>
      <c r="M390" s="58" t="s">
        <v>3</v>
      </c>
      <c r="N390" s="58" t="s">
        <v>2</v>
      </c>
      <c r="O390" s="58">
        <v>45</v>
      </c>
      <c r="P390" s="58">
        <v>0</v>
      </c>
      <c r="Q390" s="58">
        <v>0</v>
      </c>
      <c r="R390" s="58">
        <v>45</v>
      </c>
      <c r="S390" s="58">
        <v>0</v>
      </c>
      <c r="T390" s="58">
        <v>0</v>
      </c>
      <c r="U390" s="58">
        <v>52</v>
      </c>
      <c r="V390" s="62">
        <v>35</v>
      </c>
      <c r="W390" s="62">
        <v>8</v>
      </c>
      <c r="X390" s="63">
        <f>IFERROR(1 -(Master[[#This Row],[Avg Garment Scans per Delivery]]/Master[[#This Row],[Garment Inventory]]), 0)</f>
        <v>0.77142857142857146</v>
      </c>
      <c r="Y390" s="62">
        <v>2</v>
      </c>
      <c r="Z390" s="62">
        <v>36</v>
      </c>
      <c r="AA390" s="53">
        <v>63.57532544378698</v>
      </c>
      <c r="AB390" s="53">
        <v>67.069289940828369</v>
      </c>
      <c r="AC390" s="53">
        <v>60.606686390532559</v>
      </c>
      <c r="AD390" s="53">
        <v>126.14562130177518</v>
      </c>
      <c r="AE390" s="53" t="str">
        <f>_xlfn.XLOOKUP(Master[[#This Row],[cu_id]],'[1]Customer Revenue'!$Q:$Q,'[1]Customer Revenue'!$K:$K, "None")</f>
        <v>None</v>
      </c>
      <c r="AF390" s="53" t="str">
        <f>_xlfn.XLOOKUP(Master[[#This Row],[cu_id]],'[1]Customer Revenue'!$Q:$Q,'[1]Customer Revenue'!$L:$L, "None")</f>
        <v>None</v>
      </c>
      <c r="AG390" s="53">
        <v>58.686568047337254</v>
      </c>
      <c r="AH390" s="53">
        <v>65.648816568047323</v>
      </c>
      <c r="AI390" s="53">
        <v>65.322307692307675</v>
      </c>
      <c r="AJ390" s="53">
        <v>93.376153846153869</v>
      </c>
      <c r="AK390" s="53" t="str">
        <f>_xlfn.XLOOKUP(Master[[#This Row],[cu_id]],'[1]Customer Revenue'!$Q:$Q,'[1]Customer Revenue'!$I:$I, "None")</f>
        <v>None</v>
      </c>
      <c r="AL390" s="53">
        <v>62.167692307692292</v>
      </c>
      <c r="AM390" s="61">
        <v>0.25</v>
      </c>
      <c r="AN390" s="60">
        <v>0.5</v>
      </c>
      <c r="AO390" s="60" t="s">
        <v>36</v>
      </c>
      <c r="AP390" s="60" t="s">
        <v>36</v>
      </c>
      <c r="AQ390" s="58" t="s">
        <v>0</v>
      </c>
      <c r="AR390" s="58"/>
      <c r="AS390" s="58"/>
      <c r="AT390" s="52">
        <v>0</v>
      </c>
      <c r="AU390" s="52" t="e">
        <f>IF(Master[[#This Row],[RSP StopTime override]] &lt;&gt; "",Master[[#This Row],[RSP StopTime override]],IF(Master[[#This Row],[Avg stop time helper]] &lt;&gt; 0, Master[[#This Row],[Avg stop time helper]],Average_Stop_Time))</f>
        <v>#DIV/0!</v>
      </c>
      <c r="AV390" s="21"/>
      <c r="AW390" s="20">
        <f>Master[[#This Row],[RSP StopTime override]]-Master[[#This Row],[Avg stop time helper]]</f>
        <v>0</v>
      </c>
    </row>
    <row r="391" spans="1:49" x14ac:dyDescent="0.3">
      <c r="A391" s="66" t="s">
        <v>4487</v>
      </c>
      <c r="B391" s="58">
        <v>47</v>
      </c>
      <c r="C391" s="58" t="s">
        <v>10</v>
      </c>
      <c r="D391" s="65">
        <v>99061</v>
      </c>
      <c r="E391" s="65" t="s">
        <v>1939</v>
      </c>
      <c r="F391" s="65" t="s">
        <v>2765</v>
      </c>
      <c r="G391" s="65" t="s">
        <v>2751</v>
      </c>
      <c r="H391" s="65" t="s">
        <v>32</v>
      </c>
      <c r="I391" s="65" t="s">
        <v>1930</v>
      </c>
      <c r="J391" s="65" t="s">
        <v>5</v>
      </c>
      <c r="K391" s="65" t="s">
        <v>1929</v>
      </c>
      <c r="L391" s="64" t="s">
        <v>67</v>
      </c>
      <c r="M391" s="58" t="s">
        <v>3</v>
      </c>
      <c r="N391" s="58" t="s">
        <v>2</v>
      </c>
      <c r="O391" s="58">
        <v>65</v>
      </c>
      <c r="P391" s="58">
        <v>0</v>
      </c>
      <c r="Q391" s="58">
        <v>0</v>
      </c>
      <c r="R391" s="58">
        <v>65</v>
      </c>
      <c r="S391" s="58">
        <v>0</v>
      </c>
      <c r="T391" s="58">
        <v>0</v>
      </c>
      <c r="U391" s="58">
        <v>53</v>
      </c>
      <c r="V391" s="62"/>
      <c r="W391" s="62"/>
      <c r="X391" s="63">
        <f>IFERROR(1 -(Master[[#This Row],[Avg Garment Scans per Delivery]]/Master[[#This Row],[Garment Inventory]]), 0)</f>
        <v>0</v>
      </c>
      <c r="Y391" s="62"/>
      <c r="Z391" s="62"/>
      <c r="AA391" s="53">
        <v>42.94763313609468</v>
      </c>
      <c r="AB391" s="53">
        <v>47.986213017751496</v>
      </c>
      <c r="AC391" s="53">
        <v>35.027959183673467</v>
      </c>
      <c r="AD391" s="53">
        <v>80.136326530612251</v>
      </c>
      <c r="AE391" s="53" t="str">
        <f>_xlfn.XLOOKUP(Master[[#This Row],[cu_id]],'[1]Customer Revenue'!$Q:$Q,'[1]Customer Revenue'!$K:$K, "None")</f>
        <v>None</v>
      </c>
      <c r="AF391" s="53" t="str">
        <f>_xlfn.XLOOKUP(Master[[#This Row],[cu_id]],'[1]Customer Revenue'!$Q:$Q,'[1]Customer Revenue'!$L:$L, "None")</f>
        <v>None</v>
      </c>
      <c r="AG391" s="53">
        <v>40.172071005917154</v>
      </c>
      <c r="AH391" s="53">
        <v>50.012544378698216</v>
      </c>
      <c r="AI391" s="53">
        <v>45.466923076923088</v>
      </c>
      <c r="AJ391" s="53">
        <v>57.582142857142856</v>
      </c>
      <c r="AK391" s="53" t="str">
        <f>_xlfn.XLOOKUP(Master[[#This Row],[cu_id]],'[1]Customer Revenue'!$Q:$Q,'[1]Customer Revenue'!$I:$I, "None")</f>
        <v>None</v>
      </c>
      <c r="AL391" s="53">
        <v>45.092307692307685</v>
      </c>
      <c r="AM391" s="61">
        <v>0.25</v>
      </c>
      <c r="AN391" s="60">
        <v>0.5</v>
      </c>
      <c r="AO391" s="60" t="s">
        <v>36</v>
      </c>
      <c r="AP391" s="60" t="s">
        <v>36</v>
      </c>
      <c r="AQ391" s="58" t="s">
        <v>0</v>
      </c>
      <c r="AR391" s="58"/>
      <c r="AS391" s="58"/>
      <c r="AT391" s="52">
        <v>0</v>
      </c>
      <c r="AU391" s="52" t="e">
        <f>IF(Master[[#This Row],[RSP StopTime override]] &lt;&gt; "",Master[[#This Row],[RSP StopTime override]],IF(Master[[#This Row],[Avg stop time helper]] &lt;&gt; 0, Master[[#This Row],[Avg stop time helper]],Average_Stop_Time))</f>
        <v>#DIV/0!</v>
      </c>
      <c r="AV391" s="21"/>
      <c r="AW391" s="20">
        <f>Master[[#This Row],[RSP StopTime override]]-Master[[#This Row],[Avg stop time helper]]</f>
        <v>0</v>
      </c>
    </row>
    <row r="392" spans="1:49" x14ac:dyDescent="0.3">
      <c r="A392" s="66" t="s">
        <v>3983</v>
      </c>
      <c r="B392" s="58">
        <v>47</v>
      </c>
      <c r="C392" s="58" t="s">
        <v>10</v>
      </c>
      <c r="D392" s="65">
        <v>99061</v>
      </c>
      <c r="E392" s="65" t="s">
        <v>2764</v>
      </c>
      <c r="F392" s="65" t="s">
        <v>3624</v>
      </c>
      <c r="G392" s="65" t="s">
        <v>2751</v>
      </c>
      <c r="H392" s="65" t="s">
        <v>32</v>
      </c>
      <c r="I392" s="65" t="s">
        <v>1930</v>
      </c>
      <c r="J392" s="65" t="s">
        <v>5</v>
      </c>
      <c r="K392" s="65" t="s">
        <v>1929</v>
      </c>
      <c r="L392" s="64" t="s">
        <v>67</v>
      </c>
      <c r="M392" s="58" t="s">
        <v>3</v>
      </c>
      <c r="N392" s="58" t="s">
        <v>2</v>
      </c>
      <c r="O392" s="58">
        <v>60</v>
      </c>
      <c r="P392" s="58">
        <v>0</v>
      </c>
      <c r="Q392" s="58">
        <v>0</v>
      </c>
      <c r="R392" s="58">
        <v>60</v>
      </c>
      <c r="S392" s="58">
        <v>0</v>
      </c>
      <c r="T392" s="58">
        <v>0</v>
      </c>
      <c r="U392" s="58">
        <v>52</v>
      </c>
      <c r="V392" s="62"/>
      <c r="W392" s="62"/>
      <c r="X392" s="63">
        <f>IFERROR(1 -(Master[[#This Row],[Avg Garment Scans per Delivery]]/Master[[#This Row],[Garment Inventory]]), 0)</f>
        <v>0</v>
      </c>
      <c r="Y392" s="62"/>
      <c r="Z392" s="62"/>
      <c r="AA392" s="53">
        <v>9.2999999999999972</v>
      </c>
      <c r="AB392" s="53">
        <v>9.3000000000000007</v>
      </c>
      <c r="AC392" s="53">
        <v>9.803491124260356</v>
      </c>
      <c r="AD392" s="53">
        <v>12.610355029585799</v>
      </c>
      <c r="AE392" s="53" t="str">
        <f>_xlfn.XLOOKUP(Master[[#This Row],[cu_id]],'[1]Customer Revenue'!$Q:$Q,'[1]Customer Revenue'!$K:$K, "None")</f>
        <v>None</v>
      </c>
      <c r="AF392" s="53" t="str">
        <f>_xlfn.XLOOKUP(Master[[#This Row],[cu_id]],'[1]Customer Revenue'!$Q:$Q,'[1]Customer Revenue'!$L:$L, "None")</f>
        <v>None</v>
      </c>
      <c r="AG392" s="53">
        <v>9.0426035502958637</v>
      </c>
      <c r="AH392" s="53">
        <v>9.3266272189349149</v>
      </c>
      <c r="AI392" s="53">
        <v>9.2999999999999989</v>
      </c>
      <c r="AJ392" s="53">
        <v>11.206923076923077</v>
      </c>
      <c r="AK392" s="53" t="str">
        <f>_xlfn.XLOOKUP(Master[[#This Row],[cu_id]],'[1]Customer Revenue'!$Q:$Q,'[1]Customer Revenue'!$I:$I, "None")</f>
        <v>None</v>
      </c>
      <c r="AL392" s="53">
        <v>9.1846153846153893</v>
      </c>
      <c r="AM392" s="61">
        <v>0.25</v>
      </c>
      <c r="AN392" s="60">
        <v>0.5</v>
      </c>
      <c r="AO392" s="60" t="s">
        <v>36</v>
      </c>
      <c r="AP392" s="60" t="s">
        <v>36</v>
      </c>
      <c r="AQ392" s="58" t="s">
        <v>0</v>
      </c>
      <c r="AR392" s="58"/>
      <c r="AS392" s="58"/>
      <c r="AT392" s="52">
        <v>0</v>
      </c>
      <c r="AU392" s="52" t="e">
        <f>IF(Master[[#This Row],[RSP StopTime override]] &lt;&gt; "",Master[[#This Row],[RSP StopTime override]],IF(Master[[#This Row],[Avg stop time helper]] &lt;&gt; 0, Master[[#This Row],[Avg stop time helper]],Average_Stop_Time))</f>
        <v>#DIV/0!</v>
      </c>
      <c r="AV392" s="21"/>
      <c r="AW392" s="20">
        <f>Master[[#This Row],[RSP StopTime override]]-Master[[#This Row],[Avg stop time helper]]</f>
        <v>0</v>
      </c>
    </row>
    <row r="393" spans="1:49" x14ac:dyDescent="0.3">
      <c r="A393" s="66" t="s">
        <v>3989</v>
      </c>
      <c r="B393" s="58">
        <v>47</v>
      </c>
      <c r="C393" s="58" t="s">
        <v>10</v>
      </c>
      <c r="D393" s="65">
        <v>99061</v>
      </c>
      <c r="E393" s="65" t="s">
        <v>2763</v>
      </c>
      <c r="F393" s="65" t="s">
        <v>3625</v>
      </c>
      <c r="G393" s="65" t="s">
        <v>2762</v>
      </c>
      <c r="H393" s="65" t="s">
        <v>32</v>
      </c>
      <c r="I393" s="65" t="s">
        <v>1930</v>
      </c>
      <c r="J393" s="65" t="s">
        <v>5</v>
      </c>
      <c r="K393" s="65" t="s">
        <v>1929</v>
      </c>
      <c r="L393" s="64" t="s">
        <v>67</v>
      </c>
      <c r="M393" s="58" t="s">
        <v>3</v>
      </c>
      <c r="N393" s="58" t="s">
        <v>2</v>
      </c>
      <c r="O393" s="58">
        <v>75</v>
      </c>
      <c r="P393" s="58">
        <v>0</v>
      </c>
      <c r="Q393" s="58">
        <v>0</v>
      </c>
      <c r="R393" s="58">
        <v>75</v>
      </c>
      <c r="S393" s="58">
        <v>0</v>
      </c>
      <c r="T393" s="58">
        <v>0</v>
      </c>
      <c r="U393" s="58">
        <v>52</v>
      </c>
      <c r="V393" s="62"/>
      <c r="W393" s="62"/>
      <c r="X393" s="63">
        <f>IFERROR(1 -(Master[[#This Row],[Avg Garment Scans per Delivery]]/Master[[#This Row],[Garment Inventory]]), 0)</f>
        <v>0</v>
      </c>
      <c r="Y393" s="62"/>
      <c r="Z393" s="62"/>
      <c r="AA393" s="53">
        <v>17.88</v>
      </c>
      <c r="AB393" s="53">
        <v>17.88</v>
      </c>
      <c r="AC393" s="53">
        <v>17.88</v>
      </c>
      <c r="AD393" s="53">
        <v>17.88</v>
      </c>
      <c r="AE393" s="53" t="str">
        <f>_xlfn.XLOOKUP(Master[[#This Row],[cu_id]],'[1]Customer Revenue'!$Q:$Q,'[1]Customer Revenue'!$K:$K, "None")</f>
        <v>None</v>
      </c>
      <c r="AF393" s="53" t="str">
        <f>_xlfn.XLOOKUP(Master[[#This Row],[cu_id]],'[1]Customer Revenue'!$Q:$Q,'[1]Customer Revenue'!$L:$L, "None")</f>
        <v>None</v>
      </c>
      <c r="AG393" s="53">
        <v>17.416686390532544</v>
      </c>
      <c r="AH393" s="53">
        <v>17.927928994082837</v>
      </c>
      <c r="AI393" s="53">
        <v>17.88</v>
      </c>
      <c r="AJ393" s="53">
        <v>17.88</v>
      </c>
      <c r="AK393" s="53" t="str">
        <f>_xlfn.XLOOKUP(Master[[#This Row],[cu_id]],'[1]Customer Revenue'!$Q:$Q,'[1]Customer Revenue'!$I:$I, "None")</f>
        <v>None</v>
      </c>
      <c r="AL393" s="53">
        <v>17.67230769230769</v>
      </c>
      <c r="AM393" s="61">
        <v>0.25</v>
      </c>
      <c r="AN393" s="60">
        <v>0.5</v>
      </c>
      <c r="AO393" s="60" t="s">
        <v>36</v>
      </c>
      <c r="AP393" s="60" t="s">
        <v>36</v>
      </c>
      <c r="AQ393" s="58" t="s">
        <v>0</v>
      </c>
      <c r="AR393" s="58"/>
      <c r="AS393" s="58"/>
      <c r="AT393" s="52">
        <v>0</v>
      </c>
      <c r="AU393" s="52" t="e">
        <f>IF(Master[[#This Row],[RSP StopTime override]] &lt;&gt; "",Master[[#This Row],[RSP StopTime override]],IF(Master[[#This Row],[Avg stop time helper]] &lt;&gt; 0, Master[[#This Row],[Avg stop time helper]],Average_Stop_Time))</f>
        <v>#DIV/0!</v>
      </c>
      <c r="AV393" s="21"/>
      <c r="AW393" s="20">
        <f>Master[[#This Row],[RSP StopTime override]]-Master[[#This Row],[Avg stop time helper]]</f>
        <v>0</v>
      </c>
    </row>
    <row r="394" spans="1:49" x14ac:dyDescent="0.3">
      <c r="A394" s="66" t="s">
        <v>4488</v>
      </c>
      <c r="B394" s="58">
        <v>47</v>
      </c>
      <c r="C394" s="58" t="s">
        <v>10</v>
      </c>
      <c r="D394" s="65">
        <v>99088</v>
      </c>
      <c r="E394" s="65" t="s">
        <v>1169</v>
      </c>
      <c r="F394" s="65" t="s">
        <v>2761</v>
      </c>
      <c r="G394" s="65" t="s">
        <v>2760</v>
      </c>
      <c r="H394" s="65" t="s">
        <v>7</v>
      </c>
      <c r="I394" s="65" t="s">
        <v>1930</v>
      </c>
      <c r="J394" s="65" t="s">
        <v>5</v>
      </c>
      <c r="K394" s="65" t="s">
        <v>1929</v>
      </c>
      <c r="L394" s="64" t="s">
        <v>67</v>
      </c>
      <c r="M394" s="58" t="s">
        <v>3</v>
      </c>
      <c r="N394" s="58" t="s">
        <v>2</v>
      </c>
      <c r="O394" s="58">
        <v>20</v>
      </c>
      <c r="P394" s="58">
        <v>0</v>
      </c>
      <c r="Q394" s="58">
        <v>0</v>
      </c>
      <c r="R394" s="58">
        <v>20</v>
      </c>
      <c r="S394" s="58">
        <v>0</v>
      </c>
      <c r="T394" s="58">
        <v>0</v>
      </c>
      <c r="U394" s="58">
        <v>52</v>
      </c>
      <c r="V394" s="62">
        <v>99</v>
      </c>
      <c r="W394" s="62">
        <v>19</v>
      </c>
      <c r="X394" s="63">
        <f>IFERROR(1 -(Master[[#This Row],[Avg Garment Scans per Delivery]]/Master[[#This Row],[Garment Inventory]]), 0)</f>
        <v>0.80808080808080807</v>
      </c>
      <c r="Y394" s="62">
        <v>5</v>
      </c>
      <c r="Z394" s="62">
        <v>111</v>
      </c>
      <c r="AA394" s="53">
        <v>40.593964497041441</v>
      </c>
      <c r="AB394" s="53">
        <v>44.590650887573972</v>
      </c>
      <c r="AC394" s="53">
        <v>30.198500784929358</v>
      </c>
      <c r="AD394" s="53">
        <v>54.793806907378347</v>
      </c>
      <c r="AE394" s="53" t="str">
        <f>_xlfn.XLOOKUP(Master[[#This Row],[cu_id]],'[1]Customer Revenue'!$Q:$Q,'[1]Customer Revenue'!$K:$K, "None")</f>
        <v>None</v>
      </c>
      <c r="AF394" s="53" t="str">
        <f>_xlfn.XLOOKUP(Master[[#This Row],[cu_id]],'[1]Customer Revenue'!$Q:$Q,'[1]Customer Revenue'!$L:$L, "None")</f>
        <v>None</v>
      </c>
      <c r="AG394" s="53">
        <v>36.312840236686405</v>
      </c>
      <c r="AH394" s="53">
        <v>43.71331360946747</v>
      </c>
      <c r="AI394" s="53">
        <v>42.592307692307706</v>
      </c>
      <c r="AJ394" s="53">
        <v>42.496153846153852</v>
      </c>
      <c r="AK394" s="53" t="str">
        <f>_xlfn.XLOOKUP(Master[[#This Row],[cu_id]],'[1]Customer Revenue'!$Q:$Q,'[1]Customer Revenue'!$I:$I, "None")</f>
        <v>None</v>
      </c>
      <c r="AL394" s="53">
        <v>40.013076923076937</v>
      </c>
      <c r="AM394" s="61">
        <v>0.29166666666666669</v>
      </c>
      <c r="AN394" s="60" t="s">
        <v>1</v>
      </c>
      <c r="AO394" s="60" t="s">
        <v>36</v>
      </c>
      <c r="AP394" s="60" t="s">
        <v>36</v>
      </c>
      <c r="AQ394" s="58" t="s">
        <v>0</v>
      </c>
      <c r="AR394" s="58"/>
      <c r="AS394" s="58"/>
      <c r="AT394" s="52">
        <v>0</v>
      </c>
      <c r="AU394" s="52" t="e">
        <f>IF(Master[[#This Row],[RSP StopTime override]] &lt;&gt; "",Master[[#This Row],[RSP StopTime override]],IF(Master[[#This Row],[Avg stop time helper]] &lt;&gt; 0, Master[[#This Row],[Avg stop time helper]],Average_Stop_Time))</f>
        <v>#DIV/0!</v>
      </c>
      <c r="AV394" s="21"/>
      <c r="AW394" s="20">
        <f>Master[[#This Row],[RSP StopTime override]]-Master[[#This Row],[Avg stop time helper]]</f>
        <v>0</v>
      </c>
    </row>
    <row r="395" spans="1:49" x14ac:dyDescent="0.3">
      <c r="A395" s="66" t="s">
        <v>4489</v>
      </c>
      <c r="B395" s="58">
        <v>47</v>
      </c>
      <c r="C395" s="58" t="s">
        <v>10</v>
      </c>
      <c r="D395" s="65">
        <v>99094</v>
      </c>
      <c r="E395" s="65" t="s">
        <v>1831</v>
      </c>
      <c r="F395" s="65" t="s">
        <v>2759</v>
      </c>
      <c r="G395" s="65" t="s">
        <v>2758</v>
      </c>
      <c r="H395" s="65" t="s">
        <v>7</v>
      </c>
      <c r="I395" s="65" t="s">
        <v>2081</v>
      </c>
      <c r="J395" s="65" t="s">
        <v>5</v>
      </c>
      <c r="K395" s="65" t="s">
        <v>2080</v>
      </c>
      <c r="L395" s="64" t="s">
        <v>67</v>
      </c>
      <c r="M395" s="58" t="s">
        <v>3</v>
      </c>
      <c r="N395" s="58" t="s">
        <v>2</v>
      </c>
      <c r="O395" s="58">
        <v>160</v>
      </c>
      <c r="P395" s="58">
        <v>0</v>
      </c>
      <c r="Q395" s="58">
        <v>0</v>
      </c>
      <c r="R395" s="58">
        <v>160</v>
      </c>
      <c r="S395" s="58">
        <v>0</v>
      </c>
      <c r="T395" s="58">
        <v>0</v>
      </c>
      <c r="U395" s="58">
        <v>36</v>
      </c>
      <c r="V395" s="62"/>
      <c r="W395" s="62"/>
      <c r="X395" s="63">
        <f>IFERROR(1 -(Master[[#This Row],[Avg Garment Scans per Delivery]]/Master[[#This Row],[Garment Inventory]]), 0)</f>
        <v>0</v>
      </c>
      <c r="Y395" s="62"/>
      <c r="Z395" s="62"/>
      <c r="AA395" s="53">
        <v>19.755207100591715</v>
      </c>
      <c r="AB395" s="53">
        <v>21.154023668639052</v>
      </c>
      <c r="AC395" s="53">
        <v>1.7651239669421468</v>
      </c>
      <c r="AD395" s="53">
        <v>19.882148760330573</v>
      </c>
      <c r="AE395" s="53" t="str">
        <f>_xlfn.XLOOKUP(Master[[#This Row],[cu_id]],'[1]Customer Revenue'!$Q:$Q,'[1]Customer Revenue'!$K:$K, "None")</f>
        <v>None</v>
      </c>
      <c r="AF395" s="53" t="str">
        <f>_xlfn.XLOOKUP(Master[[#This Row],[cu_id]],'[1]Customer Revenue'!$Q:$Q,'[1]Customer Revenue'!$L:$L, "None")</f>
        <v>None</v>
      </c>
      <c r="AG395" s="53">
        <v>19.810075614366731</v>
      </c>
      <c r="AH395" s="53">
        <v>20.703837429111537</v>
      </c>
      <c r="AI395" s="53">
        <v>20.454615384615384</v>
      </c>
      <c r="AJ395" s="53">
        <v>10.823636363636361</v>
      </c>
      <c r="AK395" s="53" t="str">
        <f>_xlfn.XLOOKUP(Master[[#This Row],[cu_id]],'[1]Customer Revenue'!$Q:$Q,'[1]Customer Revenue'!$I:$I, "None")</f>
        <v>None</v>
      </c>
      <c r="AL395" s="53">
        <v>20.256956521739134</v>
      </c>
      <c r="AM395" s="61" t="s">
        <v>36</v>
      </c>
      <c r="AN395" s="60" t="s">
        <v>36</v>
      </c>
      <c r="AO395" s="60" t="s">
        <v>36</v>
      </c>
      <c r="AP395" s="60" t="s">
        <v>36</v>
      </c>
      <c r="AQ395" s="58" t="s">
        <v>0</v>
      </c>
      <c r="AR395" s="58"/>
      <c r="AS395" s="58"/>
      <c r="AT395" s="52">
        <v>0</v>
      </c>
      <c r="AU395" s="52" t="e">
        <f>IF(Master[[#This Row],[RSP StopTime override]] &lt;&gt; "",Master[[#This Row],[RSP StopTime override]],IF(Master[[#This Row],[Avg stop time helper]] &lt;&gt; 0, Master[[#This Row],[Avg stop time helper]],Average_Stop_Time))</f>
        <v>#DIV/0!</v>
      </c>
      <c r="AV395" s="21"/>
      <c r="AW395" s="20">
        <f>Master[[#This Row],[RSP StopTime override]]-Master[[#This Row],[Avg stop time helper]]</f>
        <v>0</v>
      </c>
    </row>
    <row r="396" spans="1:49" x14ac:dyDescent="0.3">
      <c r="A396" s="66" t="s">
        <v>4490</v>
      </c>
      <c r="B396" s="58">
        <v>47</v>
      </c>
      <c r="C396" s="58" t="s">
        <v>10</v>
      </c>
      <c r="D396" s="65">
        <v>99095</v>
      </c>
      <c r="E396" s="65" t="s">
        <v>1416</v>
      </c>
      <c r="F396" s="65" t="s">
        <v>2757</v>
      </c>
      <c r="G396" s="65" t="s">
        <v>2756</v>
      </c>
      <c r="H396" s="65" t="s">
        <v>7</v>
      </c>
      <c r="I396" s="65" t="s">
        <v>12</v>
      </c>
      <c r="J396" s="65" t="s">
        <v>5</v>
      </c>
      <c r="K396" s="65" t="s">
        <v>1215</v>
      </c>
      <c r="L396" s="64">
        <v>6</v>
      </c>
      <c r="M396" s="58" t="s">
        <v>205</v>
      </c>
      <c r="N396" s="58" t="s">
        <v>2</v>
      </c>
      <c r="O396" s="58">
        <v>145</v>
      </c>
      <c r="P396" s="58">
        <v>0</v>
      </c>
      <c r="Q396" s="58">
        <v>0</v>
      </c>
      <c r="R396" s="58">
        <v>145</v>
      </c>
      <c r="S396" s="58">
        <v>0</v>
      </c>
      <c r="T396" s="58">
        <v>0</v>
      </c>
      <c r="U396" s="58">
        <v>26</v>
      </c>
      <c r="V396" s="62"/>
      <c r="W396" s="62"/>
      <c r="X396" s="63">
        <f>IFERROR(1 -(Master[[#This Row],[Avg Garment Scans per Delivery]]/Master[[#This Row],[Garment Inventory]]), 0)</f>
        <v>0</v>
      </c>
      <c r="Y396" s="62"/>
      <c r="Z396" s="62"/>
      <c r="AA396" s="53">
        <v>28.403333333333332</v>
      </c>
      <c r="AB396" s="53">
        <v>29.236666666666661</v>
      </c>
      <c r="AC396" s="53">
        <v>36.659999999999997</v>
      </c>
      <c r="AD396" s="53">
        <v>38.19</v>
      </c>
      <c r="AE396" s="53" t="str">
        <f>_xlfn.XLOOKUP(Master[[#This Row],[cu_id]],'[1]Customer Revenue'!$Q:$Q,'[1]Customer Revenue'!$K:$K, "None")</f>
        <v>None</v>
      </c>
      <c r="AF396" s="53" t="str">
        <f>_xlfn.XLOOKUP(Master[[#This Row],[cu_id]],'[1]Customer Revenue'!$Q:$Q,'[1]Customer Revenue'!$L:$L, "None")</f>
        <v>None</v>
      </c>
      <c r="AG396" s="53">
        <v>27.978875739644966</v>
      </c>
      <c r="AH396" s="53">
        <v>28.89343195266272</v>
      </c>
      <c r="AI396" s="53">
        <v>28.819999999999997</v>
      </c>
      <c r="AJ396" s="53">
        <v>37.424999999999997</v>
      </c>
      <c r="AK396" s="53" t="str">
        <f>_xlfn.XLOOKUP(Master[[#This Row],[cu_id]],'[1]Customer Revenue'!$Q:$Q,'[1]Customer Revenue'!$I:$I, "None")</f>
        <v>None</v>
      </c>
      <c r="AL396" s="53">
        <v>28.436153846153843</v>
      </c>
      <c r="AM396" s="61">
        <v>0.45833333333333331</v>
      </c>
      <c r="AN396" s="60">
        <v>0.83333333333333337</v>
      </c>
      <c r="AO396" s="60" t="s">
        <v>36</v>
      </c>
      <c r="AP396" s="60" t="s">
        <v>36</v>
      </c>
      <c r="AQ396" s="58" t="s">
        <v>0</v>
      </c>
      <c r="AR396" s="58"/>
      <c r="AS396" s="58"/>
      <c r="AT396" s="52">
        <v>0</v>
      </c>
      <c r="AU396" s="52" t="e">
        <f>IF(Master[[#This Row],[RSP StopTime override]] &lt;&gt; "",Master[[#This Row],[RSP StopTime override]],IF(Master[[#This Row],[Avg stop time helper]] &lt;&gt; 0, Master[[#This Row],[Avg stop time helper]],Average_Stop_Time))</f>
        <v>#DIV/0!</v>
      </c>
      <c r="AV396" s="21"/>
      <c r="AW396" s="20">
        <f>Master[[#This Row],[RSP StopTime override]]-Master[[#This Row],[Avg stop time helper]]</f>
        <v>0</v>
      </c>
    </row>
    <row r="397" spans="1:49" x14ac:dyDescent="0.3">
      <c r="A397" s="66" t="s">
        <v>4491</v>
      </c>
      <c r="B397" s="58">
        <v>47</v>
      </c>
      <c r="C397" s="58" t="s">
        <v>10</v>
      </c>
      <c r="D397" s="65">
        <v>99117</v>
      </c>
      <c r="E397" s="65" t="s">
        <v>1632</v>
      </c>
      <c r="F397" s="65" t="s">
        <v>3626</v>
      </c>
      <c r="G397" s="65" t="s">
        <v>2755</v>
      </c>
      <c r="H397" s="65" t="s">
        <v>7</v>
      </c>
      <c r="I397" s="65" t="s">
        <v>17</v>
      </c>
      <c r="J397" s="65" t="s">
        <v>5</v>
      </c>
      <c r="K397" s="65" t="s">
        <v>16</v>
      </c>
      <c r="L397" s="64" t="s">
        <v>67</v>
      </c>
      <c r="M397" s="58" t="s">
        <v>3</v>
      </c>
      <c r="N397" s="58" t="s">
        <v>2</v>
      </c>
      <c r="O397" s="58">
        <v>15</v>
      </c>
      <c r="P397" s="58">
        <v>0</v>
      </c>
      <c r="Q397" s="58">
        <v>0</v>
      </c>
      <c r="R397" s="58">
        <v>15</v>
      </c>
      <c r="S397" s="58">
        <v>0</v>
      </c>
      <c r="T397" s="58">
        <v>0</v>
      </c>
      <c r="U397" s="58">
        <v>52</v>
      </c>
      <c r="V397" s="62"/>
      <c r="W397" s="62"/>
      <c r="X397" s="63">
        <f>IFERROR(1 -(Master[[#This Row],[Avg Garment Scans per Delivery]]/Master[[#This Row],[Garment Inventory]]), 0)</f>
        <v>0</v>
      </c>
      <c r="Y397" s="62"/>
      <c r="Z397" s="62"/>
      <c r="AA397" s="53">
        <v>51.047100591715989</v>
      </c>
      <c r="AB397" s="53">
        <v>59.29751479289942</v>
      </c>
      <c r="AC397" s="53">
        <v>49.391065088757394</v>
      </c>
      <c r="AD397" s="53">
        <v>57.367396449704138</v>
      </c>
      <c r="AE397" s="53" t="str">
        <f>_xlfn.XLOOKUP(Master[[#This Row],[cu_id]],'[1]Customer Revenue'!$Q:$Q,'[1]Customer Revenue'!$K:$K, "None")</f>
        <v>None</v>
      </c>
      <c r="AF397" s="53" t="str">
        <f>_xlfn.XLOOKUP(Master[[#This Row],[cu_id]],'[1]Customer Revenue'!$Q:$Q,'[1]Customer Revenue'!$L:$L, "None")</f>
        <v>None</v>
      </c>
      <c r="AG397" s="53">
        <v>47.179526627218905</v>
      </c>
      <c r="AH397" s="53">
        <v>55.61662721893488</v>
      </c>
      <c r="AI397" s="53">
        <v>55.172307692307704</v>
      </c>
      <c r="AJ397" s="53">
        <v>53.379230769230766</v>
      </c>
      <c r="AK397" s="53" t="str">
        <f>_xlfn.XLOOKUP(Master[[#This Row],[cu_id]],'[1]Customer Revenue'!$Q:$Q,'[1]Customer Revenue'!$I:$I, "None")</f>
        <v>None</v>
      </c>
      <c r="AL397" s="53">
        <v>51.398076923076893</v>
      </c>
      <c r="AM397" s="61" t="s">
        <v>36</v>
      </c>
      <c r="AN397" s="60" t="s">
        <v>36</v>
      </c>
      <c r="AO397" s="60" t="s">
        <v>36</v>
      </c>
      <c r="AP397" s="60" t="s">
        <v>36</v>
      </c>
      <c r="AQ397" s="58" t="s">
        <v>0</v>
      </c>
      <c r="AR397" s="58"/>
      <c r="AS397" s="58"/>
      <c r="AT397" s="52">
        <v>0</v>
      </c>
      <c r="AU397" s="52" t="e">
        <f>IF(Master[[#This Row],[RSP StopTime override]] &lt;&gt; "",Master[[#This Row],[RSP StopTime override]],IF(Master[[#This Row],[Avg stop time helper]] &lt;&gt; 0, Master[[#This Row],[Avg stop time helper]],Average_Stop_Time))</f>
        <v>#DIV/0!</v>
      </c>
      <c r="AV397" s="21"/>
      <c r="AW397" s="20">
        <f>Master[[#This Row],[RSP StopTime override]]-Master[[#This Row],[Avg stop time helper]]</f>
        <v>0</v>
      </c>
    </row>
    <row r="398" spans="1:49" x14ac:dyDescent="0.3">
      <c r="A398" s="66" t="s">
        <v>4492</v>
      </c>
      <c r="B398" s="58">
        <v>47</v>
      </c>
      <c r="C398" s="58" t="s">
        <v>10</v>
      </c>
      <c r="D398" s="65">
        <v>99117</v>
      </c>
      <c r="E398" s="65" t="s">
        <v>1505</v>
      </c>
      <c r="F398" s="65" t="s">
        <v>3627</v>
      </c>
      <c r="G398" s="65" t="s">
        <v>2754</v>
      </c>
      <c r="H398" s="65" t="s">
        <v>7</v>
      </c>
      <c r="I398" s="65" t="s">
        <v>2706</v>
      </c>
      <c r="J398" s="65" t="s">
        <v>5</v>
      </c>
      <c r="K398" s="65" t="s">
        <v>2705</v>
      </c>
      <c r="L398" s="64" t="s">
        <v>67</v>
      </c>
      <c r="M398" s="58" t="s">
        <v>3</v>
      </c>
      <c r="N398" s="58" t="s">
        <v>2</v>
      </c>
      <c r="O398" s="58">
        <v>10</v>
      </c>
      <c r="P398" s="58">
        <v>0</v>
      </c>
      <c r="Q398" s="58">
        <v>0</v>
      </c>
      <c r="R398" s="58">
        <v>10</v>
      </c>
      <c r="S398" s="58">
        <v>0</v>
      </c>
      <c r="T398" s="58">
        <v>0</v>
      </c>
      <c r="U398" s="58">
        <v>52</v>
      </c>
      <c r="V398" s="62"/>
      <c r="W398" s="62"/>
      <c r="X398" s="63">
        <f>IFERROR(1 -(Master[[#This Row],[Avg Garment Scans per Delivery]]/Master[[#This Row],[Garment Inventory]]), 0)</f>
        <v>0</v>
      </c>
      <c r="Y398" s="62"/>
      <c r="Z398" s="62"/>
      <c r="AA398" s="53">
        <v>52.022485207100594</v>
      </c>
      <c r="AB398" s="53">
        <v>55.922130177514795</v>
      </c>
      <c r="AC398" s="53">
        <v>48.980591715976338</v>
      </c>
      <c r="AD398" s="53">
        <v>55.64094674556214</v>
      </c>
      <c r="AE398" s="53" t="str">
        <f>_xlfn.XLOOKUP(Master[[#This Row],[cu_id]],'[1]Customer Revenue'!$Q:$Q,'[1]Customer Revenue'!$K:$K, "None")</f>
        <v>None</v>
      </c>
      <c r="AF398" s="53" t="str">
        <f>_xlfn.XLOOKUP(Master[[#This Row],[cu_id]],'[1]Customer Revenue'!$Q:$Q,'[1]Customer Revenue'!$L:$L, "None")</f>
        <v>None</v>
      </c>
      <c r="AG398" s="53">
        <v>48.896686390532594</v>
      </c>
      <c r="AH398" s="53">
        <v>54.172544378698234</v>
      </c>
      <c r="AI398" s="53">
        <v>53.972307692307695</v>
      </c>
      <c r="AJ398" s="53">
        <v>52.310769230769239</v>
      </c>
      <c r="AK398" s="53" t="str">
        <f>_xlfn.XLOOKUP(Master[[#This Row],[cu_id]],'[1]Customer Revenue'!$Q:$Q,'[1]Customer Revenue'!$I:$I, "None")</f>
        <v>None</v>
      </c>
      <c r="AL398" s="53">
        <v>51.534615384615414</v>
      </c>
      <c r="AM398" s="61" t="s">
        <v>36</v>
      </c>
      <c r="AN398" s="60" t="s">
        <v>36</v>
      </c>
      <c r="AO398" s="60" t="s">
        <v>36</v>
      </c>
      <c r="AP398" s="60" t="s">
        <v>36</v>
      </c>
      <c r="AQ398" s="58" t="s">
        <v>0</v>
      </c>
      <c r="AR398" s="58"/>
      <c r="AS398" s="58"/>
      <c r="AT398" s="52">
        <v>0</v>
      </c>
      <c r="AU398" s="52" t="e">
        <f>IF(Master[[#This Row],[RSP StopTime override]] &lt;&gt; "",Master[[#This Row],[RSP StopTime override]],IF(Master[[#This Row],[Avg stop time helper]] &lt;&gt; 0, Master[[#This Row],[Avg stop time helper]],Average_Stop_Time))</f>
        <v>#DIV/0!</v>
      </c>
      <c r="AV398" s="21"/>
      <c r="AW398" s="20">
        <f>Master[[#This Row],[RSP StopTime override]]-Master[[#This Row],[Avg stop time helper]]</f>
        <v>0</v>
      </c>
    </row>
    <row r="399" spans="1:49" x14ac:dyDescent="0.3">
      <c r="A399" s="66" t="s">
        <v>4493</v>
      </c>
      <c r="B399" s="58">
        <v>47</v>
      </c>
      <c r="C399" s="58" t="s">
        <v>10</v>
      </c>
      <c r="D399" s="65">
        <v>99135</v>
      </c>
      <c r="E399" s="65" t="s">
        <v>686</v>
      </c>
      <c r="F399" s="65" t="s">
        <v>2753</v>
      </c>
      <c r="G399" s="65" t="s">
        <v>2752</v>
      </c>
      <c r="H399" s="65" t="s">
        <v>7</v>
      </c>
      <c r="I399" s="65" t="s">
        <v>2081</v>
      </c>
      <c r="J399" s="65" t="s">
        <v>5</v>
      </c>
      <c r="K399" s="65" t="s">
        <v>2080</v>
      </c>
      <c r="L399" s="64" t="s">
        <v>91</v>
      </c>
      <c r="M399" s="58" t="s">
        <v>90</v>
      </c>
      <c r="N399" s="58" t="s">
        <v>2</v>
      </c>
      <c r="O399" s="58">
        <v>142</v>
      </c>
      <c r="P399" s="58">
        <v>0</v>
      </c>
      <c r="Q399" s="58">
        <v>0</v>
      </c>
      <c r="R399" s="58">
        <v>142</v>
      </c>
      <c r="S399" s="58">
        <v>0</v>
      </c>
      <c r="T399" s="58">
        <v>0</v>
      </c>
      <c r="U399" s="58">
        <v>27</v>
      </c>
      <c r="V399" s="62"/>
      <c r="W399" s="62"/>
      <c r="X399" s="63">
        <f>IFERROR(1 -(Master[[#This Row],[Avg Garment Scans per Delivery]]/Master[[#This Row],[Garment Inventory]]), 0)</f>
        <v>0</v>
      </c>
      <c r="Y399" s="62"/>
      <c r="Z399" s="62"/>
      <c r="AA399" s="53">
        <v>52.304489795918364</v>
      </c>
      <c r="AB399" s="53">
        <v>54.14122448979591</v>
      </c>
      <c r="AC399" s="53">
        <v>54.830000000000005</v>
      </c>
      <c r="AD399" s="53">
        <v>62.143333333333338</v>
      </c>
      <c r="AE399" s="53" t="str">
        <f>_xlfn.XLOOKUP(Master[[#This Row],[cu_id]],'[1]Customer Revenue'!$Q:$Q,'[1]Customer Revenue'!$K:$K, "None")</f>
        <v>None</v>
      </c>
      <c r="AF399" s="53" t="str">
        <f>_xlfn.XLOOKUP(Master[[#This Row],[cu_id]],'[1]Customer Revenue'!$Q:$Q,'[1]Customer Revenue'!$L:$L, "None")</f>
        <v>None</v>
      </c>
      <c r="AG399" s="53">
        <v>52.340355029585801</v>
      </c>
      <c r="AH399" s="53">
        <v>53.511952662721903</v>
      </c>
      <c r="AI399" s="53">
        <v>53.222857142857137</v>
      </c>
      <c r="AJ399" s="53">
        <v>58.486666666666672</v>
      </c>
      <c r="AK399" s="53" t="str">
        <f>_xlfn.XLOOKUP(Master[[#This Row],[cu_id]],'[1]Customer Revenue'!$Q:$Q,'[1]Customer Revenue'!$I:$I, "None")</f>
        <v>None</v>
      </c>
      <c r="AL399" s="53">
        <v>52.926153846153852</v>
      </c>
      <c r="AM399" s="61">
        <v>0.41666666666666669</v>
      </c>
      <c r="AN399" s="60">
        <v>0.875</v>
      </c>
      <c r="AO399" s="60" t="s">
        <v>36</v>
      </c>
      <c r="AP399" s="60" t="s">
        <v>36</v>
      </c>
      <c r="AQ399" s="58" t="s">
        <v>0</v>
      </c>
      <c r="AR399" s="58"/>
      <c r="AS399" s="58"/>
      <c r="AT399" s="52">
        <v>0</v>
      </c>
      <c r="AU399" s="52" t="e">
        <f>IF(Master[[#This Row],[RSP StopTime override]] &lt;&gt; "",Master[[#This Row],[RSP StopTime override]],IF(Master[[#This Row],[Avg stop time helper]] &lt;&gt; 0, Master[[#This Row],[Avg stop time helper]],Average_Stop_Time))</f>
        <v>#DIV/0!</v>
      </c>
      <c r="AV399" s="21"/>
      <c r="AW399" s="20">
        <f>Master[[#This Row],[RSP StopTime override]]-Master[[#This Row],[Avg stop time helper]]</f>
        <v>0</v>
      </c>
    </row>
    <row r="400" spans="1:49" x14ac:dyDescent="0.3">
      <c r="A400" s="66" t="s">
        <v>4018</v>
      </c>
      <c r="B400" s="58">
        <v>47</v>
      </c>
      <c r="C400" s="58" t="s">
        <v>10</v>
      </c>
      <c r="D400" s="65">
        <v>99161</v>
      </c>
      <c r="E400" s="65" t="s">
        <v>1818</v>
      </c>
      <c r="F400" s="65" t="s">
        <v>3628</v>
      </c>
      <c r="G400" s="65" t="s">
        <v>2751</v>
      </c>
      <c r="H400" s="65" t="s">
        <v>7</v>
      </c>
      <c r="I400" s="65" t="s">
        <v>1930</v>
      </c>
      <c r="J400" s="65" t="s">
        <v>5</v>
      </c>
      <c r="K400" s="65" t="s">
        <v>1929</v>
      </c>
      <c r="L400" s="64" t="s">
        <v>67</v>
      </c>
      <c r="M400" s="58" t="s">
        <v>3</v>
      </c>
      <c r="N400" s="58" t="s">
        <v>2</v>
      </c>
      <c r="O400" s="58">
        <v>1</v>
      </c>
      <c r="P400" s="58">
        <v>0</v>
      </c>
      <c r="Q400" s="58">
        <v>0</v>
      </c>
      <c r="R400" s="58">
        <v>1</v>
      </c>
      <c r="S400" s="58">
        <v>0</v>
      </c>
      <c r="T400" s="58">
        <v>0</v>
      </c>
      <c r="U400" s="58">
        <v>5</v>
      </c>
      <c r="V400" s="62"/>
      <c r="W400" s="62"/>
      <c r="X400" s="63">
        <f>IFERROR(1 -(Master[[#This Row],[Avg Garment Scans per Delivery]]/Master[[#This Row],[Garment Inventory]]), 0)</f>
        <v>0</v>
      </c>
      <c r="Y400" s="62"/>
      <c r="Z400" s="62"/>
      <c r="AA400" s="53">
        <v>38.5</v>
      </c>
      <c r="AB400" s="53">
        <v>115.5</v>
      </c>
      <c r="AC400" s="53">
        <v>36.329999999999991</v>
      </c>
      <c r="AD400" s="53">
        <v>99.62</v>
      </c>
      <c r="AE400" s="53" t="str">
        <f>_xlfn.XLOOKUP(Master[[#This Row],[cu_id]],'[1]Customer Revenue'!$Q:$Q,'[1]Customer Revenue'!$K:$K, "None")</f>
        <v>None</v>
      </c>
      <c r="AF400" s="53" t="str">
        <f>_xlfn.XLOOKUP(Master[[#This Row],[cu_id]],'[1]Customer Revenue'!$Q:$Q,'[1]Customer Revenue'!$L:$L, "None")</f>
        <v>None</v>
      </c>
      <c r="AG400" s="53">
        <v>64.572499999999991</v>
      </c>
      <c r="AH400" s="53">
        <v>201.70749999999998</v>
      </c>
      <c r="AI400" s="53">
        <v>77</v>
      </c>
      <c r="AJ400" s="53">
        <v>67.974999999999994</v>
      </c>
      <c r="AK400" s="53" t="str">
        <f>_xlfn.XLOOKUP(Master[[#This Row],[cu_id]],'[1]Customer Revenue'!$Q:$Q,'[1]Customer Revenue'!$I:$I, "None")</f>
        <v>None</v>
      </c>
      <c r="AL400" s="53">
        <v>133.13999999999999</v>
      </c>
      <c r="AM400" s="61">
        <v>0.25</v>
      </c>
      <c r="AN400" s="60">
        <v>0.5</v>
      </c>
      <c r="AO400" s="60" t="s">
        <v>36</v>
      </c>
      <c r="AP400" s="60" t="s">
        <v>36</v>
      </c>
      <c r="AQ400" s="58" t="s">
        <v>0</v>
      </c>
      <c r="AR400" s="58"/>
      <c r="AS400" s="58"/>
      <c r="AT400" s="52">
        <v>0</v>
      </c>
      <c r="AU400" s="52" t="e">
        <f>IF(Master[[#This Row],[RSP StopTime override]] &lt;&gt; "",Master[[#This Row],[RSP StopTime override]],IF(Master[[#This Row],[Avg stop time helper]] &lt;&gt; 0, Master[[#This Row],[Avg stop time helper]],Average_Stop_Time))</f>
        <v>#DIV/0!</v>
      </c>
      <c r="AV400" s="21"/>
      <c r="AW400" s="20">
        <f>Master[[#This Row],[RSP StopTime override]]-Master[[#This Row],[Avg stop time helper]]</f>
        <v>0</v>
      </c>
    </row>
    <row r="401" spans="1:49" x14ac:dyDescent="0.3">
      <c r="A401" s="73" t="s">
        <v>4068</v>
      </c>
      <c r="B401" s="64">
        <v>47</v>
      </c>
      <c r="C401" s="64" t="s">
        <v>10</v>
      </c>
      <c r="D401" s="65">
        <v>99169</v>
      </c>
      <c r="E401" s="65" t="s">
        <v>1996</v>
      </c>
      <c r="F401" s="65" t="s">
        <v>1855</v>
      </c>
      <c r="G401" s="65" t="s">
        <v>2750</v>
      </c>
      <c r="H401" s="65" t="s">
        <v>7</v>
      </c>
      <c r="I401" s="65" t="s">
        <v>17</v>
      </c>
      <c r="J401" s="65" t="s">
        <v>5</v>
      </c>
      <c r="K401" s="65" t="s">
        <v>16</v>
      </c>
      <c r="L401" s="64" t="s">
        <v>67</v>
      </c>
      <c r="M401" s="65" t="s">
        <v>3</v>
      </c>
      <c r="N401" s="65" t="s">
        <v>2</v>
      </c>
      <c r="O401" s="65">
        <v>19</v>
      </c>
      <c r="P401" s="65">
        <v>0</v>
      </c>
      <c r="Q401" s="65">
        <v>0</v>
      </c>
      <c r="R401" s="65">
        <v>19</v>
      </c>
      <c r="S401" s="65">
        <v>0</v>
      </c>
      <c r="T401" s="65">
        <v>0</v>
      </c>
      <c r="U401" s="65">
        <v>4</v>
      </c>
      <c r="V401" s="65">
        <v>56</v>
      </c>
      <c r="W401" s="65"/>
      <c r="X401" s="72">
        <f>IFERROR(1 -(Master[[#This Row],[Avg Garment Scans per Delivery]]/Master[[#This Row],[Garment Inventory]]), 0)</f>
        <v>1</v>
      </c>
      <c r="Y401" s="65"/>
      <c r="Z401" s="65"/>
      <c r="AA401" s="53">
        <v>53</v>
      </c>
      <c r="AB401" s="53">
        <v>98</v>
      </c>
      <c r="AC401" s="53">
        <v>53</v>
      </c>
      <c r="AD401" s="53">
        <v>98</v>
      </c>
      <c r="AE401" s="53" t="str">
        <f>_xlfn.XLOOKUP(Master[[#This Row],[cu_id]],'[1]Customer Revenue'!$Q:$Q,'[1]Customer Revenue'!$K:$K, "None")</f>
        <v>None</v>
      </c>
      <c r="AF401" s="53" t="str">
        <f>_xlfn.XLOOKUP(Master[[#This Row],[cu_id]],'[1]Customer Revenue'!$Q:$Q,'[1]Customer Revenue'!$L:$L, "None")</f>
        <v>None</v>
      </c>
      <c r="AG401" s="53">
        <v>53</v>
      </c>
      <c r="AH401" s="53">
        <v>98</v>
      </c>
      <c r="AI401" s="53">
        <v>70</v>
      </c>
      <c r="AJ401" s="53">
        <v>70</v>
      </c>
      <c r="AK401" s="53" t="str">
        <f>_xlfn.XLOOKUP(Master[[#This Row],[cu_id]],'[1]Customer Revenue'!$Q:$Q,'[1]Customer Revenue'!$I:$I, "None")</f>
        <v>None</v>
      </c>
      <c r="AL401" s="53">
        <v>70</v>
      </c>
      <c r="AM401" s="71" t="s">
        <v>1</v>
      </c>
      <c r="AN401" s="71" t="s">
        <v>1</v>
      </c>
      <c r="AO401" s="71" t="s">
        <v>36</v>
      </c>
      <c r="AP401" s="71" t="s">
        <v>36</v>
      </c>
      <c r="AQ401" s="64" t="s">
        <v>0</v>
      </c>
      <c r="AR401" s="64"/>
      <c r="AS401" s="65"/>
      <c r="AT401" s="52">
        <v>0</v>
      </c>
      <c r="AU401" s="52" t="e">
        <f>IF(Master[[#This Row],[RSP StopTime override]] &lt;&gt; "",Master[[#This Row],[RSP StopTime override]],IF(Master[[#This Row],[Avg stop time helper]] &lt;&gt; 0, Master[[#This Row],[Avg stop time helper]],Average_Stop_Time))</f>
        <v>#DIV/0!</v>
      </c>
      <c r="AV401" s="21"/>
      <c r="AW401" s="20">
        <f>Master[[#This Row],[RSP StopTime override]]-Master[[#This Row],[Avg stop time helper]]</f>
        <v>0</v>
      </c>
    </row>
    <row r="402" spans="1:49" x14ac:dyDescent="0.3">
      <c r="A402" s="73" t="s">
        <v>4494</v>
      </c>
      <c r="B402" s="64">
        <v>47</v>
      </c>
      <c r="C402" s="64" t="s">
        <v>10</v>
      </c>
      <c r="D402" s="65">
        <v>99169</v>
      </c>
      <c r="E402" s="65" t="s">
        <v>1341</v>
      </c>
      <c r="F402" s="65" t="s">
        <v>2749</v>
      </c>
      <c r="G402" s="65" t="s">
        <v>2748</v>
      </c>
      <c r="H402" s="65" t="s">
        <v>7</v>
      </c>
      <c r="I402" s="65" t="s">
        <v>2712</v>
      </c>
      <c r="J402" s="65" t="s">
        <v>5</v>
      </c>
      <c r="K402" s="65" t="s">
        <v>2711</v>
      </c>
      <c r="L402" s="64" t="s">
        <v>67</v>
      </c>
      <c r="M402" s="65" t="s">
        <v>3</v>
      </c>
      <c r="N402" s="65" t="s">
        <v>2</v>
      </c>
      <c r="O402" s="65">
        <v>136</v>
      </c>
      <c r="P402" s="65">
        <v>0</v>
      </c>
      <c r="Q402" s="65">
        <v>0</v>
      </c>
      <c r="R402" s="65">
        <v>136</v>
      </c>
      <c r="S402" s="65">
        <v>0</v>
      </c>
      <c r="T402" s="65">
        <v>0</v>
      </c>
      <c r="U402" s="65">
        <v>3</v>
      </c>
      <c r="V402" s="65">
        <v>28</v>
      </c>
      <c r="W402" s="65"/>
      <c r="X402" s="72">
        <f>IFERROR(1 -(Master[[#This Row],[Avg Garment Scans per Delivery]]/Master[[#This Row],[Garment Inventory]]), 0)</f>
        <v>1</v>
      </c>
      <c r="Y402" s="65"/>
      <c r="Z402" s="65"/>
      <c r="AA402" s="53">
        <v>59</v>
      </c>
      <c r="AB402" s="53">
        <v>59</v>
      </c>
      <c r="AC402" s="53">
        <v>59</v>
      </c>
      <c r="AD402" s="53">
        <v>59</v>
      </c>
      <c r="AE402" s="53" t="str">
        <f>_xlfn.XLOOKUP(Master[[#This Row],[cu_id]],'[1]Customer Revenue'!$Q:$Q,'[1]Customer Revenue'!$K:$K, "None")</f>
        <v>None</v>
      </c>
      <c r="AF402" s="53" t="str">
        <f>_xlfn.XLOOKUP(Master[[#This Row],[cu_id]],'[1]Customer Revenue'!$Q:$Q,'[1]Customer Revenue'!$L:$L, "None")</f>
        <v>None</v>
      </c>
      <c r="AG402" s="53">
        <v>59</v>
      </c>
      <c r="AH402" s="53">
        <v>59</v>
      </c>
      <c r="AI402" s="53">
        <v>59</v>
      </c>
      <c r="AJ402" s="53">
        <v>59</v>
      </c>
      <c r="AK402" s="53" t="str">
        <f>_xlfn.XLOOKUP(Master[[#This Row],[cu_id]],'[1]Customer Revenue'!$Q:$Q,'[1]Customer Revenue'!$I:$I, "None")</f>
        <v>None</v>
      </c>
      <c r="AL402" s="53">
        <v>59</v>
      </c>
      <c r="AM402" s="71" t="s">
        <v>1</v>
      </c>
      <c r="AN402" s="71" t="s">
        <v>1</v>
      </c>
      <c r="AO402" s="71" t="s">
        <v>36</v>
      </c>
      <c r="AP402" s="71" t="s">
        <v>36</v>
      </c>
      <c r="AQ402" s="64" t="s">
        <v>0</v>
      </c>
      <c r="AR402" s="64"/>
      <c r="AS402" s="65"/>
      <c r="AT402" s="52">
        <v>0</v>
      </c>
      <c r="AU402" s="52">
        <f>IF(Master[[#This Row],[RSP StopTime override]] &lt;&gt; "",Master[[#This Row],[RSP StopTime override]],IF(Master[[#This Row],[Avg stop time helper]] &lt;&gt; 0, Master[[#This Row],[Avg stop time helper]],Average_Stop_Time))</f>
        <v>6</v>
      </c>
      <c r="AV402" s="21">
        <v>6</v>
      </c>
      <c r="AW402" s="20">
        <f>Master[[#This Row],[RSP StopTime override]]-Master[[#This Row],[Avg stop time helper]]</f>
        <v>6</v>
      </c>
    </row>
    <row r="403" spans="1:49" x14ac:dyDescent="0.3">
      <c r="A403" s="66" t="s">
        <v>4495</v>
      </c>
      <c r="B403" s="58">
        <v>47</v>
      </c>
      <c r="C403" s="58" t="s">
        <v>10</v>
      </c>
      <c r="D403" s="65">
        <v>431715</v>
      </c>
      <c r="E403" s="65" t="s">
        <v>1572</v>
      </c>
      <c r="F403" s="65" t="s">
        <v>2747</v>
      </c>
      <c r="G403" s="65" t="s">
        <v>2746</v>
      </c>
      <c r="H403" s="65" t="s">
        <v>7</v>
      </c>
      <c r="I403" s="65" t="s">
        <v>1930</v>
      </c>
      <c r="J403" s="65" t="s">
        <v>5</v>
      </c>
      <c r="K403" s="65" t="s">
        <v>2745</v>
      </c>
      <c r="L403" s="64" t="s">
        <v>67</v>
      </c>
      <c r="M403" s="58" t="s">
        <v>3</v>
      </c>
      <c r="N403" s="58" t="s">
        <v>2</v>
      </c>
      <c r="O403" s="58">
        <v>35</v>
      </c>
      <c r="P403" s="58">
        <v>0</v>
      </c>
      <c r="Q403" s="58">
        <v>0</v>
      </c>
      <c r="R403" s="58">
        <v>35</v>
      </c>
      <c r="S403" s="58">
        <v>0</v>
      </c>
      <c r="T403" s="58">
        <v>0</v>
      </c>
      <c r="U403" s="58">
        <v>50</v>
      </c>
      <c r="V403" s="62">
        <v>44</v>
      </c>
      <c r="W403" s="62">
        <v>8</v>
      </c>
      <c r="X403" s="63">
        <f>IFERROR(1 -(Master[[#This Row],[Avg Garment Scans per Delivery]]/Master[[#This Row],[Garment Inventory]]), 0)</f>
        <v>0.81818181818181812</v>
      </c>
      <c r="Y403" s="62">
        <v>4</v>
      </c>
      <c r="Z403" s="62">
        <v>44</v>
      </c>
      <c r="AA403" s="53">
        <v>60.905029585798822</v>
      </c>
      <c r="AB403" s="53">
        <v>78.933431952662744</v>
      </c>
      <c r="AC403" s="53">
        <v>48.593365051903113</v>
      </c>
      <c r="AD403" s="53">
        <v>146.53163494809689</v>
      </c>
      <c r="AE403" s="53" t="str">
        <f>_xlfn.XLOOKUP(Master[[#This Row],[cu_id]],'[1]Customer Revenue'!$Q:$Q,'[1]Customer Revenue'!$K:$K, "None")</f>
        <v>None</v>
      </c>
      <c r="AF403" s="53" t="str">
        <f>_xlfn.XLOOKUP(Master[[#This Row],[cu_id]],'[1]Customer Revenue'!$Q:$Q,'[1]Customer Revenue'!$L:$L, "None")</f>
        <v>None</v>
      </c>
      <c r="AG403" s="53">
        <v>59.180725443786955</v>
      </c>
      <c r="AH403" s="53">
        <v>90.420074556212981</v>
      </c>
      <c r="AI403" s="53">
        <v>69.919230769230779</v>
      </c>
      <c r="AJ403" s="53">
        <v>97.5625</v>
      </c>
      <c r="AK403" s="53" t="str">
        <f>_xlfn.XLOOKUP(Master[[#This Row],[cu_id]],'[1]Customer Revenue'!$Q:$Q,'[1]Customer Revenue'!$I:$I, "None")</f>
        <v>None</v>
      </c>
      <c r="AL403" s="53">
        <v>74.800399999999968</v>
      </c>
      <c r="AM403" s="61">
        <v>0.25</v>
      </c>
      <c r="AN403" s="60">
        <v>0.70833333333333337</v>
      </c>
      <c r="AO403" s="60" t="s">
        <v>36</v>
      </c>
      <c r="AP403" s="60" t="s">
        <v>36</v>
      </c>
      <c r="AQ403" s="58" t="s">
        <v>0</v>
      </c>
      <c r="AR403" s="58"/>
      <c r="AS403" s="58"/>
      <c r="AT403" s="52">
        <v>0</v>
      </c>
      <c r="AU403" s="52" t="e">
        <f>IF(Master[[#This Row],[RSP StopTime override]] &lt;&gt; "",Master[[#This Row],[RSP StopTime override]],IF(Master[[#This Row],[Avg stop time helper]] &lt;&gt; 0, Master[[#This Row],[Avg stop time helper]],Average_Stop_Time))</f>
        <v>#DIV/0!</v>
      </c>
      <c r="AV403" s="21"/>
      <c r="AW403" s="20">
        <f>Master[[#This Row],[RSP StopTime override]]-Master[[#This Row],[Avg stop time helper]]</f>
        <v>0</v>
      </c>
    </row>
    <row r="404" spans="1:49" x14ac:dyDescent="0.3">
      <c r="A404" s="66" t="s">
        <v>4496</v>
      </c>
      <c r="B404" s="58">
        <v>47</v>
      </c>
      <c r="C404" s="58" t="s">
        <v>10</v>
      </c>
      <c r="D404" s="65">
        <v>433256</v>
      </c>
      <c r="E404" s="65" t="s">
        <v>42</v>
      </c>
      <c r="F404" s="65" t="s">
        <v>2744</v>
      </c>
      <c r="G404" s="65" t="s">
        <v>2743</v>
      </c>
      <c r="H404" s="65" t="s">
        <v>7</v>
      </c>
      <c r="I404" s="65" t="s">
        <v>1930</v>
      </c>
      <c r="J404" s="65" t="s">
        <v>5</v>
      </c>
      <c r="K404" s="65" t="s">
        <v>2705</v>
      </c>
      <c r="L404" s="64" t="s">
        <v>67</v>
      </c>
      <c r="M404" s="58" t="s">
        <v>3</v>
      </c>
      <c r="N404" s="58" t="s">
        <v>2</v>
      </c>
      <c r="O404" s="58">
        <v>90</v>
      </c>
      <c r="P404" s="58">
        <v>0</v>
      </c>
      <c r="Q404" s="58">
        <v>0</v>
      </c>
      <c r="R404" s="58">
        <v>87</v>
      </c>
      <c r="S404" s="58">
        <v>0</v>
      </c>
      <c r="T404" s="58">
        <v>0</v>
      </c>
      <c r="U404" s="58">
        <v>52</v>
      </c>
      <c r="V404" s="62"/>
      <c r="W404" s="62"/>
      <c r="X404" s="63">
        <f>IFERROR(1 -(Master[[#This Row],[Avg Garment Scans per Delivery]]/Master[[#This Row],[Garment Inventory]]), 0)</f>
        <v>0</v>
      </c>
      <c r="Y404" s="62"/>
      <c r="Z404" s="62"/>
      <c r="AA404" s="53">
        <v>57.361479289940831</v>
      </c>
      <c r="AB404" s="53">
        <v>90.332366863905321</v>
      </c>
      <c r="AC404" s="53">
        <v>57.526094674556212</v>
      </c>
      <c r="AD404" s="53">
        <v>116.75544378698223</v>
      </c>
      <c r="AE404" s="53" t="str">
        <f>_xlfn.XLOOKUP(Master[[#This Row],[cu_id]],'[1]Customer Revenue'!$Q:$Q,'[1]Customer Revenue'!$K:$K, "None")</f>
        <v>None</v>
      </c>
      <c r="AF404" s="53" t="str">
        <f>_xlfn.XLOOKUP(Master[[#This Row],[cu_id]],'[1]Customer Revenue'!$Q:$Q,'[1]Customer Revenue'!$L:$L, "None")</f>
        <v>None</v>
      </c>
      <c r="AG404" s="53">
        <v>56.872603550295878</v>
      </c>
      <c r="AH404" s="53">
        <v>93.583550295858004</v>
      </c>
      <c r="AI404" s="53">
        <v>73.846923076923076</v>
      </c>
      <c r="AJ404" s="53">
        <v>87.140769230769223</v>
      </c>
      <c r="AK404" s="53" t="str">
        <f>_xlfn.XLOOKUP(Master[[#This Row],[cu_id]],'[1]Customer Revenue'!$Q:$Q,'[1]Customer Revenue'!$I:$I, "None")</f>
        <v>None</v>
      </c>
      <c r="AL404" s="53">
        <v>75.228076923076941</v>
      </c>
      <c r="AM404" s="61">
        <v>0.25</v>
      </c>
      <c r="AN404" s="60">
        <v>0.58333333333333337</v>
      </c>
      <c r="AO404" s="60" t="s">
        <v>36</v>
      </c>
      <c r="AP404" s="60" t="s">
        <v>36</v>
      </c>
      <c r="AQ404" s="58" t="s">
        <v>0</v>
      </c>
      <c r="AR404" s="58"/>
      <c r="AS404" s="58"/>
      <c r="AT404" s="52">
        <v>0</v>
      </c>
      <c r="AU404" s="52" t="e">
        <f>IF(Master[[#This Row],[RSP StopTime override]] &lt;&gt; "",Master[[#This Row],[RSP StopTime override]],IF(Master[[#This Row],[Avg stop time helper]] &lt;&gt; 0, Master[[#This Row],[Avg stop time helper]],Average_Stop_Time))</f>
        <v>#DIV/0!</v>
      </c>
      <c r="AV404" s="21"/>
      <c r="AW404" s="20">
        <f>Master[[#This Row],[RSP StopTime override]]-Master[[#This Row],[Avg stop time helper]]</f>
        <v>0</v>
      </c>
    </row>
    <row r="405" spans="1:49" x14ac:dyDescent="0.3">
      <c r="A405" s="66" t="s">
        <v>4497</v>
      </c>
      <c r="B405" s="58">
        <v>47</v>
      </c>
      <c r="C405" s="58" t="s">
        <v>10</v>
      </c>
      <c r="D405" s="65">
        <v>499014</v>
      </c>
      <c r="E405" s="65" t="s">
        <v>1590</v>
      </c>
      <c r="F405" s="65" t="s">
        <v>1149</v>
      </c>
      <c r="G405" s="65" t="s">
        <v>2742</v>
      </c>
      <c r="H405" s="65" t="s">
        <v>32</v>
      </c>
      <c r="I405" s="65" t="s">
        <v>50</v>
      </c>
      <c r="J405" s="65" t="s">
        <v>5</v>
      </c>
      <c r="K405" s="65" t="s">
        <v>61</v>
      </c>
      <c r="L405" s="64" t="s">
        <v>206</v>
      </c>
      <c r="M405" s="58" t="s">
        <v>205</v>
      </c>
      <c r="N405" s="58" t="s">
        <v>2</v>
      </c>
      <c r="O405" s="58">
        <v>140</v>
      </c>
      <c r="P405" s="58">
        <v>0</v>
      </c>
      <c r="Q405" s="58">
        <v>0</v>
      </c>
      <c r="R405" s="58">
        <v>139</v>
      </c>
      <c r="S405" s="58">
        <v>0</v>
      </c>
      <c r="T405" s="58">
        <v>0</v>
      </c>
      <c r="U405" s="58">
        <v>34</v>
      </c>
      <c r="V405" s="62"/>
      <c r="W405" s="62">
        <v>6</v>
      </c>
      <c r="X405" s="63">
        <f>IFERROR(1 -(Master[[#This Row],[Avg Garment Scans per Delivery]]/Master[[#This Row],[Garment Inventory]]), 0)</f>
        <v>0</v>
      </c>
      <c r="Y405" s="62"/>
      <c r="Z405" s="62"/>
      <c r="AA405" s="53">
        <v>39.26</v>
      </c>
      <c r="AB405" s="53">
        <v>39.26</v>
      </c>
      <c r="AC405" s="53">
        <v>39.428749999999994</v>
      </c>
      <c r="AD405" s="53">
        <v>172.97624999999999</v>
      </c>
      <c r="AE405" s="53" t="str">
        <f>_xlfn.XLOOKUP(Master[[#This Row],[cu_id]],'[1]Customer Revenue'!$Q:$Q,'[1]Customer Revenue'!$K:$K, "None")</f>
        <v>None</v>
      </c>
      <c r="AF405" s="53" t="str">
        <f>_xlfn.XLOOKUP(Master[[#This Row],[cu_id]],'[1]Customer Revenue'!$Q:$Q,'[1]Customer Revenue'!$L:$L, "None")</f>
        <v>None</v>
      </c>
      <c r="AG405" s="53">
        <v>32.761836734693873</v>
      </c>
      <c r="AH405" s="53">
        <v>66.618163265306123</v>
      </c>
      <c r="AI405" s="53">
        <v>39.26</v>
      </c>
      <c r="AJ405" s="53">
        <v>106.2025</v>
      </c>
      <c r="AK405" s="53" t="str">
        <f>_xlfn.XLOOKUP(Master[[#This Row],[cu_id]],'[1]Customer Revenue'!$Q:$Q,'[1]Customer Revenue'!$I:$I, "None")</f>
        <v>None</v>
      </c>
      <c r="AL405" s="53">
        <v>49.69</v>
      </c>
      <c r="AM405" s="61">
        <v>0.375</v>
      </c>
      <c r="AN405" s="60">
        <v>0.70833333333333337</v>
      </c>
      <c r="AO405" s="60" t="s">
        <v>36</v>
      </c>
      <c r="AP405" s="60" t="s">
        <v>36</v>
      </c>
      <c r="AQ405" s="58" t="s">
        <v>0</v>
      </c>
      <c r="AR405" s="58"/>
      <c r="AS405" s="58"/>
      <c r="AT405" s="52">
        <v>0</v>
      </c>
      <c r="AU405" s="52" t="e">
        <f>IF(Master[[#This Row],[RSP StopTime override]] &lt;&gt; "",Master[[#This Row],[RSP StopTime override]],IF(Master[[#This Row],[Avg stop time helper]] &lt;&gt; 0, Master[[#This Row],[Avg stop time helper]],Average_Stop_Time))</f>
        <v>#DIV/0!</v>
      </c>
      <c r="AV405" s="21"/>
      <c r="AW405" s="20">
        <f>Master[[#This Row],[RSP StopTime override]]-Master[[#This Row],[Avg stop time helper]]</f>
        <v>0</v>
      </c>
    </row>
    <row r="406" spans="1:49" x14ac:dyDescent="0.3">
      <c r="A406" s="66" t="s">
        <v>4498</v>
      </c>
      <c r="B406" s="58">
        <v>47</v>
      </c>
      <c r="C406" s="58" t="s">
        <v>10</v>
      </c>
      <c r="D406" s="65">
        <v>499014</v>
      </c>
      <c r="E406" s="65" t="s">
        <v>683</v>
      </c>
      <c r="F406" s="65" t="s">
        <v>1149</v>
      </c>
      <c r="G406" s="65" t="s">
        <v>2741</v>
      </c>
      <c r="H406" s="65" t="s">
        <v>32</v>
      </c>
      <c r="I406" s="65" t="s">
        <v>2738</v>
      </c>
      <c r="J406" s="65" t="s">
        <v>5</v>
      </c>
      <c r="K406" s="65" t="s">
        <v>1929</v>
      </c>
      <c r="L406" s="64" t="s">
        <v>194</v>
      </c>
      <c r="M406" s="58" t="s">
        <v>193</v>
      </c>
      <c r="N406" s="58" t="s">
        <v>2</v>
      </c>
      <c r="O406" s="58">
        <v>80</v>
      </c>
      <c r="P406" s="58">
        <v>0</v>
      </c>
      <c r="Q406" s="58">
        <v>0</v>
      </c>
      <c r="R406" s="58">
        <v>80</v>
      </c>
      <c r="S406" s="58">
        <v>0</v>
      </c>
      <c r="T406" s="58">
        <v>0</v>
      </c>
      <c r="U406" s="58">
        <v>15</v>
      </c>
      <c r="V406" s="62"/>
      <c r="W406" s="62"/>
      <c r="X406" s="63">
        <f>IFERROR(1 -(Master[[#This Row],[Avg Garment Scans per Delivery]]/Master[[#This Row],[Garment Inventory]]), 0)</f>
        <v>0</v>
      </c>
      <c r="Y406" s="62"/>
      <c r="Z406" s="62"/>
      <c r="AA406" s="53">
        <v>33.557500000000005</v>
      </c>
      <c r="AB406" s="53">
        <v>58.532499999999999</v>
      </c>
      <c r="AC406" s="53">
        <v>35.30888888888888</v>
      </c>
      <c r="AD406" s="53">
        <v>67.037777777777762</v>
      </c>
      <c r="AE406" s="53" t="str">
        <f>_xlfn.XLOOKUP(Master[[#This Row],[cu_id]],'[1]Customer Revenue'!$Q:$Q,'[1]Customer Revenue'!$K:$K, "None")</f>
        <v>None</v>
      </c>
      <c r="AF406" s="53" t="str">
        <f>_xlfn.XLOOKUP(Master[[#This Row],[cu_id]],'[1]Customer Revenue'!$Q:$Q,'[1]Customer Revenue'!$L:$L, "None")</f>
        <v>None</v>
      </c>
      <c r="AG406" s="53">
        <v>34.227812499999999</v>
      </c>
      <c r="AH406" s="53">
        <v>48.944687499999986</v>
      </c>
      <c r="AI406" s="53">
        <v>46.045000000000002</v>
      </c>
      <c r="AJ406" s="53">
        <v>51.173333333333325</v>
      </c>
      <c r="AK406" s="53" t="str">
        <f>_xlfn.XLOOKUP(Master[[#This Row],[cu_id]],'[1]Customer Revenue'!$Q:$Q,'[1]Customer Revenue'!$I:$I, "None")</f>
        <v>None</v>
      </c>
      <c r="AL406" s="53">
        <v>41.586249999999993</v>
      </c>
      <c r="AM406" s="61">
        <v>0.375</v>
      </c>
      <c r="AN406" s="60">
        <v>0.70833333333333337</v>
      </c>
      <c r="AO406" s="60" t="s">
        <v>36</v>
      </c>
      <c r="AP406" s="60" t="s">
        <v>36</v>
      </c>
      <c r="AQ406" s="58" t="s">
        <v>0</v>
      </c>
      <c r="AR406" s="58"/>
      <c r="AS406" s="58"/>
      <c r="AT406" s="52">
        <v>0</v>
      </c>
      <c r="AU406" s="52" t="e">
        <f>IF(Master[[#This Row],[RSP StopTime override]] &lt;&gt; "",Master[[#This Row],[RSP StopTime override]],IF(Master[[#This Row],[Avg stop time helper]] &lt;&gt; 0, Master[[#This Row],[Avg stop time helper]],Average_Stop_Time))</f>
        <v>#DIV/0!</v>
      </c>
      <c r="AV406" s="21"/>
      <c r="AW406" s="20">
        <f>Master[[#This Row],[RSP StopTime override]]-Master[[#This Row],[Avg stop time helper]]</f>
        <v>0</v>
      </c>
    </row>
    <row r="407" spans="1:49" x14ac:dyDescent="0.3">
      <c r="A407" s="66" t="s">
        <v>4499</v>
      </c>
      <c r="B407" s="58">
        <v>47</v>
      </c>
      <c r="C407" s="58" t="s">
        <v>10</v>
      </c>
      <c r="D407" s="65">
        <v>527448</v>
      </c>
      <c r="E407" s="65" t="s">
        <v>42</v>
      </c>
      <c r="F407" s="65" t="s">
        <v>2740</v>
      </c>
      <c r="G407" s="65" t="s">
        <v>2739</v>
      </c>
      <c r="H407" s="65" t="s">
        <v>32</v>
      </c>
      <c r="I407" s="65" t="s">
        <v>2738</v>
      </c>
      <c r="J407" s="65" t="s">
        <v>5</v>
      </c>
      <c r="K407" s="65" t="s">
        <v>1929</v>
      </c>
      <c r="L407" s="64" t="s">
        <v>194</v>
      </c>
      <c r="M407" s="58" t="s">
        <v>193</v>
      </c>
      <c r="N407" s="58" t="s">
        <v>2</v>
      </c>
      <c r="O407" s="58">
        <v>98</v>
      </c>
      <c r="P407" s="58">
        <v>0</v>
      </c>
      <c r="Q407" s="58">
        <v>0</v>
      </c>
      <c r="R407" s="58">
        <v>98</v>
      </c>
      <c r="S407" s="58">
        <v>0</v>
      </c>
      <c r="T407" s="58">
        <v>0</v>
      </c>
      <c r="U407" s="58">
        <v>13</v>
      </c>
      <c r="V407" s="62"/>
      <c r="W407" s="62"/>
      <c r="X407" s="63">
        <f>IFERROR(1 -(Master[[#This Row],[Avg Garment Scans per Delivery]]/Master[[#This Row],[Garment Inventory]]), 0)</f>
        <v>0</v>
      </c>
      <c r="Y407" s="62"/>
      <c r="Z407" s="62"/>
      <c r="AA407" s="53">
        <v>34.96875</v>
      </c>
      <c r="AB407" s="53">
        <v>36.65625</v>
      </c>
      <c r="AC407" s="53">
        <v>37.144444444444446</v>
      </c>
      <c r="AD407" s="53">
        <v>39.988888888888894</v>
      </c>
      <c r="AE407" s="53" t="str">
        <f>_xlfn.XLOOKUP(Master[[#This Row],[cu_id]],'[1]Customer Revenue'!$Q:$Q,'[1]Customer Revenue'!$K:$K, "None")</f>
        <v>None</v>
      </c>
      <c r="AF407" s="53" t="str">
        <f>_xlfn.XLOOKUP(Master[[#This Row],[cu_id]],'[1]Customer Revenue'!$Q:$Q,'[1]Customer Revenue'!$L:$L, "None")</f>
        <v>None</v>
      </c>
      <c r="AG407" s="53">
        <v>34.974489795918366</v>
      </c>
      <c r="AH407" s="53">
        <v>36.096938775510203</v>
      </c>
      <c r="AI407" s="53">
        <v>35.8125</v>
      </c>
      <c r="AJ407" s="53">
        <v>38.56666666666667</v>
      </c>
      <c r="AK407" s="53" t="str">
        <f>_xlfn.XLOOKUP(Master[[#This Row],[cu_id]],'[1]Customer Revenue'!$Q:$Q,'[1]Customer Revenue'!$I:$I, "None")</f>
        <v>None</v>
      </c>
      <c r="AL407" s="53">
        <v>35.535714285714285</v>
      </c>
      <c r="AM407" s="61">
        <v>0.33333333333333331</v>
      </c>
      <c r="AN407" s="60">
        <v>0.70833333333333337</v>
      </c>
      <c r="AO407" s="60" t="s">
        <v>36</v>
      </c>
      <c r="AP407" s="60" t="s">
        <v>36</v>
      </c>
      <c r="AQ407" s="58" t="s">
        <v>0</v>
      </c>
      <c r="AR407" s="58"/>
      <c r="AS407" s="58"/>
      <c r="AT407" s="52">
        <v>0</v>
      </c>
      <c r="AU407" s="52" t="e">
        <f>IF(Master[[#This Row],[RSP StopTime override]] &lt;&gt; "",Master[[#This Row],[RSP StopTime override]],IF(Master[[#This Row],[Avg stop time helper]] &lt;&gt; 0, Master[[#This Row],[Avg stop time helper]],Average_Stop_Time))</f>
        <v>#DIV/0!</v>
      </c>
      <c r="AV407" s="21"/>
      <c r="AW407" s="20">
        <f>Master[[#This Row],[RSP StopTime override]]-Master[[#This Row],[Avg stop time helper]]</f>
        <v>0</v>
      </c>
    </row>
    <row r="408" spans="1:49" x14ac:dyDescent="0.3">
      <c r="A408" s="66" t="s">
        <v>4500</v>
      </c>
      <c r="B408" s="58">
        <v>47</v>
      </c>
      <c r="C408" s="58" t="s">
        <v>10</v>
      </c>
      <c r="D408" s="65">
        <v>530678</v>
      </c>
      <c r="E408" s="65" t="s">
        <v>42</v>
      </c>
      <c r="F408" s="65" t="s">
        <v>2737</v>
      </c>
      <c r="G408" s="65" t="s">
        <v>2736</v>
      </c>
      <c r="H408" s="65" t="s">
        <v>7</v>
      </c>
      <c r="I408" s="65" t="s">
        <v>1930</v>
      </c>
      <c r="J408" s="65" t="s">
        <v>5</v>
      </c>
      <c r="K408" s="65" t="s">
        <v>1929</v>
      </c>
      <c r="L408" s="64" t="s">
        <v>67</v>
      </c>
      <c r="M408" s="58" t="s">
        <v>3</v>
      </c>
      <c r="N408" s="58" t="s">
        <v>2</v>
      </c>
      <c r="O408" s="58">
        <v>100</v>
      </c>
      <c r="P408" s="58">
        <v>0</v>
      </c>
      <c r="Q408" s="58">
        <v>0</v>
      </c>
      <c r="R408" s="58">
        <v>100</v>
      </c>
      <c r="S408" s="58">
        <v>0</v>
      </c>
      <c r="T408" s="58">
        <v>0</v>
      </c>
      <c r="U408" s="58">
        <v>52</v>
      </c>
      <c r="V408" s="62">
        <v>22</v>
      </c>
      <c r="W408" s="62">
        <v>8</v>
      </c>
      <c r="X408" s="63">
        <f>IFERROR(1 -(Master[[#This Row],[Avg Garment Scans per Delivery]]/Master[[#This Row],[Garment Inventory]]), 0)</f>
        <v>0.63636363636363635</v>
      </c>
      <c r="Y408" s="62">
        <v>2</v>
      </c>
      <c r="Z408" s="62">
        <v>22</v>
      </c>
      <c r="AA408" s="53">
        <v>76.341715976331358</v>
      </c>
      <c r="AB408" s="53">
        <v>89.490591715976308</v>
      </c>
      <c r="AC408" s="53">
        <v>77.059881656804734</v>
      </c>
      <c r="AD408" s="53">
        <v>99.749349112426032</v>
      </c>
      <c r="AE408" s="53" t="str">
        <f>_xlfn.XLOOKUP(Master[[#This Row],[cu_id]],'[1]Customer Revenue'!$Q:$Q,'[1]Customer Revenue'!$K:$K, "None")</f>
        <v>None</v>
      </c>
      <c r="AF408" s="53" t="str">
        <f>_xlfn.XLOOKUP(Master[[#This Row],[cu_id]],'[1]Customer Revenue'!$Q:$Q,'[1]Customer Revenue'!$L:$L, "None")</f>
        <v>None</v>
      </c>
      <c r="AG408" s="53">
        <v>70.085828402366857</v>
      </c>
      <c r="AH408" s="53">
        <v>89.901094674556205</v>
      </c>
      <c r="AI408" s="53">
        <v>82.916153846153833</v>
      </c>
      <c r="AJ408" s="53">
        <v>88.404615384615383</v>
      </c>
      <c r="AK408" s="53" t="str">
        <f>_xlfn.XLOOKUP(Master[[#This Row],[cu_id]],'[1]Customer Revenue'!$Q:$Q,'[1]Customer Revenue'!$I:$I, "None")</f>
        <v>None</v>
      </c>
      <c r="AL408" s="53">
        <v>79.993461538461531</v>
      </c>
      <c r="AM408" s="61">
        <v>0.33333333333333331</v>
      </c>
      <c r="AN408" s="60">
        <v>0.70833333333333337</v>
      </c>
      <c r="AO408" s="60" t="s">
        <v>36</v>
      </c>
      <c r="AP408" s="60" t="s">
        <v>36</v>
      </c>
      <c r="AQ408" s="58" t="s">
        <v>0</v>
      </c>
      <c r="AR408" s="58"/>
      <c r="AS408" s="58"/>
      <c r="AT408" s="52">
        <v>0</v>
      </c>
      <c r="AU408" s="52" t="e">
        <f>IF(Master[[#This Row],[RSP StopTime override]] &lt;&gt; "",Master[[#This Row],[RSP StopTime override]],IF(Master[[#This Row],[Avg stop time helper]] &lt;&gt; 0, Master[[#This Row],[Avg stop time helper]],Average_Stop_Time))</f>
        <v>#DIV/0!</v>
      </c>
      <c r="AV408" s="21"/>
      <c r="AW408" s="20">
        <f>Master[[#This Row],[RSP StopTime override]]-Master[[#This Row],[Avg stop time helper]]</f>
        <v>0</v>
      </c>
    </row>
    <row r="409" spans="1:49" x14ac:dyDescent="0.3">
      <c r="A409" s="66" t="s">
        <v>4501</v>
      </c>
      <c r="B409" s="58">
        <v>47</v>
      </c>
      <c r="C409" s="58" t="s">
        <v>10</v>
      </c>
      <c r="D409" s="65">
        <v>531008</v>
      </c>
      <c r="E409" s="65" t="s">
        <v>42</v>
      </c>
      <c r="F409" s="65" t="s">
        <v>2735</v>
      </c>
      <c r="G409" s="65" t="s">
        <v>2734</v>
      </c>
      <c r="H409" s="65" t="s">
        <v>7</v>
      </c>
      <c r="I409" s="65" t="s">
        <v>1930</v>
      </c>
      <c r="J409" s="65" t="s">
        <v>5</v>
      </c>
      <c r="K409" s="65" t="s">
        <v>1929</v>
      </c>
      <c r="L409" s="64" t="s">
        <v>145</v>
      </c>
      <c r="M409" s="58" t="s">
        <v>123</v>
      </c>
      <c r="N409" s="58" t="s">
        <v>144</v>
      </c>
      <c r="O409" s="58">
        <v>95</v>
      </c>
      <c r="P409" s="58">
        <v>0</v>
      </c>
      <c r="Q409" s="58">
        <v>0</v>
      </c>
      <c r="R409" s="58">
        <v>95</v>
      </c>
      <c r="S409" s="58">
        <v>0</v>
      </c>
      <c r="T409" s="58">
        <v>0</v>
      </c>
      <c r="U409" s="58">
        <v>51</v>
      </c>
      <c r="V409" s="62"/>
      <c r="W409" s="62"/>
      <c r="X409" s="63">
        <f>IFERROR(1 -(Master[[#This Row],[Avg Garment Scans per Delivery]]/Master[[#This Row],[Garment Inventory]]), 0)</f>
        <v>0</v>
      </c>
      <c r="Y409" s="62"/>
      <c r="Z409" s="62"/>
      <c r="AA409" s="53">
        <v>113.58952662721893</v>
      </c>
      <c r="AB409" s="53">
        <v>174.37816568047336</v>
      </c>
      <c r="AC409" s="53">
        <v>100.2162166405024</v>
      </c>
      <c r="AD409" s="53">
        <v>202.44070643642073</v>
      </c>
      <c r="AE409" s="53" t="str">
        <f>_xlfn.XLOOKUP(Master[[#This Row],[cu_id]],'[1]Customer Revenue'!$Q:$Q,'[1]Customer Revenue'!$K:$K, "None")</f>
        <v>None</v>
      </c>
      <c r="AF409" s="53" t="str">
        <f>_xlfn.XLOOKUP(Master[[#This Row],[cu_id]],'[1]Customer Revenue'!$Q:$Q,'[1]Customer Revenue'!$L:$L, "None")</f>
        <v>None</v>
      </c>
      <c r="AG409" s="53">
        <v>103.30243199999998</v>
      </c>
      <c r="AH409" s="53">
        <v>176.219168</v>
      </c>
      <c r="AI409" s="53">
        <v>143.98384615384614</v>
      </c>
      <c r="AJ409" s="53">
        <v>151.32846153846157</v>
      </c>
      <c r="AK409" s="53" t="str">
        <f>_xlfn.XLOOKUP(Master[[#This Row],[cu_id]],'[1]Customer Revenue'!$Q:$Q,'[1]Customer Revenue'!$I:$I, "None")</f>
        <v>None</v>
      </c>
      <c r="AL409" s="53">
        <v>139.76079999999999</v>
      </c>
      <c r="AM409" s="61">
        <v>0.3125</v>
      </c>
      <c r="AN409" s="60">
        <v>0.66666666666666663</v>
      </c>
      <c r="AO409" s="60" t="s">
        <v>36</v>
      </c>
      <c r="AP409" s="60" t="s">
        <v>36</v>
      </c>
      <c r="AQ409" s="58" t="s">
        <v>0</v>
      </c>
      <c r="AR409" s="58"/>
      <c r="AS409" s="58"/>
      <c r="AT409" s="52">
        <v>0</v>
      </c>
      <c r="AU409" s="52" t="e">
        <f>IF(Master[[#This Row],[RSP StopTime override]] &lt;&gt; "",Master[[#This Row],[RSP StopTime override]],IF(Master[[#This Row],[Avg stop time helper]] &lt;&gt; 0, Master[[#This Row],[Avg stop time helper]],Average_Stop_Time))</f>
        <v>#DIV/0!</v>
      </c>
      <c r="AV409" s="21"/>
      <c r="AW409" s="20">
        <f>Master[[#This Row],[RSP StopTime override]]-Master[[#This Row],[Avg stop time helper]]</f>
        <v>0</v>
      </c>
    </row>
    <row r="410" spans="1:49" x14ac:dyDescent="0.3">
      <c r="A410" s="66" t="s">
        <v>4502</v>
      </c>
      <c r="B410" s="58">
        <v>47</v>
      </c>
      <c r="C410" s="58" t="s">
        <v>10</v>
      </c>
      <c r="D410" s="65">
        <v>531571</v>
      </c>
      <c r="E410" s="65" t="s">
        <v>42</v>
      </c>
      <c r="F410" s="65" t="s">
        <v>2733</v>
      </c>
      <c r="G410" s="65" t="s">
        <v>2732</v>
      </c>
      <c r="H410" s="65" t="s">
        <v>7</v>
      </c>
      <c r="I410" s="65" t="s">
        <v>1930</v>
      </c>
      <c r="J410" s="65" t="s">
        <v>5</v>
      </c>
      <c r="K410" s="65" t="s">
        <v>1929</v>
      </c>
      <c r="L410" s="64" t="s">
        <v>194</v>
      </c>
      <c r="M410" s="58" t="s">
        <v>193</v>
      </c>
      <c r="N410" s="58" t="s">
        <v>2</v>
      </c>
      <c r="O410" s="58">
        <v>105</v>
      </c>
      <c r="P410" s="58">
        <v>0</v>
      </c>
      <c r="Q410" s="58">
        <v>0</v>
      </c>
      <c r="R410" s="58">
        <v>105</v>
      </c>
      <c r="S410" s="58">
        <v>0</v>
      </c>
      <c r="T410" s="58">
        <v>0</v>
      </c>
      <c r="U410" s="58">
        <v>13</v>
      </c>
      <c r="V410" s="62"/>
      <c r="W410" s="62"/>
      <c r="X410" s="63">
        <f>IFERROR(1 -(Master[[#This Row],[Avg Garment Scans per Delivery]]/Master[[#This Row],[Garment Inventory]]), 0)</f>
        <v>0</v>
      </c>
      <c r="Y410" s="62"/>
      <c r="Z410" s="62"/>
      <c r="AA410" s="53">
        <v>55.47999999999999</v>
      </c>
      <c r="AB410" s="53">
        <v>78.739999999999981</v>
      </c>
      <c r="AC410" s="53">
        <v>65.492222222222225</v>
      </c>
      <c r="AD410" s="53">
        <v>74.274444444444455</v>
      </c>
      <c r="AE410" s="53" t="str">
        <f>_xlfn.XLOOKUP(Master[[#This Row],[cu_id]],'[1]Customer Revenue'!$Q:$Q,'[1]Customer Revenue'!$K:$K, "None")</f>
        <v>None</v>
      </c>
      <c r="AF410" s="53" t="str">
        <f>_xlfn.XLOOKUP(Master[[#This Row],[cu_id]],'[1]Customer Revenue'!$Q:$Q,'[1]Customer Revenue'!$L:$L, "None")</f>
        <v>None</v>
      </c>
      <c r="AG410" s="53">
        <v>53.011836734693873</v>
      </c>
      <c r="AH410" s="53">
        <v>79.376734693877552</v>
      </c>
      <c r="AI410" s="53">
        <v>67.109999999999985</v>
      </c>
      <c r="AJ410" s="53">
        <v>69.88333333333334</v>
      </c>
      <c r="AK410" s="53" t="str">
        <f>_xlfn.XLOOKUP(Master[[#This Row],[cu_id]],'[1]Customer Revenue'!$Q:$Q,'[1]Customer Revenue'!$I:$I, "None")</f>
        <v>None</v>
      </c>
      <c r="AL410" s="53">
        <v>66.194285714285712</v>
      </c>
      <c r="AM410" s="61">
        <v>0.41666666666666669</v>
      </c>
      <c r="AN410" s="60">
        <v>0.70833333333333337</v>
      </c>
      <c r="AO410" s="60" t="s">
        <v>36</v>
      </c>
      <c r="AP410" s="60" t="s">
        <v>36</v>
      </c>
      <c r="AQ410" s="58" t="s">
        <v>0</v>
      </c>
      <c r="AR410" s="58"/>
      <c r="AS410" s="58"/>
      <c r="AT410" s="52">
        <v>0</v>
      </c>
      <c r="AU410" s="52" t="e">
        <f>IF(Master[[#This Row],[RSP StopTime override]] &lt;&gt; "",Master[[#This Row],[RSP StopTime override]],IF(Master[[#This Row],[Avg stop time helper]] &lt;&gt; 0, Master[[#This Row],[Avg stop time helper]],Average_Stop_Time))</f>
        <v>#DIV/0!</v>
      </c>
      <c r="AV410" s="21"/>
      <c r="AW410" s="20">
        <f>Master[[#This Row],[RSP StopTime override]]-Master[[#This Row],[Avg stop time helper]]</f>
        <v>0</v>
      </c>
    </row>
    <row r="411" spans="1:49" x14ac:dyDescent="0.3">
      <c r="A411" s="66" t="s">
        <v>4503</v>
      </c>
      <c r="B411" s="58">
        <v>47</v>
      </c>
      <c r="C411" s="58" t="s">
        <v>10</v>
      </c>
      <c r="D411" s="65">
        <v>531629</v>
      </c>
      <c r="E411" s="65" t="s">
        <v>42</v>
      </c>
      <c r="F411" s="65" t="s">
        <v>2731</v>
      </c>
      <c r="G411" s="65" t="s">
        <v>2730</v>
      </c>
      <c r="H411" s="65" t="s">
        <v>7</v>
      </c>
      <c r="I411" s="65" t="s">
        <v>1930</v>
      </c>
      <c r="J411" s="65" t="s">
        <v>5</v>
      </c>
      <c r="K411" s="65" t="s">
        <v>1929</v>
      </c>
      <c r="L411" s="64" t="s">
        <v>67</v>
      </c>
      <c r="M411" s="58" t="s">
        <v>3</v>
      </c>
      <c r="N411" s="58" t="s">
        <v>2</v>
      </c>
      <c r="O411" s="58">
        <v>30</v>
      </c>
      <c r="P411" s="58">
        <v>0</v>
      </c>
      <c r="Q411" s="58">
        <v>0</v>
      </c>
      <c r="R411" s="58">
        <v>30</v>
      </c>
      <c r="S411" s="58">
        <v>0</v>
      </c>
      <c r="T411" s="58">
        <v>0</v>
      </c>
      <c r="U411" s="58">
        <v>50</v>
      </c>
      <c r="V411" s="62">
        <v>22</v>
      </c>
      <c r="W411" s="62">
        <v>6</v>
      </c>
      <c r="X411" s="63">
        <f>IFERROR(1 -(Master[[#This Row],[Avg Garment Scans per Delivery]]/Master[[#This Row],[Garment Inventory]]), 0)</f>
        <v>0.72727272727272729</v>
      </c>
      <c r="Y411" s="62">
        <v>2</v>
      </c>
      <c r="Z411" s="62">
        <v>23</v>
      </c>
      <c r="AA411" s="53">
        <v>50.694378698224845</v>
      </c>
      <c r="AB411" s="53">
        <v>57.316390532544382</v>
      </c>
      <c r="AC411" s="53">
        <v>56.972662721893492</v>
      </c>
      <c r="AD411" s="53">
        <v>59.528875739644967</v>
      </c>
      <c r="AE411" s="53" t="str">
        <f>_xlfn.XLOOKUP(Master[[#This Row],[cu_id]],'[1]Customer Revenue'!$Q:$Q,'[1]Customer Revenue'!$K:$K, "None")</f>
        <v>None</v>
      </c>
      <c r="AF411" s="53" t="str">
        <f>_xlfn.XLOOKUP(Master[[#This Row],[cu_id]],'[1]Customer Revenue'!$Q:$Q,'[1]Customer Revenue'!$L:$L, "None")</f>
        <v>None</v>
      </c>
      <c r="AG411" s="53">
        <v>48.503888757396453</v>
      </c>
      <c r="AH411" s="53">
        <v>58.713711242603551</v>
      </c>
      <c r="AI411" s="53">
        <v>54.005384615384614</v>
      </c>
      <c r="AJ411" s="53">
        <v>58.25076923076923</v>
      </c>
      <c r="AK411" s="53" t="str">
        <f>_xlfn.XLOOKUP(Master[[#This Row],[cu_id]],'[1]Customer Revenue'!$Q:$Q,'[1]Customer Revenue'!$I:$I, "None")</f>
        <v>None</v>
      </c>
      <c r="AL411" s="53">
        <v>53.608800000000002</v>
      </c>
      <c r="AM411" s="61">
        <v>0.33333333333333331</v>
      </c>
      <c r="AN411" s="60">
        <v>0.70833333333333337</v>
      </c>
      <c r="AO411" s="60" t="s">
        <v>36</v>
      </c>
      <c r="AP411" s="60" t="s">
        <v>36</v>
      </c>
      <c r="AQ411" s="58" t="s">
        <v>0</v>
      </c>
      <c r="AR411" s="58"/>
      <c r="AS411" s="58"/>
      <c r="AT411" s="52">
        <v>0</v>
      </c>
      <c r="AU411" s="52" t="e">
        <f>IF(Master[[#This Row],[RSP StopTime override]] &lt;&gt; "",Master[[#This Row],[RSP StopTime override]],IF(Master[[#This Row],[Avg stop time helper]] &lt;&gt; 0, Master[[#This Row],[Avg stop time helper]],Average_Stop_Time))</f>
        <v>#DIV/0!</v>
      </c>
      <c r="AV411" s="21"/>
      <c r="AW411" s="20">
        <f>Master[[#This Row],[RSP StopTime override]]-Master[[#This Row],[Avg stop time helper]]</f>
        <v>0</v>
      </c>
    </row>
    <row r="412" spans="1:49" x14ac:dyDescent="0.3">
      <c r="A412" s="66" t="s">
        <v>4504</v>
      </c>
      <c r="B412" s="58">
        <v>47</v>
      </c>
      <c r="C412" s="58" t="s">
        <v>10</v>
      </c>
      <c r="D412" s="65">
        <v>531891</v>
      </c>
      <c r="E412" s="65" t="s">
        <v>686</v>
      </c>
      <c r="F412" s="65" t="s">
        <v>2729</v>
      </c>
      <c r="G412" s="65" t="s">
        <v>2728</v>
      </c>
      <c r="H412" s="65" t="s">
        <v>7</v>
      </c>
      <c r="I412" s="65" t="s">
        <v>2712</v>
      </c>
      <c r="J412" s="65" t="s">
        <v>5</v>
      </c>
      <c r="K412" s="65" t="s">
        <v>2711</v>
      </c>
      <c r="L412" s="64" t="s">
        <v>77</v>
      </c>
      <c r="M412" s="58" t="s">
        <v>29</v>
      </c>
      <c r="N412" s="58" t="s">
        <v>2</v>
      </c>
      <c r="O412" s="58">
        <v>135</v>
      </c>
      <c r="P412" s="58">
        <v>0</v>
      </c>
      <c r="Q412" s="58">
        <v>0</v>
      </c>
      <c r="R412" s="58">
        <v>135</v>
      </c>
      <c r="S412" s="58">
        <v>0</v>
      </c>
      <c r="T412" s="58">
        <v>0</v>
      </c>
      <c r="U412" s="58">
        <v>26</v>
      </c>
      <c r="V412" s="62"/>
      <c r="W412" s="62"/>
      <c r="X412" s="63">
        <f>IFERROR(1 -(Master[[#This Row],[Avg Garment Scans per Delivery]]/Master[[#This Row],[Garment Inventory]]), 0)</f>
        <v>0</v>
      </c>
      <c r="Y412" s="62"/>
      <c r="Z412" s="62"/>
      <c r="AA412" s="53">
        <v>74.099999999999994</v>
      </c>
      <c r="AB412" s="53">
        <v>75.350000000000023</v>
      </c>
      <c r="AC412" s="53">
        <v>63.228571428571428</v>
      </c>
      <c r="AD412" s="53">
        <v>77.491428571428571</v>
      </c>
      <c r="AE412" s="53" t="str">
        <f>_xlfn.XLOOKUP(Master[[#This Row],[cu_id]],'[1]Customer Revenue'!$Q:$Q,'[1]Customer Revenue'!$K:$K, "None")</f>
        <v>None</v>
      </c>
      <c r="AF412" s="53" t="str">
        <f>_xlfn.XLOOKUP(Master[[#This Row],[cu_id]],'[1]Customer Revenue'!$Q:$Q,'[1]Customer Revenue'!$L:$L, "None")</f>
        <v>None</v>
      </c>
      <c r="AG412" s="53">
        <v>67.496982248520723</v>
      </c>
      <c r="AH412" s="53">
        <v>75.57532544378698</v>
      </c>
      <c r="AI412" s="53">
        <v>74.725000000000009</v>
      </c>
      <c r="AJ412" s="53">
        <v>70.36</v>
      </c>
      <c r="AK412" s="53" t="str">
        <f>_xlfn.XLOOKUP(Master[[#This Row],[cu_id]],'[1]Customer Revenue'!$Q:$Q,'[1]Customer Revenue'!$I:$I, "None")</f>
        <v>None</v>
      </c>
      <c r="AL412" s="53">
        <v>71.536153846153852</v>
      </c>
      <c r="AM412" s="61">
        <v>0.25</v>
      </c>
      <c r="AN412" s="60">
        <v>0.83333333333333337</v>
      </c>
      <c r="AO412" s="60" t="s">
        <v>36</v>
      </c>
      <c r="AP412" s="60" t="s">
        <v>36</v>
      </c>
      <c r="AQ412" s="58" t="s">
        <v>0</v>
      </c>
      <c r="AR412" s="58"/>
      <c r="AS412" s="58"/>
      <c r="AT412" s="52">
        <v>0</v>
      </c>
      <c r="AU412" s="52" t="e">
        <f>IF(Master[[#This Row],[RSP StopTime override]] &lt;&gt; "",Master[[#This Row],[RSP StopTime override]],IF(Master[[#This Row],[Avg stop time helper]] &lt;&gt; 0, Master[[#This Row],[Avg stop time helper]],Average_Stop_Time))</f>
        <v>#DIV/0!</v>
      </c>
      <c r="AV412" s="21"/>
      <c r="AW412" s="20">
        <f>Master[[#This Row],[RSP StopTime override]]-Master[[#This Row],[Avg stop time helper]]</f>
        <v>0</v>
      </c>
    </row>
    <row r="413" spans="1:49" x14ac:dyDescent="0.3">
      <c r="A413" s="66" t="s">
        <v>4505</v>
      </c>
      <c r="B413" s="58">
        <v>47</v>
      </c>
      <c r="C413" s="58" t="s">
        <v>10</v>
      </c>
      <c r="D413" s="65">
        <v>531910</v>
      </c>
      <c r="E413" s="65" t="s">
        <v>42</v>
      </c>
      <c r="F413" s="65" t="s">
        <v>2727</v>
      </c>
      <c r="G413" s="65" t="s">
        <v>2726</v>
      </c>
      <c r="H413" s="65" t="s">
        <v>7</v>
      </c>
      <c r="I413" s="65" t="s">
        <v>2721</v>
      </c>
      <c r="J413" s="65" t="s">
        <v>5</v>
      </c>
      <c r="K413" s="65" t="s">
        <v>2720</v>
      </c>
      <c r="L413" s="64" t="s">
        <v>67</v>
      </c>
      <c r="M413" s="58" t="s">
        <v>3</v>
      </c>
      <c r="N413" s="58" t="s">
        <v>2</v>
      </c>
      <c r="O413" s="58">
        <v>128</v>
      </c>
      <c r="P413" s="58">
        <v>0</v>
      </c>
      <c r="Q413" s="58">
        <v>0</v>
      </c>
      <c r="R413" s="58">
        <v>128</v>
      </c>
      <c r="S413" s="58">
        <v>0</v>
      </c>
      <c r="T413" s="58">
        <v>0</v>
      </c>
      <c r="U413" s="58">
        <v>52</v>
      </c>
      <c r="V413" s="62"/>
      <c r="W413" s="62"/>
      <c r="X413" s="63">
        <f>IFERROR(1 -(Master[[#This Row],[Avg Garment Scans per Delivery]]/Master[[#This Row],[Garment Inventory]]), 0)</f>
        <v>0</v>
      </c>
      <c r="Y413" s="62"/>
      <c r="Z413" s="62"/>
      <c r="AA413" s="53">
        <v>75.006568047337296</v>
      </c>
      <c r="AB413" s="53">
        <v>101.7918934911243</v>
      </c>
      <c r="AC413" s="53">
        <v>70.621834319526641</v>
      </c>
      <c r="AD413" s="53">
        <v>136.06278106508879</v>
      </c>
      <c r="AE413" s="53" t="str">
        <f>_xlfn.XLOOKUP(Master[[#This Row],[cu_id]],'[1]Customer Revenue'!$Q:$Q,'[1]Customer Revenue'!$K:$K, "None")</f>
        <v>None</v>
      </c>
      <c r="AF413" s="53" t="str">
        <f>_xlfn.XLOOKUP(Master[[#This Row],[cu_id]],'[1]Customer Revenue'!$Q:$Q,'[1]Customer Revenue'!$L:$L, "None")</f>
        <v>None</v>
      </c>
      <c r="AG413" s="53">
        <v>73.63260355029584</v>
      </c>
      <c r="AH413" s="53">
        <v>96.028934911242573</v>
      </c>
      <c r="AI413" s="53">
        <v>88.399230769230797</v>
      </c>
      <c r="AJ413" s="53">
        <v>103.34230769230771</v>
      </c>
      <c r="AK413" s="53" t="str">
        <f>_xlfn.XLOOKUP(Master[[#This Row],[cu_id]],'[1]Customer Revenue'!$Q:$Q,'[1]Customer Revenue'!$I:$I, "None")</f>
        <v>None</v>
      </c>
      <c r="AL413" s="53">
        <v>84.830769230769207</v>
      </c>
      <c r="AM413" s="61">
        <v>0.33333333333333331</v>
      </c>
      <c r="AN413" s="60">
        <v>0.875</v>
      </c>
      <c r="AO413" s="60" t="s">
        <v>36</v>
      </c>
      <c r="AP413" s="60" t="s">
        <v>36</v>
      </c>
      <c r="AQ413" s="58" t="s">
        <v>0</v>
      </c>
      <c r="AR413" s="58"/>
      <c r="AS413" s="58"/>
      <c r="AT413" s="52">
        <v>0</v>
      </c>
      <c r="AU413" s="52" t="e">
        <f>IF(Master[[#This Row],[RSP StopTime override]] &lt;&gt; "",Master[[#This Row],[RSP StopTime override]],IF(Master[[#This Row],[Avg stop time helper]] &lt;&gt; 0, Master[[#This Row],[Avg stop time helper]],Average_Stop_Time))</f>
        <v>#DIV/0!</v>
      </c>
      <c r="AV413" s="21"/>
      <c r="AW413" s="20">
        <f>Master[[#This Row],[RSP StopTime override]]-Master[[#This Row],[Avg stop time helper]]</f>
        <v>0</v>
      </c>
    </row>
    <row r="414" spans="1:49" x14ac:dyDescent="0.3">
      <c r="A414" s="66" t="s">
        <v>4506</v>
      </c>
      <c r="B414" s="58">
        <v>47</v>
      </c>
      <c r="C414" s="58" t="s">
        <v>10</v>
      </c>
      <c r="D414" s="65">
        <v>531943</v>
      </c>
      <c r="E414" s="65" t="s">
        <v>42</v>
      </c>
      <c r="F414" s="65" t="s">
        <v>2725</v>
      </c>
      <c r="G414" s="65" t="s">
        <v>2724</v>
      </c>
      <c r="H414" s="65" t="s">
        <v>7</v>
      </c>
      <c r="I414" s="65" t="s">
        <v>1930</v>
      </c>
      <c r="J414" s="65" t="s">
        <v>5</v>
      </c>
      <c r="K414" s="65" t="s">
        <v>1929</v>
      </c>
      <c r="L414" s="64" t="s">
        <v>67</v>
      </c>
      <c r="M414" s="58" t="s">
        <v>3</v>
      </c>
      <c r="N414" s="58" t="s">
        <v>2</v>
      </c>
      <c r="O414" s="58">
        <v>25</v>
      </c>
      <c r="P414" s="58">
        <v>0</v>
      </c>
      <c r="Q414" s="58">
        <v>0</v>
      </c>
      <c r="R414" s="58">
        <v>25</v>
      </c>
      <c r="S414" s="58">
        <v>0</v>
      </c>
      <c r="T414" s="58">
        <v>0</v>
      </c>
      <c r="U414" s="58">
        <v>50</v>
      </c>
      <c r="V414" s="62">
        <v>102</v>
      </c>
      <c r="W414" s="62">
        <v>23</v>
      </c>
      <c r="X414" s="63">
        <f>IFERROR(1 -(Master[[#This Row],[Avg Garment Scans per Delivery]]/Master[[#This Row],[Garment Inventory]]), 0)</f>
        <v>0.77450980392156865</v>
      </c>
      <c r="Y414" s="62">
        <v>5</v>
      </c>
      <c r="Z414" s="62">
        <v>78</v>
      </c>
      <c r="AA414" s="53">
        <v>137.3585207100592</v>
      </c>
      <c r="AB414" s="53">
        <v>139.16917159763321</v>
      </c>
      <c r="AC414" s="53">
        <v>137.30431952662721</v>
      </c>
      <c r="AD414" s="53">
        <v>153.83875739644967</v>
      </c>
      <c r="AE414" s="53" t="str">
        <f>_xlfn.XLOOKUP(Master[[#This Row],[cu_id]],'[1]Customer Revenue'!$Q:$Q,'[1]Customer Revenue'!$K:$K, "None")</f>
        <v>None</v>
      </c>
      <c r="AF414" s="53" t="str">
        <f>_xlfn.XLOOKUP(Master[[#This Row],[cu_id]],'[1]Customer Revenue'!$Q:$Q,'[1]Customer Revenue'!$L:$L, "None")</f>
        <v>None</v>
      </c>
      <c r="AG414" s="53">
        <v>131.78781656804748</v>
      </c>
      <c r="AH414" s="53">
        <v>152.84018343195268</v>
      </c>
      <c r="AI414" s="53">
        <v>138.2638461538462</v>
      </c>
      <c r="AJ414" s="53">
        <v>145.57153846153844</v>
      </c>
      <c r="AK414" s="53" t="str">
        <f>_xlfn.XLOOKUP(Master[[#This Row],[cu_id]],'[1]Customer Revenue'!$Q:$Q,'[1]Customer Revenue'!$I:$I, "None")</f>
        <v>None</v>
      </c>
      <c r="AL414" s="53">
        <v>142.31400000000008</v>
      </c>
      <c r="AM414" s="61">
        <v>0.29166666666666669</v>
      </c>
      <c r="AN414" s="60">
        <v>0.70833333333333337</v>
      </c>
      <c r="AO414" s="60" t="s">
        <v>36</v>
      </c>
      <c r="AP414" s="60" t="s">
        <v>36</v>
      </c>
      <c r="AQ414" s="58" t="s">
        <v>0</v>
      </c>
      <c r="AR414" s="58"/>
      <c r="AS414" s="58"/>
      <c r="AT414" s="52">
        <v>0</v>
      </c>
      <c r="AU414" s="52" t="e">
        <f>IF(Master[[#This Row],[RSP StopTime override]] &lt;&gt; "",Master[[#This Row],[RSP StopTime override]],IF(Master[[#This Row],[Avg stop time helper]] &lt;&gt; 0, Master[[#This Row],[Avg stop time helper]],Average_Stop_Time))</f>
        <v>#DIV/0!</v>
      </c>
      <c r="AV414" s="21"/>
      <c r="AW414" s="20">
        <f>Master[[#This Row],[RSP StopTime override]]-Master[[#This Row],[Avg stop time helper]]</f>
        <v>0</v>
      </c>
    </row>
    <row r="415" spans="1:49" x14ac:dyDescent="0.3">
      <c r="A415" s="66" t="s">
        <v>4507</v>
      </c>
      <c r="B415" s="58">
        <v>47</v>
      </c>
      <c r="C415" s="58" t="s">
        <v>10</v>
      </c>
      <c r="D415" s="65">
        <v>532214</v>
      </c>
      <c r="E415" s="65" t="s">
        <v>42</v>
      </c>
      <c r="F415" s="65" t="s">
        <v>2723</v>
      </c>
      <c r="G415" s="65" t="s">
        <v>2722</v>
      </c>
      <c r="H415" s="65" t="s">
        <v>7</v>
      </c>
      <c r="I415" s="65" t="s">
        <v>2721</v>
      </c>
      <c r="J415" s="65" t="s">
        <v>5</v>
      </c>
      <c r="K415" s="65" t="s">
        <v>2720</v>
      </c>
      <c r="L415" s="64" t="s">
        <v>67</v>
      </c>
      <c r="M415" s="58" t="s">
        <v>3</v>
      </c>
      <c r="N415" s="58" t="s">
        <v>2</v>
      </c>
      <c r="O415" s="58">
        <v>130</v>
      </c>
      <c r="P415" s="58">
        <v>0</v>
      </c>
      <c r="Q415" s="58">
        <v>0</v>
      </c>
      <c r="R415" s="58">
        <v>130</v>
      </c>
      <c r="S415" s="58">
        <v>0</v>
      </c>
      <c r="T415" s="58">
        <v>0</v>
      </c>
      <c r="U415" s="58">
        <v>51</v>
      </c>
      <c r="V415" s="62"/>
      <c r="W415" s="62"/>
      <c r="X415" s="63">
        <f>IFERROR(1 -(Master[[#This Row],[Avg Garment Scans per Delivery]]/Master[[#This Row],[Garment Inventory]]), 0)</f>
        <v>0</v>
      </c>
      <c r="Y415" s="62"/>
      <c r="Z415" s="62"/>
      <c r="AA415" s="53">
        <v>73.434580867850087</v>
      </c>
      <c r="AB415" s="53">
        <v>104.37375246548322</v>
      </c>
      <c r="AC415" s="53">
        <v>80.97946745562129</v>
      </c>
      <c r="AD415" s="53">
        <v>99.434378698224833</v>
      </c>
      <c r="AE415" s="53" t="str">
        <f>_xlfn.XLOOKUP(Master[[#This Row],[cu_id]],'[1]Customer Revenue'!$Q:$Q,'[1]Customer Revenue'!$K:$K, "None")</f>
        <v>None</v>
      </c>
      <c r="AF415" s="53" t="str">
        <f>_xlfn.XLOOKUP(Master[[#This Row],[cu_id]],'[1]Customer Revenue'!$Q:$Q,'[1]Customer Revenue'!$L:$L, "None")</f>
        <v>None</v>
      </c>
      <c r="AG415" s="53">
        <v>71.885569230769235</v>
      </c>
      <c r="AH415" s="53">
        <v>93.204030769230783</v>
      </c>
      <c r="AI415" s="53">
        <v>88.904166666666654</v>
      </c>
      <c r="AJ415" s="53">
        <v>90.206923076923061</v>
      </c>
      <c r="AK415" s="53" t="str">
        <f>_xlfn.XLOOKUP(Master[[#This Row],[cu_id]],'[1]Customer Revenue'!$Q:$Q,'[1]Customer Revenue'!$I:$I, "None")</f>
        <v>None</v>
      </c>
      <c r="AL415" s="53">
        <v>82.544800000000009</v>
      </c>
      <c r="AM415" s="61">
        <v>0.45833333333333331</v>
      </c>
      <c r="AN415" s="60">
        <v>0.875</v>
      </c>
      <c r="AO415" s="60" t="s">
        <v>36</v>
      </c>
      <c r="AP415" s="60" t="s">
        <v>36</v>
      </c>
      <c r="AQ415" s="58" t="s">
        <v>0</v>
      </c>
      <c r="AR415" s="58"/>
      <c r="AS415" s="58"/>
      <c r="AT415" s="52">
        <v>0</v>
      </c>
      <c r="AU415" s="52" t="e">
        <f>IF(Master[[#This Row],[RSP StopTime override]] &lt;&gt; "",Master[[#This Row],[RSP StopTime override]],IF(Master[[#This Row],[Avg stop time helper]] &lt;&gt; 0, Master[[#This Row],[Avg stop time helper]],Average_Stop_Time))</f>
        <v>#DIV/0!</v>
      </c>
      <c r="AV415" s="21"/>
      <c r="AW415" s="20">
        <f>Master[[#This Row],[RSP StopTime override]]-Master[[#This Row],[Avg stop time helper]]</f>
        <v>0</v>
      </c>
    </row>
    <row r="416" spans="1:49" x14ac:dyDescent="0.3">
      <c r="A416" s="66" t="s">
        <v>4508</v>
      </c>
      <c r="B416" s="58">
        <v>47</v>
      </c>
      <c r="C416" s="58" t="s">
        <v>10</v>
      </c>
      <c r="D416" s="65">
        <v>532215</v>
      </c>
      <c r="E416" s="65" t="s">
        <v>42</v>
      </c>
      <c r="F416" s="65" t="s">
        <v>2719</v>
      </c>
      <c r="G416" s="65" t="s">
        <v>2718</v>
      </c>
      <c r="H416" s="65" t="s">
        <v>7</v>
      </c>
      <c r="I416" s="65" t="s">
        <v>1930</v>
      </c>
      <c r="J416" s="65" t="s">
        <v>5</v>
      </c>
      <c r="K416" s="65" t="s">
        <v>1929</v>
      </c>
      <c r="L416" s="64" t="s">
        <v>67</v>
      </c>
      <c r="M416" s="58" t="s">
        <v>3</v>
      </c>
      <c r="N416" s="58" t="s">
        <v>2</v>
      </c>
      <c r="O416" s="58">
        <v>40</v>
      </c>
      <c r="P416" s="58">
        <v>0</v>
      </c>
      <c r="Q416" s="58">
        <v>0</v>
      </c>
      <c r="R416" s="58">
        <v>40</v>
      </c>
      <c r="S416" s="58">
        <v>0</v>
      </c>
      <c r="T416" s="58">
        <v>0</v>
      </c>
      <c r="U416" s="58">
        <v>53</v>
      </c>
      <c r="V416" s="62"/>
      <c r="W416" s="62"/>
      <c r="X416" s="63">
        <f>IFERROR(1 -(Master[[#This Row],[Avg Garment Scans per Delivery]]/Master[[#This Row],[Garment Inventory]]), 0)</f>
        <v>0</v>
      </c>
      <c r="Y416" s="62"/>
      <c r="Z416" s="62"/>
      <c r="AA416" s="53">
        <v>142.17389455782322</v>
      </c>
      <c r="AB416" s="53">
        <v>269.2577721088436</v>
      </c>
      <c r="AC416" s="53">
        <v>158.43834319526627</v>
      </c>
      <c r="AD416" s="53">
        <v>195.7247337278107</v>
      </c>
      <c r="AE416" s="53" t="str">
        <f>_xlfn.XLOOKUP(Master[[#This Row],[cu_id]],'[1]Customer Revenue'!$Q:$Q,'[1]Customer Revenue'!$K:$K, "None")</f>
        <v>None</v>
      </c>
      <c r="AF416" s="53" t="str">
        <f>_xlfn.XLOOKUP(Master[[#This Row],[cu_id]],'[1]Customer Revenue'!$Q:$Q,'[1]Customer Revenue'!$L:$L, "None")</f>
        <v>None</v>
      </c>
      <c r="AG416" s="53">
        <v>143.68718024691358</v>
      </c>
      <c r="AH416" s="53">
        <v>229.38001975308643</v>
      </c>
      <c r="AI416" s="53">
        <v>205.71583333333339</v>
      </c>
      <c r="AJ416" s="53">
        <v>177.08153846153849</v>
      </c>
      <c r="AK416" s="53" t="str">
        <f>_xlfn.XLOOKUP(Master[[#This Row],[cu_id]],'[1]Customer Revenue'!$Q:$Q,'[1]Customer Revenue'!$I:$I, "None")</f>
        <v>None</v>
      </c>
      <c r="AL416" s="53">
        <v>186.53360000000001</v>
      </c>
      <c r="AM416" s="61">
        <v>0.33333333333333331</v>
      </c>
      <c r="AN416" s="60">
        <v>0.70833333333333337</v>
      </c>
      <c r="AO416" s="60" t="s">
        <v>36</v>
      </c>
      <c r="AP416" s="60" t="s">
        <v>36</v>
      </c>
      <c r="AQ416" s="58" t="s">
        <v>0</v>
      </c>
      <c r="AR416" s="58"/>
      <c r="AS416" s="58"/>
      <c r="AT416" s="52">
        <v>0</v>
      </c>
      <c r="AU416" s="52" t="e">
        <f>IF(Master[[#This Row],[RSP StopTime override]] &lt;&gt; "",Master[[#This Row],[RSP StopTime override]],IF(Master[[#This Row],[Avg stop time helper]] &lt;&gt; 0, Master[[#This Row],[Avg stop time helper]],Average_Stop_Time))</f>
        <v>#DIV/0!</v>
      </c>
      <c r="AV416" s="21"/>
      <c r="AW416" s="20">
        <f>Master[[#This Row],[RSP StopTime override]]-Master[[#This Row],[Avg stop time helper]]</f>
        <v>0</v>
      </c>
    </row>
    <row r="417" spans="1:49" x14ac:dyDescent="0.3">
      <c r="A417" s="66" t="s">
        <v>4509</v>
      </c>
      <c r="B417" s="58">
        <v>47</v>
      </c>
      <c r="C417" s="58" t="s">
        <v>10</v>
      </c>
      <c r="D417" s="65">
        <v>533348</v>
      </c>
      <c r="E417" s="65" t="s">
        <v>42</v>
      </c>
      <c r="F417" s="65" t="s">
        <v>2717</v>
      </c>
      <c r="G417" s="65" t="s">
        <v>2716</v>
      </c>
      <c r="H417" s="65" t="s">
        <v>7</v>
      </c>
      <c r="I417" s="65" t="s">
        <v>17</v>
      </c>
      <c r="J417" s="65" t="s">
        <v>5</v>
      </c>
      <c r="K417" s="65" t="s">
        <v>16</v>
      </c>
      <c r="L417" s="64" t="s">
        <v>67</v>
      </c>
      <c r="M417" s="58" t="s">
        <v>3</v>
      </c>
      <c r="N417" s="58" t="s">
        <v>2</v>
      </c>
      <c r="O417" s="58">
        <v>12</v>
      </c>
      <c r="P417" s="58">
        <v>0</v>
      </c>
      <c r="Q417" s="58">
        <v>0</v>
      </c>
      <c r="R417" s="58">
        <v>12</v>
      </c>
      <c r="S417" s="58">
        <v>0</v>
      </c>
      <c r="T417" s="58">
        <v>0</v>
      </c>
      <c r="U417" s="58">
        <v>54</v>
      </c>
      <c r="V417" s="62">
        <v>314</v>
      </c>
      <c r="W417" s="62">
        <v>40</v>
      </c>
      <c r="X417" s="63">
        <f>IFERROR(1 -(Master[[#This Row],[Avg Garment Scans per Delivery]]/Master[[#This Row],[Garment Inventory]]), 0)</f>
        <v>0.87261146496815289</v>
      </c>
      <c r="Y417" s="62">
        <v>14</v>
      </c>
      <c r="Z417" s="62">
        <v>304</v>
      </c>
      <c r="AA417" s="53">
        <v>143.13999999999999</v>
      </c>
      <c r="AB417" s="53">
        <v>175.26000000000005</v>
      </c>
      <c r="AC417" s="53">
        <v>168.61213017751481</v>
      </c>
      <c r="AD417" s="53">
        <v>240.85710059171601</v>
      </c>
      <c r="AE417" s="53" t="str">
        <f>_xlfn.XLOOKUP(Master[[#This Row],[cu_id]],'[1]Customer Revenue'!$Q:$Q,'[1]Customer Revenue'!$K:$K, "None")</f>
        <v>None</v>
      </c>
      <c r="AF417" s="53" t="str">
        <f>_xlfn.XLOOKUP(Master[[#This Row],[cu_id]],'[1]Customer Revenue'!$Q:$Q,'[1]Customer Revenue'!$L:$L, "None")</f>
        <v>None</v>
      </c>
      <c r="AG417" s="53">
        <v>86.487283950617297</v>
      </c>
      <c r="AH417" s="53">
        <v>378.35493827160451</v>
      </c>
      <c r="AI417" s="53">
        <v>159.20000000000002</v>
      </c>
      <c r="AJ417" s="53">
        <v>204.73461538461541</v>
      </c>
      <c r="AK417" s="53" t="str">
        <f>_xlfn.XLOOKUP(Master[[#This Row],[cu_id]],'[1]Customer Revenue'!$Q:$Q,'[1]Customer Revenue'!$I:$I, "None")</f>
        <v>None</v>
      </c>
      <c r="AL417" s="53">
        <v>232.42111111111092</v>
      </c>
      <c r="AM417" s="61" t="s">
        <v>36</v>
      </c>
      <c r="AN417" s="60" t="s">
        <v>36</v>
      </c>
      <c r="AO417" s="60" t="s">
        <v>36</v>
      </c>
      <c r="AP417" s="60" t="s">
        <v>36</v>
      </c>
      <c r="AQ417" s="58" t="s">
        <v>0</v>
      </c>
      <c r="AR417" s="58"/>
      <c r="AS417" s="58"/>
      <c r="AT417" s="52">
        <v>0</v>
      </c>
      <c r="AU417" s="52" t="e">
        <f>IF(Master[[#This Row],[RSP StopTime override]] &lt;&gt; "",Master[[#This Row],[RSP StopTime override]],IF(Master[[#This Row],[Avg stop time helper]] &lt;&gt; 0, Master[[#This Row],[Avg stop time helper]],Average_Stop_Time))</f>
        <v>#DIV/0!</v>
      </c>
      <c r="AV417" s="21"/>
      <c r="AW417" s="20">
        <f>Master[[#This Row],[RSP StopTime override]]-Master[[#This Row],[Avg stop time helper]]</f>
        <v>0</v>
      </c>
    </row>
    <row r="418" spans="1:49" x14ac:dyDescent="0.3">
      <c r="A418" s="66" t="s">
        <v>4510</v>
      </c>
      <c r="B418" s="58">
        <v>47</v>
      </c>
      <c r="C418" s="58" t="s">
        <v>10</v>
      </c>
      <c r="D418" s="65">
        <v>533354</v>
      </c>
      <c r="E418" s="65" t="s">
        <v>42</v>
      </c>
      <c r="F418" s="65" t="s">
        <v>2715</v>
      </c>
      <c r="G418" s="65" t="s">
        <v>2714</v>
      </c>
      <c r="H418" s="65" t="s">
        <v>7</v>
      </c>
      <c r="I418" s="65" t="s">
        <v>17</v>
      </c>
      <c r="J418" s="65" t="s">
        <v>5</v>
      </c>
      <c r="K418" s="65" t="s">
        <v>16</v>
      </c>
      <c r="L418" s="64" t="s">
        <v>67</v>
      </c>
      <c r="M418" s="58" t="s">
        <v>3</v>
      </c>
      <c r="N418" s="58" t="s">
        <v>2</v>
      </c>
      <c r="O418" s="58">
        <v>18</v>
      </c>
      <c r="P418" s="58">
        <v>0</v>
      </c>
      <c r="Q418" s="58">
        <v>0</v>
      </c>
      <c r="R418" s="58">
        <v>18</v>
      </c>
      <c r="S418" s="58">
        <v>0</v>
      </c>
      <c r="T418" s="58">
        <v>0</v>
      </c>
      <c r="U418" s="58">
        <v>53</v>
      </c>
      <c r="V418" s="62">
        <v>120</v>
      </c>
      <c r="W418" s="62">
        <v>9</v>
      </c>
      <c r="X418" s="63">
        <f>IFERROR(1 -(Master[[#This Row],[Avg Garment Scans per Delivery]]/Master[[#This Row],[Garment Inventory]]), 0)</f>
        <v>0.92500000000000004</v>
      </c>
      <c r="Y418" s="62">
        <v>5</v>
      </c>
      <c r="Z418" s="62">
        <v>110</v>
      </c>
      <c r="AA418" s="53">
        <v>123.26414201183429</v>
      </c>
      <c r="AB418" s="53">
        <v>149.02816568047334</v>
      </c>
      <c r="AC418" s="53">
        <v>130.39479289940829</v>
      </c>
      <c r="AD418" s="53">
        <v>142.74982248520712</v>
      </c>
      <c r="AE418" s="53" t="str">
        <f>_xlfn.XLOOKUP(Master[[#This Row],[cu_id]],'[1]Customer Revenue'!$Q:$Q,'[1]Customer Revenue'!$K:$K, "None")</f>
        <v>None</v>
      </c>
      <c r="AF418" s="53" t="str">
        <f>_xlfn.XLOOKUP(Master[[#This Row],[cu_id]],'[1]Customer Revenue'!$Q:$Q,'[1]Customer Revenue'!$L:$L, "None")</f>
        <v>None</v>
      </c>
      <c r="AG418" s="53">
        <v>121.95976331360947</v>
      </c>
      <c r="AH418" s="53">
        <v>143.29331360946748</v>
      </c>
      <c r="AI418" s="53">
        <v>136.14615384615382</v>
      </c>
      <c r="AJ418" s="53">
        <v>136.5723076923077</v>
      </c>
      <c r="AK418" s="53" t="str">
        <f>_xlfn.XLOOKUP(Master[[#This Row],[cu_id]],'[1]Customer Revenue'!$Q:$Q,'[1]Customer Revenue'!$I:$I, "None")</f>
        <v>None</v>
      </c>
      <c r="AL418" s="53">
        <v>132.62653846153847</v>
      </c>
      <c r="AM418" s="61">
        <v>0.29166666666666669</v>
      </c>
      <c r="AN418" s="60">
        <v>0.66666666666666663</v>
      </c>
      <c r="AO418" s="60" t="s">
        <v>36</v>
      </c>
      <c r="AP418" s="60" t="s">
        <v>36</v>
      </c>
      <c r="AQ418" s="58" t="s">
        <v>0</v>
      </c>
      <c r="AR418" s="58"/>
      <c r="AS418" s="58"/>
      <c r="AT418" s="52">
        <v>0</v>
      </c>
      <c r="AU418" s="52" t="e">
        <f>IF(Master[[#This Row],[RSP StopTime override]] &lt;&gt; "",Master[[#This Row],[RSP StopTime override]],IF(Master[[#This Row],[Avg stop time helper]] &lt;&gt; 0, Master[[#This Row],[Avg stop time helper]],Average_Stop_Time))</f>
        <v>#DIV/0!</v>
      </c>
      <c r="AV418" s="21"/>
      <c r="AW418" s="20">
        <f>Master[[#This Row],[RSP StopTime override]]-Master[[#This Row],[Avg stop time helper]]</f>
        <v>0</v>
      </c>
    </row>
    <row r="419" spans="1:49" x14ac:dyDescent="0.3">
      <c r="A419" s="66" t="s">
        <v>4511</v>
      </c>
      <c r="B419" s="58">
        <v>47</v>
      </c>
      <c r="C419" s="58" t="s">
        <v>10</v>
      </c>
      <c r="D419" s="65">
        <v>533464</v>
      </c>
      <c r="E419" s="65" t="s">
        <v>42</v>
      </c>
      <c r="F419" s="65" t="s">
        <v>2713</v>
      </c>
      <c r="G419" t="s">
        <v>4072</v>
      </c>
      <c r="H419" s="65" t="s">
        <v>7</v>
      </c>
      <c r="I419" s="65" t="s">
        <v>2712</v>
      </c>
      <c r="J419" s="65" t="s">
        <v>5</v>
      </c>
      <c r="K419" s="65" t="s">
        <v>2711</v>
      </c>
      <c r="L419" s="64" t="s">
        <v>67</v>
      </c>
      <c r="M419" s="58" t="s">
        <v>3</v>
      </c>
      <c r="N419" s="58" t="s">
        <v>2</v>
      </c>
      <c r="O419" s="58">
        <v>138</v>
      </c>
      <c r="P419" s="58">
        <v>0</v>
      </c>
      <c r="Q419" s="58">
        <v>0</v>
      </c>
      <c r="R419" s="58">
        <v>138</v>
      </c>
      <c r="S419" s="58">
        <v>0</v>
      </c>
      <c r="T419" s="58">
        <v>0</v>
      </c>
      <c r="U419" s="58">
        <v>25</v>
      </c>
      <c r="V419" s="62">
        <v>99</v>
      </c>
      <c r="W419" s="62">
        <v>6</v>
      </c>
      <c r="X419" s="63">
        <f>IFERROR(1 -(Master[[#This Row],[Avg Garment Scans per Delivery]]/Master[[#This Row],[Garment Inventory]]), 0)</f>
        <v>0.93939393939393945</v>
      </c>
      <c r="Y419" s="62">
        <v>5</v>
      </c>
      <c r="Z419" s="62">
        <v>99</v>
      </c>
      <c r="AA419" s="53">
        <v>97.550414201183415</v>
      </c>
      <c r="AB419" s="53">
        <v>106.56035502958578</v>
      </c>
      <c r="AC419" s="53">
        <v>102.40769230769232</v>
      </c>
      <c r="AD419" s="53">
        <v>104.5123076923077</v>
      </c>
      <c r="AE419" s="53" t="str">
        <f>_xlfn.XLOOKUP(Master[[#This Row],[cu_id]],'[1]Customer Revenue'!$Q:$Q,'[1]Customer Revenue'!$K:$K, "None")</f>
        <v>None</v>
      </c>
      <c r="AF419" s="53" t="str">
        <f>_xlfn.XLOOKUP(Master[[#This Row],[cu_id]],'[1]Customer Revenue'!$Q:$Q,'[1]Customer Revenue'!$L:$L, "None")</f>
        <v>None</v>
      </c>
      <c r="AG419" s="53">
        <v>90.732091632373127</v>
      </c>
      <c r="AH419" s="53">
        <v>120.3903083676269</v>
      </c>
      <c r="AI419" s="53">
        <v>102.0553846153846</v>
      </c>
      <c r="AJ419" s="53">
        <v>103.46000000000001</v>
      </c>
      <c r="AK419" s="53" t="str">
        <f>_xlfn.XLOOKUP(Master[[#This Row],[cu_id]],'[1]Customer Revenue'!$Q:$Q,'[1]Customer Revenue'!$I:$I, "None")</f>
        <v>None</v>
      </c>
      <c r="AL419" s="53">
        <v>105.56120000000001</v>
      </c>
      <c r="AM419" s="61">
        <v>0.41666666666666669</v>
      </c>
      <c r="AN419" s="60">
        <v>0.79166666666666663</v>
      </c>
      <c r="AO419" s="60" t="s">
        <v>36</v>
      </c>
      <c r="AP419" s="60" t="s">
        <v>36</v>
      </c>
      <c r="AQ419" s="58" t="s">
        <v>0</v>
      </c>
      <c r="AR419" s="58"/>
      <c r="AS419" s="58"/>
      <c r="AT419" s="52">
        <v>0</v>
      </c>
      <c r="AU419" s="52">
        <f>IF(Master[[#This Row],[RSP StopTime override]] &lt;&gt; "",Master[[#This Row],[RSP StopTime override]],IF(Master[[#This Row],[Avg stop time helper]] &lt;&gt; 0, Master[[#This Row],[Avg stop time helper]],Average_Stop_Time))</f>
        <v>10</v>
      </c>
      <c r="AV419" s="21">
        <v>10</v>
      </c>
      <c r="AW419" s="20">
        <f>Master[[#This Row],[RSP StopTime override]]-Master[[#This Row],[Avg stop time helper]]</f>
        <v>10</v>
      </c>
    </row>
    <row r="420" spans="1:49" x14ac:dyDescent="0.3">
      <c r="A420" s="73" t="s">
        <v>4512</v>
      </c>
      <c r="B420" s="64">
        <v>47</v>
      </c>
      <c r="C420" s="64" t="s">
        <v>10</v>
      </c>
      <c r="D420" s="65">
        <v>533598</v>
      </c>
      <c r="E420" s="65" t="s">
        <v>42</v>
      </c>
      <c r="F420" s="65" t="s">
        <v>2710</v>
      </c>
      <c r="G420" s="65" t="s">
        <v>2709</v>
      </c>
      <c r="H420" s="65" t="s">
        <v>7</v>
      </c>
      <c r="I420" s="65" t="s">
        <v>17</v>
      </c>
      <c r="J420" s="65" t="s">
        <v>5</v>
      </c>
      <c r="K420" s="65" t="s">
        <v>16</v>
      </c>
      <c r="L420" s="64" t="s">
        <v>91</v>
      </c>
      <c r="M420" s="65" t="s">
        <v>90</v>
      </c>
      <c r="N420" s="65" t="s">
        <v>2</v>
      </c>
      <c r="O420" s="65">
        <v>122</v>
      </c>
      <c r="P420" s="65">
        <v>0</v>
      </c>
      <c r="Q420" s="65">
        <v>0</v>
      </c>
      <c r="R420" s="65">
        <v>122</v>
      </c>
      <c r="S420" s="65">
        <v>0</v>
      </c>
      <c r="T420" s="65">
        <v>0</v>
      </c>
      <c r="U420" s="65">
        <v>4</v>
      </c>
      <c r="V420" s="65"/>
      <c r="W420" s="65"/>
      <c r="X420" s="72">
        <f>IFERROR(1 -(Master[[#This Row],[Avg Garment Scans per Delivery]]/Master[[#This Row],[Garment Inventory]]), 0)</f>
        <v>0</v>
      </c>
      <c r="Y420" s="65"/>
      <c r="Z420" s="65"/>
      <c r="AA420" s="53"/>
      <c r="AB420" s="53"/>
      <c r="AC420" s="53">
        <v>32.056249999999999</v>
      </c>
      <c r="AD420" s="53">
        <v>70.523750000000007</v>
      </c>
      <c r="AE420" s="53" t="str">
        <f>_xlfn.XLOOKUP(Master[[#This Row],[cu_id]],'[1]Customer Revenue'!$Q:$Q,'[1]Customer Revenue'!$K:$K, "None")</f>
        <v>None</v>
      </c>
      <c r="AF420" s="53" t="str">
        <f>_xlfn.XLOOKUP(Master[[#This Row],[cu_id]],'[1]Customer Revenue'!$Q:$Q,'[1]Customer Revenue'!$L:$L, "None")</f>
        <v>None</v>
      </c>
      <c r="AG420" s="53"/>
      <c r="AH420" s="53"/>
      <c r="AI420" s="53"/>
      <c r="AJ420" s="53">
        <v>51.29</v>
      </c>
      <c r="AK420" s="53" t="str">
        <f>_xlfn.XLOOKUP(Master[[#This Row],[cu_id]],'[1]Customer Revenue'!$Q:$Q,'[1]Customer Revenue'!$I:$I, "None")</f>
        <v>None</v>
      </c>
      <c r="AL420" s="53"/>
      <c r="AM420" s="71" t="s">
        <v>1</v>
      </c>
      <c r="AN420" s="71" t="s">
        <v>1</v>
      </c>
      <c r="AO420" s="71" t="s">
        <v>36</v>
      </c>
      <c r="AP420" s="71" t="s">
        <v>36</v>
      </c>
      <c r="AQ420" s="64" t="s">
        <v>0</v>
      </c>
      <c r="AR420" s="64"/>
      <c r="AS420" s="65"/>
      <c r="AT420" s="52">
        <v>0</v>
      </c>
      <c r="AU420" s="52" t="e">
        <f>IF(Master[[#This Row],[RSP StopTime override]] &lt;&gt; "",Master[[#This Row],[RSP StopTime override]],IF(Master[[#This Row],[Avg stop time helper]] &lt;&gt; 0, Master[[#This Row],[Avg stop time helper]],Average_Stop_Time))</f>
        <v>#DIV/0!</v>
      </c>
      <c r="AV420" s="21"/>
      <c r="AW420" s="20">
        <f>Master[[#This Row],[RSP StopTime override]]-Master[[#This Row],[Avg stop time helper]]</f>
        <v>0</v>
      </c>
    </row>
    <row r="421" spans="1:49" x14ac:dyDescent="0.3">
      <c r="A421" s="81" t="s">
        <v>4513</v>
      </c>
      <c r="B421" s="79">
        <v>47</v>
      </c>
      <c r="C421" s="79" t="s">
        <v>10</v>
      </c>
      <c r="D421" s="80">
        <v>533649</v>
      </c>
      <c r="E421" s="80">
        <v>0</v>
      </c>
      <c r="F421" s="79" t="s">
        <v>2708</v>
      </c>
      <c r="G421" s="79" t="s">
        <v>2707</v>
      </c>
      <c r="H421" s="79" t="s">
        <v>7</v>
      </c>
      <c r="I421" s="79" t="s">
        <v>2706</v>
      </c>
      <c r="J421" s="79" t="s">
        <v>5</v>
      </c>
      <c r="K421" s="79" t="s">
        <v>2705</v>
      </c>
      <c r="L421" s="79">
        <v>1</v>
      </c>
      <c r="M421" s="79" t="s">
        <v>123</v>
      </c>
      <c r="N421" s="79" t="s">
        <v>2</v>
      </c>
      <c r="O421" s="58">
        <v>1</v>
      </c>
      <c r="P421" s="79">
        <v>0</v>
      </c>
      <c r="Q421" s="79">
        <v>0</v>
      </c>
      <c r="R421" s="79">
        <v>1</v>
      </c>
      <c r="S421" s="79">
        <v>0</v>
      </c>
      <c r="T421" s="79">
        <v>0</v>
      </c>
      <c r="U421" s="79"/>
      <c r="V421" s="79"/>
      <c r="W421" s="79"/>
      <c r="X421" s="79"/>
      <c r="Y421" s="79"/>
      <c r="Z421" s="79"/>
      <c r="AA421" s="78">
        <v>58.71</v>
      </c>
      <c r="AB421" s="78"/>
      <c r="AC421" s="78"/>
      <c r="AD421" s="78"/>
      <c r="AE421" s="53" t="str">
        <f>_xlfn.XLOOKUP(Master[[#This Row],[cu_id]],'[1]Customer Revenue'!$Q:$Q,'[1]Customer Revenue'!$K:$K, "None")</f>
        <v>None</v>
      </c>
      <c r="AF421" s="53" t="str">
        <f>_xlfn.XLOOKUP(Master[[#This Row],[cu_id]],'[1]Customer Revenue'!$Q:$Q,'[1]Customer Revenue'!$L:$L, "None")</f>
        <v>None</v>
      </c>
      <c r="AG421" s="78"/>
      <c r="AH421" s="78"/>
      <c r="AI421" s="78"/>
      <c r="AJ421" s="78"/>
      <c r="AK421" s="53" t="str">
        <f>_xlfn.XLOOKUP(Master[[#This Row],[cu_id]],'[1]Customer Revenue'!$Q:$Q,'[1]Customer Revenue'!$I:$I, "None")</f>
        <v>None</v>
      </c>
      <c r="AL421" s="78"/>
      <c r="AM421" s="77" t="s">
        <v>1</v>
      </c>
      <c r="AN421" s="77" t="s">
        <v>1</v>
      </c>
      <c r="AO421" s="77" t="s">
        <v>36</v>
      </c>
      <c r="AP421" s="77" t="s">
        <v>36</v>
      </c>
      <c r="AQ421" s="77" t="s">
        <v>0</v>
      </c>
      <c r="AR421" s="77"/>
      <c r="AS421" s="76"/>
      <c r="AT421" s="76"/>
      <c r="AU421" s="76"/>
      <c r="AV421" s="75"/>
      <c r="AW421" s="20">
        <f>Master[[#This Row],[RSP StopTime override]]-Master[[#This Row],[Avg stop time helper]]</f>
        <v>0</v>
      </c>
    </row>
    <row r="422" spans="1:49" x14ac:dyDescent="0.3">
      <c r="A422" s="66" t="s">
        <v>4514</v>
      </c>
      <c r="B422" s="58">
        <v>47</v>
      </c>
      <c r="C422" s="58" t="s">
        <v>43</v>
      </c>
      <c r="D422" s="65">
        <v>99033</v>
      </c>
      <c r="E422" s="65" t="s">
        <v>2590</v>
      </c>
      <c r="F422" s="65" t="s">
        <v>2704</v>
      </c>
      <c r="G422" s="65" t="s">
        <v>2703</v>
      </c>
      <c r="H422" s="65" t="s">
        <v>2702</v>
      </c>
      <c r="I422" s="65" t="s">
        <v>54</v>
      </c>
      <c r="J422" s="65" t="s">
        <v>5</v>
      </c>
      <c r="K422" s="65" t="s">
        <v>53</v>
      </c>
      <c r="L422" s="64">
        <v>5</v>
      </c>
      <c r="M422" s="58" t="s">
        <v>29</v>
      </c>
      <c r="N422" s="58" t="s">
        <v>2</v>
      </c>
      <c r="O422" s="58">
        <v>77</v>
      </c>
      <c r="P422" s="58">
        <v>0</v>
      </c>
      <c r="Q422" s="58">
        <v>0</v>
      </c>
      <c r="R422" s="58">
        <v>0</v>
      </c>
      <c r="S422" s="58">
        <v>77</v>
      </c>
      <c r="T422" s="58">
        <v>0</v>
      </c>
      <c r="U422" s="58">
        <v>27</v>
      </c>
      <c r="V422" s="62">
        <v>11</v>
      </c>
      <c r="W422" s="62"/>
      <c r="X422" s="63">
        <f>IFERROR(1 -(Master[[#This Row],[Avg Garment Scans per Delivery]]/Master[[#This Row],[Garment Inventory]]), 0)</f>
        <v>1</v>
      </c>
      <c r="Y422" s="62">
        <v>1</v>
      </c>
      <c r="Z422" s="62">
        <v>11</v>
      </c>
      <c r="AA422" s="53">
        <v>105.42111111111112</v>
      </c>
      <c r="AB422" s="53">
        <v>107.26555555555558</v>
      </c>
      <c r="AC422" s="53">
        <v>97.744217687074837</v>
      </c>
      <c r="AD422" s="53">
        <v>180.70911564625848</v>
      </c>
      <c r="AE422" s="53" t="str">
        <f>_xlfn.XLOOKUP(Master[[#This Row],[cu_id]],'[1]Customer Revenue'!$Q:$Q,'[1]Customer Revenue'!$K:$K, "None")</f>
        <v>None</v>
      </c>
      <c r="AF422" s="53" t="str">
        <f>_xlfn.XLOOKUP(Master[[#This Row],[cu_id]],'[1]Customer Revenue'!$Q:$Q,'[1]Customer Revenue'!$L:$L, "None")</f>
        <v>None</v>
      </c>
      <c r="AG422" s="53">
        <v>93.792406311637038</v>
      </c>
      <c r="AH422" s="53">
        <v>124.84092702169626</v>
      </c>
      <c r="AI422" s="53">
        <v>106.34333333333335</v>
      </c>
      <c r="AJ422" s="53">
        <v>139.22666666666666</v>
      </c>
      <c r="AK422" s="53" t="str">
        <f>_xlfn.XLOOKUP(Master[[#This Row],[cu_id]],'[1]Customer Revenue'!$Q:$Q,'[1]Customer Revenue'!$I:$I, "None")</f>
        <v>None</v>
      </c>
      <c r="AL422" s="53">
        <v>109.31666666666665</v>
      </c>
      <c r="AM422" s="61">
        <v>0.29166666666666669</v>
      </c>
      <c r="AN422" s="60">
        <v>0.625</v>
      </c>
      <c r="AO422" s="60" t="s">
        <v>36</v>
      </c>
      <c r="AP422" s="60" t="s">
        <v>36</v>
      </c>
      <c r="AQ422" s="58" t="s">
        <v>0</v>
      </c>
      <c r="AR422" s="58"/>
      <c r="AS422" s="58"/>
      <c r="AT422" s="52">
        <v>0</v>
      </c>
      <c r="AU422" s="52">
        <f>IF(Master[[#This Row],[RSP StopTime override]] &lt;&gt; "",Master[[#This Row],[RSP StopTime override]],IF(Master[[#This Row],[Avg stop time helper]] &lt;&gt; 0, Master[[#This Row],[Avg stop time helper]],Average_Stop_Time))</f>
        <v>10</v>
      </c>
      <c r="AV422" s="21">
        <v>10</v>
      </c>
      <c r="AW422" s="20">
        <f>Master[[#This Row],[RSP StopTime override]]-Master[[#This Row],[Avg stop time helper]]</f>
        <v>10</v>
      </c>
    </row>
    <row r="423" spans="1:49" x14ac:dyDescent="0.3">
      <c r="A423" s="73" t="s">
        <v>4515</v>
      </c>
      <c r="B423" s="64">
        <v>47</v>
      </c>
      <c r="C423" s="64" t="s">
        <v>43</v>
      </c>
      <c r="D423" s="65">
        <v>99033</v>
      </c>
      <c r="E423" s="65" t="s">
        <v>2701</v>
      </c>
      <c r="F423" s="65" t="s">
        <v>2700</v>
      </c>
      <c r="G423" s="65" t="s">
        <v>2699</v>
      </c>
      <c r="H423" s="65" t="s">
        <v>32</v>
      </c>
      <c r="I423" s="65" t="s">
        <v>2184</v>
      </c>
      <c r="J423" s="65" t="s">
        <v>5</v>
      </c>
      <c r="K423" s="65" t="s">
        <v>53</v>
      </c>
      <c r="L423" s="64">
        <v>5</v>
      </c>
      <c r="M423" s="65" t="s">
        <v>140</v>
      </c>
      <c r="N423" s="65" t="s">
        <v>2</v>
      </c>
      <c r="O423" s="65">
        <v>94</v>
      </c>
      <c r="P423" s="65">
        <v>0</v>
      </c>
      <c r="Q423" s="65">
        <v>0</v>
      </c>
      <c r="R423" s="65">
        <v>0</v>
      </c>
      <c r="S423" s="65">
        <v>94</v>
      </c>
      <c r="T423" s="65">
        <v>0</v>
      </c>
      <c r="U423" s="65">
        <v>5</v>
      </c>
      <c r="V423" s="65">
        <v>0</v>
      </c>
      <c r="W423" s="65"/>
      <c r="X423" s="72">
        <f>IFERROR(1 -(Master[[#This Row],[Avg Garment Scans per Delivery]]/Master[[#This Row],[Garment Inventory]]), 0)</f>
        <v>0</v>
      </c>
      <c r="Y423" s="65"/>
      <c r="Z423" s="65"/>
      <c r="AA423" s="53"/>
      <c r="AB423" s="53"/>
      <c r="AC423" s="53">
        <v>21.759897959183675</v>
      </c>
      <c r="AD423" s="53">
        <v>106.27010204081633</v>
      </c>
      <c r="AE423" s="53" t="str">
        <f>_xlfn.XLOOKUP(Master[[#This Row],[cu_id]],'[1]Customer Revenue'!$Q:$Q,'[1]Customer Revenue'!$K:$K, "None")</f>
        <v>None</v>
      </c>
      <c r="AF423" s="53" t="str">
        <f>_xlfn.XLOOKUP(Master[[#This Row],[cu_id]],'[1]Customer Revenue'!$Q:$Q,'[1]Customer Revenue'!$L:$L, "None")</f>
        <v>None</v>
      </c>
      <c r="AG423" s="53"/>
      <c r="AH423" s="53"/>
      <c r="AI423" s="53"/>
      <c r="AJ423" s="53">
        <v>64.015000000000001</v>
      </c>
      <c r="AK423" s="53" t="str">
        <f>_xlfn.XLOOKUP(Master[[#This Row],[cu_id]],'[1]Customer Revenue'!$Q:$Q,'[1]Customer Revenue'!$I:$I, "None")</f>
        <v>None</v>
      </c>
      <c r="AL423" s="53"/>
      <c r="AM423" s="71" t="s">
        <v>1</v>
      </c>
      <c r="AN423" s="71" t="s">
        <v>1</v>
      </c>
      <c r="AO423" s="71" t="s">
        <v>36</v>
      </c>
      <c r="AP423" s="71" t="s">
        <v>36</v>
      </c>
      <c r="AQ423" s="64" t="s">
        <v>0</v>
      </c>
      <c r="AR423" s="64"/>
      <c r="AS423" s="65"/>
      <c r="AT423" s="52">
        <v>0</v>
      </c>
      <c r="AU423" s="52" t="e">
        <f>IF(Master[[#This Row],[RSP StopTime override]] &lt;&gt; "",Master[[#This Row],[RSP StopTime override]],IF(Master[[#This Row],[Avg stop time helper]] &lt;&gt; 0, Master[[#This Row],[Avg stop time helper]],Average_Stop_Time))</f>
        <v>#DIV/0!</v>
      </c>
      <c r="AV423" s="21"/>
      <c r="AW423" s="20">
        <f>Master[[#This Row],[RSP StopTime override]]-Master[[#This Row],[Avg stop time helper]]</f>
        <v>0</v>
      </c>
    </row>
    <row r="424" spans="1:49" x14ac:dyDescent="0.3">
      <c r="A424" s="66" t="s">
        <v>4516</v>
      </c>
      <c r="B424" s="58">
        <v>51</v>
      </c>
      <c r="C424" s="58" t="s">
        <v>24</v>
      </c>
      <c r="D424" s="65">
        <v>99035</v>
      </c>
      <c r="E424" s="65" t="s">
        <v>1807</v>
      </c>
      <c r="F424" s="65" t="s">
        <v>2053</v>
      </c>
      <c r="G424" s="65" t="s">
        <v>2052</v>
      </c>
      <c r="H424" s="65" t="s">
        <v>7</v>
      </c>
      <c r="I424" s="65" t="s">
        <v>12</v>
      </c>
      <c r="J424" s="65" t="s">
        <v>5</v>
      </c>
      <c r="K424" s="65" t="s">
        <v>20</v>
      </c>
      <c r="L424" s="64">
        <v>7</v>
      </c>
      <c r="M424" s="58" t="s">
        <v>205</v>
      </c>
      <c r="N424" s="58" t="s">
        <v>2</v>
      </c>
      <c r="O424" s="58">
        <v>130</v>
      </c>
      <c r="P424" s="58">
        <v>130</v>
      </c>
      <c r="Q424" s="58">
        <v>0</v>
      </c>
      <c r="R424" s="58">
        <v>0</v>
      </c>
      <c r="S424" s="58">
        <v>0</v>
      </c>
      <c r="T424" s="58">
        <v>0</v>
      </c>
      <c r="U424" s="58">
        <v>29</v>
      </c>
      <c r="V424" s="62"/>
      <c r="W424" s="62"/>
      <c r="X424" s="63">
        <f>IFERROR(1 -(Master[[#This Row],[Avg Garment Scans per Delivery]]/Master[[#This Row],[Garment Inventory]]), 0)</f>
        <v>0</v>
      </c>
      <c r="Y424" s="62"/>
      <c r="Z424" s="62"/>
      <c r="AA424" s="53">
        <v>107.98059171597633</v>
      </c>
      <c r="AB424" s="53">
        <v>109.98863905325446</v>
      </c>
      <c r="AC424" s="53">
        <v>75.506400000000014</v>
      </c>
      <c r="AD424" s="53">
        <v>141.86160000000001</v>
      </c>
      <c r="AE424" s="53" t="str">
        <f>_xlfn.XLOOKUP(Master[[#This Row],[cu_id]],'[1]Customer Revenue'!$Q:$Q,'[1]Customer Revenue'!$K:$K, "None")</f>
        <v>None</v>
      </c>
      <c r="AF424" s="53" t="str">
        <f>_xlfn.XLOOKUP(Master[[#This Row],[cu_id]],'[1]Customer Revenue'!$Q:$Q,'[1]Customer Revenue'!$L:$L, "None")</f>
        <v>None</v>
      </c>
      <c r="AG424" s="53">
        <v>108.37621928166351</v>
      </c>
      <c r="AH424" s="53">
        <v>109.52812854442342</v>
      </c>
      <c r="AI424" s="53">
        <v>108.9846153846154</v>
      </c>
      <c r="AJ424" s="53">
        <v>108.68400000000001</v>
      </c>
      <c r="AK424" s="53" t="str">
        <f>_xlfn.XLOOKUP(Master[[#This Row],[cu_id]],'[1]Customer Revenue'!$Q:$Q,'[1]Customer Revenue'!$I:$I, "None")</f>
        <v>None</v>
      </c>
      <c r="AL424" s="53">
        <v>108.95217391304347</v>
      </c>
      <c r="AM424" s="61">
        <v>0.375</v>
      </c>
      <c r="AN424" s="60">
        <v>0.70833333333333337</v>
      </c>
      <c r="AO424" s="60" t="s">
        <v>36</v>
      </c>
      <c r="AP424" s="60" t="s">
        <v>36</v>
      </c>
      <c r="AQ424" s="58" t="s">
        <v>0</v>
      </c>
      <c r="AR424" s="58"/>
      <c r="AS424" s="58"/>
      <c r="AT424" s="52">
        <v>0</v>
      </c>
      <c r="AU424" s="52" t="e">
        <f>IF(Master[[#This Row],[RSP StopTime override]] &lt;&gt; "",Master[[#This Row],[RSP StopTime override]],IF(Master[[#This Row],[Avg stop time helper]] &lt;&gt; 0, Master[[#This Row],[Avg stop time helper]],Average_Stop_Time))</f>
        <v>#DIV/0!</v>
      </c>
      <c r="AV424" s="21"/>
      <c r="AW424" s="20">
        <f>Master[[#This Row],[RSP StopTime override]]-Master[[#This Row],[Avg stop time helper]]</f>
        <v>0</v>
      </c>
    </row>
    <row r="425" spans="1:49" x14ac:dyDescent="0.3">
      <c r="A425" s="66" t="s">
        <v>4517</v>
      </c>
      <c r="B425" s="58">
        <v>12</v>
      </c>
      <c r="C425" s="58" t="s">
        <v>15</v>
      </c>
      <c r="D425" s="65">
        <v>99035</v>
      </c>
      <c r="E425" s="65" t="s">
        <v>1348</v>
      </c>
      <c r="F425" s="65" t="s">
        <v>2982</v>
      </c>
      <c r="G425" s="65" t="s">
        <v>2981</v>
      </c>
      <c r="H425" s="65" t="s">
        <v>7</v>
      </c>
      <c r="I425" s="65" t="s">
        <v>12</v>
      </c>
      <c r="J425" s="65" t="s">
        <v>5</v>
      </c>
      <c r="K425" s="65" t="s">
        <v>197</v>
      </c>
      <c r="L425" s="64">
        <v>7</v>
      </c>
      <c r="M425" s="58" t="s">
        <v>205</v>
      </c>
      <c r="N425" s="58" t="s">
        <v>2</v>
      </c>
      <c r="O425" s="58">
        <v>180</v>
      </c>
      <c r="P425" s="58">
        <v>0</v>
      </c>
      <c r="Q425" s="58">
        <v>0</v>
      </c>
      <c r="R425" s="58">
        <v>0</v>
      </c>
      <c r="S425" s="58">
        <v>0</v>
      </c>
      <c r="T425" s="58">
        <v>180</v>
      </c>
      <c r="U425" s="58">
        <v>29</v>
      </c>
      <c r="V425" s="62"/>
      <c r="W425" s="62"/>
      <c r="X425" s="63">
        <f>IFERROR(1 -(Master[[#This Row],[Avg Garment Scans per Delivery]]/Master[[#This Row],[Garment Inventory]]), 0)</f>
        <v>0</v>
      </c>
      <c r="Y425" s="62"/>
      <c r="Z425" s="62"/>
      <c r="AA425" s="53">
        <v>43.480000000000004</v>
      </c>
      <c r="AB425" s="53">
        <v>44.730000000000018</v>
      </c>
      <c r="AC425" s="53">
        <v>28.980000000000004</v>
      </c>
      <c r="AD425" s="53">
        <v>55.64</v>
      </c>
      <c r="AE425" s="53" t="str">
        <f>_xlfn.XLOOKUP(Master[[#This Row],[cu_id]],'[1]Customer Revenue'!$Q:$Q,'[1]Customer Revenue'!$K:$K, "None")</f>
        <v>None</v>
      </c>
      <c r="AF425" s="53" t="str">
        <f>_xlfn.XLOOKUP(Master[[#This Row],[cu_id]],'[1]Customer Revenue'!$Q:$Q,'[1]Customer Revenue'!$L:$L, "None")</f>
        <v>None</v>
      </c>
      <c r="AG425" s="53">
        <v>40.280254339233572</v>
      </c>
      <c r="AH425" s="53">
        <v>47.588836569857357</v>
      </c>
      <c r="AI425" s="53">
        <v>44.105000000000011</v>
      </c>
      <c r="AJ425" s="53">
        <v>42.31</v>
      </c>
      <c r="AK425" s="53" t="str">
        <f>_xlfn.XLOOKUP(Master[[#This Row],[cu_id]],'[1]Customer Revenue'!$Q:$Q,'[1]Customer Revenue'!$I:$I, "None")</f>
        <v>None</v>
      </c>
      <c r="AL425" s="53">
        <v>43.934545454545464</v>
      </c>
      <c r="AM425" s="61">
        <v>0.375</v>
      </c>
      <c r="AN425" s="60">
        <v>0.66666666666666663</v>
      </c>
      <c r="AO425" s="60" t="s">
        <v>36</v>
      </c>
      <c r="AP425" s="60" t="s">
        <v>36</v>
      </c>
      <c r="AQ425" s="58" t="s">
        <v>0</v>
      </c>
      <c r="AR425" s="58"/>
      <c r="AS425" s="58"/>
      <c r="AT425" s="52">
        <v>0</v>
      </c>
      <c r="AU425" s="52" t="e">
        <f>IF(Master[[#This Row],[RSP StopTime override]] &lt;&gt; "",Master[[#This Row],[RSP StopTime override]],IF(Master[[#This Row],[Avg stop time helper]] &lt;&gt; 0, Master[[#This Row],[Avg stop time helper]],Average_Stop_Time))</f>
        <v>#DIV/0!</v>
      </c>
      <c r="AV425" s="21"/>
      <c r="AW425" s="20">
        <f>Master[[#This Row],[RSP StopTime override]]-Master[[#This Row],[Avg stop time helper]]</f>
        <v>0</v>
      </c>
    </row>
    <row r="426" spans="1:49" x14ac:dyDescent="0.3">
      <c r="A426" s="66" t="s">
        <v>4518</v>
      </c>
      <c r="B426" s="58">
        <v>50</v>
      </c>
      <c r="C426" s="58" t="s">
        <v>35</v>
      </c>
      <c r="D426" s="65">
        <v>99035</v>
      </c>
      <c r="E426" s="65" t="s">
        <v>1989</v>
      </c>
      <c r="F426" s="65" t="s">
        <v>2451</v>
      </c>
      <c r="G426" s="65" t="s">
        <v>2450</v>
      </c>
      <c r="H426" s="65" t="s">
        <v>7</v>
      </c>
      <c r="I426" s="65" t="s">
        <v>2449</v>
      </c>
      <c r="J426" s="65" t="s">
        <v>5</v>
      </c>
      <c r="K426" s="65" t="s">
        <v>1215</v>
      </c>
      <c r="L426" s="64">
        <v>7</v>
      </c>
      <c r="M426" s="58" t="s">
        <v>205</v>
      </c>
      <c r="N426" s="58" t="s">
        <v>2</v>
      </c>
      <c r="O426" s="58">
        <v>80</v>
      </c>
      <c r="P426" s="58">
        <v>0</v>
      </c>
      <c r="Q426" s="58">
        <v>80</v>
      </c>
      <c r="R426" s="58">
        <v>0</v>
      </c>
      <c r="S426" s="58">
        <v>0</v>
      </c>
      <c r="T426" s="58">
        <v>0</v>
      </c>
      <c r="U426" s="58">
        <v>28</v>
      </c>
      <c r="V426" s="62"/>
      <c r="W426" s="62"/>
      <c r="X426" s="63">
        <f>IFERROR(1 -(Master[[#This Row],[Avg Garment Scans per Delivery]]/Master[[#This Row],[Garment Inventory]]), 0)</f>
        <v>0</v>
      </c>
      <c r="Y426" s="62"/>
      <c r="Z426" s="62"/>
      <c r="AA426" s="53">
        <v>46.670414201183434</v>
      </c>
      <c r="AB426" s="53">
        <v>48.268047337278105</v>
      </c>
      <c r="AC426" s="53">
        <v>28.290800000000001</v>
      </c>
      <c r="AD426" s="53">
        <v>59.177199999999999</v>
      </c>
      <c r="AE426" s="53" t="str">
        <f>_xlfn.XLOOKUP(Master[[#This Row],[cu_id]],'[1]Customer Revenue'!$Q:$Q,'[1]Customer Revenue'!$K:$K, "None")</f>
        <v>None</v>
      </c>
      <c r="AF426" s="53" t="str">
        <f>_xlfn.XLOOKUP(Master[[#This Row],[cu_id]],'[1]Customer Revenue'!$Q:$Q,'[1]Customer Revenue'!$L:$L, "None")</f>
        <v>None</v>
      </c>
      <c r="AG426" s="53">
        <v>43.326194363292693</v>
      </c>
      <c r="AH426" s="53">
        <v>51.187442000343701</v>
      </c>
      <c r="AI426" s="53">
        <v>47.469230769230769</v>
      </c>
      <c r="AJ426" s="53">
        <v>43.734000000000002</v>
      </c>
      <c r="AK426" s="53" t="str">
        <f>_xlfn.XLOOKUP(Master[[#This Row],[cu_id]],'[1]Customer Revenue'!$Q:$Q,'[1]Customer Revenue'!$I:$I, "None")</f>
        <v>None</v>
      </c>
      <c r="AL426" s="53">
        <v>47.256818181818197</v>
      </c>
      <c r="AM426" s="61">
        <v>0.375</v>
      </c>
      <c r="AN426" s="60">
        <v>0.66666666666666663</v>
      </c>
      <c r="AO426" s="60" t="s">
        <v>36</v>
      </c>
      <c r="AP426" s="60" t="s">
        <v>36</v>
      </c>
      <c r="AQ426" s="58" t="s">
        <v>0</v>
      </c>
      <c r="AR426" s="58"/>
      <c r="AS426" s="58"/>
      <c r="AT426" s="52">
        <v>0</v>
      </c>
      <c r="AU426" s="52">
        <f>IF(Master[[#This Row],[RSP StopTime override]] &lt;&gt; "",Master[[#This Row],[RSP StopTime override]],IF(Master[[#This Row],[Avg stop time helper]] &lt;&gt; 0, Master[[#This Row],[Avg stop time helper]],Average_Stop_Time))</f>
        <v>7</v>
      </c>
      <c r="AV426" s="21">
        <v>7</v>
      </c>
      <c r="AW426" s="20">
        <f>Master[[#This Row],[RSP StopTime override]]-Master[[#This Row],[Avg stop time helper]]</f>
        <v>7</v>
      </c>
    </row>
    <row r="427" spans="1:49" x14ac:dyDescent="0.3">
      <c r="A427" s="66" t="s">
        <v>4519</v>
      </c>
      <c r="B427" s="58">
        <v>47</v>
      </c>
      <c r="C427" s="58" t="s">
        <v>10</v>
      </c>
      <c r="D427" s="65">
        <v>99035</v>
      </c>
      <c r="E427" s="65" t="s">
        <v>2778</v>
      </c>
      <c r="F427" s="65" t="s">
        <v>2777</v>
      </c>
      <c r="G427" s="65" t="s">
        <v>2776</v>
      </c>
      <c r="H427" s="65" t="s">
        <v>7</v>
      </c>
      <c r="I427" s="65" t="s">
        <v>2712</v>
      </c>
      <c r="J427" s="65" t="s">
        <v>5</v>
      </c>
      <c r="K427" s="65" t="s">
        <v>2711</v>
      </c>
      <c r="L427" s="64">
        <v>7</v>
      </c>
      <c r="M427" s="58" t="s">
        <v>205</v>
      </c>
      <c r="N427" s="58" t="s">
        <v>2</v>
      </c>
      <c r="O427" s="58">
        <v>139</v>
      </c>
      <c r="P427" s="58">
        <v>0</v>
      </c>
      <c r="Q427" s="58">
        <v>0</v>
      </c>
      <c r="R427" s="58">
        <v>140</v>
      </c>
      <c r="S427" s="58">
        <v>0</v>
      </c>
      <c r="T427" s="58">
        <v>0</v>
      </c>
      <c r="U427" s="58">
        <v>29</v>
      </c>
      <c r="V427" s="62"/>
      <c r="W427" s="62"/>
      <c r="X427" s="63">
        <f>IFERROR(1 -(Master[[#This Row],[Avg Garment Scans per Delivery]]/Master[[#This Row],[Garment Inventory]]), 0)</f>
        <v>0</v>
      </c>
      <c r="Y427" s="62"/>
      <c r="Z427" s="62"/>
      <c r="AA427" s="53">
        <v>50.642011834319526</v>
      </c>
      <c r="AB427" s="53">
        <v>53.373372781065079</v>
      </c>
      <c r="AC427" s="53">
        <v>43.656944444444441</v>
      </c>
      <c r="AD427" s="53">
        <v>113.50805555555556</v>
      </c>
      <c r="AE427" s="53" t="str">
        <f>_xlfn.XLOOKUP(Master[[#This Row],[cu_id]],'[1]Customer Revenue'!$Q:$Q,'[1]Customer Revenue'!$K:$K, "None")</f>
        <v>None</v>
      </c>
      <c r="AF427" s="53" t="str">
        <f>_xlfn.XLOOKUP(Master[[#This Row],[cu_id]],'[1]Customer Revenue'!$Q:$Q,'[1]Customer Revenue'!$L:$L, "None")</f>
        <v>None</v>
      </c>
      <c r="AG427" s="53">
        <v>50.749149338374288</v>
      </c>
      <c r="AH427" s="53">
        <v>52.494328922495278</v>
      </c>
      <c r="AI427" s="53">
        <v>52.007692307692302</v>
      </c>
      <c r="AJ427" s="53">
        <v>78.582499999999996</v>
      </c>
      <c r="AK427" s="53" t="str">
        <f>_xlfn.XLOOKUP(Master[[#This Row],[cu_id]],'[1]Customer Revenue'!$Q:$Q,'[1]Customer Revenue'!$I:$I, "None")</f>
        <v>None</v>
      </c>
      <c r="AL427" s="53">
        <v>51.621739130434783</v>
      </c>
      <c r="AM427" s="61">
        <v>0.375</v>
      </c>
      <c r="AN427" s="60">
        <v>0.70833333333333337</v>
      </c>
      <c r="AO427" s="60" t="s">
        <v>36</v>
      </c>
      <c r="AP427" s="60" t="s">
        <v>36</v>
      </c>
      <c r="AQ427" s="58" t="s">
        <v>0</v>
      </c>
      <c r="AR427" s="58"/>
      <c r="AS427" s="58"/>
      <c r="AT427" s="52">
        <v>0</v>
      </c>
      <c r="AU427" s="52" t="e">
        <f>IF(Master[[#This Row],[RSP StopTime override]] &lt;&gt; "",Master[[#This Row],[RSP StopTime override]],IF(Master[[#This Row],[Avg stop time helper]] &lt;&gt; 0, Master[[#This Row],[Avg stop time helper]],Average_Stop_Time))</f>
        <v>#DIV/0!</v>
      </c>
      <c r="AV427" s="21"/>
      <c r="AW427" s="20">
        <f>Master[[#This Row],[RSP StopTime override]]-Master[[#This Row],[Avg stop time helper]]</f>
        <v>0</v>
      </c>
    </row>
    <row r="428" spans="1:49" x14ac:dyDescent="0.3">
      <c r="A428" s="66" t="s">
        <v>4520</v>
      </c>
      <c r="B428" s="58">
        <v>47</v>
      </c>
      <c r="C428" s="58" t="s">
        <v>43</v>
      </c>
      <c r="D428" s="65">
        <v>99051</v>
      </c>
      <c r="E428" s="65" t="s">
        <v>1505</v>
      </c>
      <c r="F428" s="65" t="s">
        <v>2686</v>
      </c>
      <c r="G428" s="65" t="s">
        <v>2685</v>
      </c>
      <c r="H428" s="65" t="s">
        <v>2684</v>
      </c>
      <c r="I428" s="65" t="s">
        <v>2609</v>
      </c>
      <c r="J428" s="65" t="s">
        <v>5</v>
      </c>
      <c r="K428" s="65" t="s">
        <v>2608</v>
      </c>
      <c r="L428" s="64" t="s">
        <v>67</v>
      </c>
      <c r="M428" s="58" t="s">
        <v>3</v>
      </c>
      <c r="N428" s="58" t="s">
        <v>2</v>
      </c>
      <c r="O428" s="58">
        <v>235</v>
      </c>
      <c r="P428" s="58">
        <v>0</v>
      </c>
      <c r="Q428" s="58">
        <v>0</v>
      </c>
      <c r="R428" s="58">
        <v>0</v>
      </c>
      <c r="S428" s="58">
        <v>235</v>
      </c>
      <c r="T428" s="58">
        <v>0</v>
      </c>
      <c r="U428" s="58">
        <v>53</v>
      </c>
      <c r="V428" s="62"/>
      <c r="W428" s="62"/>
      <c r="X428" s="63">
        <f>IFERROR(1 -(Master[[#This Row],[Avg Garment Scans per Delivery]]/Master[[#This Row],[Garment Inventory]]), 0)</f>
        <v>0</v>
      </c>
      <c r="Y428" s="62"/>
      <c r="Z428" s="62"/>
      <c r="AA428" s="53">
        <v>145.9025443786982</v>
      </c>
      <c r="AB428" s="53">
        <v>188.97284023668638</v>
      </c>
      <c r="AC428" s="53">
        <v>135.38530612244895</v>
      </c>
      <c r="AD428" s="53">
        <v>194.14897959183671</v>
      </c>
      <c r="AE428" s="53" t="str">
        <f>_xlfn.XLOOKUP(Master[[#This Row],[cu_id]],'[1]Customer Revenue'!$Q:$Q,'[1]Customer Revenue'!$K:$K, "None")</f>
        <v>None</v>
      </c>
      <c r="AF428" s="53" t="str">
        <f>_xlfn.XLOOKUP(Master[[#This Row],[cu_id]],'[1]Customer Revenue'!$Q:$Q,'[1]Customer Revenue'!$L:$L, "None")</f>
        <v>None</v>
      </c>
      <c r="AG428" s="53">
        <v>162.45165680473369</v>
      </c>
      <c r="AH428" s="53">
        <v>213.9252662721893</v>
      </c>
      <c r="AI428" s="53">
        <v>167.43769230769229</v>
      </c>
      <c r="AJ428" s="53">
        <v>164.76714285714283</v>
      </c>
      <c r="AK428" s="53" t="str">
        <f>_xlfn.XLOOKUP(Master[[#This Row],[cu_id]],'[1]Customer Revenue'!$Q:$Q,'[1]Customer Revenue'!$I:$I, "None")</f>
        <v>None</v>
      </c>
      <c r="AL428" s="53">
        <v>188.1884615384615</v>
      </c>
      <c r="AM428" s="61">
        <v>0.20833333333333334</v>
      </c>
      <c r="AN428" s="60">
        <v>0.5</v>
      </c>
      <c r="AO428" s="60" t="s">
        <v>36</v>
      </c>
      <c r="AP428" s="60" t="s">
        <v>36</v>
      </c>
      <c r="AQ428" s="58" t="s">
        <v>0</v>
      </c>
      <c r="AR428" s="58"/>
      <c r="AS428" s="58"/>
      <c r="AT428" s="52">
        <v>0</v>
      </c>
      <c r="AU428" s="52" t="e">
        <f>IF(Master[[#This Row],[RSP StopTime override]] &lt;&gt; "",Master[[#This Row],[RSP StopTime override]],IF(Master[[#This Row],[Avg stop time helper]] &lt;&gt; 0, Master[[#This Row],[Avg stop time helper]],Average_Stop_Time))</f>
        <v>#DIV/0!</v>
      </c>
      <c r="AV428" s="21"/>
      <c r="AW428" s="20">
        <f>Master[[#This Row],[RSP StopTime override]]-Master[[#This Row],[Avg stop time helper]]</f>
        <v>0</v>
      </c>
    </row>
    <row r="429" spans="1:49" x14ac:dyDescent="0.3">
      <c r="A429" s="66" t="s">
        <v>3951</v>
      </c>
      <c r="B429" s="58">
        <v>47</v>
      </c>
      <c r="C429" s="58" t="s">
        <v>43</v>
      </c>
      <c r="D429" s="65">
        <v>99061</v>
      </c>
      <c r="E429" s="65" t="s">
        <v>2643</v>
      </c>
      <c r="F429" s="65" t="s">
        <v>3629</v>
      </c>
      <c r="G429" s="65" t="s">
        <v>2642</v>
      </c>
      <c r="H429" s="65" t="s">
        <v>7</v>
      </c>
      <c r="I429" s="65" t="s">
        <v>12</v>
      </c>
      <c r="J429" s="65" t="s">
        <v>5</v>
      </c>
      <c r="K429" s="65" t="s">
        <v>197</v>
      </c>
      <c r="L429" s="64" t="s">
        <v>67</v>
      </c>
      <c r="M429" s="58" t="s">
        <v>3</v>
      </c>
      <c r="N429" s="58" t="s">
        <v>2</v>
      </c>
      <c r="O429" s="58">
        <v>10</v>
      </c>
      <c r="P429" s="58">
        <v>0</v>
      </c>
      <c r="Q429" s="58">
        <v>0</v>
      </c>
      <c r="R429" s="58">
        <v>0</v>
      </c>
      <c r="S429" s="58">
        <v>10</v>
      </c>
      <c r="T429" s="58">
        <v>0</v>
      </c>
      <c r="U429" s="58">
        <v>53</v>
      </c>
      <c r="V429" s="62"/>
      <c r="W429" s="62"/>
      <c r="X429" s="63">
        <f>IFERROR(1 -(Master[[#This Row],[Avg Garment Scans per Delivery]]/Master[[#This Row],[Garment Inventory]]), 0)</f>
        <v>0</v>
      </c>
      <c r="Y429" s="62"/>
      <c r="Z429" s="62"/>
      <c r="AA429" s="53">
        <v>2.9998816568047317</v>
      </c>
      <c r="AB429" s="53">
        <v>3.6616568047337275</v>
      </c>
      <c r="AC429" s="53">
        <v>1.028343195266272</v>
      </c>
      <c r="AD429" s="53">
        <v>1.690118343195266</v>
      </c>
      <c r="AE429" s="53" t="str">
        <f>_xlfn.XLOOKUP(Master[[#This Row],[cu_id]],'[1]Customer Revenue'!$Q:$Q,'[1]Customer Revenue'!$K:$K, "None")</f>
        <v>None</v>
      </c>
      <c r="AF429" s="53" t="str">
        <f>_xlfn.XLOOKUP(Master[[#This Row],[cu_id]],'[1]Customer Revenue'!$Q:$Q,'[1]Customer Revenue'!$L:$L, "None")</f>
        <v>None</v>
      </c>
      <c r="AG429" s="53">
        <v>2.1197041420118348</v>
      </c>
      <c r="AH429" s="53">
        <v>3.7649112426035503</v>
      </c>
      <c r="AI429" s="53">
        <v>3.3307692307692296</v>
      </c>
      <c r="AJ429" s="53">
        <v>1.359230769230769</v>
      </c>
      <c r="AK429" s="53" t="str">
        <f>_xlfn.XLOOKUP(Master[[#This Row],[cu_id]],'[1]Customer Revenue'!$Q:$Q,'[1]Customer Revenue'!$I:$I, "None")</f>
        <v>None</v>
      </c>
      <c r="AL429" s="53">
        <v>2.9423076923076925</v>
      </c>
      <c r="AM429" s="61">
        <v>0.20833333333333334</v>
      </c>
      <c r="AN429" s="60">
        <v>0.5</v>
      </c>
      <c r="AO429" s="60" t="s">
        <v>36</v>
      </c>
      <c r="AP429" s="60" t="s">
        <v>36</v>
      </c>
      <c r="AQ429" s="58" t="s">
        <v>0</v>
      </c>
      <c r="AR429" s="58"/>
      <c r="AS429" s="58"/>
      <c r="AT429" s="52">
        <v>0</v>
      </c>
      <c r="AU429" s="52" t="e">
        <f>IF(Master[[#This Row],[RSP StopTime override]] &lt;&gt; "",Master[[#This Row],[RSP StopTime override]],IF(Master[[#This Row],[Avg stop time helper]] &lt;&gt; 0, Master[[#This Row],[Avg stop time helper]],Average_Stop_Time))</f>
        <v>#DIV/0!</v>
      </c>
      <c r="AV429" s="21"/>
      <c r="AW429" s="20">
        <f>Master[[#This Row],[RSP StopTime override]]-Master[[#This Row],[Avg stop time helper]]</f>
        <v>0</v>
      </c>
    </row>
    <row r="430" spans="1:49" x14ac:dyDescent="0.3">
      <c r="A430" s="66" t="s">
        <v>3953</v>
      </c>
      <c r="B430" s="58">
        <v>47</v>
      </c>
      <c r="C430" s="58" t="s">
        <v>43</v>
      </c>
      <c r="D430" s="65">
        <v>99061</v>
      </c>
      <c r="E430" s="65" t="s">
        <v>2683</v>
      </c>
      <c r="F430" s="65" t="s">
        <v>3630</v>
      </c>
      <c r="G430" s="65" t="s">
        <v>2642</v>
      </c>
      <c r="H430" s="65" t="s">
        <v>7</v>
      </c>
      <c r="I430" s="65" t="s">
        <v>12</v>
      </c>
      <c r="J430" s="65" t="s">
        <v>5</v>
      </c>
      <c r="K430" s="65" t="s">
        <v>197</v>
      </c>
      <c r="L430" s="64" t="s">
        <v>67</v>
      </c>
      <c r="M430" s="58" t="s">
        <v>3</v>
      </c>
      <c r="N430" s="58" t="s">
        <v>2</v>
      </c>
      <c r="O430" s="58">
        <v>10</v>
      </c>
      <c r="P430" s="58">
        <v>0</v>
      </c>
      <c r="Q430" s="58">
        <v>0</v>
      </c>
      <c r="R430" s="58">
        <v>0</v>
      </c>
      <c r="S430" s="58">
        <v>10</v>
      </c>
      <c r="T430" s="58">
        <v>0</v>
      </c>
      <c r="U430" s="58">
        <v>54</v>
      </c>
      <c r="V430" s="62"/>
      <c r="W430" s="62"/>
      <c r="X430" s="63">
        <f>IFERROR(1 -(Master[[#This Row],[Avg Garment Scans per Delivery]]/Master[[#This Row],[Garment Inventory]]), 0)</f>
        <v>0</v>
      </c>
      <c r="Y430" s="62"/>
      <c r="Z430" s="62"/>
      <c r="AA430" s="53">
        <v>37.412366863905319</v>
      </c>
      <c r="AB430" s="53">
        <v>48.306094674556206</v>
      </c>
      <c r="AC430" s="53">
        <v>15.910887573964501</v>
      </c>
      <c r="AD430" s="53">
        <v>73.292189349112434</v>
      </c>
      <c r="AE430" s="53" t="str">
        <f>_xlfn.XLOOKUP(Master[[#This Row],[cu_id]],'[1]Customer Revenue'!$Q:$Q,'[1]Customer Revenue'!$K:$K, "None")</f>
        <v>None</v>
      </c>
      <c r="AF430" s="53" t="str">
        <f>_xlfn.XLOOKUP(Master[[#This Row],[cu_id]],'[1]Customer Revenue'!$Q:$Q,'[1]Customer Revenue'!$L:$L, "None")</f>
        <v>None</v>
      </c>
      <c r="AG430" s="53">
        <v>30.5291124260355</v>
      </c>
      <c r="AH430" s="53">
        <v>44.182426035502957</v>
      </c>
      <c r="AI430" s="53">
        <v>42.859230769230763</v>
      </c>
      <c r="AJ430" s="53">
        <v>44.601538461538468</v>
      </c>
      <c r="AK430" s="53" t="str">
        <f>_xlfn.XLOOKUP(Master[[#This Row],[cu_id]],'[1]Customer Revenue'!$Q:$Q,'[1]Customer Revenue'!$I:$I, "None")</f>
        <v>None</v>
      </c>
      <c r="AL430" s="53">
        <v>37.355769230769226</v>
      </c>
      <c r="AM430" s="61">
        <v>0.20833333333333334</v>
      </c>
      <c r="AN430" s="60">
        <v>0.5</v>
      </c>
      <c r="AO430" s="60" t="s">
        <v>36</v>
      </c>
      <c r="AP430" s="60" t="s">
        <v>36</v>
      </c>
      <c r="AQ430" s="58" t="s">
        <v>0</v>
      </c>
      <c r="AR430" s="58"/>
      <c r="AS430" s="58"/>
      <c r="AT430" s="52">
        <v>0</v>
      </c>
      <c r="AU430" s="52" t="e">
        <f>IF(Master[[#This Row],[RSP StopTime override]] &lt;&gt; "",Master[[#This Row],[RSP StopTime override]],IF(Master[[#This Row],[Avg stop time helper]] &lt;&gt; 0, Master[[#This Row],[Avg stop time helper]],Average_Stop_Time))</f>
        <v>#DIV/0!</v>
      </c>
      <c r="AV430" s="21"/>
      <c r="AW430" s="20">
        <f>Master[[#This Row],[RSP StopTime override]]-Master[[#This Row],[Avg stop time helper]]</f>
        <v>0</v>
      </c>
    </row>
    <row r="431" spans="1:49" x14ac:dyDescent="0.3">
      <c r="A431" s="66" t="s">
        <v>3955</v>
      </c>
      <c r="B431" s="58">
        <v>47</v>
      </c>
      <c r="C431" s="58" t="s">
        <v>43</v>
      </c>
      <c r="D431" s="65">
        <v>99061</v>
      </c>
      <c r="E431" s="65" t="s">
        <v>2682</v>
      </c>
      <c r="F431" s="65" t="s">
        <v>3631</v>
      </c>
      <c r="G431" s="65" t="s">
        <v>2642</v>
      </c>
      <c r="H431" s="65" t="s">
        <v>7</v>
      </c>
      <c r="I431" s="65" t="s">
        <v>12</v>
      </c>
      <c r="J431" s="65" t="s">
        <v>5</v>
      </c>
      <c r="K431" s="65" t="s">
        <v>197</v>
      </c>
      <c r="L431" s="64" t="s">
        <v>67</v>
      </c>
      <c r="M431" s="58" t="s">
        <v>3</v>
      </c>
      <c r="N431" s="58" t="s">
        <v>2</v>
      </c>
      <c r="O431" s="58">
        <v>15</v>
      </c>
      <c r="P431" s="58">
        <v>0</v>
      </c>
      <c r="Q431" s="58">
        <v>0</v>
      </c>
      <c r="R431" s="58">
        <v>0</v>
      </c>
      <c r="S431" s="58">
        <v>15</v>
      </c>
      <c r="T431" s="58">
        <v>0</v>
      </c>
      <c r="U431" s="58">
        <v>53</v>
      </c>
      <c r="V431" s="62"/>
      <c r="W431" s="62"/>
      <c r="X431" s="63">
        <f>IFERROR(1 -(Master[[#This Row],[Avg Garment Scans per Delivery]]/Master[[#This Row],[Garment Inventory]]), 0)</f>
        <v>0</v>
      </c>
      <c r="Y431" s="62"/>
      <c r="Z431" s="62"/>
      <c r="AA431" s="53">
        <v>24.48</v>
      </c>
      <c r="AB431" s="53">
        <v>24.48</v>
      </c>
      <c r="AC431" s="53">
        <v>24.573076923076925</v>
      </c>
      <c r="AD431" s="53">
        <v>39.726923076923086</v>
      </c>
      <c r="AE431" s="53" t="str">
        <f>_xlfn.XLOOKUP(Master[[#This Row],[cu_id]],'[1]Customer Revenue'!$Q:$Q,'[1]Customer Revenue'!$K:$K, "None")</f>
        <v>None</v>
      </c>
      <c r="AF431" s="53" t="str">
        <f>_xlfn.XLOOKUP(Master[[#This Row],[cu_id]],'[1]Customer Revenue'!$Q:$Q,'[1]Customer Revenue'!$L:$L, "None")</f>
        <v>None</v>
      </c>
      <c r="AG431" s="53">
        <v>23.889349112426046</v>
      </c>
      <c r="AH431" s="53">
        <v>24.81834319526628</v>
      </c>
      <c r="AI431" s="53">
        <v>24.48</v>
      </c>
      <c r="AJ431" s="53">
        <v>32.150000000000006</v>
      </c>
      <c r="AK431" s="53" t="str">
        <f>_xlfn.XLOOKUP(Master[[#This Row],[cu_id]],'[1]Customer Revenue'!$Q:$Q,'[1]Customer Revenue'!$I:$I, "None")</f>
        <v>None</v>
      </c>
      <c r="AL431" s="53">
        <v>24.353846153846163</v>
      </c>
      <c r="AM431" s="61">
        <v>0.20833333333333334</v>
      </c>
      <c r="AN431" s="60">
        <v>0.5</v>
      </c>
      <c r="AO431" s="60" t="s">
        <v>36</v>
      </c>
      <c r="AP431" s="60" t="s">
        <v>36</v>
      </c>
      <c r="AQ431" s="58" t="s">
        <v>0</v>
      </c>
      <c r="AR431" s="58"/>
      <c r="AS431" s="58"/>
      <c r="AT431" s="52">
        <v>0</v>
      </c>
      <c r="AU431" s="52" t="e">
        <f>IF(Master[[#This Row],[RSP StopTime override]] &lt;&gt; "",Master[[#This Row],[RSP StopTime override]],IF(Master[[#This Row],[Avg stop time helper]] &lt;&gt; 0, Master[[#This Row],[Avg stop time helper]],Average_Stop_Time))</f>
        <v>#DIV/0!</v>
      </c>
      <c r="AV431" s="21"/>
      <c r="AW431" s="20">
        <f>Master[[#This Row],[RSP StopTime override]]-Master[[#This Row],[Avg stop time helper]]</f>
        <v>0</v>
      </c>
    </row>
    <row r="432" spans="1:49" x14ac:dyDescent="0.3">
      <c r="A432" s="66" t="s">
        <v>3957</v>
      </c>
      <c r="B432" s="58">
        <v>47</v>
      </c>
      <c r="C432" s="58" t="s">
        <v>43</v>
      </c>
      <c r="D432" s="65">
        <v>99061</v>
      </c>
      <c r="E432" s="65" t="s">
        <v>2681</v>
      </c>
      <c r="F432" s="65" t="s">
        <v>3632</v>
      </c>
      <c r="G432" s="65" t="s">
        <v>2642</v>
      </c>
      <c r="H432" s="65" t="s">
        <v>7</v>
      </c>
      <c r="I432" s="65" t="s">
        <v>12</v>
      </c>
      <c r="J432" s="65" t="s">
        <v>5</v>
      </c>
      <c r="K432" s="65" t="s">
        <v>197</v>
      </c>
      <c r="L432" s="64" t="s">
        <v>67</v>
      </c>
      <c r="M432" s="58" t="s">
        <v>3</v>
      </c>
      <c r="N432" s="58" t="s">
        <v>2</v>
      </c>
      <c r="O432" s="58">
        <v>20</v>
      </c>
      <c r="P432" s="58">
        <v>0</v>
      </c>
      <c r="Q432" s="58">
        <v>0</v>
      </c>
      <c r="R432" s="58">
        <v>0</v>
      </c>
      <c r="S432" s="58">
        <v>20</v>
      </c>
      <c r="T432" s="58">
        <v>0</v>
      </c>
      <c r="U432" s="58">
        <v>53</v>
      </c>
      <c r="V432" s="62">
        <v>11</v>
      </c>
      <c r="W432" s="62"/>
      <c r="X432" s="63">
        <f>IFERROR(1 -(Master[[#This Row],[Avg Garment Scans per Delivery]]/Master[[#This Row],[Garment Inventory]]), 0)</f>
        <v>1</v>
      </c>
      <c r="Y432" s="62">
        <v>1</v>
      </c>
      <c r="Z432" s="62">
        <v>13</v>
      </c>
      <c r="AA432" s="53">
        <v>2.64</v>
      </c>
      <c r="AB432" s="53">
        <v>2.64</v>
      </c>
      <c r="AC432" s="53">
        <v>2.64</v>
      </c>
      <c r="AD432" s="53">
        <v>2.64</v>
      </c>
      <c r="AE432" s="53" t="str">
        <f>_xlfn.XLOOKUP(Master[[#This Row],[cu_id]],'[1]Customer Revenue'!$Q:$Q,'[1]Customer Revenue'!$K:$K, "None")</f>
        <v>None</v>
      </c>
      <c r="AF432" s="53" t="str">
        <f>_xlfn.XLOOKUP(Master[[#This Row],[cu_id]],'[1]Customer Revenue'!$Q:$Q,'[1]Customer Revenue'!$L:$L, "None")</f>
        <v>None</v>
      </c>
      <c r="AG432" s="53">
        <v>2.5456213017751481</v>
      </c>
      <c r="AH432" s="53">
        <v>2.6497633136094678</v>
      </c>
      <c r="AI432" s="53">
        <v>2.64</v>
      </c>
      <c r="AJ432" s="53">
        <v>2.64</v>
      </c>
      <c r="AK432" s="53" t="str">
        <f>_xlfn.XLOOKUP(Master[[#This Row],[cu_id]],'[1]Customer Revenue'!$Q:$Q,'[1]Customer Revenue'!$I:$I, "None")</f>
        <v>None</v>
      </c>
      <c r="AL432" s="53">
        <v>2.597692307692308</v>
      </c>
      <c r="AM432" s="61">
        <v>0.20833333333333334</v>
      </c>
      <c r="AN432" s="60">
        <v>0.5</v>
      </c>
      <c r="AO432" s="60" t="s">
        <v>36</v>
      </c>
      <c r="AP432" s="60" t="s">
        <v>36</v>
      </c>
      <c r="AQ432" s="58" t="s">
        <v>0</v>
      </c>
      <c r="AR432" s="58"/>
      <c r="AS432" s="58"/>
      <c r="AT432" s="52">
        <v>0</v>
      </c>
      <c r="AU432" s="52" t="e">
        <f>IF(Master[[#This Row],[RSP StopTime override]] &lt;&gt; "",Master[[#This Row],[RSP StopTime override]],IF(Master[[#This Row],[Avg stop time helper]] &lt;&gt; 0, Master[[#This Row],[Avg stop time helper]],Average_Stop_Time))</f>
        <v>#DIV/0!</v>
      </c>
      <c r="AV432" s="21"/>
      <c r="AW432" s="20">
        <f>Master[[#This Row],[RSP StopTime override]]-Master[[#This Row],[Avg stop time helper]]</f>
        <v>0</v>
      </c>
    </row>
    <row r="433" spans="1:49" x14ac:dyDescent="0.3">
      <c r="A433" s="66" t="s">
        <v>3959</v>
      </c>
      <c r="B433" s="58">
        <v>47</v>
      </c>
      <c r="C433" s="58" t="s">
        <v>43</v>
      </c>
      <c r="D433" s="65">
        <v>99061</v>
      </c>
      <c r="E433" s="65" t="s">
        <v>2680</v>
      </c>
      <c r="F433" s="65" t="s">
        <v>3633</v>
      </c>
      <c r="G433" s="65" t="s">
        <v>2642</v>
      </c>
      <c r="H433" s="65" t="s">
        <v>7</v>
      </c>
      <c r="I433" s="65" t="s">
        <v>12</v>
      </c>
      <c r="J433" s="65" t="s">
        <v>5</v>
      </c>
      <c r="K433" s="65" t="s">
        <v>197</v>
      </c>
      <c r="L433" s="64" t="s">
        <v>67</v>
      </c>
      <c r="M433" s="58" t="s">
        <v>3</v>
      </c>
      <c r="N433" s="58" t="s">
        <v>2</v>
      </c>
      <c r="O433" s="58">
        <v>25</v>
      </c>
      <c r="P433" s="58">
        <v>0</v>
      </c>
      <c r="Q433" s="58">
        <v>0</v>
      </c>
      <c r="R433" s="58">
        <v>0</v>
      </c>
      <c r="S433" s="58">
        <v>25</v>
      </c>
      <c r="T433" s="58">
        <v>0</v>
      </c>
      <c r="U433" s="58">
        <v>53</v>
      </c>
      <c r="V433" s="62"/>
      <c r="W433" s="62"/>
      <c r="X433" s="63">
        <f>IFERROR(1 -(Master[[#This Row],[Avg Garment Scans per Delivery]]/Master[[#This Row],[Garment Inventory]]), 0)</f>
        <v>0</v>
      </c>
      <c r="Y433" s="62"/>
      <c r="Z433" s="62"/>
      <c r="AA433" s="53">
        <v>29.68</v>
      </c>
      <c r="AB433" s="53">
        <v>29.680000000000007</v>
      </c>
      <c r="AC433" s="53">
        <v>29.532366863905324</v>
      </c>
      <c r="AD433" s="53">
        <v>43.823017751479298</v>
      </c>
      <c r="AE433" s="53" t="str">
        <f>_xlfn.XLOOKUP(Master[[#This Row],[cu_id]],'[1]Customer Revenue'!$Q:$Q,'[1]Customer Revenue'!$K:$K, "None")</f>
        <v>None</v>
      </c>
      <c r="AF433" s="53" t="str">
        <f>_xlfn.XLOOKUP(Master[[#This Row],[cu_id]],'[1]Customer Revenue'!$Q:$Q,'[1]Customer Revenue'!$L:$L, "None")</f>
        <v>None</v>
      </c>
      <c r="AG433" s="53">
        <v>28.882071005917144</v>
      </c>
      <c r="AH433" s="53">
        <v>29.762544378698212</v>
      </c>
      <c r="AI433" s="53">
        <v>29.680000000000003</v>
      </c>
      <c r="AJ433" s="53">
        <v>36.677692307692311</v>
      </c>
      <c r="AK433" s="53" t="str">
        <f>_xlfn.XLOOKUP(Master[[#This Row],[cu_id]],'[1]Customer Revenue'!$Q:$Q,'[1]Customer Revenue'!$I:$I, "None")</f>
        <v>None</v>
      </c>
      <c r="AL433" s="53">
        <v>29.322307692307678</v>
      </c>
      <c r="AM433" s="61">
        <v>0.20833333333333334</v>
      </c>
      <c r="AN433" s="60">
        <v>0.5</v>
      </c>
      <c r="AO433" s="60" t="s">
        <v>36</v>
      </c>
      <c r="AP433" s="60" t="s">
        <v>36</v>
      </c>
      <c r="AQ433" s="58" t="s">
        <v>0</v>
      </c>
      <c r="AR433" s="58"/>
      <c r="AS433" s="58"/>
      <c r="AT433" s="52">
        <v>0</v>
      </c>
      <c r="AU433" s="52" t="e">
        <f>IF(Master[[#This Row],[RSP StopTime override]] &lt;&gt; "",Master[[#This Row],[RSP StopTime override]],IF(Master[[#This Row],[Avg stop time helper]] &lt;&gt; 0, Master[[#This Row],[Avg stop time helper]],Average_Stop_Time))</f>
        <v>#DIV/0!</v>
      </c>
      <c r="AV433" s="21"/>
      <c r="AW433" s="20">
        <f>Master[[#This Row],[RSP StopTime override]]-Master[[#This Row],[Avg stop time helper]]</f>
        <v>0</v>
      </c>
    </row>
    <row r="434" spans="1:49" x14ac:dyDescent="0.3">
      <c r="A434" s="66" t="s">
        <v>3916</v>
      </c>
      <c r="B434" s="58">
        <v>47</v>
      </c>
      <c r="C434" s="58" t="s">
        <v>43</v>
      </c>
      <c r="D434" s="65">
        <v>99061</v>
      </c>
      <c r="E434" s="65" t="s">
        <v>2641</v>
      </c>
      <c r="F434" s="65" t="s">
        <v>3634</v>
      </c>
      <c r="G434" s="65" t="s">
        <v>2640</v>
      </c>
      <c r="H434" s="65" t="s">
        <v>7</v>
      </c>
      <c r="I434" s="65" t="s">
        <v>2423</v>
      </c>
      <c r="J434" s="65" t="s">
        <v>5</v>
      </c>
      <c r="K434" s="65" t="s">
        <v>197</v>
      </c>
      <c r="L434" s="64" t="s">
        <v>67</v>
      </c>
      <c r="M434" s="58" t="s">
        <v>3</v>
      </c>
      <c r="N434" s="58" t="s">
        <v>2</v>
      </c>
      <c r="O434" s="58">
        <v>53</v>
      </c>
      <c r="P434" s="58">
        <v>0</v>
      </c>
      <c r="Q434" s="58">
        <v>0</v>
      </c>
      <c r="R434" s="58">
        <v>0</v>
      </c>
      <c r="S434" s="58">
        <v>53</v>
      </c>
      <c r="T434" s="58">
        <v>0</v>
      </c>
      <c r="U434" s="58">
        <v>53</v>
      </c>
      <c r="V434" s="62"/>
      <c r="W434" s="62"/>
      <c r="X434" s="63">
        <f>IFERROR(1 -(Master[[#This Row],[Avg Garment Scans per Delivery]]/Master[[#This Row],[Garment Inventory]]), 0)</f>
        <v>0</v>
      </c>
      <c r="Y434" s="62"/>
      <c r="Z434" s="62"/>
      <c r="AA434" s="53">
        <v>17.027988165680473</v>
      </c>
      <c r="AB434" s="53">
        <v>17.868934911242601</v>
      </c>
      <c r="AC434" s="53">
        <v>19.738461538461539</v>
      </c>
      <c r="AD434" s="53">
        <v>21.181538461538462</v>
      </c>
      <c r="AE434" s="53" t="str">
        <f>_xlfn.XLOOKUP(Master[[#This Row],[cu_id]],'[1]Customer Revenue'!$Q:$Q,'[1]Customer Revenue'!$K:$K, "None")</f>
        <v>None</v>
      </c>
      <c r="AF434" s="53" t="str">
        <f>_xlfn.XLOOKUP(Master[[#This Row],[cu_id]],'[1]Customer Revenue'!$Q:$Q,'[1]Customer Revenue'!$L:$L, "None")</f>
        <v>None</v>
      </c>
      <c r="AG434" s="53">
        <v>10.726863905325439</v>
      </c>
      <c r="AH434" s="53">
        <v>19.050059171597631</v>
      </c>
      <c r="AI434" s="53">
        <v>17.448461538461537</v>
      </c>
      <c r="AJ434" s="53">
        <v>20.46</v>
      </c>
      <c r="AK434" s="53" t="str">
        <f>_xlfn.XLOOKUP(Master[[#This Row],[cu_id]],'[1]Customer Revenue'!$Q:$Q,'[1]Customer Revenue'!$I:$I, "None")</f>
        <v>None</v>
      </c>
      <c r="AL434" s="53">
        <v>14.888461538461534</v>
      </c>
      <c r="AM434" s="61">
        <v>0.20833333333333334</v>
      </c>
      <c r="AN434" s="60">
        <v>0.5</v>
      </c>
      <c r="AO434" s="60" t="s">
        <v>36</v>
      </c>
      <c r="AP434" s="60" t="s">
        <v>36</v>
      </c>
      <c r="AQ434" s="58" t="s">
        <v>0</v>
      </c>
      <c r="AR434" s="58"/>
      <c r="AS434" s="58"/>
      <c r="AT434" s="52">
        <v>0</v>
      </c>
      <c r="AU434" s="52" t="e">
        <f>IF(Master[[#This Row],[RSP StopTime override]] &lt;&gt; "",Master[[#This Row],[RSP StopTime override]],IF(Master[[#This Row],[Avg stop time helper]] &lt;&gt; 0, Master[[#This Row],[Avg stop time helper]],Average_Stop_Time))</f>
        <v>#DIV/0!</v>
      </c>
      <c r="AV434" s="21"/>
      <c r="AW434" s="20">
        <f>Master[[#This Row],[RSP StopTime override]]-Master[[#This Row],[Avg stop time helper]]</f>
        <v>0</v>
      </c>
    </row>
    <row r="435" spans="1:49" x14ac:dyDescent="0.3">
      <c r="A435" s="66" t="s">
        <v>3961</v>
      </c>
      <c r="B435" s="58">
        <v>47</v>
      </c>
      <c r="C435" s="58" t="s">
        <v>43</v>
      </c>
      <c r="D435" s="65">
        <v>99061</v>
      </c>
      <c r="E435" s="65" t="s">
        <v>2679</v>
      </c>
      <c r="F435" s="65" t="s">
        <v>3635</v>
      </c>
      <c r="G435" s="65" t="s">
        <v>2642</v>
      </c>
      <c r="H435" s="65" t="s">
        <v>7</v>
      </c>
      <c r="I435" s="65" t="s">
        <v>12</v>
      </c>
      <c r="J435" s="65" t="s">
        <v>5</v>
      </c>
      <c r="K435" s="65" t="s">
        <v>197</v>
      </c>
      <c r="L435" s="64" t="s">
        <v>67</v>
      </c>
      <c r="M435" s="58" t="s">
        <v>3</v>
      </c>
      <c r="N435" s="58" t="s">
        <v>2</v>
      </c>
      <c r="O435" s="58">
        <v>30</v>
      </c>
      <c r="P435" s="58">
        <v>0</v>
      </c>
      <c r="Q435" s="58">
        <v>0</v>
      </c>
      <c r="R435" s="58">
        <v>0</v>
      </c>
      <c r="S435" s="58">
        <v>30</v>
      </c>
      <c r="T435" s="58">
        <v>0</v>
      </c>
      <c r="U435" s="58">
        <v>55</v>
      </c>
      <c r="V435" s="62">
        <v>78</v>
      </c>
      <c r="W435" s="62">
        <v>15</v>
      </c>
      <c r="X435" s="63">
        <f>IFERROR(1 -(Master[[#This Row],[Avg Garment Scans per Delivery]]/Master[[#This Row],[Garment Inventory]]), 0)</f>
        <v>0.80769230769230771</v>
      </c>
      <c r="Y435" s="62">
        <v>3</v>
      </c>
      <c r="Z435" s="62">
        <v>153</v>
      </c>
      <c r="AA435" s="53">
        <v>161.97508875739646</v>
      </c>
      <c r="AB435" s="53">
        <v>162.48798816568041</v>
      </c>
      <c r="AC435" s="53">
        <v>162.29473372781064</v>
      </c>
      <c r="AD435" s="53">
        <v>224.83911242603551</v>
      </c>
      <c r="AE435" s="53" t="str">
        <f>_xlfn.XLOOKUP(Master[[#This Row],[cu_id]],'[1]Customer Revenue'!$Q:$Q,'[1]Customer Revenue'!$K:$K, "None")</f>
        <v>None</v>
      </c>
      <c r="AF435" s="53" t="str">
        <f>_xlfn.XLOOKUP(Master[[#This Row],[cu_id]],'[1]Customer Revenue'!$Q:$Q,'[1]Customer Revenue'!$L:$L, "None")</f>
        <v>None</v>
      </c>
      <c r="AG435" s="53">
        <v>149.80958579881656</v>
      </c>
      <c r="AH435" s="53">
        <v>199.70349112426032</v>
      </c>
      <c r="AI435" s="53">
        <v>162.23153846153843</v>
      </c>
      <c r="AJ435" s="53">
        <v>193.56692307692308</v>
      </c>
      <c r="AK435" s="53" t="str">
        <f>_xlfn.XLOOKUP(Master[[#This Row],[cu_id]],'[1]Customer Revenue'!$Q:$Q,'[1]Customer Revenue'!$I:$I, "None")</f>
        <v>None</v>
      </c>
      <c r="AL435" s="53">
        <v>174.75653846153844</v>
      </c>
      <c r="AM435" s="61">
        <v>0.20833333333333334</v>
      </c>
      <c r="AN435" s="60">
        <v>0.5</v>
      </c>
      <c r="AO435" s="60" t="s">
        <v>36</v>
      </c>
      <c r="AP435" s="60" t="s">
        <v>36</v>
      </c>
      <c r="AQ435" s="58" t="s">
        <v>0</v>
      </c>
      <c r="AR435" s="58"/>
      <c r="AS435" s="58"/>
      <c r="AT435" s="52">
        <v>0</v>
      </c>
      <c r="AU435" s="52" t="e">
        <f>IF(Master[[#This Row],[RSP StopTime override]] &lt;&gt; "",Master[[#This Row],[RSP StopTime override]],IF(Master[[#This Row],[Avg stop time helper]] &lt;&gt; 0, Master[[#This Row],[Avg stop time helper]],Average_Stop_Time))</f>
        <v>#DIV/0!</v>
      </c>
      <c r="AV435" s="21"/>
      <c r="AW435" s="20">
        <f>Master[[#This Row],[RSP StopTime override]]-Master[[#This Row],[Avg stop time helper]]</f>
        <v>0</v>
      </c>
    </row>
    <row r="436" spans="1:49" x14ac:dyDescent="0.3">
      <c r="A436" s="66" t="s">
        <v>3963</v>
      </c>
      <c r="B436" s="58">
        <v>47</v>
      </c>
      <c r="C436" s="58" t="s">
        <v>43</v>
      </c>
      <c r="D436" s="65">
        <v>99061</v>
      </c>
      <c r="E436" s="65" t="s">
        <v>2678</v>
      </c>
      <c r="F436" s="65" t="s">
        <v>3636</v>
      </c>
      <c r="G436" s="65" t="s">
        <v>2642</v>
      </c>
      <c r="H436" s="65" t="s">
        <v>7</v>
      </c>
      <c r="I436" s="65" t="s">
        <v>12</v>
      </c>
      <c r="J436" s="65" t="s">
        <v>5</v>
      </c>
      <c r="K436" s="65" t="s">
        <v>197</v>
      </c>
      <c r="L436" s="64" t="s">
        <v>67</v>
      </c>
      <c r="M436" s="58" t="s">
        <v>3</v>
      </c>
      <c r="N436" s="58" t="s">
        <v>2</v>
      </c>
      <c r="O436" s="58">
        <v>40</v>
      </c>
      <c r="P436" s="58">
        <v>0</v>
      </c>
      <c r="Q436" s="58">
        <v>0</v>
      </c>
      <c r="R436" s="58">
        <v>0</v>
      </c>
      <c r="S436" s="58">
        <v>40</v>
      </c>
      <c r="T436" s="58">
        <v>0</v>
      </c>
      <c r="U436" s="58">
        <v>53</v>
      </c>
      <c r="V436" s="62">
        <v>110</v>
      </c>
      <c r="W436" s="62">
        <v>38</v>
      </c>
      <c r="X436" s="63">
        <f>IFERROR(1 -(Master[[#This Row],[Avg Garment Scans per Delivery]]/Master[[#This Row],[Garment Inventory]]), 0)</f>
        <v>0.65454545454545454</v>
      </c>
      <c r="Y436" s="62">
        <v>5</v>
      </c>
      <c r="Z436" s="62">
        <v>171</v>
      </c>
      <c r="AA436" s="53">
        <v>61.988402366863916</v>
      </c>
      <c r="AB436" s="53">
        <v>69.783905325443811</v>
      </c>
      <c r="AC436" s="53">
        <v>65.790059171597633</v>
      </c>
      <c r="AD436" s="53">
        <v>79.646863905325418</v>
      </c>
      <c r="AE436" s="53" t="str">
        <f>_xlfn.XLOOKUP(Master[[#This Row],[cu_id]],'[1]Customer Revenue'!$Q:$Q,'[1]Customer Revenue'!$K:$K, "None")</f>
        <v>None</v>
      </c>
      <c r="AF436" s="53" t="str">
        <f>_xlfn.XLOOKUP(Master[[#This Row],[cu_id]],'[1]Customer Revenue'!$Q:$Q,'[1]Customer Revenue'!$L:$L, "None")</f>
        <v>None</v>
      </c>
      <c r="AG436" s="53">
        <v>62.573047337278119</v>
      </c>
      <c r="AH436" s="53">
        <v>70.627721893491142</v>
      </c>
      <c r="AI436" s="53">
        <v>65.88615384615386</v>
      </c>
      <c r="AJ436" s="53">
        <v>72.718461538461526</v>
      </c>
      <c r="AK436" s="53" t="str">
        <f>_xlfn.XLOOKUP(Master[[#This Row],[cu_id]],'[1]Customer Revenue'!$Q:$Q,'[1]Customer Revenue'!$I:$I, "None")</f>
        <v>None</v>
      </c>
      <c r="AL436" s="53">
        <v>66.600384615384627</v>
      </c>
      <c r="AM436" s="61">
        <v>0.20833333333333334</v>
      </c>
      <c r="AN436" s="60">
        <v>0.5</v>
      </c>
      <c r="AO436" s="60" t="s">
        <v>36</v>
      </c>
      <c r="AP436" s="60" t="s">
        <v>36</v>
      </c>
      <c r="AQ436" s="58" t="s">
        <v>0</v>
      </c>
      <c r="AR436" s="58"/>
      <c r="AS436" s="58"/>
      <c r="AT436" s="52">
        <v>0</v>
      </c>
      <c r="AU436" s="52" t="e">
        <f>IF(Master[[#This Row],[RSP StopTime override]] &lt;&gt; "",Master[[#This Row],[RSP StopTime override]],IF(Master[[#This Row],[Avg stop time helper]] &lt;&gt; 0, Master[[#This Row],[Avg stop time helper]],Average_Stop_Time))</f>
        <v>#DIV/0!</v>
      </c>
      <c r="AV436" s="21"/>
      <c r="AW436" s="20">
        <f>Master[[#This Row],[RSP StopTime override]]-Master[[#This Row],[Avg stop time helper]]</f>
        <v>0</v>
      </c>
    </row>
    <row r="437" spans="1:49" x14ac:dyDescent="0.3">
      <c r="A437" s="66" t="s">
        <v>3965</v>
      </c>
      <c r="B437" s="58">
        <v>47</v>
      </c>
      <c r="C437" s="58" t="s">
        <v>43</v>
      </c>
      <c r="D437" s="65">
        <v>99061</v>
      </c>
      <c r="E437" s="65" t="s">
        <v>2677</v>
      </c>
      <c r="F437" s="65" t="s">
        <v>3637</v>
      </c>
      <c r="G437" s="65" t="s">
        <v>2642</v>
      </c>
      <c r="H437" s="65" t="s">
        <v>7</v>
      </c>
      <c r="I437" s="65" t="s">
        <v>12</v>
      </c>
      <c r="J437" s="65" t="s">
        <v>5</v>
      </c>
      <c r="K437" s="65" t="s">
        <v>197</v>
      </c>
      <c r="L437" s="64" t="s">
        <v>67</v>
      </c>
      <c r="M437" s="58" t="s">
        <v>3</v>
      </c>
      <c r="N437" s="58" t="s">
        <v>2</v>
      </c>
      <c r="O437" s="58">
        <v>42</v>
      </c>
      <c r="P437" s="58">
        <v>0</v>
      </c>
      <c r="Q437" s="58">
        <v>0</v>
      </c>
      <c r="R437" s="58">
        <v>0</v>
      </c>
      <c r="S437" s="58">
        <v>42</v>
      </c>
      <c r="T437" s="58">
        <v>0</v>
      </c>
      <c r="U437" s="58">
        <v>53</v>
      </c>
      <c r="V437" s="62">
        <v>22</v>
      </c>
      <c r="W437" s="62"/>
      <c r="X437" s="63">
        <f>IFERROR(1 -(Master[[#This Row],[Avg Garment Scans per Delivery]]/Master[[#This Row],[Garment Inventory]]), 0)</f>
        <v>1</v>
      </c>
      <c r="Y437" s="62">
        <v>1</v>
      </c>
      <c r="Z437" s="62">
        <v>22</v>
      </c>
      <c r="AA437" s="53">
        <v>54.369467455621297</v>
      </c>
      <c r="AB437" s="53">
        <v>56.073609467455618</v>
      </c>
      <c r="AC437" s="53">
        <v>62.186923076923073</v>
      </c>
      <c r="AD437" s="53">
        <v>76.273076923076928</v>
      </c>
      <c r="AE437" s="53" t="str">
        <f>_xlfn.XLOOKUP(Master[[#This Row],[cu_id]],'[1]Customer Revenue'!$Q:$Q,'[1]Customer Revenue'!$K:$K, "None")</f>
        <v>None</v>
      </c>
      <c r="AF437" s="53" t="str">
        <f>_xlfn.XLOOKUP(Master[[#This Row],[cu_id]],'[1]Customer Revenue'!$Q:$Q,'[1]Customer Revenue'!$L:$L, "None")</f>
        <v>None</v>
      </c>
      <c r="AG437" s="53">
        <v>53.442514792899409</v>
      </c>
      <c r="AH437" s="53">
        <v>55.725946745562133</v>
      </c>
      <c r="AI437" s="53">
        <v>55.221538461538458</v>
      </c>
      <c r="AJ437" s="53">
        <v>69.23</v>
      </c>
      <c r="AK437" s="53" t="str">
        <f>_xlfn.XLOOKUP(Master[[#This Row],[cu_id]],'[1]Customer Revenue'!$Q:$Q,'[1]Customer Revenue'!$I:$I, "None")</f>
        <v>None</v>
      </c>
      <c r="AL437" s="53">
        <v>54.584230769230771</v>
      </c>
      <c r="AM437" s="61">
        <v>0.20833333333333334</v>
      </c>
      <c r="AN437" s="60">
        <v>0.5</v>
      </c>
      <c r="AO437" s="60" t="s">
        <v>36</v>
      </c>
      <c r="AP437" s="60" t="s">
        <v>36</v>
      </c>
      <c r="AQ437" s="58" t="s">
        <v>0</v>
      </c>
      <c r="AR437" s="58"/>
      <c r="AS437" s="58"/>
      <c r="AT437" s="52">
        <v>0</v>
      </c>
      <c r="AU437" s="52" t="e">
        <f>IF(Master[[#This Row],[RSP StopTime override]] &lt;&gt; "",Master[[#This Row],[RSP StopTime override]],IF(Master[[#This Row],[Avg stop time helper]] &lt;&gt; 0, Master[[#This Row],[Avg stop time helper]],Average_Stop_Time))</f>
        <v>#DIV/0!</v>
      </c>
      <c r="AV437" s="21"/>
      <c r="AW437" s="20">
        <f>Master[[#This Row],[RSP StopTime override]]-Master[[#This Row],[Avg stop time helper]]</f>
        <v>0</v>
      </c>
    </row>
    <row r="438" spans="1:49" x14ac:dyDescent="0.3">
      <c r="A438" s="66" t="s">
        <v>3981</v>
      </c>
      <c r="B438" s="58">
        <v>47</v>
      </c>
      <c r="C438" s="58" t="s">
        <v>43</v>
      </c>
      <c r="D438" s="65">
        <v>99061</v>
      </c>
      <c r="E438" s="65" t="s">
        <v>2676</v>
      </c>
      <c r="F438" s="65" t="s">
        <v>3638</v>
      </c>
      <c r="G438" s="65" t="s">
        <v>2642</v>
      </c>
      <c r="H438" s="65" t="s">
        <v>32</v>
      </c>
      <c r="I438" s="65" t="s">
        <v>12</v>
      </c>
      <c r="J438" s="65" t="s">
        <v>5</v>
      </c>
      <c r="K438" s="65" t="s">
        <v>197</v>
      </c>
      <c r="L438" s="64" t="s">
        <v>67</v>
      </c>
      <c r="M438" s="58" t="s">
        <v>3</v>
      </c>
      <c r="N438" s="58" t="s">
        <v>2</v>
      </c>
      <c r="O438" s="58">
        <v>45</v>
      </c>
      <c r="P438" s="58">
        <v>0</v>
      </c>
      <c r="Q438" s="58">
        <v>0</v>
      </c>
      <c r="R438" s="58">
        <v>0</v>
      </c>
      <c r="S438" s="58">
        <v>45</v>
      </c>
      <c r="T438" s="58">
        <v>0</v>
      </c>
      <c r="U438" s="58">
        <v>53</v>
      </c>
      <c r="V438" s="62"/>
      <c r="W438" s="62"/>
      <c r="X438" s="63">
        <f>IFERROR(1 -(Master[[#This Row],[Avg Garment Scans per Delivery]]/Master[[#This Row],[Garment Inventory]]), 0)</f>
        <v>0</v>
      </c>
      <c r="Y438" s="62"/>
      <c r="Z438" s="62"/>
      <c r="AA438" s="53">
        <v>6.98</v>
      </c>
      <c r="AB438" s="53">
        <v>6.9800000000000058</v>
      </c>
      <c r="AC438" s="53">
        <v>7.257514792899407</v>
      </c>
      <c r="AD438" s="53">
        <v>8.7640236686390516</v>
      </c>
      <c r="AE438" s="53" t="str">
        <f>_xlfn.XLOOKUP(Master[[#This Row],[cu_id]],'[1]Customer Revenue'!$Q:$Q,'[1]Customer Revenue'!$K:$K, "None")</f>
        <v>None</v>
      </c>
      <c r="AF438" s="53" t="str">
        <f>_xlfn.XLOOKUP(Master[[#This Row],[cu_id]],'[1]Customer Revenue'!$Q:$Q,'[1]Customer Revenue'!$L:$L, "None")</f>
        <v>None</v>
      </c>
      <c r="AG438" s="53">
        <v>6.8005029585798793</v>
      </c>
      <c r="AH438" s="53">
        <v>7.1371893491124245</v>
      </c>
      <c r="AI438" s="53">
        <v>6.9800000000000031</v>
      </c>
      <c r="AJ438" s="53">
        <v>8.0107692307692293</v>
      </c>
      <c r="AK438" s="53" t="str">
        <f>_xlfn.XLOOKUP(Master[[#This Row],[cu_id]],'[1]Customer Revenue'!$Q:$Q,'[1]Customer Revenue'!$I:$I, "None")</f>
        <v>None</v>
      </c>
      <c r="AL438" s="53">
        <v>6.9688461538461519</v>
      </c>
      <c r="AM438" s="61">
        <v>0.20833333333333334</v>
      </c>
      <c r="AN438" s="60">
        <v>0.5</v>
      </c>
      <c r="AO438" s="60" t="s">
        <v>36</v>
      </c>
      <c r="AP438" s="60" t="s">
        <v>36</v>
      </c>
      <c r="AQ438" s="58" t="s">
        <v>0</v>
      </c>
      <c r="AR438" s="58"/>
      <c r="AS438" s="58"/>
      <c r="AT438" s="52">
        <v>0</v>
      </c>
      <c r="AU438" s="52" t="e">
        <f>IF(Master[[#This Row],[RSP StopTime override]] &lt;&gt; "",Master[[#This Row],[RSP StopTime override]],IF(Master[[#This Row],[Avg stop time helper]] &lt;&gt; 0, Master[[#This Row],[Avg stop time helper]],Average_Stop_Time))</f>
        <v>#DIV/0!</v>
      </c>
      <c r="AV438" s="21"/>
      <c r="AW438" s="20">
        <f>Master[[#This Row],[RSP StopTime override]]-Master[[#This Row],[Avg stop time helper]]</f>
        <v>0</v>
      </c>
    </row>
    <row r="439" spans="1:49" x14ac:dyDescent="0.3">
      <c r="A439" s="73" t="s">
        <v>3987</v>
      </c>
      <c r="B439" s="64">
        <v>47</v>
      </c>
      <c r="C439" s="64" t="s">
        <v>43</v>
      </c>
      <c r="D439" s="65">
        <v>99061</v>
      </c>
      <c r="E439" s="65" t="s">
        <v>2675</v>
      </c>
      <c r="F439" s="65" t="s">
        <v>3639</v>
      </c>
      <c r="G439" s="65" t="s">
        <v>2642</v>
      </c>
      <c r="H439" s="65" t="s">
        <v>32</v>
      </c>
      <c r="I439" s="65" t="s">
        <v>12</v>
      </c>
      <c r="J439" s="65" t="s">
        <v>5</v>
      </c>
      <c r="K439" s="65" t="s">
        <v>197</v>
      </c>
      <c r="L439" s="64" t="s">
        <v>67</v>
      </c>
      <c r="M439" s="65" t="s">
        <v>3</v>
      </c>
      <c r="N439" s="65" t="s">
        <v>2</v>
      </c>
      <c r="O439" s="65">
        <v>10</v>
      </c>
      <c r="P439" s="65">
        <v>0</v>
      </c>
      <c r="Q439" s="65">
        <v>0</v>
      </c>
      <c r="R439" s="65">
        <v>0</v>
      </c>
      <c r="S439" s="65">
        <v>10</v>
      </c>
      <c r="T439" s="65">
        <v>0</v>
      </c>
      <c r="U439" s="65"/>
      <c r="V439" s="65"/>
      <c r="W439" s="65"/>
      <c r="X439" s="72">
        <f>IFERROR(1 -(Master[[#This Row],[Avg Garment Scans per Delivery]]/Master[[#This Row],[Garment Inventory]]), 0)</f>
        <v>0</v>
      </c>
      <c r="Y439" s="65"/>
      <c r="Z439" s="65"/>
      <c r="AA439" s="53"/>
      <c r="AB439" s="53"/>
      <c r="AC439" s="53"/>
      <c r="AD439" s="53"/>
      <c r="AE439" s="53" t="str">
        <f>_xlfn.XLOOKUP(Master[[#This Row],[cu_id]],'[1]Customer Revenue'!$Q:$Q,'[1]Customer Revenue'!$K:$K, "None")</f>
        <v>None</v>
      </c>
      <c r="AF439" s="53" t="str">
        <f>_xlfn.XLOOKUP(Master[[#This Row],[cu_id]],'[1]Customer Revenue'!$Q:$Q,'[1]Customer Revenue'!$L:$L, "None")</f>
        <v>None</v>
      </c>
      <c r="AG439" s="53"/>
      <c r="AH439" s="53"/>
      <c r="AI439" s="53"/>
      <c r="AJ439" s="53"/>
      <c r="AK439" s="53" t="str">
        <f>_xlfn.XLOOKUP(Master[[#This Row],[cu_id]],'[1]Customer Revenue'!$Q:$Q,'[1]Customer Revenue'!$I:$I, "None")</f>
        <v>None</v>
      </c>
      <c r="AL439" s="53"/>
      <c r="AM439" s="61">
        <v>0.20833333333333334</v>
      </c>
      <c r="AN439" s="60">
        <v>0.5</v>
      </c>
      <c r="AO439" s="71" t="s">
        <v>36</v>
      </c>
      <c r="AP439" s="71" t="s">
        <v>36</v>
      </c>
      <c r="AQ439" s="64" t="s">
        <v>0</v>
      </c>
      <c r="AR439" s="64"/>
      <c r="AS439" s="65"/>
      <c r="AT439" s="52">
        <v>0</v>
      </c>
      <c r="AU439" s="52" t="e">
        <f>IF(Master[[#This Row],[RSP StopTime override]] &lt;&gt; "",Master[[#This Row],[RSP StopTime override]],IF(Master[[#This Row],[Avg stop time helper]] &lt;&gt; 0, Master[[#This Row],[Avg stop time helper]],Average_Stop_Time))</f>
        <v>#DIV/0!</v>
      </c>
      <c r="AV439" s="21"/>
      <c r="AW439" s="20">
        <f>Master[[#This Row],[RSP StopTime override]]-Master[[#This Row],[Avg stop time helper]]</f>
        <v>0</v>
      </c>
    </row>
    <row r="440" spans="1:49" x14ac:dyDescent="0.3">
      <c r="A440" s="66" t="s">
        <v>4521</v>
      </c>
      <c r="B440" s="58">
        <v>47</v>
      </c>
      <c r="C440" s="58" t="s">
        <v>43</v>
      </c>
      <c r="D440" s="65">
        <v>99061</v>
      </c>
      <c r="E440" s="65" t="s">
        <v>1961</v>
      </c>
      <c r="F440" s="65" t="s">
        <v>2674</v>
      </c>
      <c r="G440" s="65" t="s">
        <v>2637</v>
      </c>
      <c r="H440" s="65" t="s">
        <v>32</v>
      </c>
      <c r="I440" s="65" t="s">
        <v>2184</v>
      </c>
      <c r="J440" s="65" t="s">
        <v>5</v>
      </c>
      <c r="K440" s="65" t="s">
        <v>53</v>
      </c>
      <c r="L440" s="64" t="s">
        <v>67</v>
      </c>
      <c r="M440" s="58" t="s">
        <v>3</v>
      </c>
      <c r="N440" s="58" t="s">
        <v>2</v>
      </c>
      <c r="O440" s="58">
        <v>100</v>
      </c>
      <c r="P440" s="58">
        <v>0</v>
      </c>
      <c r="Q440" s="58">
        <v>0</v>
      </c>
      <c r="R440" s="58">
        <v>0</v>
      </c>
      <c r="S440" s="58">
        <v>100</v>
      </c>
      <c r="T440" s="58">
        <v>0</v>
      </c>
      <c r="U440" s="58">
        <v>53</v>
      </c>
      <c r="V440" s="62"/>
      <c r="W440" s="62"/>
      <c r="X440" s="63">
        <f>IFERROR(1 -(Master[[#This Row],[Avg Garment Scans per Delivery]]/Master[[#This Row],[Garment Inventory]]), 0)</f>
        <v>0</v>
      </c>
      <c r="Y440" s="62"/>
      <c r="Z440" s="62"/>
      <c r="AA440" s="53">
        <v>5.2330769230769238</v>
      </c>
      <c r="AB440" s="53">
        <v>5.7869230769230775</v>
      </c>
      <c r="AC440" s="53">
        <v>7.31</v>
      </c>
      <c r="AD440" s="53">
        <v>7.3100000000000032</v>
      </c>
      <c r="AE440" s="53" t="str">
        <f>_xlfn.XLOOKUP(Master[[#This Row],[cu_id]],'[1]Customer Revenue'!$Q:$Q,'[1]Customer Revenue'!$K:$K, "None")</f>
        <v>None</v>
      </c>
      <c r="AF440" s="53" t="str">
        <f>_xlfn.XLOOKUP(Master[[#This Row],[cu_id]],'[1]Customer Revenue'!$Q:$Q,'[1]Customer Revenue'!$L:$L, "None")</f>
        <v>None</v>
      </c>
      <c r="AG440" s="53">
        <v>5.2244970414201184</v>
      </c>
      <c r="AH440" s="53">
        <v>5.52242603550296</v>
      </c>
      <c r="AI440" s="53">
        <v>5.5100000000000007</v>
      </c>
      <c r="AJ440" s="53">
        <v>7.3100000000000014</v>
      </c>
      <c r="AK440" s="53" t="str">
        <f>_xlfn.XLOOKUP(Master[[#This Row],[cu_id]],'[1]Customer Revenue'!$Q:$Q,'[1]Customer Revenue'!$I:$I, "None")</f>
        <v>None</v>
      </c>
      <c r="AL440" s="53">
        <v>5.3734615384615392</v>
      </c>
      <c r="AM440" s="61">
        <v>0.25</v>
      </c>
      <c r="AN440" s="60">
        <v>0.5</v>
      </c>
      <c r="AO440" s="60" t="s">
        <v>36</v>
      </c>
      <c r="AP440" s="60" t="s">
        <v>36</v>
      </c>
      <c r="AQ440" s="58" t="s">
        <v>0</v>
      </c>
      <c r="AR440" s="58"/>
      <c r="AS440" s="58"/>
      <c r="AT440" s="52">
        <v>0</v>
      </c>
      <c r="AU440" s="52" t="e">
        <f>IF(Master[[#This Row],[RSP StopTime override]] &lt;&gt; "",Master[[#This Row],[RSP StopTime override]],IF(Master[[#This Row],[Avg stop time helper]] &lt;&gt; 0, Master[[#This Row],[Avg stop time helper]],Average_Stop_Time))</f>
        <v>#DIV/0!</v>
      </c>
      <c r="AV440" s="21"/>
      <c r="AW440" s="20">
        <f>Master[[#This Row],[RSP StopTime override]]-Master[[#This Row],[Avg stop time helper]]</f>
        <v>0</v>
      </c>
    </row>
    <row r="441" spans="1:49" x14ac:dyDescent="0.3">
      <c r="A441" s="66" t="s">
        <v>4522</v>
      </c>
      <c r="B441" s="58">
        <v>47</v>
      </c>
      <c r="C441" s="58" t="s">
        <v>43</v>
      </c>
      <c r="D441" s="65">
        <v>99061</v>
      </c>
      <c r="E441" s="65" t="s">
        <v>2639</v>
      </c>
      <c r="F441" s="65" t="s">
        <v>2673</v>
      </c>
      <c r="G441" s="65" t="s">
        <v>2637</v>
      </c>
      <c r="H441" s="65" t="s">
        <v>32</v>
      </c>
      <c r="I441" s="65" t="s">
        <v>2184</v>
      </c>
      <c r="J441" s="65" t="s">
        <v>5</v>
      </c>
      <c r="K441" s="65" t="s">
        <v>53</v>
      </c>
      <c r="L441" s="64" t="s">
        <v>67</v>
      </c>
      <c r="M441" s="58" t="s">
        <v>3</v>
      </c>
      <c r="N441" s="58" t="s">
        <v>2</v>
      </c>
      <c r="O441" s="58">
        <v>100</v>
      </c>
      <c r="P441" s="58">
        <v>0</v>
      </c>
      <c r="Q441" s="58">
        <v>0</v>
      </c>
      <c r="R441" s="58">
        <v>0</v>
      </c>
      <c r="S441" s="58">
        <v>100</v>
      </c>
      <c r="T441" s="58">
        <v>0</v>
      </c>
      <c r="U441" s="58">
        <v>53</v>
      </c>
      <c r="V441" s="62"/>
      <c r="W441" s="62"/>
      <c r="X441" s="63">
        <f>IFERROR(1 -(Master[[#This Row],[Avg Garment Scans per Delivery]]/Master[[#This Row],[Garment Inventory]]), 0)</f>
        <v>0</v>
      </c>
      <c r="Y441" s="62"/>
      <c r="Z441" s="62"/>
      <c r="AA441" s="53">
        <v>43.019999999999975</v>
      </c>
      <c r="AB441" s="53">
        <v>43.02</v>
      </c>
      <c r="AC441" s="53">
        <v>43.781242603550311</v>
      </c>
      <c r="AD441" s="53">
        <v>58.887988165680483</v>
      </c>
      <c r="AE441" s="53" t="str">
        <f>_xlfn.XLOOKUP(Master[[#This Row],[cu_id]],'[1]Customer Revenue'!$Q:$Q,'[1]Customer Revenue'!$K:$K, "None")</f>
        <v>None</v>
      </c>
      <c r="AF441" s="53" t="str">
        <f>_xlfn.XLOOKUP(Master[[#This Row],[cu_id]],'[1]Customer Revenue'!$Q:$Q,'[1]Customer Revenue'!$L:$L, "None")</f>
        <v>None</v>
      </c>
      <c r="AG441" s="53">
        <v>41.345147928994081</v>
      </c>
      <c r="AH441" s="53">
        <v>49.407159763313587</v>
      </c>
      <c r="AI441" s="53">
        <v>43.019999999999989</v>
      </c>
      <c r="AJ441" s="53">
        <v>51.334615384615397</v>
      </c>
      <c r="AK441" s="53" t="str">
        <f>_xlfn.XLOOKUP(Master[[#This Row],[cu_id]],'[1]Customer Revenue'!$Q:$Q,'[1]Customer Revenue'!$I:$I, "None")</f>
        <v>None</v>
      </c>
      <c r="AL441" s="53">
        <v>45.376153846153834</v>
      </c>
      <c r="AM441" s="61">
        <v>0.25</v>
      </c>
      <c r="AN441" s="60">
        <v>0.5</v>
      </c>
      <c r="AO441" s="60" t="s">
        <v>36</v>
      </c>
      <c r="AP441" s="60" t="s">
        <v>36</v>
      </c>
      <c r="AQ441" s="58" t="s">
        <v>0</v>
      </c>
      <c r="AR441" s="58"/>
      <c r="AS441" s="58"/>
      <c r="AT441" s="52">
        <v>0</v>
      </c>
      <c r="AU441" s="52" t="e">
        <f>IF(Master[[#This Row],[RSP StopTime override]] &lt;&gt; "",Master[[#This Row],[RSP StopTime override]],IF(Master[[#This Row],[Avg stop time helper]] &lt;&gt; 0, Master[[#This Row],[Avg stop time helper]],Average_Stop_Time))</f>
        <v>#DIV/0!</v>
      </c>
      <c r="AV441" s="21"/>
      <c r="AW441" s="20">
        <f>Master[[#This Row],[RSP StopTime override]]-Master[[#This Row],[Avg stop time helper]]</f>
        <v>0</v>
      </c>
    </row>
    <row r="442" spans="1:49" x14ac:dyDescent="0.3">
      <c r="A442" s="66" t="s">
        <v>4523</v>
      </c>
      <c r="B442" s="58">
        <v>47</v>
      </c>
      <c r="C442" s="58" t="s">
        <v>43</v>
      </c>
      <c r="D442" s="65">
        <v>99061</v>
      </c>
      <c r="E442" s="65" t="s">
        <v>2672</v>
      </c>
      <c r="F442" s="65" t="s">
        <v>2671</v>
      </c>
      <c r="G442" s="65" t="s">
        <v>2637</v>
      </c>
      <c r="H442" s="65" t="s">
        <v>32</v>
      </c>
      <c r="I442" s="65" t="s">
        <v>2184</v>
      </c>
      <c r="J442" s="65" t="s">
        <v>5</v>
      </c>
      <c r="K442" s="65" t="s">
        <v>53</v>
      </c>
      <c r="L442" s="64" t="s">
        <v>67</v>
      </c>
      <c r="M442" s="58" t="s">
        <v>3</v>
      </c>
      <c r="N442" s="58" t="s">
        <v>2</v>
      </c>
      <c r="O442" s="58">
        <v>100</v>
      </c>
      <c r="P442" s="58">
        <v>0</v>
      </c>
      <c r="Q442" s="58">
        <v>0</v>
      </c>
      <c r="R442" s="58">
        <v>0</v>
      </c>
      <c r="S442" s="58">
        <v>100</v>
      </c>
      <c r="T442" s="58">
        <v>0</v>
      </c>
      <c r="U442" s="58">
        <v>53</v>
      </c>
      <c r="V442" s="62"/>
      <c r="W442" s="62"/>
      <c r="X442" s="63">
        <f>IFERROR(1 -(Master[[#This Row],[Avg Garment Scans per Delivery]]/Master[[#This Row],[Garment Inventory]]), 0)</f>
        <v>0</v>
      </c>
      <c r="Y442" s="62"/>
      <c r="Z442" s="62"/>
      <c r="AA442" s="53">
        <v>23.419940828402364</v>
      </c>
      <c r="AB442" s="53">
        <v>25.424674556213017</v>
      </c>
      <c r="AC442" s="53">
        <v>22.097928994082842</v>
      </c>
      <c r="AD442" s="53">
        <v>37.848224852071006</v>
      </c>
      <c r="AE442" s="53" t="str">
        <f>_xlfn.XLOOKUP(Master[[#This Row],[cu_id]],'[1]Customer Revenue'!$Q:$Q,'[1]Customer Revenue'!$K:$K, "None")</f>
        <v>None</v>
      </c>
      <c r="AF442" s="53" t="str">
        <f>_xlfn.XLOOKUP(Master[[#This Row],[cu_id]],'[1]Customer Revenue'!$Q:$Q,'[1]Customer Revenue'!$L:$L, "None")</f>
        <v>None</v>
      </c>
      <c r="AG442" s="53">
        <v>21.720177514792891</v>
      </c>
      <c r="AH442" s="53">
        <v>25.296745562130173</v>
      </c>
      <c r="AI442" s="53">
        <v>24.42230769230769</v>
      </c>
      <c r="AJ442" s="53">
        <v>29.973076923076924</v>
      </c>
      <c r="AK442" s="53" t="str">
        <f>_xlfn.XLOOKUP(Master[[#This Row],[cu_id]],'[1]Customer Revenue'!$Q:$Q,'[1]Customer Revenue'!$I:$I, "None")</f>
        <v>None</v>
      </c>
      <c r="AL442" s="53">
        <v>23.508461538461532</v>
      </c>
      <c r="AM442" s="61">
        <v>0.25</v>
      </c>
      <c r="AN442" s="60">
        <v>0.5</v>
      </c>
      <c r="AO442" s="60" t="s">
        <v>36</v>
      </c>
      <c r="AP442" s="60" t="s">
        <v>36</v>
      </c>
      <c r="AQ442" s="58" t="s">
        <v>0</v>
      </c>
      <c r="AR442" s="58"/>
      <c r="AS442" s="58"/>
      <c r="AT442" s="52">
        <v>0</v>
      </c>
      <c r="AU442" s="52" t="e">
        <f>IF(Master[[#This Row],[RSP StopTime override]] &lt;&gt; "",Master[[#This Row],[RSP StopTime override]],IF(Master[[#This Row],[Avg stop time helper]] &lt;&gt; 0, Master[[#This Row],[Avg stop time helper]],Average_Stop_Time))</f>
        <v>#DIV/0!</v>
      </c>
      <c r="AV442" s="21"/>
      <c r="AW442" s="20">
        <f>Master[[#This Row],[RSP StopTime override]]-Master[[#This Row],[Avg stop time helper]]</f>
        <v>0</v>
      </c>
    </row>
    <row r="443" spans="1:49" x14ac:dyDescent="0.3">
      <c r="A443" s="66" t="s">
        <v>4524</v>
      </c>
      <c r="B443" s="58">
        <v>47</v>
      </c>
      <c r="C443" s="58" t="s">
        <v>43</v>
      </c>
      <c r="D443" s="65">
        <v>99061</v>
      </c>
      <c r="E443" s="65" t="s">
        <v>1151</v>
      </c>
      <c r="F443" s="65" t="s">
        <v>2670</v>
      </c>
      <c r="G443" s="65" t="s">
        <v>2637</v>
      </c>
      <c r="H443" s="65" t="s">
        <v>32</v>
      </c>
      <c r="I443" s="65" t="s">
        <v>2184</v>
      </c>
      <c r="J443" s="65" t="s">
        <v>5</v>
      </c>
      <c r="K443" s="65" t="s">
        <v>53</v>
      </c>
      <c r="L443" s="64" t="s">
        <v>67</v>
      </c>
      <c r="M443" s="58" t="s">
        <v>3</v>
      </c>
      <c r="N443" s="58" t="s">
        <v>2</v>
      </c>
      <c r="O443" s="58">
        <v>100</v>
      </c>
      <c r="P443" s="58">
        <v>0</v>
      </c>
      <c r="Q443" s="58">
        <v>0</v>
      </c>
      <c r="R443" s="58">
        <v>0</v>
      </c>
      <c r="S443" s="58">
        <v>100</v>
      </c>
      <c r="T443" s="58">
        <v>0</v>
      </c>
      <c r="U443" s="58">
        <v>53</v>
      </c>
      <c r="V443" s="62"/>
      <c r="W443" s="62"/>
      <c r="X443" s="63">
        <f>IFERROR(1 -(Master[[#This Row],[Avg Garment Scans per Delivery]]/Master[[#This Row],[Garment Inventory]]), 0)</f>
        <v>0</v>
      </c>
      <c r="Y443" s="62"/>
      <c r="Z443" s="62"/>
      <c r="AA443" s="53">
        <v>6.98</v>
      </c>
      <c r="AB443" s="53">
        <v>6.9800000000000058</v>
      </c>
      <c r="AC443" s="53">
        <v>7.2218343195266277</v>
      </c>
      <c r="AD443" s="53">
        <v>9.1089349112426046</v>
      </c>
      <c r="AE443" s="53" t="str">
        <f>_xlfn.XLOOKUP(Master[[#This Row],[cu_id]],'[1]Customer Revenue'!$Q:$Q,'[1]Customer Revenue'!$K:$K, "None")</f>
        <v>None</v>
      </c>
      <c r="AF443" s="53" t="str">
        <f>_xlfn.XLOOKUP(Master[[#This Row],[cu_id]],'[1]Customer Revenue'!$Q:$Q,'[1]Customer Revenue'!$L:$L, "None")</f>
        <v>None</v>
      </c>
      <c r="AG443" s="53">
        <v>6.7895857988165682</v>
      </c>
      <c r="AH443" s="53">
        <v>7.1996449704141972</v>
      </c>
      <c r="AI443" s="53">
        <v>6.9800000000000031</v>
      </c>
      <c r="AJ443" s="53">
        <v>8.1653846153846157</v>
      </c>
      <c r="AK443" s="53" t="str">
        <f>_xlfn.XLOOKUP(Master[[#This Row],[cu_id]],'[1]Customer Revenue'!$Q:$Q,'[1]Customer Revenue'!$I:$I, "None")</f>
        <v>None</v>
      </c>
      <c r="AL443" s="53">
        <v>6.9946153846153827</v>
      </c>
      <c r="AM443" s="61">
        <v>0.25</v>
      </c>
      <c r="AN443" s="60">
        <v>0.5</v>
      </c>
      <c r="AO443" s="60" t="s">
        <v>36</v>
      </c>
      <c r="AP443" s="60" t="s">
        <v>36</v>
      </c>
      <c r="AQ443" s="58" t="s">
        <v>0</v>
      </c>
      <c r="AR443" s="58"/>
      <c r="AS443" s="58"/>
      <c r="AT443" s="52">
        <v>0</v>
      </c>
      <c r="AU443" s="52" t="e">
        <f>IF(Master[[#This Row],[RSP StopTime override]] &lt;&gt; "",Master[[#This Row],[RSP StopTime override]],IF(Master[[#This Row],[Avg stop time helper]] &lt;&gt; 0, Master[[#This Row],[Avg stop time helper]],Average_Stop_Time))</f>
        <v>#DIV/0!</v>
      </c>
      <c r="AV443" s="21"/>
      <c r="AW443" s="20">
        <f>Master[[#This Row],[RSP StopTime override]]-Master[[#This Row],[Avg stop time helper]]</f>
        <v>0</v>
      </c>
    </row>
    <row r="444" spans="1:49" x14ac:dyDescent="0.3">
      <c r="A444" s="66" t="s">
        <v>4525</v>
      </c>
      <c r="B444" s="58">
        <v>47</v>
      </c>
      <c r="C444" s="58" t="s">
        <v>43</v>
      </c>
      <c r="D444" s="65">
        <v>99061</v>
      </c>
      <c r="E444" s="65" t="s">
        <v>1958</v>
      </c>
      <c r="F444" s="65" t="s">
        <v>2669</v>
      </c>
      <c r="G444" s="65" t="s">
        <v>2637</v>
      </c>
      <c r="H444" s="65" t="s">
        <v>32</v>
      </c>
      <c r="I444" s="65" t="s">
        <v>2184</v>
      </c>
      <c r="J444" s="65" t="s">
        <v>5</v>
      </c>
      <c r="K444" s="65" t="s">
        <v>53</v>
      </c>
      <c r="L444" s="64" t="s">
        <v>67</v>
      </c>
      <c r="M444" s="58" t="s">
        <v>3</v>
      </c>
      <c r="N444" s="58" t="s">
        <v>2</v>
      </c>
      <c r="O444" s="58">
        <v>100</v>
      </c>
      <c r="P444" s="58">
        <v>0</v>
      </c>
      <c r="Q444" s="58">
        <v>0</v>
      </c>
      <c r="R444" s="58">
        <v>0</v>
      </c>
      <c r="S444" s="58">
        <v>100</v>
      </c>
      <c r="T444" s="58">
        <v>0</v>
      </c>
      <c r="U444" s="58">
        <v>53</v>
      </c>
      <c r="V444" s="62">
        <v>22</v>
      </c>
      <c r="W444" s="62">
        <v>5</v>
      </c>
      <c r="X444" s="63">
        <f>IFERROR(1 -(Master[[#This Row],[Avg Garment Scans per Delivery]]/Master[[#This Row],[Garment Inventory]]), 0)</f>
        <v>0.77272727272727271</v>
      </c>
      <c r="Y444" s="62">
        <v>2</v>
      </c>
      <c r="Z444" s="62">
        <v>22</v>
      </c>
      <c r="AA444" s="53">
        <v>46.423313609467471</v>
      </c>
      <c r="AB444" s="53">
        <v>60.490532544378709</v>
      </c>
      <c r="AC444" s="53">
        <v>42.83443786982248</v>
      </c>
      <c r="AD444" s="53">
        <v>56.479408284023648</v>
      </c>
      <c r="AE444" s="53" t="str">
        <f>_xlfn.XLOOKUP(Master[[#This Row],[cu_id]],'[1]Customer Revenue'!$Q:$Q,'[1]Customer Revenue'!$K:$K, "None")</f>
        <v>None</v>
      </c>
      <c r="AF444" s="53" t="str">
        <f>_xlfn.XLOOKUP(Master[[#This Row],[cu_id]],'[1]Customer Revenue'!$Q:$Q,'[1]Customer Revenue'!$L:$L, "None")</f>
        <v>None</v>
      </c>
      <c r="AG444" s="53">
        <v>49.787692307692275</v>
      </c>
      <c r="AH444" s="53">
        <v>64.995384615384594</v>
      </c>
      <c r="AI444" s="53">
        <v>53.45692307692309</v>
      </c>
      <c r="AJ444" s="53">
        <v>49.656923076923064</v>
      </c>
      <c r="AK444" s="53" t="str">
        <f>_xlfn.XLOOKUP(Master[[#This Row],[cu_id]],'[1]Customer Revenue'!$Q:$Q,'[1]Customer Revenue'!$I:$I, "None")</f>
        <v>None</v>
      </c>
      <c r="AL444" s="53">
        <v>57.391538461538431</v>
      </c>
      <c r="AM444" s="61">
        <v>0.25</v>
      </c>
      <c r="AN444" s="60">
        <v>0.5</v>
      </c>
      <c r="AO444" s="60" t="s">
        <v>36</v>
      </c>
      <c r="AP444" s="60" t="s">
        <v>36</v>
      </c>
      <c r="AQ444" s="58" t="s">
        <v>0</v>
      </c>
      <c r="AR444" s="58"/>
      <c r="AS444" s="58"/>
      <c r="AT444" s="52">
        <v>0</v>
      </c>
      <c r="AU444" s="52" t="e">
        <f>IF(Master[[#This Row],[RSP StopTime override]] &lt;&gt; "",Master[[#This Row],[RSP StopTime override]],IF(Master[[#This Row],[Avg stop time helper]] &lt;&gt; 0, Master[[#This Row],[Avg stop time helper]],Average_Stop_Time))</f>
        <v>#DIV/0!</v>
      </c>
      <c r="AV444" s="21"/>
      <c r="AW444" s="20">
        <f>Master[[#This Row],[RSP StopTime override]]-Master[[#This Row],[Avg stop time helper]]</f>
        <v>0</v>
      </c>
    </row>
    <row r="445" spans="1:49" x14ac:dyDescent="0.3">
      <c r="A445" s="66" t="s">
        <v>4526</v>
      </c>
      <c r="B445" s="58">
        <v>47</v>
      </c>
      <c r="C445" s="58" t="s">
        <v>43</v>
      </c>
      <c r="D445" s="65">
        <v>99062</v>
      </c>
      <c r="E445" s="65" t="s">
        <v>1165</v>
      </c>
      <c r="F445" s="65" t="s">
        <v>2668</v>
      </c>
      <c r="G445" s="65" t="s">
        <v>2665</v>
      </c>
      <c r="H445" s="65" t="s">
        <v>32</v>
      </c>
      <c r="I445" s="65" t="s">
        <v>2664</v>
      </c>
      <c r="J445" s="65" t="s">
        <v>5</v>
      </c>
      <c r="K445" s="65" t="s">
        <v>2617</v>
      </c>
      <c r="L445" s="64" t="s">
        <v>67</v>
      </c>
      <c r="M445" s="58" t="s">
        <v>3</v>
      </c>
      <c r="N445" s="58" t="s">
        <v>2</v>
      </c>
      <c r="O445" s="58">
        <v>190</v>
      </c>
      <c r="P445" s="58">
        <v>0</v>
      </c>
      <c r="Q445" s="58">
        <v>0</v>
      </c>
      <c r="R445" s="58">
        <v>0</v>
      </c>
      <c r="S445" s="58">
        <v>190</v>
      </c>
      <c r="T445" s="58">
        <v>0</v>
      </c>
      <c r="U445" s="58">
        <v>53</v>
      </c>
      <c r="V445" s="62"/>
      <c r="W445" s="62"/>
      <c r="X445" s="63">
        <f>IFERROR(1 -(Master[[#This Row],[Avg Garment Scans per Delivery]]/Master[[#This Row],[Garment Inventory]]), 0)</f>
        <v>0</v>
      </c>
      <c r="Y445" s="62"/>
      <c r="Z445" s="62"/>
      <c r="AA445" s="53">
        <v>45.435443786982241</v>
      </c>
      <c r="AB445" s="53">
        <v>52.046094674556208</v>
      </c>
      <c r="AC445" s="53">
        <v>51.684852071005928</v>
      </c>
      <c r="AD445" s="53">
        <v>53.019763313609481</v>
      </c>
      <c r="AE445" s="53" t="str">
        <f>_xlfn.XLOOKUP(Master[[#This Row],[cu_id]],'[1]Customer Revenue'!$Q:$Q,'[1]Customer Revenue'!$K:$K, "None")</f>
        <v>None</v>
      </c>
      <c r="AF445" s="53" t="str">
        <f>_xlfn.XLOOKUP(Master[[#This Row],[cu_id]],'[1]Customer Revenue'!$Q:$Q,'[1]Customer Revenue'!$L:$L, "None")</f>
        <v>None</v>
      </c>
      <c r="AG445" s="53">
        <v>43.108816568047324</v>
      </c>
      <c r="AH445" s="53">
        <v>49.199644970414177</v>
      </c>
      <c r="AI445" s="53">
        <v>48.740769230769224</v>
      </c>
      <c r="AJ445" s="53">
        <v>52.352307692307704</v>
      </c>
      <c r="AK445" s="53" t="str">
        <f>_xlfn.XLOOKUP(Master[[#This Row],[cu_id]],'[1]Customer Revenue'!$Q:$Q,'[1]Customer Revenue'!$I:$I, "None")</f>
        <v>None</v>
      </c>
      <c r="AL445" s="53">
        <v>46.15423076923075</v>
      </c>
      <c r="AM445" s="61">
        <v>0.29166666666666669</v>
      </c>
      <c r="AN445" s="60">
        <v>0.5</v>
      </c>
      <c r="AO445" s="60" t="s">
        <v>36</v>
      </c>
      <c r="AP445" s="60" t="s">
        <v>36</v>
      </c>
      <c r="AQ445" s="58" t="s">
        <v>0</v>
      </c>
      <c r="AR445" s="58"/>
      <c r="AS445" s="58"/>
      <c r="AT445" s="52">
        <v>0</v>
      </c>
      <c r="AU445" s="52" t="e">
        <f>IF(Master[[#This Row],[RSP StopTime override]] &lt;&gt; "",Master[[#This Row],[RSP StopTime override]],IF(Master[[#This Row],[Avg stop time helper]] &lt;&gt; 0, Master[[#This Row],[Avg stop time helper]],Average_Stop_Time))</f>
        <v>#DIV/0!</v>
      </c>
      <c r="AV445" s="21"/>
      <c r="AW445" s="20">
        <f>Master[[#This Row],[RSP StopTime override]]-Master[[#This Row],[Avg stop time helper]]</f>
        <v>0</v>
      </c>
    </row>
    <row r="446" spans="1:49" x14ac:dyDescent="0.3">
      <c r="A446" s="66" t="s">
        <v>4527</v>
      </c>
      <c r="B446" s="58">
        <v>47</v>
      </c>
      <c r="C446" s="58" t="s">
        <v>43</v>
      </c>
      <c r="D446" s="65">
        <v>99062</v>
      </c>
      <c r="E446" s="65" t="s">
        <v>803</v>
      </c>
      <c r="F446" s="65" t="s">
        <v>2667</v>
      </c>
      <c r="G446" s="65" t="s">
        <v>2665</v>
      </c>
      <c r="H446" s="65" t="s">
        <v>32</v>
      </c>
      <c r="I446" s="65" t="s">
        <v>2664</v>
      </c>
      <c r="J446" s="65" t="s">
        <v>5</v>
      </c>
      <c r="K446" s="65" t="s">
        <v>2617</v>
      </c>
      <c r="L446" s="64" t="s">
        <v>67</v>
      </c>
      <c r="M446" s="58" t="s">
        <v>3</v>
      </c>
      <c r="N446" s="58" t="s">
        <v>2</v>
      </c>
      <c r="O446" s="58">
        <v>195</v>
      </c>
      <c r="P446" s="58">
        <v>0</v>
      </c>
      <c r="Q446" s="58">
        <v>0</v>
      </c>
      <c r="R446" s="58">
        <v>0</v>
      </c>
      <c r="S446" s="58">
        <v>195</v>
      </c>
      <c r="T446" s="58">
        <v>0</v>
      </c>
      <c r="U446" s="58">
        <v>53</v>
      </c>
      <c r="V446" s="62">
        <v>29</v>
      </c>
      <c r="W446" s="62">
        <v>8</v>
      </c>
      <c r="X446" s="63">
        <f>IFERROR(1 -(Master[[#This Row],[Avg Garment Scans per Delivery]]/Master[[#This Row],[Garment Inventory]]), 0)</f>
        <v>0.72413793103448276</v>
      </c>
      <c r="Y446" s="62">
        <v>3</v>
      </c>
      <c r="Z446" s="62">
        <v>37</v>
      </c>
      <c r="AA446" s="53">
        <v>52.21076923076923</v>
      </c>
      <c r="AB446" s="53">
        <v>82.269230769230759</v>
      </c>
      <c r="AC446" s="53">
        <v>54.128461538461536</v>
      </c>
      <c r="AD446" s="53">
        <v>63.691538461538457</v>
      </c>
      <c r="AE446" s="53" t="str">
        <f>_xlfn.XLOOKUP(Master[[#This Row],[cu_id]],'[1]Customer Revenue'!$Q:$Q,'[1]Customer Revenue'!$K:$K, "None")</f>
        <v>None</v>
      </c>
      <c r="AF446" s="53" t="str">
        <f>_xlfn.XLOOKUP(Master[[#This Row],[cu_id]],'[1]Customer Revenue'!$Q:$Q,'[1]Customer Revenue'!$L:$L, "None")</f>
        <v>None</v>
      </c>
      <c r="AG446" s="53">
        <v>62.409023668639044</v>
      </c>
      <c r="AH446" s="53">
        <v>104.81943786982248</v>
      </c>
      <c r="AI446" s="53">
        <v>67.239999999999995</v>
      </c>
      <c r="AJ446" s="53">
        <v>58.91</v>
      </c>
      <c r="AK446" s="53" t="str">
        <f>_xlfn.XLOOKUP(Master[[#This Row],[cu_id]],'[1]Customer Revenue'!$Q:$Q,'[1]Customer Revenue'!$I:$I, "None")</f>
        <v>None</v>
      </c>
      <c r="AL446" s="53">
        <v>83.614230769230758</v>
      </c>
      <c r="AM446" s="61">
        <v>0.29166666666666669</v>
      </c>
      <c r="AN446" s="60">
        <v>0.5</v>
      </c>
      <c r="AO446" s="60" t="s">
        <v>36</v>
      </c>
      <c r="AP446" s="60" t="s">
        <v>36</v>
      </c>
      <c r="AQ446" s="58" t="s">
        <v>0</v>
      </c>
      <c r="AR446" s="58"/>
      <c r="AS446" s="58"/>
      <c r="AT446" s="52">
        <v>0</v>
      </c>
      <c r="AU446" s="52" t="e">
        <f>IF(Master[[#This Row],[RSP StopTime override]] &lt;&gt; "",Master[[#This Row],[RSP StopTime override]],IF(Master[[#This Row],[Avg stop time helper]] &lt;&gt; 0, Master[[#This Row],[Avg stop time helper]],Average_Stop_Time))</f>
        <v>#DIV/0!</v>
      </c>
      <c r="AV446" s="21"/>
      <c r="AW446" s="20">
        <f>Master[[#This Row],[RSP StopTime override]]-Master[[#This Row],[Avg stop time helper]]</f>
        <v>0</v>
      </c>
    </row>
    <row r="447" spans="1:49" x14ac:dyDescent="0.3">
      <c r="A447" s="66" t="s">
        <v>4528</v>
      </c>
      <c r="B447" s="58">
        <v>47</v>
      </c>
      <c r="C447" s="58" t="s">
        <v>43</v>
      </c>
      <c r="D447" s="65">
        <v>99062</v>
      </c>
      <c r="E447" s="65" t="s">
        <v>683</v>
      </c>
      <c r="F447" s="65" t="s">
        <v>2666</v>
      </c>
      <c r="G447" s="65" t="s">
        <v>2665</v>
      </c>
      <c r="H447" s="65" t="s">
        <v>32</v>
      </c>
      <c r="I447" s="65" t="s">
        <v>2664</v>
      </c>
      <c r="J447" s="65" t="s">
        <v>5</v>
      </c>
      <c r="K447" s="65" t="s">
        <v>2617</v>
      </c>
      <c r="L447" s="64" t="s">
        <v>67</v>
      </c>
      <c r="M447" s="58" t="s">
        <v>3</v>
      </c>
      <c r="N447" s="58" t="s">
        <v>2</v>
      </c>
      <c r="O447" s="58">
        <v>202</v>
      </c>
      <c r="P447" s="58">
        <v>0</v>
      </c>
      <c r="Q447" s="58">
        <v>0</v>
      </c>
      <c r="R447" s="58">
        <v>0</v>
      </c>
      <c r="S447" s="58">
        <v>202</v>
      </c>
      <c r="T447" s="58">
        <v>0</v>
      </c>
      <c r="U447" s="58">
        <v>53</v>
      </c>
      <c r="V447" s="62"/>
      <c r="W447" s="62"/>
      <c r="X447" s="63">
        <f>IFERROR(1 -(Master[[#This Row],[Avg Garment Scans per Delivery]]/Master[[#This Row],[Garment Inventory]]), 0)</f>
        <v>0</v>
      </c>
      <c r="Y447" s="62"/>
      <c r="Z447" s="62"/>
      <c r="AA447" s="53">
        <v>64.289999999999978</v>
      </c>
      <c r="AB447" s="53">
        <v>64.290000000000006</v>
      </c>
      <c r="AC447" s="53">
        <v>64.164852071005939</v>
      </c>
      <c r="AD447" s="53">
        <v>65.499763313609478</v>
      </c>
      <c r="AE447" s="53" t="str">
        <f>_xlfn.XLOOKUP(Master[[#This Row],[cu_id]],'[1]Customer Revenue'!$Q:$Q,'[1]Customer Revenue'!$K:$K, "None")</f>
        <v>None</v>
      </c>
      <c r="AF447" s="53" t="str">
        <f>_xlfn.XLOOKUP(Master[[#This Row],[cu_id]],'[1]Customer Revenue'!$Q:$Q,'[1]Customer Revenue'!$L:$L, "None")</f>
        <v>None</v>
      </c>
      <c r="AG447" s="53">
        <v>61.733195266272155</v>
      </c>
      <c r="AH447" s="53">
        <v>64.554497041420106</v>
      </c>
      <c r="AI447" s="53">
        <v>64.289999999999992</v>
      </c>
      <c r="AJ447" s="53">
        <v>64.832307692307708</v>
      </c>
      <c r="AK447" s="53" t="str">
        <f>_xlfn.XLOOKUP(Master[[#This Row],[cu_id]],'[1]Customer Revenue'!$Q:$Q,'[1]Customer Revenue'!$I:$I, "None")</f>
        <v>None</v>
      </c>
      <c r="AL447" s="53">
        <v>63.143846153846127</v>
      </c>
      <c r="AM447" s="61">
        <v>0.29166666666666669</v>
      </c>
      <c r="AN447" s="60">
        <v>0.5</v>
      </c>
      <c r="AO447" s="60" t="s">
        <v>36</v>
      </c>
      <c r="AP447" s="60" t="s">
        <v>36</v>
      </c>
      <c r="AQ447" s="58" t="s">
        <v>0</v>
      </c>
      <c r="AR447" s="58"/>
      <c r="AS447" s="58"/>
      <c r="AT447" s="52">
        <v>0</v>
      </c>
      <c r="AU447" s="52" t="e">
        <f>IF(Master[[#This Row],[RSP StopTime override]] &lt;&gt; "",Master[[#This Row],[RSP StopTime override]],IF(Master[[#This Row],[Avg stop time helper]] &lt;&gt; 0, Master[[#This Row],[Avg stop time helper]],Average_Stop_Time))</f>
        <v>#DIV/0!</v>
      </c>
      <c r="AV447" s="21"/>
      <c r="AW447" s="20">
        <f>Master[[#This Row],[RSP StopTime override]]-Master[[#This Row],[Avg stop time helper]]</f>
        <v>0</v>
      </c>
    </row>
    <row r="448" spans="1:49" x14ac:dyDescent="0.3">
      <c r="A448" s="66" t="s">
        <v>4529</v>
      </c>
      <c r="B448" s="58">
        <v>47</v>
      </c>
      <c r="C448" s="58" t="s">
        <v>43</v>
      </c>
      <c r="D448" s="65">
        <v>99062</v>
      </c>
      <c r="E448" s="65" t="s">
        <v>1343</v>
      </c>
      <c r="F448" s="65" t="s">
        <v>2663</v>
      </c>
      <c r="G448" s="65" t="s">
        <v>2660</v>
      </c>
      <c r="H448" s="65" t="s">
        <v>7</v>
      </c>
      <c r="I448" s="65" t="s">
        <v>2618</v>
      </c>
      <c r="J448" s="65" t="s">
        <v>5</v>
      </c>
      <c r="K448" s="65" t="s">
        <v>2617</v>
      </c>
      <c r="L448" s="64" t="s">
        <v>67</v>
      </c>
      <c r="M448" s="58" t="s">
        <v>3</v>
      </c>
      <c r="N448" s="58" t="s">
        <v>2</v>
      </c>
      <c r="O448" s="58">
        <v>203</v>
      </c>
      <c r="P448" s="58">
        <v>0</v>
      </c>
      <c r="Q448" s="58">
        <v>0</v>
      </c>
      <c r="R448" s="58">
        <v>0</v>
      </c>
      <c r="S448" s="58">
        <v>203</v>
      </c>
      <c r="T448" s="58">
        <v>0</v>
      </c>
      <c r="U448" s="58">
        <v>53</v>
      </c>
      <c r="V448" s="62"/>
      <c r="W448" s="62"/>
      <c r="X448" s="63">
        <f>IFERROR(1 -(Master[[#This Row],[Avg Garment Scans per Delivery]]/Master[[#This Row],[Garment Inventory]]), 0)</f>
        <v>0</v>
      </c>
      <c r="Y448" s="62"/>
      <c r="Z448" s="62"/>
      <c r="AA448" s="53">
        <v>13.31999999999999</v>
      </c>
      <c r="AB448" s="53">
        <v>13.32</v>
      </c>
      <c r="AC448" s="53">
        <v>13.31999999999999</v>
      </c>
      <c r="AD448" s="53">
        <v>13.32</v>
      </c>
      <c r="AE448" s="53" t="str">
        <f>_xlfn.XLOOKUP(Master[[#This Row],[cu_id]],'[1]Customer Revenue'!$Q:$Q,'[1]Customer Revenue'!$K:$K, "None")</f>
        <v>None</v>
      </c>
      <c r="AF448" s="53" t="str">
        <f>_xlfn.XLOOKUP(Master[[#This Row],[cu_id]],'[1]Customer Revenue'!$Q:$Q,'[1]Customer Revenue'!$L:$L, "None")</f>
        <v>None</v>
      </c>
      <c r="AG448" s="53">
        <v>12.753727810650883</v>
      </c>
      <c r="AH448" s="53">
        <v>13.378579881656801</v>
      </c>
      <c r="AI448" s="53">
        <v>13.319999999999995</v>
      </c>
      <c r="AJ448" s="53">
        <v>13.319999999999995</v>
      </c>
      <c r="AK448" s="53" t="str">
        <f>_xlfn.XLOOKUP(Master[[#This Row],[cu_id]],'[1]Customer Revenue'!$Q:$Q,'[1]Customer Revenue'!$I:$I, "None")</f>
        <v>None</v>
      </c>
      <c r="AL448" s="53">
        <v>13.066153846153842</v>
      </c>
      <c r="AM448" s="61">
        <v>0.29166666666666669</v>
      </c>
      <c r="AN448" s="60">
        <v>0.5</v>
      </c>
      <c r="AO448" s="60" t="s">
        <v>36</v>
      </c>
      <c r="AP448" s="60" t="s">
        <v>36</v>
      </c>
      <c r="AQ448" s="58" t="s">
        <v>0</v>
      </c>
      <c r="AR448" s="58"/>
      <c r="AS448" s="58"/>
      <c r="AT448" s="52">
        <v>0</v>
      </c>
      <c r="AU448" s="52" t="e">
        <f>IF(Master[[#This Row],[RSP StopTime override]] &lt;&gt; "",Master[[#This Row],[RSP StopTime override]],IF(Master[[#This Row],[Avg stop time helper]] &lt;&gt; 0, Master[[#This Row],[Avg stop time helper]],Average_Stop_Time))</f>
        <v>#DIV/0!</v>
      </c>
      <c r="AV448" s="21"/>
      <c r="AW448" s="20">
        <f>Master[[#This Row],[RSP StopTime override]]-Master[[#This Row],[Avg stop time helper]]</f>
        <v>0</v>
      </c>
    </row>
    <row r="449" spans="1:49" x14ac:dyDescent="0.3">
      <c r="A449" s="66" t="s">
        <v>4530</v>
      </c>
      <c r="B449" s="58">
        <v>47</v>
      </c>
      <c r="C449" s="58" t="s">
        <v>43</v>
      </c>
      <c r="D449" s="65">
        <v>99062</v>
      </c>
      <c r="E449" s="65" t="s">
        <v>1341</v>
      </c>
      <c r="F449" s="65" t="s">
        <v>2662</v>
      </c>
      <c r="G449" s="65" t="s">
        <v>2660</v>
      </c>
      <c r="H449" s="65" t="s">
        <v>7</v>
      </c>
      <c r="I449" s="65" t="s">
        <v>2618</v>
      </c>
      <c r="J449" s="65" t="s">
        <v>5</v>
      </c>
      <c r="K449" s="65" t="s">
        <v>2617</v>
      </c>
      <c r="L449" s="64" t="s">
        <v>67</v>
      </c>
      <c r="M449" s="58" t="s">
        <v>3</v>
      </c>
      <c r="N449" s="58" t="s">
        <v>2</v>
      </c>
      <c r="O449" s="58">
        <v>185</v>
      </c>
      <c r="P449" s="58">
        <v>0</v>
      </c>
      <c r="Q449" s="58">
        <v>0</v>
      </c>
      <c r="R449" s="58">
        <v>0</v>
      </c>
      <c r="S449" s="58">
        <v>185</v>
      </c>
      <c r="T449" s="58">
        <v>0</v>
      </c>
      <c r="U449" s="58">
        <v>53</v>
      </c>
      <c r="V449" s="62"/>
      <c r="W449" s="62"/>
      <c r="X449" s="63">
        <f>IFERROR(1 -(Master[[#This Row],[Avg Garment Scans per Delivery]]/Master[[#This Row],[Garment Inventory]]), 0)</f>
        <v>0</v>
      </c>
      <c r="Y449" s="62"/>
      <c r="Z449" s="62"/>
      <c r="AA449" s="53">
        <v>36.36</v>
      </c>
      <c r="AB449" s="53">
        <v>36.360000000000014</v>
      </c>
      <c r="AC449" s="53">
        <v>36.36</v>
      </c>
      <c r="AD449" s="53">
        <v>36.360000000000014</v>
      </c>
      <c r="AE449" s="53" t="str">
        <f>_xlfn.XLOOKUP(Master[[#This Row],[cu_id]],'[1]Customer Revenue'!$Q:$Q,'[1]Customer Revenue'!$K:$K, "None")</f>
        <v>None</v>
      </c>
      <c r="AF449" s="53" t="str">
        <f>_xlfn.XLOOKUP(Master[[#This Row],[cu_id]],'[1]Customer Revenue'!$Q:$Q,'[1]Customer Revenue'!$L:$L, "None")</f>
        <v>None</v>
      </c>
      <c r="AG449" s="53">
        <v>34.918579881656818</v>
      </c>
      <c r="AH449" s="53">
        <v>36.509112426035507</v>
      </c>
      <c r="AI449" s="53">
        <v>36.360000000000007</v>
      </c>
      <c r="AJ449" s="53">
        <v>36.360000000000007</v>
      </c>
      <c r="AK449" s="53" t="str">
        <f>_xlfn.XLOOKUP(Master[[#This Row],[cu_id]],'[1]Customer Revenue'!$Q:$Q,'[1]Customer Revenue'!$I:$I, "None")</f>
        <v>None</v>
      </c>
      <c r="AL449" s="53">
        <v>35.713846153846163</v>
      </c>
      <c r="AM449" s="61">
        <v>0.29166666666666669</v>
      </c>
      <c r="AN449" s="60">
        <v>0.5</v>
      </c>
      <c r="AO449" s="60" t="s">
        <v>36</v>
      </c>
      <c r="AP449" s="60" t="s">
        <v>36</v>
      </c>
      <c r="AQ449" s="58" t="s">
        <v>0</v>
      </c>
      <c r="AR449" s="58"/>
      <c r="AS449" s="58"/>
      <c r="AT449" s="52">
        <v>0</v>
      </c>
      <c r="AU449" s="52" t="e">
        <f>IF(Master[[#This Row],[RSP StopTime override]] &lt;&gt; "",Master[[#This Row],[RSP StopTime override]],IF(Master[[#This Row],[Avg stop time helper]] &lt;&gt; 0, Master[[#This Row],[Avg stop time helper]],Average_Stop_Time))</f>
        <v>#DIV/0!</v>
      </c>
      <c r="AV449" s="21"/>
      <c r="AW449" s="20">
        <f>Master[[#This Row],[RSP StopTime override]]-Master[[#This Row],[Avg stop time helper]]</f>
        <v>0</v>
      </c>
    </row>
    <row r="450" spans="1:49" x14ac:dyDescent="0.3">
      <c r="A450" s="66" t="s">
        <v>4531</v>
      </c>
      <c r="B450" s="58">
        <v>47</v>
      </c>
      <c r="C450" s="58" t="s">
        <v>43</v>
      </c>
      <c r="D450" s="65">
        <v>99062</v>
      </c>
      <c r="E450" s="65" t="s">
        <v>805</v>
      </c>
      <c r="F450" s="65" t="s">
        <v>2661</v>
      </c>
      <c r="G450" s="65" t="s">
        <v>2660</v>
      </c>
      <c r="H450" s="65" t="s">
        <v>7</v>
      </c>
      <c r="I450" s="65" t="s">
        <v>2659</v>
      </c>
      <c r="J450" s="65" t="s">
        <v>5</v>
      </c>
      <c r="K450" s="65" t="s">
        <v>2617</v>
      </c>
      <c r="L450" s="64" t="s">
        <v>67</v>
      </c>
      <c r="M450" s="58" t="s">
        <v>3</v>
      </c>
      <c r="N450" s="58" t="s">
        <v>2</v>
      </c>
      <c r="O450" s="58">
        <v>205</v>
      </c>
      <c r="P450" s="58">
        <v>0</v>
      </c>
      <c r="Q450" s="58">
        <v>0</v>
      </c>
      <c r="R450" s="58">
        <v>0</v>
      </c>
      <c r="S450" s="58">
        <v>205</v>
      </c>
      <c r="T450" s="58">
        <v>0</v>
      </c>
      <c r="U450" s="58">
        <v>53</v>
      </c>
      <c r="V450" s="62"/>
      <c r="W450" s="62"/>
      <c r="X450" s="63">
        <f>IFERROR(1 -(Master[[#This Row],[Avg Garment Scans per Delivery]]/Master[[#This Row],[Garment Inventory]]), 0)</f>
        <v>0</v>
      </c>
      <c r="Y450" s="62"/>
      <c r="Z450" s="62"/>
      <c r="AA450" s="53">
        <v>102.34</v>
      </c>
      <c r="AB450" s="53">
        <v>102.34</v>
      </c>
      <c r="AC450" s="53">
        <v>102.34</v>
      </c>
      <c r="AD450" s="53">
        <v>102.34</v>
      </c>
      <c r="AE450" s="53" t="str">
        <f>_xlfn.XLOOKUP(Master[[#This Row],[cu_id]],'[1]Customer Revenue'!$Q:$Q,'[1]Customer Revenue'!$K:$K, "None")</f>
        <v>None</v>
      </c>
      <c r="AF450" s="53" t="str">
        <f>_xlfn.XLOOKUP(Master[[#This Row],[cu_id]],'[1]Customer Revenue'!$Q:$Q,'[1]Customer Revenue'!$L:$L, "None")</f>
        <v>None</v>
      </c>
      <c r="AG450" s="53">
        <v>98.32461538461537</v>
      </c>
      <c r="AH450" s="53">
        <v>102.75538461538461</v>
      </c>
      <c r="AI450" s="53">
        <v>102.34</v>
      </c>
      <c r="AJ450" s="53">
        <v>102.34</v>
      </c>
      <c r="AK450" s="53" t="str">
        <f>_xlfn.XLOOKUP(Master[[#This Row],[cu_id]],'[1]Customer Revenue'!$Q:$Q,'[1]Customer Revenue'!$I:$I, "None")</f>
        <v>None</v>
      </c>
      <c r="AL450" s="53">
        <v>100.53999999999999</v>
      </c>
      <c r="AM450" s="61">
        <v>0.29166666666666669</v>
      </c>
      <c r="AN450" s="60">
        <v>0.5</v>
      </c>
      <c r="AO450" s="60" t="s">
        <v>36</v>
      </c>
      <c r="AP450" s="60" t="s">
        <v>36</v>
      </c>
      <c r="AQ450" s="58" t="s">
        <v>0</v>
      </c>
      <c r="AR450" s="58"/>
      <c r="AS450" s="58"/>
      <c r="AT450" s="52">
        <v>0</v>
      </c>
      <c r="AU450" s="52" t="e">
        <f>IF(Master[[#This Row],[RSP StopTime override]] &lt;&gt; "",Master[[#This Row],[RSP StopTime override]],IF(Master[[#This Row],[Avg stop time helper]] &lt;&gt; 0, Master[[#This Row],[Avg stop time helper]],Average_Stop_Time))</f>
        <v>#DIV/0!</v>
      </c>
      <c r="AV450" s="21"/>
      <c r="AW450" s="20">
        <f>Master[[#This Row],[RSP StopTime override]]-Master[[#This Row],[Avg stop time helper]]</f>
        <v>0</v>
      </c>
    </row>
    <row r="451" spans="1:49" x14ac:dyDescent="0.3">
      <c r="A451" s="66" t="s">
        <v>4532</v>
      </c>
      <c r="B451" s="58">
        <v>47</v>
      </c>
      <c r="C451" s="58" t="s">
        <v>43</v>
      </c>
      <c r="D451" s="65">
        <v>99088</v>
      </c>
      <c r="E451" s="65" t="s">
        <v>1523</v>
      </c>
      <c r="F451" s="65" t="s">
        <v>2658</v>
      </c>
      <c r="G451" s="65" t="s">
        <v>2657</v>
      </c>
      <c r="H451" s="65" t="s">
        <v>7</v>
      </c>
      <c r="I451" s="65" t="s">
        <v>2621</v>
      </c>
      <c r="J451" s="65" t="s">
        <v>5</v>
      </c>
      <c r="K451" s="65" t="s">
        <v>2620</v>
      </c>
      <c r="L451" s="64" t="s">
        <v>67</v>
      </c>
      <c r="M451" s="58" t="s">
        <v>3</v>
      </c>
      <c r="N451" s="58" t="s">
        <v>2</v>
      </c>
      <c r="O451" s="58">
        <v>150</v>
      </c>
      <c r="P451" s="58">
        <v>0</v>
      </c>
      <c r="Q451" s="58">
        <v>0</v>
      </c>
      <c r="R451" s="58">
        <v>0</v>
      </c>
      <c r="S451" s="58">
        <v>150</v>
      </c>
      <c r="T451" s="58">
        <v>0</v>
      </c>
      <c r="U451" s="58">
        <v>52</v>
      </c>
      <c r="V451" s="62">
        <v>132</v>
      </c>
      <c r="W451" s="62">
        <v>10</v>
      </c>
      <c r="X451" s="63">
        <f>IFERROR(1 -(Master[[#This Row],[Avg Garment Scans per Delivery]]/Master[[#This Row],[Garment Inventory]]), 0)</f>
        <v>0.9242424242424242</v>
      </c>
      <c r="Y451" s="62">
        <v>6</v>
      </c>
      <c r="Z451" s="62">
        <v>132</v>
      </c>
      <c r="AA451" s="53">
        <v>36.837006903353057</v>
      </c>
      <c r="AB451" s="53">
        <v>49.031326429980282</v>
      </c>
      <c r="AC451" s="53">
        <v>41.739112426035511</v>
      </c>
      <c r="AD451" s="53">
        <v>69.17011834319527</v>
      </c>
      <c r="AE451" s="53" t="str">
        <f>_xlfn.XLOOKUP(Master[[#This Row],[cu_id]],'[1]Customer Revenue'!$Q:$Q,'[1]Customer Revenue'!$K:$K, "None")</f>
        <v>None</v>
      </c>
      <c r="AF451" s="53" t="str">
        <f>_xlfn.XLOOKUP(Master[[#This Row],[cu_id]],'[1]Customer Revenue'!$Q:$Q,'[1]Customer Revenue'!$L:$L, "None")</f>
        <v>None</v>
      </c>
      <c r="AG451" s="53">
        <v>39.323171597633134</v>
      </c>
      <c r="AH451" s="53">
        <v>45.604828402366863</v>
      </c>
      <c r="AI451" s="53">
        <v>42.93416666666667</v>
      </c>
      <c r="AJ451" s="53">
        <v>55.454615384615394</v>
      </c>
      <c r="AK451" s="53" t="str">
        <f>_xlfn.XLOOKUP(Master[[#This Row],[cu_id]],'[1]Customer Revenue'!$Q:$Q,'[1]Customer Revenue'!$I:$I, "None")</f>
        <v>None</v>
      </c>
      <c r="AL451" s="53">
        <v>42.463999999999999</v>
      </c>
      <c r="AM451" s="61">
        <v>0.29166666666666669</v>
      </c>
      <c r="AN451" s="60">
        <v>0.70833333333333337</v>
      </c>
      <c r="AO451" s="60" t="s">
        <v>36</v>
      </c>
      <c r="AP451" s="60" t="s">
        <v>36</v>
      </c>
      <c r="AQ451" s="58" t="s">
        <v>0</v>
      </c>
      <c r="AR451" s="58"/>
      <c r="AS451" s="58"/>
      <c r="AT451" s="52">
        <v>0</v>
      </c>
      <c r="AU451" s="52" t="e">
        <f>IF(Master[[#This Row],[RSP StopTime override]] &lt;&gt; "",Master[[#This Row],[RSP StopTime override]],IF(Master[[#This Row],[Avg stop time helper]] &lt;&gt; 0, Master[[#This Row],[Avg stop time helper]],Average_Stop_Time))</f>
        <v>#DIV/0!</v>
      </c>
      <c r="AV451" s="21"/>
      <c r="AW451" s="20">
        <f>Master[[#This Row],[RSP StopTime override]]-Master[[#This Row],[Avg stop time helper]]</f>
        <v>0</v>
      </c>
    </row>
    <row r="452" spans="1:49" x14ac:dyDescent="0.3">
      <c r="A452" s="66" t="s">
        <v>4533</v>
      </c>
      <c r="B452" s="58">
        <v>47</v>
      </c>
      <c r="C452" s="58" t="s">
        <v>43</v>
      </c>
      <c r="D452" s="65">
        <v>99094</v>
      </c>
      <c r="E452" s="65" t="s">
        <v>1523</v>
      </c>
      <c r="F452" s="65" t="s">
        <v>2656</v>
      </c>
      <c r="G452" s="65" t="s">
        <v>2655</v>
      </c>
      <c r="H452" s="65" t="s">
        <v>7</v>
      </c>
      <c r="I452" s="65" t="s">
        <v>12</v>
      </c>
      <c r="J452" s="65" t="s">
        <v>5</v>
      </c>
      <c r="K452" s="65" t="s">
        <v>197</v>
      </c>
      <c r="L452" s="64" t="s">
        <v>77</v>
      </c>
      <c r="M452" s="58" t="s">
        <v>29</v>
      </c>
      <c r="N452" s="58" t="s">
        <v>2</v>
      </c>
      <c r="O452" s="58">
        <v>238</v>
      </c>
      <c r="P452" s="58">
        <v>0</v>
      </c>
      <c r="Q452" s="58">
        <v>0</v>
      </c>
      <c r="R452" s="58">
        <v>0</v>
      </c>
      <c r="S452" s="58">
        <v>238</v>
      </c>
      <c r="T452" s="58">
        <v>0</v>
      </c>
      <c r="U452" s="58">
        <v>36</v>
      </c>
      <c r="V452" s="62"/>
      <c r="W452" s="62"/>
      <c r="X452" s="63">
        <f>IFERROR(1 -(Master[[#This Row],[Avg Garment Scans per Delivery]]/Master[[#This Row],[Garment Inventory]]), 0)</f>
        <v>0</v>
      </c>
      <c r="Y452" s="62"/>
      <c r="Z452" s="62"/>
      <c r="AA452" s="53">
        <v>20.226666666666667</v>
      </c>
      <c r="AB452" s="53">
        <v>24.093333333333334</v>
      </c>
      <c r="AC452" s="53">
        <v>12.08888888888889</v>
      </c>
      <c r="AD452" s="53">
        <v>31.431111111111115</v>
      </c>
      <c r="AE452" s="53" t="str">
        <f>_xlfn.XLOOKUP(Master[[#This Row],[cu_id]],'[1]Customer Revenue'!$Q:$Q,'[1]Customer Revenue'!$K:$K, "None")</f>
        <v>None</v>
      </c>
      <c r="AF452" s="53" t="str">
        <f>_xlfn.XLOOKUP(Master[[#This Row],[cu_id]],'[1]Customer Revenue'!$Q:$Q,'[1]Customer Revenue'!$L:$L, "None")</f>
        <v>None</v>
      </c>
      <c r="AG452" s="53">
        <v>21.585482041587905</v>
      </c>
      <c r="AH452" s="53">
        <v>24.953648393194708</v>
      </c>
      <c r="AI452" s="53">
        <v>22.16</v>
      </c>
      <c r="AJ452" s="53">
        <v>21.76</v>
      </c>
      <c r="AK452" s="53" t="str">
        <f>_xlfn.XLOOKUP(Master[[#This Row],[cu_id]],'[1]Customer Revenue'!$Q:$Q,'[1]Customer Revenue'!$I:$I, "None")</f>
        <v>None</v>
      </c>
      <c r="AL452" s="53">
        <v>23.269565217391307</v>
      </c>
      <c r="AM452" s="61">
        <v>0.375</v>
      </c>
      <c r="AN452" s="60">
        <v>0.70833333333333337</v>
      </c>
      <c r="AO452" s="60" t="s">
        <v>36</v>
      </c>
      <c r="AP452" s="60" t="s">
        <v>36</v>
      </c>
      <c r="AQ452" s="58" t="s">
        <v>0</v>
      </c>
      <c r="AR452" s="58"/>
      <c r="AS452" s="58"/>
      <c r="AT452" s="52">
        <v>0</v>
      </c>
      <c r="AU452" s="52" t="e">
        <f>IF(Master[[#This Row],[RSP StopTime override]] &lt;&gt; "",Master[[#This Row],[RSP StopTime override]],IF(Master[[#This Row],[Avg stop time helper]] &lt;&gt; 0, Master[[#This Row],[Avg stop time helper]],Average_Stop_Time))</f>
        <v>#DIV/0!</v>
      </c>
      <c r="AV452" s="21"/>
      <c r="AW452" s="20">
        <f>Master[[#This Row],[RSP StopTime override]]-Master[[#This Row],[Avg stop time helper]]</f>
        <v>0</v>
      </c>
    </row>
    <row r="453" spans="1:49" x14ac:dyDescent="0.3">
      <c r="A453" s="66" t="s">
        <v>4534</v>
      </c>
      <c r="B453" s="58">
        <v>47</v>
      </c>
      <c r="C453" s="58" t="s">
        <v>43</v>
      </c>
      <c r="D453" s="65">
        <v>99094</v>
      </c>
      <c r="E453" s="65" t="s">
        <v>1171</v>
      </c>
      <c r="F453" s="65" t="s">
        <v>2654</v>
      </c>
      <c r="G453" s="65" t="s">
        <v>2653</v>
      </c>
      <c r="H453" s="65" t="s">
        <v>7</v>
      </c>
      <c r="I453" s="65" t="s">
        <v>12</v>
      </c>
      <c r="J453" s="65" t="s">
        <v>5</v>
      </c>
      <c r="K453" s="65" t="s">
        <v>197</v>
      </c>
      <c r="L453" s="64" t="s">
        <v>77</v>
      </c>
      <c r="M453" s="58" t="s">
        <v>29</v>
      </c>
      <c r="N453" s="58" t="s">
        <v>2</v>
      </c>
      <c r="O453" s="58">
        <v>240</v>
      </c>
      <c r="P453" s="58">
        <v>0</v>
      </c>
      <c r="Q453" s="58">
        <v>0</v>
      </c>
      <c r="R453" s="58">
        <v>0</v>
      </c>
      <c r="S453" s="58">
        <v>240</v>
      </c>
      <c r="T453" s="58">
        <v>0</v>
      </c>
      <c r="U453" s="58">
        <v>36</v>
      </c>
      <c r="V453" s="62"/>
      <c r="W453" s="62"/>
      <c r="X453" s="63">
        <f>IFERROR(1 -(Master[[#This Row],[Avg Garment Scans per Delivery]]/Master[[#This Row],[Garment Inventory]]), 0)</f>
        <v>0</v>
      </c>
      <c r="Y453" s="62"/>
      <c r="Z453" s="62"/>
      <c r="AA453" s="53">
        <v>23.53</v>
      </c>
      <c r="AB453" s="53">
        <v>24.78</v>
      </c>
      <c r="AC453" s="53">
        <v>13.892410714285717</v>
      </c>
      <c r="AD453" s="53">
        <v>26.676160714285714</v>
      </c>
      <c r="AE453" s="53" t="str">
        <f>_xlfn.XLOOKUP(Master[[#This Row],[cu_id]],'[1]Customer Revenue'!$Q:$Q,'[1]Customer Revenue'!$K:$K, "None")</f>
        <v>None</v>
      </c>
      <c r="AF453" s="53" t="str">
        <f>_xlfn.XLOOKUP(Master[[#This Row],[cu_id]],'[1]Customer Revenue'!$Q:$Q,'[1]Customer Revenue'!$L:$L, "None")</f>
        <v>None</v>
      </c>
      <c r="AG453" s="53">
        <v>23.618374291115309</v>
      </c>
      <c r="AH453" s="53">
        <v>24.332930056710751</v>
      </c>
      <c r="AI453" s="53">
        <v>24.155000000000001</v>
      </c>
      <c r="AJ453" s="53">
        <v>20.284285714285716</v>
      </c>
      <c r="AK453" s="53" t="str">
        <f>_xlfn.XLOOKUP(Master[[#This Row],[cu_id]],'[1]Customer Revenue'!$Q:$Q,'[1]Customer Revenue'!$I:$I, "None")</f>
        <v>None</v>
      </c>
      <c r="AL453" s="53">
        <v>23.97565217391303</v>
      </c>
      <c r="AM453" s="61">
        <v>0.375</v>
      </c>
      <c r="AN453" s="60">
        <v>0.70833333333333337</v>
      </c>
      <c r="AO453" s="60" t="s">
        <v>36</v>
      </c>
      <c r="AP453" s="60" t="s">
        <v>36</v>
      </c>
      <c r="AQ453" s="58" t="s">
        <v>0</v>
      </c>
      <c r="AR453" s="58"/>
      <c r="AS453" s="58"/>
      <c r="AT453" s="52">
        <v>0</v>
      </c>
      <c r="AU453" s="52" t="e">
        <f>IF(Master[[#This Row],[RSP StopTime override]] &lt;&gt; "",Master[[#This Row],[RSP StopTime override]],IF(Master[[#This Row],[Avg stop time helper]] &lt;&gt; 0, Master[[#This Row],[Avg stop time helper]],Average_Stop_Time))</f>
        <v>#DIV/0!</v>
      </c>
      <c r="AV453" s="21"/>
      <c r="AW453" s="20">
        <f>Master[[#This Row],[RSP StopTime override]]-Master[[#This Row],[Avg stop time helper]]</f>
        <v>0</v>
      </c>
    </row>
    <row r="454" spans="1:49" x14ac:dyDescent="0.3">
      <c r="A454" s="66" t="s">
        <v>4535</v>
      </c>
      <c r="B454" s="58">
        <v>47</v>
      </c>
      <c r="C454" s="58" t="s">
        <v>43</v>
      </c>
      <c r="D454" s="65">
        <v>99094</v>
      </c>
      <c r="E454" s="65" t="s">
        <v>1939</v>
      </c>
      <c r="F454" s="65" t="s">
        <v>2652</v>
      </c>
      <c r="G454" s="65" t="s">
        <v>2651</v>
      </c>
      <c r="H454" s="65" t="s">
        <v>7</v>
      </c>
      <c r="I454" s="65" t="s">
        <v>12</v>
      </c>
      <c r="J454" s="65" t="s">
        <v>5</v>
      </c>
      <c r="K454" s="65" t="s">
        <v>197</v>
      </c>
      <c r="L454" s="64" t="s">
        <v>77</v>
      </c>
      <c r="M454" s="58" t="s">
        <v>29</v>
      </c>
      <c r="N454" s="58" t="s">
        <v>2</v>
      </c>
      <c r="O454" s="58">
        <v>250</v>
      </c>
      <c r="P454" s="58">
        <v>0</v>
      </c>
      <c r="Q454" s="58">
        <v>0</v>
      </c>
      <c r="R454" s="58">
        <v>0</v>
      </c>
      <c r="S454" s="58">
        <v>250</v>
      </c>
      <c r="T454" s="58">
        <v>0</v>
      </c>
      <c r="U454" s="58">
        <v>36</v>
      </c>
      <c r="V454" s="62"/>
      <c r="W454" s="62"/>
      <c r="X454" s="63">
        <f>IFERROR(1 -(Master[[#This Row],[Avg Garment Scans per Delivery]]/Master[[#This Row],[Garment Inventory]]), 0)</f>
        <v>0</v>
      </c>
      <c r="Y454" s="62"/>
      <c r="Z454" s="62"/>
      <c r="AA454" s="53">
        <v>30.110000000000003</v>
      </c>
      <c r="AB454" s="53">
        <v>31.360000000000017</v>
      </c>
      <c r="AC454" s="53">
        <v>18.116666666666667</v>
      </c>
      <c r="AD454" s="53">
        <v>47.103333333333332</v>
      </c>
      <c r="AE454" s="53" t="str">
        <f>_xlfn.XLOOKUP(Master[[#This Row],[cu_id]],'[1]Customer Revenue'!$Q:$Q,'[1]Customer Revenue'!$K:$K, "None")</f>
        <v>None</v>
      </c>
      <c r="AF454" s="53" t="str">
        <f>_xlfn.XLOOKUP(Master[[#This Row],[cu_id]],'[1]Customer Revenue'!$Q:$Q,'[1]Customer Revenue'!$L:$L, "None")</f>
        <v>None</v>
      </c>
      <c r="AG454" s="53">
        <v>30.198374291115314</v>
      </c>
      <c r="AH454" s="53">
        <v>30.912930056710792</v>
      </c>
      <c r="AI454" s="53">
        <v>30.73500000000001</v>
      </c>
      <c r="AJ454" s="53">
        <v>32.61</v>
      </c>
      <c r="AK454" s="53" t="str">
        <f>_xlfn.XLOOKUP(Master[[#This Row],[cu_id]],'[1]Customer Revenue'!$Q:$Q,'[1]Customer Revenue'!$I:$I, "None")</f>
        <v>None</v>
      </c>
      <c r="AL454" s="53">
        <v>30.555652173913053</v>
      </c>
      <c r="AM454" s="61">
        <v>0.375</v>
      </c>
      <c r="AN454" s="60">
        <v>0.70833333333333337</v>
      </c>
      <c r="AO454" s="60" t="s">
        <v>36</v>
      </c>
      <c r="AP454" s="60" t="s">
        <v>36</v>
      </c>
      <c r="AQ454" s="58" t="s">
        <v>0</v>
      </c>
      <c r="AR454" s="58"/>
      <c r="AS454" s="58"/>
      <c r="AT454" s="52">
        <v>0</v>
      </c>
      <c r="AU454" s="52" t="e">
        <f>IF(Master[[#This Row],[RSP StopTime override]] &lt;&gt; "",Master[[#This Row],[RSP StopTime override]],IF(Master[[#This Row],[Avg stop time helper]] &lt;&gt; 0, Master[[#This Row],[Avg stop time helper]],Average_Stop_Time))</f>
        <v>#DIV/0!</v>
      </c>
      <c r="AV454" s="21"/>
      <c r="AW454" s="20">
        <f>Master[[#This Row],[RSP StopTime override]]-Master[[#This Row],[Avg stop time helper]]</f>
        <v>0</v>
      </c>
    </row>
    <row r="455" spans="1:49" x14ac:dyDescent="0.3">
      <c r="A455" s="66" t="s">
        <v>4536</v>
      </c>
      <c r="B455" s="58">
        <v>47</v>
      </c>
      <c r="C455" s="58" t="s">
        <v>43</v>
      </c>
      <c r="D455" s="65">
        <v>99094</v>
      </c>
      <c r="E455" s="65" t="s">
        <v>1253</v>
      </c>
      <c r="F455" s="65" t="s">
        <v>2650</v>
      </c>
      <c r="G455" s="65" t="s">
        <v>2649</v>
      </c>
      <c r="H455" s="65" t="s">
        <v>7</v>
      </c>
      <c r="I455" s="65" t="s">
        <v>2609</v>
      </c>
      <c r="J455" s="65" t="s">
        <v>5</v>
      </c>
      <c r="K455" s="65" t="s">
        <v>2608</v>
      </c>
      <c r="L455" s="64" t="s">
        <v>77</v>
      </c>
      <c r="M455" s="58" t="s">
        <v>29</v>
      </c>
      <c r="N455" s="58" t="s">
        <v>2</v>
      </c>
      <c r="O455" s="58">
        <v>233</v>
      </c>
      <c r="P455" s="58">
        <v>0</v>
      </c>
      <c r="Q455" s="58">
        <v>0</v>
      </c>
      <c r="R455" s="58">
        <v>0</v>
      </c>
      <c r="S455" s="58">
        <v>233</v>
      </c>
      <c r="T455" s="58">
        <v>0</v>
      </c>
      <c r="U455" s="58">
        <v>36</v>
      </c>
      <c r="V455" s="62"/>
      <c r="W455" s="62"/>
      <c r="X455" s="63">
        <f>IFERROR(1 -(Master[[#This Row],[Avg Garment Scans per Delivery]]/Master[[#This Row],[Garment Inventory]]), 0)</f>
        <v>0</v>
      </c>
      <c r="Y455" s="62"/>
      <c r="Z455" s="62"/>
      <c r="AA455" s="53">
        <v>22.910277777777779</v>
      </c>
      <c r="AB455" s="53">
        <v>25.813055555555557</v>
      </c>
      <c r="AC455" s="53">
        <v>13.816666666666668</v>
      </c>
      <c r="AD455" s="53">
        <v>35.923333333333332</v>
      </c>
      <c r="AE455" s="53" t="str">
        <f>_xlfn.XLOOKUP(Master[[#This Row],[cu_id]],'[1]Customer Revenue'!$Q:$Q,'[1]Customer Revenue'!$K:$K, "None")</f>
        <v>None</v>
      </c>
      <c r="AF455" s="53" t="str">
        <f>_xlfn.XLOOKUP(Master[[#This Row],[cu_id]],'[1]Customer Revenue'!$Q:$Q,'[1]Customer Revenue'!$L:$L, "None")</f>
        <v>None</v>
      </c>
      <c r="AG455" s="53">
        <v>23.980718336483925</v>
      </c>
      <c r="AH455" s="53">
        <v>26.214064272211715</v>
      </c>
      <c r="AI455" s="53">
        <v>24.361666666666668</v>
      </c>
      <c r="AJ455" s="53">
        <v>24.87</v>
      </c>
      <c r="AK455" s="53" t="str">
        <f>_xlfn.XLOOKUP(Master[[#This Row],[cu_id]],'[1]Customer Revenue'!$Q:$Q,'[1]Customer Revenue'!$I:$I, "None")</f>
        <v>None</v>
      </c>
      <c r="AL455" s="53">
        <v>25.09739130434782</v>
      </c>
      <c r="AM455" s="61">
        <v>0.375</v>
      </c>
      <c r="AN455" s="60">
        <v>0.70833333333333337</v>
      </c>
      <c r="AO455" s="60" t="s">
        <v>36</v>
      </c>
      <c r="AP455" s="60" t="s">
        <v>36</v>
      </c>
      <c r="AQ455" s="58" t="s">
        <v>0</v>
      </c>
      <c r="AR455" s="58"/>
      <c r="AS455" s="58"/>
      <c r="AT455" s="52">
        <v>0</v>
      </c>
      <c r="AU455" s="52" t="e">
        <f>IF(Master[[#This Row],[RSP StopTime override]] &lt;&gt; "",Master[[#This Row],[RSP StopTime override]],IF(Master[[#This Row],[Avg stop time helper]] &lt;&gt; 0, Master[[#This Row],[Avg stop time helper]],Average_Stop_Time))</f>
        <v>#DIV/0!</v>
      </c>
      <c r="AV455" s="21"/>
      <c r="AW455" s="20">
        <f>Master[[#This Row],[RSP StopTime override]]-Master[[#This Row],[Avg stop time helper]]</f>
        <v>0</v>
      </c>
    </row>
    <row r="456" spans="1:49" x14ac:dyDescent="0.3">
      <c r="A456" s="66" t="s">
        <v>4537</v>
      </c>
      <c r="B456" s="58">
        <v>47</v>
      </c>
      <c r="C456" s="58" t="s">
        <v>43</v>
      </c>
      <c r="D456" s="65">
        <v>99094</v>
      </c>
      <c r="E456" s="65" t="s">
        <v>2107</v>
      </c>
      <c r="F456" s="65" t="s">
        <v>2648</v>
      </c>
      <c r="G456" s="65" t="s">
        <v>2647</v>
      </c>
      <c r="H456" s="65" t="s">
        <v>7</v>
      </c>
      <c r="I456" s="65" t="s">
        <v>12</v>
      </c>
      <c r="J456" s="65" t="s">
        <v>5</v>
      </c>
      <c r="K456" s="65" t="s">
        <v>197</v>
      </c>
      <c r="L456" s="64" t="s">
        <v>67</v>
      </c>
      <c r="M456" s="58" t="s">
        <v>3</v>
      </c>
      <c r="N456" s="58" t="s">
        <v>2</v>
      </c>
      <c r="O456" s="58">
        <v>255</v>
      </c>
      <c r="P456" s="58">
        <v>0</v>
      </c>
      <c r="Q456" s="58">
        <v>0</v>
      </c>
      <c r="R456" s="58">
        <v>0</v>
      </c>
      <c r="S456" s="58">
        <v>255</v>
      </c>
      <c r="T456" s="58">
        <v>0</v>
      </c>
      <c r="U456" s="58">
        <v>36</v>
      </c>
      <c r="V456" s="62"/>
      <c r="W456" s="62"/>
      <c r="X456" s="63">
        <f>IFERROR(1 -(Master[[#This Row],[Avg Garment Scans per Delivery]]/Master[[#This Row],[Garment Inventory]]), 0)</f>
        <v>0</v>
      </c>
      <c r="Y456" s="62"/>
      <c r="Z456" s="62"/>
      <c r="AA456" s="53">
        <v>67.97</v>
      </c>
      <c r="AB456" s="53">
        <v>69.220000000000027</v>
      </c>
      <c r="AC456" s="53">
        <v>34.075785123966945</v>
      </c>
      <c r="AD456" s="53">
        <v>53.486033057851252</v>
      </c>
      <c r="AE456" s="53" t="str">
        <f>_xlfn.XLOOKUP(Master[[#This Row],[cu_id]],'[1]Customer Revenue'!$Q:$Q,'[1]Customer Revenue'!$K:$K, "None")</f>
        <v>None</v>
      </c>
      <c r="AF456" s="53" t="str">
        <f>_xlfn.XLOOKUP(Master[[#This Row],[cu_id]],'[1]Customer Revenue'!$Q:$Q,'[1]Customer Revenue'!$L:$L, "None")</f>
        <v>None</v>
      </c>
      <c r="AG456" s="53">
        <v>68.058374291115314</v>
      </c>
      <c r="AH456" s="53">
        <v>68.772930056710806</v>
      </c>
      <c r="AI456" s="53">
        <v>68.595000000000013</v>
      </c>
      <c r="AJ456" s="53">
        <v>43.780909090909098</v>
      </c>
      <c r="AK456" s="53" t="str">
        <f>_xlfn.XLOOKUP(Master[[#This Row],[cu_id]],'[1]Customer Revenue'!$Q:$Q,'[1]Customer Revenue'!$I:$I, "None")</f>
        <v>None</v>
      </c>
      <c r="AL456" s="53">
        <v>68.41565217391306</v>
      </c>
      <c r="AM456" s="61">
        <v>0.375</v>
      </c>
      <c r="AN456" s="60">
        <v>0.70833333333333337</v>
      </c>
      <c r="AO456" s="60" t="s">
        <v>36</v>
      </c>
      <c r="AP456" s="60" t="s">
        <v>36</v>
      </c>
      <c r="AQ456" s="58" t="s">
        <v>0</v>
      </c>
      <c r="AR456" s="58"/>
      <c r="AS456" s="58"/>
      <c r="AT456" s="52">
        <v>0</v>
      </c>
      <c r="AU456" s="52">
        <f>IF(Master[[#This Row],[RSP StopTime override]] &lt;&gt; "",Master[[#This Row],[RSP StopTime override]],IF(Master[[#This Row],[Avg stop time helper]] &lt;&gt; 0, Master[[#This Row],[Avg stop time helper]],Average_Stop_Time))</f>
        <v>30</v>
      </c>
      <c r="AV456" s="21">
        <v>30</v>
      </c>
      <c r="AW456" s="20">
        <f>Master[[#This Row],[RSP StopTime override]]-Master[[#This Row],[Avg stop time helper]]</f>
        <v>30</v>
      </c>
    </row>
    <row r="457" spans="1:49" x14ac:dyDescent="0.3">
      <c r="A457" s="66" t="s">
        <v>4538</v>
      </c>
      <c r="B457" s="58">
        <v>47</v>
      </c>
      <c r="C457" s="58" t="s">
        <v>43</v>
      </c>
      <c r="D457" s="65">
        <v>99097</v>
      </c>
      <c r="E457" s="65" t="s">
        <v>1332</v>
      </c>
      <c r="F457" s="65" t="s">
        <v>3640</v>
      </c>
      <c r="G457" s="65" t="s">
        <v>2646</v>
      </c>
      <c r="H457" s="65" t="s">
        <v>7</v>
      </c>
      <c r="I457" s="65" t="s">
        <v>12</v>
      </c>
      <c r="J457" s="65" t="s">
        <v>5</v>
      </c>
      <c r="K457" s="65" t="s">
        <v>197</v>
      </c>
      <c r="L457" s="64" t="s">
        <v>67</v>
      </c>
      <c r="M457" s="58" t="s">
        <v>3</v>
      </c>
      <c r="N457" s="58" t="s">
        <v>2</v>
      </c>
      <c r="O457" s="58">
        <v>243</v>
      </c>
      <c r="P457" s="58">
        <v>0</v>
      </c>
      <c r="Q457" s="58">
        <v>0</v>
      </c>
      <c r="R457" s="58">
        <v>0</v>
      </c>
      <c r="S457" s="58">
        <v>243</v>
      </c>
      <c r="T457" s="58">
        <v>0</v>
      </c>
      <c r="U457" s="58">
        <v>53</v>
      </c>
      <c r="V457" s="62">
        <v>30</v>
      </c>
      <c r="W457" s="62">
        <v>1</v>
      </c>
      <c r="X457" s="63">
        <f>IFERROR(1 -(Master[[#This Row],[Avg Garment Scans per Delivery]]/Master[[#This Row],[Garment Inventory]]), 0)</f>
        <v>0.96666666666666667</v>
      </c>
      <c r="Y457" s="62">
        <v>1</v>
      </c>
      <c r="Z457" s="62">
        <v>31</v>
      </c>
      <c r="AA457" s="53">
        <v>37.367974882260619</v>
      </c>
      <c r="AB457" s="53">
        <v>48.798178963893257</v>
      </c>
      <c r="AC457" s="53">
        <v>41.884556213017753</v>
      </c>
      <c r="AD457" s="53">
        <v>42.689289940828409</v>
      </c>
      <c r="AE457" s="53" t="str">
        <f>_xlfn.XLOOKUP(Master[[#This Row],[cu_id]],'[1]Customer Revenue'!$Q:$Q,'[1]Customer Revenue'!$K:$K, "None")</f>
        <v>None</v>
      </c>
      <c r="AF457" s="53" t="str">
        <f>_xlfn.XLOOKUP(Master[[#This Row],[cu_id]],'[1]Customer Revenue'!$Q:$Q,'[1]Customer Revenue'!$L:$L, "None")</f>
        <v>None</v>
      </c>
      <c r="AG457" s="53">
        <v>38.49758784425449</v>
      </c>
      <c r="AH457" s="53">
        <v>45.625489078822405</v>
      </c>
      <c r="AI457" s="53">
        <v>43.083076923076938</v>
      </c>
      <c r="AJ457" s="53">
        <v>42.286923076923081</v>
      </c>
      <c r="AK457" s="53" t="str">
        <f>_xlfn.XLOOKUP(Master[[#This Row],[cu_id]],'[1]Customer Revenue'!$Q:$Q,'[1]Customer Revenue'!$I:$I, "None")</f>
        <v>None</v>
      </c>
      <c r="AL457" s="53">
        <v>42.061538461538447</v>
      </c>
      <c r="AM457" s="61" t="s">
        <v>36</v>
      </c>
      <c r="AN457" s="60" t="s">
        <v>36</v>
      </c>
      <c r="AO457" s="60" t="s">
        <v>36</v>
      </c>
      <c r="AP457" s="60" t="s">
        <v>36</v>
      </c>
      <c r="AQ457" s="58" t="s">
        <v>0</v>
      </c>
      <c r="AR457" s="58"/>
      <c r="AS457" s="58"/>
      <c r="AT457" s="52">
        <v>0</v>
      </c>
      <c r="AU457" s="52" t="e">
        <f>IF(Master[[#This Row],[RSP StopTime override]] &lt;&gt; "",Master[[#This Row],[RSP StopTime override]],IF(Master[[#This Row],[Avg stop time helper]] &lt;&gt; 0, Master[[#This Row],[Avg stop time helper]],Average_Stop_Time))</f>
        <v>#DIV/0!</v>
      </c>
      <c r="AV457" s="21"/>
      <c r="AW457" s="20">
        <f>Master[[#This Row],[RSP StopTime override]]-Master[[#This Row],[Avg stop time helper]]</f>
        <v>0</v>
      </c>
    </row>
    <row r="458" spans="1:49" x14ac:dyDescent="0.3">
      <c r="A458" s="66" t="s">
        <v>4539</v>
      </c>
      <c r="B458" s="58">
        <v>47</v>
      </c>
      <c r="C458" s="58" t="s">
        <v>43</v>
      </c>
      <c r="D458" s="65">
        <v>99097</v>
      </c>
      <c r="E458" s="65" t="s">
        <v>1249</v>
      </c>
      <c r="F458" s="65" t="s">
        <v>3641</v>
      </c>
      <c r="G458" s="65" t="s">
        <v>2645</v>
      </c>
      <c r="H458" s="65" t="s">
        <v>7</v>
      </c>
      <c r="I458" s="65" t="s">
        <v>2621</v>
      </c>
      <c r="J458" s="65" t="s">
        <v>5</v>
      </c>
      <c r="K458" s="65" t="s">
        <v>2620</v>
      </c>
      <c r="L458" s="64" t="s">
        <v>67</v>
      </c>
      <c r="M458" s="58" t="s">
        <v>3</v>
      </c>
      <c r="N458" s="58" t="s">
        <v>2</v>
      </c>
      <c r="O458" s="58">
        <v>147</v>
      </c>
      <c r="P458" s="58">
        <v>0</v>
      </c>
      <c r="Q458" s="58">
        <v>0</v>
      </c>
      <c r="R458" s="58">
        <v>0</v>
      </c>
      <c r="S458" s="58">
        <v>147</v>
      </c>
      <c r="T458" s="58">
        <v>0</v>
      </c>
      <c r="U458" s="58">
        <v>53</v>
      </c>
      <c r="V458" s="62">
        <v>24</v>
      </c>
      <c r="W458" s="62">
        <v>0</v>
      </c>
      <c r="X458" s="63">
        <f>IFERROR(1 -(Master[[#This Row],[Avg Garment Scans per Delivery]]/Master[[#This Row],[Garment Inventory]]), 0)</f>
        <v>1</v>
      </c>
      <c r="Y458" s="62">
        <v>1</v>
      </c>
      <c r="Z458" s="62">
        <v>24</v>
      </c>
      <c r="AA458" s="53">
        <v>49.49082840236683</v>
      </c>
      <c r="AB458" s="53">
        <v>62.461479289940812</v>
      </c>
      <c r="AC458" s="53">
        <v>45.941834319526635</v>
      </c>
      <c r="AD458" s="53">
        <v>49.548934911242625</v>
      </c>
      <c r="AE458" s="53" t="str">
        <f>_xlfn.XLOOKUP(Master[[#This Row],[cu_id]],'[1]Customer Revenue'!$Q:$Q,'[1]Customer Revenue'!$K:$K, "None")</f>
        <v>None</v>
      </c>
      <c r="AF458" s="53" t="str">
        <f>_xlfn.XLOOKUP(Master[[#This Row],[cu_id]],'[1]Customer Revenue'!$Q:$Q,'[1]Customer Revenue'!$L:$L, "None")</f>
        <v>None</v>
      </c>
      <c r="AG458" s="53">
        <v>44.637337278106507</v>
      </c>
      <c r="AH458" s="53">
        <v>61.253431952662716</v>
      </c>
      <c r="AI458" s="53">
        <v>55.976153846153821</v>
      </c>
      <c r="AJ458" s="53">
        <v>47.74538461538463</v>
      </c>
      <c r="AK458" s="53" t="str">
        <f>_xlfn.XLOOKUP(Master[[#This Row],[cu_id]],'[1]Customer Revenue'!$Q:$Q,'[1]Customer Revenue'!$I:$I, "None")</f>
        <v>None</v>
      </c>
      <c r="AL458" s="53">
        <v>52.945384615384611</v>
      </c>
      <c r="AM458" s="61" t="s">
        <v>36</v>
      </c>
      <c r="AN458" s="60" t="s">
        <v>36</v>
      </c>
      <c r="AO458" s="60" t="s">
        <v>36</v>
      </c>
      <c r="AP458" s="60" t="s">
        <v>36</v>
      </c>
      <c r="AQ458" s="58" t="s">
        <v>0</v>
      </c>
      <c r="AR458" s="58"/>
      <c r="AS458" s="58"/>
      <c r="AT458" s="52">
        <v>0</v>
      </c>
      <c r="AU458" s="52" t="e">
        <f>IF(Master[[#This Row],[RSP StopTime override]] &lt;&gt; "",Master[[#This Row],[RSP StopTime override]],IF(Master[[#This Row],[Avg stop time helper]] &lt;&gt; 0, Master[[#This Row],[Avg stop time helper]],Average_Stop_Time))</f>
        <v>#DIV/0!</v>
      </c>
      <c r="AV458" s="21"/>
      <c r="AW458" s="20">
        <f>Master[[#This Row],[RSP StopTime override]]-Master[[#This Row],[Avg stop time helper]]</f>
        <v>0</v>
      </c>
    </row>
    <row r="459" spans="1:49" x14ac:dyDescent="0.3">
      <c r="A459" s="66" t="s">
        <v>4540</v>
      </c>
      <c r="B459" s="58">
        <v>47</v>
      </c>
      <c r="C459" s="58" t="s">
        <v>43</v>
      </c>
      <c r="D459" s="65">
        <v>99097</v>
      </c>
      <c r="E459" s="65" t="s">
        <v>803</v>
      </c>
      <c r="F459" s="65" t="s">
        <v>3642</v>
      </c>
      <c r="G459" s="65" t="s">
        <v>2644</v>
      </c>
      <c r="H459" s="65" t="s">
        <v>7</v>
      </c>
      <c r="I459" s="65" t="s">
        <v>2618</v>
      </c>
      <c r="J459" s="65" t="s">
        <v>5</v>
      </c>
      <c r="K459" s="65" t="s">
        <v>2617</v>
      </c>
      <c r="L459" s="64" t="s">
        <v>67</v>
      </c>
      <c r="M459" s="58" t="s">
        <v>3</v>
      </c>
      <c r="N459" s="58" t="s">
        <v>2</v>
      </c>
      <c r="O459" s="58">
        <v>175</v>
      </c>
      <c r="P459" s="58">
        <v>0</v>
      </c>
      <c r="Q459" s="58">
        <v>0</v>
      </c>
      <c r="R459" s="58">
        <v>0</v>
      </c>
      <c r="S459" s="58">
        <v>175</v>
      </c>
      <c r="T459" s="58">
        <v>0</v>
      </c>
      <c r="U459" s="58">
        <v>53</v>
      </c>
      <c r="V459" s="62">
        <v>28</v>
      </c>
      <c r="W459" s="62">
        <v>0</v>
      </c>
      <c r="X459" s="63">
        <f>IFERROR(1 -(Master[[#This Row],[Avg Garment Scans per Delivery]]/Master[[#This Row],[Garment Inventory]]), 0)</f>
        <v>1</v>
      </c>
      <c r="Y459" s="62">
        <v>1</v>
      </c>
      <c r="Z459" s="62">
        <v>33</v>
      </c>
      <c r="AA459" s="53">
        <v>47.487692307692321</v>
      </c>
      <c r="AB459" s="53">
        <v>50.072307692307696</v>
      </c>
      <c r="AC459" s="53">
        <v>45.379171597633125</v>
      </c>
      <c r="AD459" s="53">
        <v>54.402366863905321</v>
      </c>
      <c r="AE459" s="53" t="str">
        <f>_xlfn.XLOOKUP(Master[[#This Row],[cu_id]],'[1]Customer Revenue'!$Q:$Q,'[1]Customer Revenue'!$K:$K, "None")</f>
        <v>None</v>
      </c>
      <c r="AF459" s="53" t="str">
        <f>_xlfn.XLOOKUP(Master[[#This Row],[cu_id]],'[1]Customer Revenue'!$Q:$Q,'[1]Customer Revenue'!$L:$L, "None")</f>
        <v>None</v>
      </c>
      <c r="AG459" s="53">
        <v>43.961301775147923</v>
      </c>
      <c r="AH459" s="53">
        <v>49.895621301775144</v>
      </c>
      <c r="AI459" s="53">
        <v>48.780000000000008</v>
      </c>
      <c r="AJ459" s="53">
        <v>49.890769230769223</v>
      </c>
      <c r="AK459" s="53" t="str">
        <f>_xlfn.XLOOKUP(Master[[#This Row],[cu_id]],'[1]Customer Revenue'!$Q:$Q,'[1]Customer Revenue'!$I:$I, "None")</f>
        <v>None</v>
      </c>
      <c r="AL459" s="53">
        <v>46.928461538461534</v>
      </c>
      <c r="AM459" s="61" t="s">
        <v>36</v>
      </c>
      <c r="AN459" s="60" t="s">
        <v>36</v>
      </c>
      <c r="AO459" s="60" t="s">
        <v>36</v>
      </c>
      <c r="AP459" s="60" t="s">
        <v>36</v>
      </c>
      <c r="AQ459" s="58" t="s">
        <v>0</v>
      </c>
      <c r="AR459" s="58"/>
      <c r="AS459" s="58"/>
      <c r="AT459" s="52">
        <v>0</v>
      </c>
      <c r="AU459" s="52" t="e">
        <f>IF(Master[[#This Row],[RSP StopTime override]] &lt;&gt; "",Master[[#This Row],[RSP StopTime override]],IF(Master[[#This Row],[Avg stop time helper]] &lt;&gt; 0, Master[[#This Row],[Avg stop time helper]],Average_Stop_Time))</f>
        <v>#DIV/0!</v>
      </c>
      <c r="AV459" s="21"/>
      <c r="AW459" s="20">
        <f>Master[[#This Row],[RSP StopTime override]]-Master[[#This Row],[Avg stop time helper]]</f>
        <v>0</v>
      </c>
    </row>
    <row r="460" spans="1:49" x14ac:dyDescent="0.3">
      <c r="A460" s="66" t="s">
        <v>4058</v>
      </c>
      <c r="B460" s="58">
        <v>47</v>
      </c>
      <c r="C460" s="58" t="s">
        <v>43</v>
      </c>
      <c r="D460" s="65">
        <v>99161</v>
      </c>
      <c r="E460" s="65" t="s">
        <v>2643</v>
      </c>
      <c r="F460" s="65" t="s">
        <v>3643</v>
      </c>
      <c r="G460" s="65" t="s">
        <v>2642</v>
      </c>
      <c r="H460" s="65" t="s">
        <v>7</v>
      </c>
      <c r="I460" s="65" t="s">
        <v>12</v>
      </c>
      <c r="J460" s="65" t="s">
        <v>5</v>
      </c>
      <c r="K460" s="65" t="s">
        <v>197</v>
      </c>
      <c r="L460" s="64" t="s">
        <v>67</v>
      </c>
      <c r="M460" s="58" t="s">
        <v>3</v>
      </c>
      <c r="N460" s="58" t="s">
        <v>2</v>
      </c>
      <c r="O460" s="58">
        <v>1</v>
      </c>
      <c r="P460" s="58">
        <v>0</v>
      </c>
      <c r="Q460" s="58">
        <v>0</v>
      </c>
      <c r="R460" s="58">
        <v>0</v>
      </c>
      <c r="S460" s="58">
        <v>1</v>
      </c>
      <c r="T460" s="58">
        <v>0</v>
      </c>
      <c r="U460" s="58">
        <v>2</v>
      </c>
      <c r="V460" s="62"/>
      <c r="W460" s="62"/>
      <c r="X460" s="63">
        <f>IFERROR(1 -(Master[[#This Row],[Avg Garment Scans per Delivery]]/Master[[#This Row],[Garment Inventory]]), 0)</f>
        <v>0</v>
      </c>
      <c r="Y460" s="62"/>
      <c r="Z460" s="62"/>
      <c r="AA460" s="53">
        <v>130.36000000000001</v>
      </c>
      <c r="AB460" s="53">
        <v>246.87</v>
      </c>
      <c r="AC460" s="53">
        <v>215.99</v>
      </c>
      <c r="AD460" s="53">
        <v>215.99</v>
      </c>
      <c r="AE460" s="53" t="str">
        <f>_xlfn.XLOOKUP(Master[[#This Row],[cu_id]],'[1]Customer Revenue'!$Q:$Q,'[1]Customer Revenue'!$K:$K, "None")</f>
        <v>None</v>
      </c>
      <c r="AF460" s="53" t="str">
        <f>_xlfn.XLOOKUP(Master[[#This Row],[cu_id]],'[1]Customer Revenue'!$Q:$Q,'[1]Customer Revenue'!$L:$L, "None")</f>
        <v>None</v>
      </c>
      <c r="AG460" s="53">
        <v>130.36000000000001</v>
      </c>
      <c r="AH460" s="53">
        <v>246.87</v>
      </c>
      <c r="AI460" s="53">
        <v>188.61500000000001</v>
      </c>
      <c r="AJ460" s="53">
        <v>215.99</v>
      </c>
      <c r="AK460" s="53" t="str">
        <f>_xlfn.XLOOKUP(Master[[#This Row],[cu_id]],'[1]Customer Revenue'!$Q:$Q,'[1]Customer Revenue'!$I:$I, "None")</f>
        <v>None</v>
      </c>
      <c r="AL460" s="53">
        <v>188.61500000000001</v>
      </c>
      <c r="AM460" s="61">
        <v>0.20833333333333334</v>
      </c>
      <c r="AN460" s="60">
        <v>0.5</v>
      </c>
      <c r="AO460" s="60" t="s">
        <v>36</v>
      </c>
      <c r="AP460" s="60" t="s">
        <v>36</v>
      </c>
      <c r="AQ460" s="58" t="s">
        <v>0</v>
      </c>
      <c r="AR460" s="58"/>
      <c r="AS460" s="58"/>
      <c r="AT460" s="52">
        <v>0</v>
      </c>
      <c r="AU460" s="52" t="e">
        <f>IF(Master[[#This Row],[RSP StopTime override]] &lt;&gt; "",Master[[#This Row],[RSP StopTime override]],IF(Master[[#This Row],[Avg stop time helper]] &lt;&gt; 0, Master[[#This Row],[Avg stop time helper]],Average_Stop_Time))</f>
        <v>#DIV/0!</v>
      </c>
      <c r="AV460" s="21"/>
      <c r="AW460" s="20">
        <f>Master[[#This Row],[RSP StopTime override]]-Master[[#This Row],[Avg stop time helper]]</f>
        <v>0</v>
      </c>
    </row>
    <row r="461" spans="1:49" x14ac:dyDescent="0.3">
      <c r="A461" s="73" t="s">
        <v>4046</v>
      </c>
      <c r="B461" s="64">
        <v>47</v>
      </c>
      <c r="C461" s="64" t="s">
        <v>43</v>
      </c>
      <c r="D461" s="65">
        <v>99161</v>
      </c>
      <c r="E461" s="65" t="s">
        <v>2641</v>
      </c>
      <c r="F461" s="65" t="s">
        <v>3644</v>
      </c>
      <c r="G461" s="65" t="s">
        <v>2640</v>
      </c>
      <c r="H461" s="65" t="s">
        <v>7</v>
      </c>
      <c r="I461" s="65" t="s">
        <v>2423</v>
      </c>
      <c r="J461" s="65" t="s">
        <v>5</v>
      </c>
      <c r="K461" s="65" t="s">
        <v>197</v>
      </c>
      <c r="L461" s="64" t="s">
        <v>67</v>
      </c>
      <c r="M461" s="65" t="s">
        <v>3</v>
      </c>
      <c r="N461" s="65" t="s">
        <v>2</v>
      </c>
      <c r="O461" s="65">
        <v>1</v>
      </c>
      <c r="P461" s="65">
        <v>0</v>
      </c>
      <c r="Q461" s="65">
        <v>0</v>
      </c>
      <c r="R461" s="65">
        <v>0</v>
      </c>
      <c r="S461" s="65">
        <v>1</v>
      </c>
      <c r="T461" s="65">
        <v>0</v>
      </c>
      <c r="U461" s="65">
        <v>1</v>
      </c>
      <c r="V461" s="65"/>
      <c r="W461" s="65"/>
      <c r="X461" s="72">
        <f>IFERROR(1 -(Master[[#This Row],[Avg Garment Scans per Delivery]]/Master[[#This Row],[Garment Inventory]]), 0)</f>
        <v>0</v>
      </c>
      <c r="Y461" s="65"/>
      <c r="Z461" s="65"/>
      <c r="AA461" s="53"/>
      <c r="AB461" s="53"/>
      <c r="AC461" s="53">
        <v>322.26</v>
      </c>
      <c r="AD461" s="53">
        <v>322.26</v>
      </c>
      <c r="AE461" s="53" t="str">
        <f>_xlfn.XLOOKUP(Master[[#This Row],[cu_id]],'[1]Customer Revenue'!$Q:$Q,'[1]Customer Revenue'!$K:$K, "None")</f>
        <v>None</v>
      </c>
      <c r="AF461" s="53" t="str">
        <f>_xlfn.XLOOKUP(Master[[#This Row],[cu_id]],'[1]Customer Revenue'!$Q:$Q,'[1]Customer Revenue'!$L:$L, "None")</f>
        <v>None</v>
      </c>
      <c r="AG461" s="53"/>
      <c r="AH461" s="53"/>
      <c r="AI461" s="53"/>
      <c r="AJ461" s="53">
        <v>322.26</v>
      </c>
      <c r="AK461" s="53" t="str">
        <f>_xlfn.XLOOKUP(Master[[#This Row],[cu_id]],'[1]Customer Revenue'!$Q:$Q,'[1]Customer Revenue'!$I:$I, "None")</f>
        <v>None</v>
      </c>
      <c r="AL461" s="53"/>
      <c r="AM461" s="61">
        <v>0.20833333333333334</v>
      </c>
      <c r="AN461" s="71">
        <v>0.5</v>
      </c>
      <c r="AO461" s="71" t="s">
        <v>36</v>
      </c>
      <c r="AP461" s="71" t="s">
        <v>36</v>
      </c>
      <c r="AQ461" s="64" t="s">
        <v>0</v>
      </c>
      <c r="AR461" s="64"/>
      <c r="AS461" s="65"/>
      <c r="AT461" s="52">
        <v>0</v>
      </c>
      <c r="AU461" s="52" t="e">
        <f>IF(Master[[#This Row],[RSP StopTime override]] &lt;&gt; "",Master[[#This Row],[RSP StopTime override]],IF(Master[[#This Row],[Avg stop time helper]] &lt;&gt; 0, Master[[#This Row],[Avg stop time helper]],Average_Stop_Time))</f>
        <v>#DIV/0!</v>
      </c>
      <c r="AV461" s="21"/>
      <c r="AW461" s="20">
        <f>Master[[#This Row],[RSP StopTime override]]-Master[[#This Row],[Avg stop time helper]]</f>
        <v>0</v>
      </c>
    </row>
    <row r="462" spans="1:49" x14ac:dyDescent="0.3">
      <c r="A462" s="66" t="s">
        <v>4541</v>
      </c>
      <c r="B462" s="58">
        <v>47</v>
      </c>
      <c r="C462" s="58" t="s">
        <v>43</v>
      </c>
      <c r="D462" s="65">
        <v>99161</v>
      </c>
      <c r="E462" s="65" t="s">
        <v>2639</v>
      </c>
      <c r="F462" s="65" t="s">
        <v>2638</v>
      </c>
      <c r="G462" s="65" t="s">
        <v>2637</v>
      </c>
      <c r="H462" s="65" t="s">
        <v>7</v>
      </c>
      <c r="I462" s="65" t="s">
        <v>2184</v>
      </c>
      <c r="J462" s="65" t="s">
        <v>5</v>
      </c>
      <c r="K462" s="65" t="s">
        <v>53</v>
      </c>
      <c r="L462" s="64" t="s">
        <v>67</v>
      </c>
      <c r="M462" s="58" t="s">
        <v>3</v>
      </c>
      <c r="N462" s="58" t="s">
        <v>2</v>
      </c>
      <c r="O462" s="58">
        <v>100</v>
      </c>
      <c r="P462" s="58">
        <v>0</v>
      </c>
      <c r="Q462" s="58">
        <v>0</v>
      </c>
      <c r="R462" s="58">
        <v>0</v>
      </c>
      <c r="S462" s="58">
        <v>100</v>
      </c>
      <c r="T462" s="58">
        <v>0</v>
      </c>
      <c r="U462" s="58">
        <v>1</v>
      </c>
      <c r="V462" s="62"/>
      <c r="W462" s="62"/>
      <c r="X462" s="63">
        <f>IFERROR(1 -(Master[[#This Row],[Avg Garment Scans per Delivery]]/Master[[#This Row],[Garment Inventory]]), 0)</f>
        <v>0</v>
      </c>
      <c r="Y462" s="62"/>
      <c r="Z462" s="62"/>
      <c r="AA462" s="53">
        <v>47.19</v>
      </c>
      <c r="AB462" s="53">
        <v>47.19</v>
      </c>
      <c r="AC462" s="53">
        <v>78.540000000000006</v>
      </c>
      <c r="AD462" s="53">
        <v>78.540000000000006</v>
      </c>
      <c r="AE462" s="53" t="str">
        <f>_xlfn.XLOOKUP(Master[[#This Row],[cu_id]],'[1]Customer Revenue'!$Q:$Q,'[1]Customer Revenue'!$K:$K, "None")</f>
        <v>None</v>
      </c>
      <c r="AF462" s="53" t="str">
        <f>_xlfn.XLOOKUP(Master[[#This Row],[cu_id]],'[1]Customer Revenue'!$Q:$Q,'[1]Customer Revenue'!$L:$L, "None")</f>
        <v>None</v>
      </c>
      <c r="AG462" s="53">
        <v>47.19</v>
      </c>
      <c r="AH462" s="53">
        <v>47.19</v>
      </c>
      <c r="AI462" s="53">
        <v>47.19</v>
      </c>
      <c r="AJ462" s="53">
        <v>78.540000000000006</v>
      </c>
      <c r="AK462" s="53" t="str">
        <f>_xlfn.XLOOKUP(Master[[#This Row],[cu_id]],'[1]Customer Revenue'!$Q:$Q,'[1]Customer Revenue'!$I:$I, "None")</f>
        <v>None</v>
      </c>
      <c r="AL462" s="53">
        <v>47.19</v>
      </c>
      <c r="AM462" s="61">
        <v>0.25</v>
      </c>
      <c r="AN462" s="60">
        <v>0.5</v>
      </c>
      <c r="AO462" s="60" t="s">
        <v>36</v>
      </c>
      <c r="AP462" s="60" t="s">
        <v>36</v>
      </c>
      <c r="AQ462" s="58" t="s">
        <v>0</v>
      </c>
      <c r="AR462" s="58"/>
      <c r="AS462" s="58"/>
      <c r="AT462" s="52">
        <v>0</v>
      </c>
      <c r="AU462" s="52" t="e">
        <f>IF(Master[[#This Row],[RSP StopTime override]] &lt;&gt; "",Master[[#This Row],[RSP StopTime override]],IF(Master[[#This Row],[Avg stop time helper]] &lt;&gt; 0, Master[[#This Row],[Avg stop time helper]],Average_Stop_Time))</f>
        <v>#DIV/0!</v>
      </c>
      <c r="AV462" s="21"/>
      <c r="AW462" s="20">
        <f>Master[[#This Row],[RSP StopTime override]]-Master[[#This Row],[Avg stop time helper]]</f>
        <v>0</v>
      </c>
    </row>
    <row r="463" spans="1:49" x14ac:dyDescent="0.3">
      <c r="A463" s="66" t="s">
        <v>4542</v>
      </c>
      <c r="B463" s="58">
        <v>47</v>
      </c>
      <c r="C463" s="58" t="s">
        <v>43</v>
      </c>
      <c r="D463" s="65">
        <v>499014</v>
      </c>
      <c r="E463" s="65" t="s">
        <v>1343</v>
      </c>
      <c r="F463" s="65" t="s">
        <v>1149</v>
      </c>
      <c r="G463" s="65" t="s">
        <v>2636</v>
      </c>
      <c r="H463" s="65" t="s">
        <v>32</v>
      </c>
      <c r="I463" s="65" t="s">
        <v>2635</v>
      </c>
      <c r="J463" s="65" t="s">
        <v>5</v>
      </c>
      <c r="K463" s="65" t="s">
        <v>2620</v>
      </c>
      <c r="L463" s="64" t="s">
        <v>194</v>
      </c>
      <c r="M463" s="58" t="s">
        <v>193</v>
      </c>
      <c r="N463" s="58" t="s">
        <v>2</v>
      </c>
      <c r="O463" s="58">
        <v>148</v>
      </c>
      <c r="P463" s="58">
        <v>0</v>
      </c>
      <c r="Q463" s="58">
        <v>0</v>
      </c>
      <c r="R463" s="58">
        <v>0</v>
      </c>
      <c r="S463" s="58">
        <v>148</v>
      </c>
      <c r="T463" s="58">
        <v>0</v>
      </c>
      <c r="U463" s="58">
        <v>34</v>
      </c>
      <c r="V463" s="62"/>
      <c r="W463" s="62">
        <v>2</v>
      </c>
      <c r="X463" s="63">
        <f>IFERROR(1 -(Master[[#This Row],[Avg Garment Scans per Delivery]]/Master[[#This Row],[Garment Inventory]]), 0)</f>
        <v>0</v>
      </c>
      <c r="Y463" s="62"/>
      <c r="Z463" s="62"/>
      <c r="AA463" s="53">
        <v>33.478749999999998</v>
      </c>
      <c r="AB463" s="53">
        <v>35.166249999999998</v>
      </c>
      <c r="AC463" s="53">
        <v>35.752222222222223</v>
      </c>
      <c r="AD463" s="53">
        <v>37.294444444444444</v>
      </c>
      <c r="AE463" s="53" t="str">
        <f>_xlfn.XLOOKUP(Master[[#This Row],[cu_id]],'[1]Customer Revenue'!$Q:$Q,'[1]Customer Revenue'!$K:$K, "None")</f>
        <v>None</v>
      </c>
      <c r="AF463" s="53" t="str">
        <f>_xlfn.XLOOKUP(Master[[#This Row],[cu_id]],'[1]Customer Revenue'!$Q:$Q,'[1]Customer Revenue'!$L:$L, "None")</f>
        <v>None</v>
      </c>
      <c r="AG463" s="53">
        <v>25.775408163265304</v>
      </c>
      <c r="AH463" s="53">
        <v>42.494591836734692</v>
      </c>
      <c r="AI463" s="53">
        <v>34.322499999999998</v>
      </c>
      <c r="AJ463" s="53">
        <v>36.523333333333333</v>
      </c>
      <c r="AK463" s="53" t="str">
        <f>_xlfn.XLOOKUP(Master[[#This Row],[cu_id]],'[1]Customer Revenue'!$Q:$Q,'[1]Customer Revenue'!$I:$I, "None")</f>
        <v>None</v>
      </c>
      <c r="AL463" s="53">
        <v>34.134999999999998</v>
      </c>
      <c r="AM463" s="61">
        <v>0.375</v>
      </c>
      <c r="AN463" s="60">
        <v>0.70833333333333337</v>
      </c>
      <c r="AO463" s="60" t="s">
        <v>36</v>
      </c>
      <c r="AP463" s="60" t="s">
        <v>36</v>
      </c>
      <c r="AQ463" s="58" t="s">
        <v>0</v>
      </c>
      <c r="AR463" s="58"/>
      <c r="AS463" s="58"/>
      <c r="AT463" s="52">
        <v>0</v>
      </c>
      <c r="AU463" s="52" t="e">
        <f>IF(Master[[#This Row],[RSP StopTime override]] &lt;&gt; "",Master[[#This Row],[RSP StopTime override]],IF(Master[[#This Row],[Avg stop time helper]] &lt;&gt; 0, Master[[#This Row],[Avg stop time helper]],Average_Stop_Time))</f>
        <v>#DIV/0!</v>
      </c>
      <c r="AV463" s="21"/>
      <c r="AW463" s="20">
        <f>Master[[#This Row],[RSP StopTime override]]-Master[[#This Row],[Avg stop time helper]]</f>
        <v>0</v>
      </c>
    </row>
    <row r="464" spans="1:49" x14ac:dyDescent="0.3">
      <c r="A464" s="66" t="s">
        <v>4543</v>
      </c>
      <c r="B464" s="58">
        <v>47</v>
      </c>
      <c r="C464" s="58" t="s">
        <v>43</v>
      </c>
      <c r="D464" s="65">
        <v>521740</v>
      </c>
      <c r="E464" s="65" t="s">
        <v>42</v>
      </c>
      <c r="F464" s="65" t="s">
        <v>2634</v>
      </c>
      <c r="G464" s="65" t="s">
        <v>2633</v>
      </c>
      <c r="H464" s="65" t="s">
        <v>32</v>
      </c>
      <c r="I464" s="65" t="s">
        <v>54</v>
      </c>
      <c r="J464" s="65" t="s">
        <v>5</v>
      </c>
      <c r="K464" s="65" t="s">
        <v>53</v>
      </c>
      <c r="L464" s="64" t="s">
        <v>194</v>
      </c>
      <c r="M464" s="58" t="s">
        <v>193</v>
      </c>
      <c r="N464" s="58" t="s">
        <v>2</v>
      </c>
      <c r="O464" s="58">
        <v>237</v>
      </c>
      <c r="P464" s="58">
        <v>0</v>
      </c>
      <c r="Q464" s="58">
        <v>0</v>
      </c>
      <c r="R464" s="58">
        <v>0</v>
      </c>
      <c r="S464" s="58">
        <v>237</v>
      </c>
      <c r="T464" s="58">
        <v>0</v>
      </c>
      <c r="U464" s="58">
        <v>14</v>
      </c>
      <c r="V464" s="62"/>
      <c r="W464" s="62"/>
      <c r="X464" s="63">
        <f>IFERROR(1 -(Master[[#This Row],[Avg Garment Scans per Delivery]]/Master[[#This Row],[Garment Inventory]]), 0)</f>
        <v>0</v>
      </c>
      <c r="Y464" s="62"/>
      <c r="Z464" s="62"/>
      <c r="AA464" s="53">
        <v>128.06874999999999</v>
      </c>
      <c r="AB464" s="53">
        <v>129.75624999999999</v>
      </c>
      <c r="AC464" s="53">
        <v>137.01666666666665</v>
      </c>
      <c r="AD464" s="53">
        <v>162.68333333333334</v>
      </c>
      <c r="AE464" s="53" t="str">
        <f>_xlfn.XLOOKUP(Master[[#This Row],[cu_id]],'[1]Customer Revenue'!$Q:$Q,'[1]Customer Revenue'!$K:$K, "None")</f>
        <v>None</v>
      </c>
      <c r="AF464" s="53" t="str">
        <f>_xlfn.XLOOKUP(Master[[#This Row],[cu_id]],'[1]Customer Revenue'!$Q:$Q,'[1]Customer Revenue'!$L:$L, "None")</f>
        <v>None</v>
      </c>
      <c r="AG464" s="53">
        <v>128.1204081632653</v>
      </c>
      <c r="AH464" s="53">
        <v>129.22244897959186</v>
      </c>
      <c r="AI464" s="53">
        <v>128.91249999999999</v>
      </c>
      <c r="AJ464" s="53">
        <v>149.85</v>
      </c>
      <c r="AK464" s="53" t="str">
        <f>_xlfn.XLOOKUP(Master[[#This Row],[cu_id]],'[1]Customer Revenue'!$Q:$Q,'[1]Customer Revenue'!$I:$I, "None")</f>
        <v>None</v>
      </c>
      <c r="AL464" s="53">
        <v>128.67142857142858</v>
      </c>
      <c r="AM464" s="61">
        <v>0.375</v>
      </c>
      <c r="AN464" s="60">
        <v>0.70833333333333337</v>
      </c>
      <c r="AO464" s="60" t="s">
        <v>36</v>
      </c>
      <c r="AP464" s="60" t="s">
        <v>36</v>
      </c>
      <c r="AQ464" s="58" t="s">
        <v>0</v>
      </c>
      <c r="AR464" s="58"/>
      <c r="AS464" s="58"/>
      <c r="AT464" s="52">
        <v>0</v>
      </c>
      <c r="AU464" s="52" t="e">
        <f>IF(Master[[#This Row],[RSP StopTime override]] &lt;&gt; "",Master[[#This Row],[RSP StopTime override]],IF(Master[[#This Row],[Avg stop time helper]] &lt;&gt; 0, Master[[#This Row],[Avg stop time helper]],Average_Stop_Time))</f>
        <v>#DIV/0!</v>
      </c>
      <c r="AV464" s="21"/>
      <c r="AW464" s="20">
        <f>Master[[#This Row],[RSP StopTime override]]-Master[[#This Row],[Avg stop time helper]]</f>
        <v>0</v>
      </c>
    </row>
    <row r="465" spans="1:49" x14ac:dyDescent="0.3">
      <c r="A465" s="66" t="s">
        <v>4544</v>
      </c>
      <c r="B465" s="58">
        <v>47</v>
      </c>
      <c r="C465" s="58" t="s">
        <v>43</v>
      </c>
      <c r="D465" s="65">
        <v>521749</v>
      </c>
      <c r="E465" s="65" t="s">
        <v>42</v>
      </c>
      <c r="F465" s="65" t="s">
        <v>3645</v>
      </c>
      <c r="G465" s="65" t="s">
        <v>2632</v>
      </c>
      <c r="H465" s="65" t="s">
        <v>32</v>
      </c>
      <c r="I465" s="65" t="s">
        <v>54</v>
      </c>
      <c r="J465" s="65" t="s">
        <v>5</v>
      </c>
      <c r="K465" s="65" t="s">
        <v>2631</v>
      </c>
      <c r="L465" s="64" t="s">
        <v>91</v>
      </c>
      <c r="M465" s="58" t="s">
        <v>90</v>
      </c>
      <c r="N465" s="58" t="s">
        <v>2</v>
      </c>
      <c r="O465" s="58">
        <v>85</v>
      </c>
      <c r="P465" s="58">
        <v>0</v>
      </c>
      <c r="Q465" s="58">
        <v>0</v>
      </c>
      <c r="R465" s="58">
        <v>0</v>
      </c>
      <c r="S465" s="58">
        <v>85</v>
      </c>
      <c r="T465" s="58">
        <v>0</v>
      </c>
      <c r="U465" s="58">
        <v>27</v>
      </c>
      <c r="V465" s="62"/>
      <c r="W465" s="62"/>
      <c r="X465" s="63">
        <f>IFERROR(1 -(Master[[#This Row],[Avg Garment Scans per Delivery]]/Master[[#This Row],[Garment Inventory]]), 0)</f>
        <v>0</v>
      </c>
      <c r="Y465" s="62"/>
      <c r="Z465" s="62"/>
      <c r="AA465" s="53">
        <v>110.95448979591836</v>
      </c>
      <c r="AB465" s="53">
        <v>112.79122448979592</v>
      </c>
      <c r="AC465" s="53">
        <v>113.03222222222223</v>
      </c>
      <c r="AD465" s="53">
        <v>116.61444444444444</v>
      </c>
      <c r="AE465" s="53" t="str">
        <f>_xlfn.XLOOKUP(Master[[#This Row],[cu_id]],'[1]Customer Revenue'!$Q:$Q,'[1]Customer Revenue'!$K:$K, "None")</f>
        <v>None</v>
      </c>
      <c r="AF465" s="53" t="str">
        <f>_xlfn.XLOOKUP(Master[[#This Row],[cu_id]],'[1]Customer Revenue'!$Q:$Q,'[1]Customer Revenue'!$L:$L, "None")</f>
        <v>None</v>
      </c>
      <c r="AG465" s="53">
        <v>102.77863905325447</v>
      </c>
      <c r="AH465" s="53">
        <v>114.22905325443787</v>
      </c>
      <c r="AI465" s="53">
        <v>111.87285714285714</v>
      </c>
      <c r="AJ465" s="53">
        <v>114.82333333333334</v>
      </c>
      <c r="AK465" s="53" t="str">
        <f>_xlfn.XLOOKUP(Master[[#This Row],[cu_id]],'[1]Customer Revenue'!$Q:$Q,'[1]Customer Revenue'!$I:$I, "None")</f>
        <v>None</v>
      </c>
      <c r="AL465" s="53">
        <v>108.50384615384617</v>
      </c>
      <c r="AM465" s="61" t="s">
        <v>36</v>
      </c>
      <c r="AN465" s="60" t="s">
        <v>36</v>
      </c>
      <c r="AO465" s="60" t="s">
        <v>36</v>
      </c>
      <c r="AP465" s="60" t="s">
        <v>36</v>
      </c>
      <c r="AQ465" s="58" t="s">
        <v>0</v>
      </c>
      <c r="AR465" s="58"/>
      <c r="AS465" s="58"/>
      <c r="AT465" s="52">
        <v>0</v>
      </c>
      <c r="AU465" s="52" t="e">
        <f>IF(Master[[#This Row],[RSP StopTime override]] &lt;&gt; "",Master[[#This Row],[RSP StopTime override]],IF(Master[[#This Row],[Avg stop time helper]] &lt;&gt; 0, Master[[#This Row],[Avg stop time helper]],Average_Stop_Time))</f>
        <v>#DIV/0!</v>
      </c>
      <c r="AV465" s="21"/>
      <c r="AW465" s="20">
        <f>Master[[#This Row],[RSP StopTime override]]-Master[[#This Row],[Avg stop time helper]]</f>
        <v>0</v>
      </c>
    </row>
    <row r="466" spans="1:49" x14ac:dyDescent="0.3">
      <c r="A466" s="66" t="s">
        <v>4545</v>
      </c>
      <c r="B466" s="58">
        <v>47</v>
      </c>
      <c r="C466" s="58" t="s">
        <v>43</v>
      </c>
      <c r="D466" s="65">
        <v>521900</v>
      </c>
      <c r="E466" s="65" t="s">
        <v>42</v>
      </c>
      <c r="F466" s="65" t="s">
        <v>2630</v>
      </c>
      <c r="G466" s="65" t="s">
        <v>2629</v>
      </c>
      <c r="H466" s="65" t="s">
        <v>32</v>
      </c>
      <c r="I466" s="65" t="s">
        <v>50</v>
      </c>
      <c r="J466" s="65" t="s">
        <v>5</v>
      </c>
      <c r="K466" s="65" t="s">
        <v>197</v>
      </c>
      <c r="L466" s="64" t="s">
        <v>91</v>
      </c>
      <c r="M466" s="58" t="s">
        <v>90</v>
      </c>
      <c r="N466" s="58" t="s">
        <v>2</v>
      </c>
      <c r="O466" s="58">
        <v>245</v>
      </c>
      <c r="P466" s="58">
        <v>0</v>
      </c>
      <c r="Q466" s="58">
        <v>0</v>
      </c>
      <c r="R466" s="58">
        <v>0</v>
      </c>
      <c r="S466" s="58">
        <v>245</v>
      </c>
      <c r="T466" s="58">
        <v>0</v>
      </c>
      <c r="U466" s="58">
        <v>28</v>
      </c>
      <c r="V466" s="62">
        <v>93</v>
      </c>
      <c r="W466" s="62">
        <v>15</v>
      </c>
      <c r="X466" s="63">
        <f>IFERROR(1 -(Master[[#This Row],[Avg Garment Scans per Delivery]]/Master[[#This Row],[Garment Inventory]]), 0)</f>
        <v>0.83870967741935487</v>
      </c>
      <c r="Y466" s="62">
        <v>9</v>
      </c>
      <c r="Z466" s="62">
        <v>84</v>
      </c>
      <c r="AA466" s="53">
        <v>391.10510204081635</v>
      </c>
      <c r="AB466" s="53">
        <v>428.48061224489794</v>
      </c>
      <c r="AC466" s="53">
        <v>282.19836734693888</v>
      </c>
      <c r="AD466" s="53">
        <v>478.89306122448977</v>
      </c>
      <c r="AE466" s="53" t="str">
        <f>_xlfn.XLOOKUP(Master[[#This Row],[cu_id]],'[1]Customer Revenue'!$Q:$Q,'[1]Customer Revenue'!$K:$K, "None")</f>
        <v>None</v>
      </c>
      <c r="AF466" s="53" t="str">
        <f>_xlfn.XLOOKUP(Master[[#This Row],[cu_id]],'[1]Customer Revenue'!$Q:$Q,'[1]Customer Revenue'!$L:$L, "None")</f>
        <v>None</v>
      </c>
      <c r="AG466" s="53">
        <v>376.18207100591718</v>
      </c>
      <c r="AH466" s="53">
        <v>437.56715976331355</v>
      </c>
      <c r="AI466" s="53">
        <v>409.79285714285714</v>
      </c>
      <c r="AJ466" s="53">
        <v>380.54571428571433</v>
      </c>
      <c r="AK466" s="53" t="str">
        <f>_xlfn.XLOOKUP(Master[[#This Row],[cu_id]],'[1]Customer Revenue'!$Q:$Q,'[1]Customer Revenue'!$I:$I, "None")</f>
        <v>None</v>
      </c>
      <c r="AL466" s="53">
        <v>406.87461538461537</v>
      </c>
      <c r="AM466" s="61">
        <v>0.375</v>
      </c>
      <c r="AN466" s="60">
        <v>0.70833333333333337</v>
      </c>
      <c r="AO466" s="60" t="s">
        <v>36</v>
      </c>
      <c r="AP466" s="60" t="s">
        <v>36</v>
      </c>
      <c r="AQ466" s="58" t="s">
        <v>0</v>
      </c>
      <c r="AR466" s="58"/>
      <c r="AS466" s="58"/>
      <c r="AT466" s="52">
        <v>0</v>
      </c>
      <c r="AU466" s="52" t="e">
        <f>IF(Master[[#This Row],[RSP StopTime override]] &lt;&gt; "",Master[[#This Row],[RSP StopTime override]],IF(Master[[#This Row],[Avg stop time helper]] &lt;&gt; 0, Master[[#This Row],[Avg stop time helper]],Average_Stop_Time))</f>
        <v>#DIV/0!</v>
      </c>
      <c r="AV466" s="21"/>
      <c r="AW466" s="20">
        <f>Master[[#This Row],[RSP StopTime override]]-Master[[#This Row],[Avg stop time helper]]</f>
        <v>0</v>
      </c>
    </row>
    <row r="467" spans="1:49" x14ac:dyDescent="0.3">
      <c r="A467" s="66" t="s">
        <v>4546</v>
      </c>
      <c r="B467" s="58">
        <v>47</v>
      </c>
      <c r="C467" s="58" t="s">
        <v>43</v>
      </c>
      <c r="D467" s="65">
        <v>531287</v>
      </c>
      <c r="E467" s="65" t="s">
        <v>42</v>
      </c>
      <c r="F467" s="65" t="s">
        <v>2628</v>
      </c>
      <c r="G467" s="65" t="s">
        <v>2627</v>
      </c>
      <c r="H467" s="65" t="s">
        <v>7</v>
      </c>
      <c r="I467" s="65" t="s">
        <v>2618</v>
      </c>
      <c r="J467" s="65" t="s">
        <v>5</v>
      </c>
      <c r="K467" s="65" t="s">
        <v>2617</v>
      </c>
      <c r="L467" s="64" t="s">
        <v>67</v>
      </c>
      <c r="M467" s="58" t="s">
        <v>3</v>
      </c>
      <c r="N467" s="58" t="s">
        <v>2</v>
      </c>
      <c r="O467" s="58">
        <v>180</v>
      </c>
      <c r="P467" s="58">
        <v>0</v>
      </c>
      <c r="Q467" s="58">
        <v>0</v>
      </c>
      <c r="R467" s="58">
        <v>0</v>
      </c>
      <c r="S467" s="58">
        <v>180</v>
      </c>
      <c r="T467" s="58">
        <v>0</v>
      </c>
      <c r="U467" s="58">
        <v>50</v>
      </c>
      <c r="V467" s="62"/>
      <c r="W467" s="62"/>
      <c r="X467" s="63">
        <f>IFERROR(1 -(Master[[#This Row],[Avg Garment Scans per Delivery]]/Master[[#This Row],[Garment Inventory]]), 0)</f>
        <v>0</v>
      </c>
      <c r="Y467" s="62"/>
      <c r="Z467" s="62"/>
      <c r="AA467" s="53">
        <v>41.332130177514784</v>
      </c>
      <c r="AB467" s="53">
        <v>47.724792899408271</v>
      </c>
      <c r="AC467" s="53">
        <v>50.572130177514794</v>
      </c>
      <c r="AD467" s="53">
        <v>52.924792899408288</v>
      </c>
      <c r="AE467" s="53" t="str">
        <f>_xlfn.XLOOKUP(Master[[#This Row],[cu_id]],'[1]Customer Revenue'!$Q:$Q,'[1]Customer Revenue'!$K:$K, "None")</f>
        <v>None</v>
      </c>
      <c r="AF467" s="53" t="str">
        <f>_xlfn.XLOOKUP(Master[[#This Row],[cu_id]],'[1]Customer Revenue'!$Q:$Q,'[1]Customer Revenue'!$L:$L, "None")</f>
        <v>None</v>
      </c>
      <c r="AG467" s="53">
        <v>39.532202366863935</v>
      </c>
      <c r="AH467" s="53">
        <v>46.665397633136102</v>
      </c>
      <c r="AI467" s="53">
        <v>44.528461538461528</v>
      </c>
      <c r="AJ467" s="53">
        <v>51.748461538461541</v>
      </c>
      <c r="AK467" s="53" t="str">
        <f>_xlfn.XLOOKUP(Master[[#This Row],[cu_id]],'[1]Customer Revenue'!$Q:$Q,'[1]Customer Revenue'!$I:$I, "None")</f>
        <v>None</v>
      </c>
      <c r="AL467" s="53">
        <v>43.098800000000018</v>
      </c>
      <c r="AM467" s="61">
        <v>0.29166666666666669</v>
      </c>
      <c r="AN467" s="60">
        <v>0.91666666666666663</v>
      </c>
      <c r="AO467" s="60" t="s">
        <v>36</v>
      </c>
      <c r="AP467" s="60" t="s">
        <v>36</v>
      </c>
      <c r="AQ467" s="58" t="s">
        <v>0</v>
      </c>
      <c r="AR467" s="58"/>
      <c r="AS467" s="58"/>
      <c r="AT467" s="52">
        <v>0</v>
      </c>
      <c r="AU467" s="52" t="e">
        <f>IF(Master[[#This Row],[RSP StopTime override]] &lt;&gt; "",Master[[#This Row],[RSP StopTime override]],IF(Master[[#This Row],[Avg stop time helper]] &lt;&gt; 0, Master[[#This Row],[Avg stop time helper]],Average_Stop_Time))</f>
        <v>#DIV/0!</v>
      </c>
      <c r="AV467" s="21"/>
      <c r="AW467" s="20">
        <f>Master[[#This Row],[RSP StopTime override]]-Master[[#This Row],[Avg stop time helper]]</f>
        <v>0</v>
      </c>
    </row>
    <row r="468" spans="1:49" x14ac:dyDescent="0.3">
      <c r="A468" s="66" t="s">
        <v>4547</v>
      </c>
      <c r="B468" s="58">
        <v>47</v>
      </c>
      <c r="C468" s="58" t="s">
        <v>43</v>
      </c>
      <c r="D468" s="65">
        <v>531594</v>
      </c>
      <c r="E468" s="65" t="s">
        <v>42</v>
      </c>
      <c r="F468" s="65" t="s">
        <v>2626</v>
      </c>
      <c r="G468" s="65" t="s">
        <v>2625</v>
      </c>
      <c r="H468" s="65" t="s">
        <v>2624</v>
      </c>
      <c r="I468" s="65" t="s">
        <v>12</v>
      </c>
      <c r="J468" s="65" t="s">
        <v>5</v>
      </c>
      <c r="K468" s="65" t="s">
        <v>197</v>
      </c>
      <c r="L468" s="64" t="s">
        <v>77</v>
      </c>
      <c r="M468" s="58" t="s">
        <v>29</v>
      </c>
      <c r="N468" s="58" t="s">
        <v>2</v>
      </c>
      <c r="O468" s="58">
        <v>241</v>
      </c>
      <c r="P468" s="58">
        <v>0</v>
      </c>
      <c r="Q468" s="58">
        <v>0</v>
      </c>
      <c r="R468" s="58">
        <v>0</v>
      </c>
      <c r="S468" s="58">
        <v>241</v>
      </c>
      <c r="T468" s="58">
        <v>0</v>
      </c>
      <c r="U468" s="58">
        <v>25</v>
      </c>
      <c r="V468" s="62">
        <v>25</v>
      </c>
      <c r="W468" s="62">
        <v>2</v>
      </c>
      <c r="X468" s="63">
        <f>IFERROR(1 -(Master[[#This Row],[Avg Garment Scans per Delivery]]/Master[[#This Row],[Garment Inventory]]), 0)</f>
        <v>0.92</v>
      </c>
      <c r="Y468" s="62">
        <v>4</v>
      </c>
      <c r="Z468" s="62">
        <v>23</v>
      </c>
      <c r="AA468" s="53">
        <v>46.76</v>
      </c>
      <c r="AB468" s="53">
        <v>48.01</v>
      </c>
      <c r="AC468" s="53">
        <v>48.929387755102042</v>
      </c>
      <c r="AD468" s="53">
        <v>50.516326530612247</v>
      </c>
      <c r="AE468" s="53" t="str">
        <f>_xlfn.XLOOKUP(Master[[#This Row],[cu_id]],'[1]Customer Revenue'!$Q:$Q,'[1]Customer Revenue'!$K:$K, "None")</f>
        <v>None</v>
      </c>
      <c r="AF468" s="53" t="str">
        <f>_xlfn.XLOOKUP(Master[[#This Row],[cu_id]],'[1]Customer Revenue'!$Q:$Q,'[1]Customer Revenue'!$L:$L, "None")</f>
        <v>None</v>
      </c>
      <c r="AG468" s="53">
        <v>44.33</v>
      </c>
      <c r="AH468" s="53">
        <v>47.384999999999991</v>
      </c>
      <c r="AI468" s="53">
        <v>47.384999999999998</v>
      </c>
      <c r="AJ468" s="53">
        <v>49.722857142857144</v>
      </c>
      <c r="AK468" s="53" t="str">
        <f>_xlfn.XLOOKUP(Master[[#This Row],[cu_id]],'[1]Customer Revenue'!$Q:$Q,'[1]Customer Revenue'!$I:$I, "None")</f>
        <v>None</v>
      </c>
      <c r="AL468" s="53">
        <v>45.857499999999995</v>
      </c>
      <c r="AM468" s="61">
        <v>0.375</v>
      </c>
      <c r="AN468" s="60">
        <v>0.70833333333333337</v>
      </c>
      <c r="AO468" s="60" t="s">
        <v>36</v>
      </c>
      <c r="AP468" s="60" t="s">
        <v>36</v>
      </c>
      <c r="AQ468" s="58" t="s">
        <v>0</v>
      </c>
      <c r="AR468" s="58"/>
      <c r="AS468" s="58"/>
      <c r="AT468" s="52">
        <v>0</v>
      </c>
      <c r="AU468" s="52" t="e">
        <f>IF(Master[[#This Row],[RSP StopTime override]] &lt;&gt; "",Master[[#This Row],[RSP StopTime override]],IF(Master[[#This Row],[Avg stop time helper]] &lt;&gt; 0, Master[[#This Row],[Avg stop time helper]],Average_Stop_Time))</f>
        <v>#DIV/0!</v>
      </c>
      <c r="AV468" s="21"/>
      <c r="AW468" s="20">
        <f>Master[[#This Row],[RSP StopTime override]]-Master[[#This Row],[Avg stop time helper]]</f>
        <v>0</v>
      </c>
    </row>
    <row r="469" spans="1:49" x14ac:dyDescent="0.3">
      <c r="A469" s="66" t="s">
        <v>4548</v>
      </c>
      <c r="B469" s="58">
        <v>47</v>
      </c>
      <c r="C469" s="58" t="s">
        <v>43</v>
      </c>
      <c r="D469" s="65">
        <v>531824</v>
      </c>
      <c r="E469" s="65" t="s">
        <v>42</v>
      </c>
      <c r="F469" s="65" t="s">
        <v>2623</v>
      </c>
      <c r="G469" s="65" t="s">
        <v>2622</v>
      </c>
      <c r="H469" s="65" t="s">
        <v>7</v>
      </c>
      <c r="I469" s="65" t="s">
        <v>2621</v>
      </c>
      <c r="J469" s="65" t="s">
        <v>5</v>
      </c>
      <c r="K469" s="65" t="s">
        <v>2620</v>
      </c>
      <c r="L469" s="64" t="s">
        <v>67</v>
      </c>
      <c r="M469" s="58" t="s">
        <v>3</v>
      </c>
      <c r="N469" s="58" t="s">
        <v>2</v>
      </c>
      <c r="O469" s="58">
        <v>120</v>
      </c>
      <c r="P469" s="58">
        <v>0</v>
      </c>
      <c r="Q469" s="58">
        <v>0</v>
      </c>
      <c r="R469" s="58">
        <v>0</v>
      </c>
      <c r="S469" s="58">
        <v>120</v>
      </c>
      <c r="T469" s="58">
        <v>0</v>
      </c>
      <c r="U469" s="58">
        <v>53</v>
      </c>
      <c r="V469" s="62">
        <v>326</v>
      </c>
      <c r="W469" s="62">
        <v>11</v>
      </c>
      <c r="X469" s="63">
        <f>IFERROR(1 -(Master[[#This Row],[Avg Garment Scans per Delivery]]/Master[[#This Row],[Garment Inventory]]), 0)</f>
        <v>0.96625766871165641</v>
      </c>
      <c r="Y469" s="62">
        <v>12</v>
      </c>
      <c r="Z469" s="62">
        <v>298</v>
      </c>
      <c r="AA469" s="53">
        <v>115.84224852071007</v>
      </c>
      <c r="AB469" s="53">
        <v>133.4962130177515</v>
      </c>
      <c r="AC469" s="53">
        <v>132.00887573964496</v>
      </c>
      <c r="AD469" s="53">
        <v>160.85881656804736</v>
      </c>
      <c r="AE469" s="53" t="str">
        <f>_xlfn.XLOOKUP(Master[[#This Row],[cu_id]],'[1]Customer Revenue'!$Q:$Q,'[1]Customer Revenue'!$K:$K, "None")</f>
        <v>None</v>
      </c>
      <c r="AF469" s="53" t="str">
        <f>_xlfn.XLOOKUP(Master[[#This Row],[cu_id]],'[1]Customer Revenue'!$Q:$Q,'[1]Customer Revenue'!$L:$L, "None")</f>
        <v>None</v>
      </c>
      <c r="AG469" s="53">
        <v>109.37692307692305</v>
      </c>
      <c r="AH469" s="53">
        <v>143.40307692307684</v>
      </c>
      <c r="AI469" s="53">
        <v>124.66923076923078</v>
      </c>
      <c r="AJ469" s="53">
        <v>146.43384615384616</v>
      </c>
      <c r="AK469" s="53" t="str">
        <f>_xlfn.XLOOKUP(Master[[#This Row],[cu_id]],'[1]Customer Revenue'!$Q:$Q,'[1]Customer Revenue'!$I:$I, "None")</f>
        <v>None</v>
      </c>
      <c r="AL469" s="53">
        <v>126.38999999999994</v>
      </c>
      <c r="AM469" s="61">
        <v>0.33333333333333331</v>
      </c>
      <c r="AN469" s="60">
        <v>0.70833333333333337</v>
      </c>
      <c r="AO469" s="60" t="s">
        <v>36</v>
      </c>
      <c r="AP469" s="60" t="s">
        <v>36</v>
      </c>
      <c r="AQ469" s="58" t="s">
        <v>0</v>
      </c>
      <c r="AR469" s="58"/>
      <c r="AS469" s="58"/>
      <c r="AT469" s="52">
        <v>0</v>
      </c>
      <c r="AU469" s="52" t="e">
        <f>IF(Master[[#This Row],[RSP StopTime override]] &lt;&gt; "",Master[[#This Row],[RSP StopTime override]],IF(Master[[#This Row],[Avg stop time helper]] &lt;&gt; 0, Master[[#This Row],[Avg stop time helper]],Average_Stop_Time))</f>
        <v>#DIV/0!</v>
      </c>
      <c r="AV469" s="21"/>
      <c r="AW469" s="20">
        <f>Master[[#This Row],[RSP StopTime override]]-Master[[#This Row],[Avg stop time helper]]</f>
        <v>0</v>
      </c>
    </row>
    <row r="470" spans="1:49" x14ac:dyDescent="0.3">
      <c r="A470" s="66" t="s">
        <v>4549</v>
      </c>
      <c r="B470" s="58">
        <v>47</v>
      </c>
      <c r="C470" s="58" t="s">
        <v>43</v>
      </c>
      <c r="D470" s="65">
        <v>532037</v>
      </c>
      <c r="E470" s="65" t="s">
        <v>42</v>
      </c>
      <c r="F470" s="65" t="s">
        <v>3646</v>
      </c>
      <c r="G470" s="65" t="s">
        <v>2619</v>
      </c>
      <c r="H470" s="65" t="s">
        <v>7</v>
      </c>
      <c r="I470" s="65" t="s">
        <v>2618</v>
      </c>
      <c r="J470" s="65" t="s">
        <v>5</v>
      </c>
      <c r="K470" s="65" t="s">
        <v>2617</v>
      </c>
      <c r="L470" s="64" t="s">
        <v>67</v>
      </c>
      <c r="M470" s="58" t="s">
        <v>3</v>
      </c>
      <c r="N470" s="58" t="s">
        <v>2</v>
      </c>
      <c r="O470" s="58">
        <v>155</v>
      </c>
      <c r="P470" s="58">
        <v>0</v>
      </c>
      <c r="Q470" s="58">
        <v>0</v>
      </c>
      <c r="R470" s="58">
        <v>0</v>
      </c>
      <c r="S470" s="58">
        <v>155</v>
      </c>
      <c r="T470" s="58">
        <v>0</v>
      </c>
      <c r="U470" s="58">
        <v>53</v>
      </c>
      <c r="V470" s="62"/>
      <c r="W470" s="62"/>
      <c r="X470" s="63">
        <f>IFERROR(1 -(Master[[#This Row],[Avg Garment Scans per Delivery]]/Master[[#This Row],[Garment Inventory]]), 0)</f>
        <v>0</v>
      </c>
      <c r="Y470" s="62"/>
      <c r="Z470" s="62"/>
      <c r="AA470" s="53">
        <v>31.860414201183428</v>
      </c>
      <c r="AB470" s="53">
        <v>33.458047337278089</v>
      </c>
      <c r="AC470" s="53">
        <v>34.223136094674544</v>
      </c>
      <c r="AD470" s="53">
        <v>36.003017751479277</v>
      </c>
      <c r="AE470" s="53" t="str">
        <f>_xlfn.XLOOKUP(Master[[#This Row],[cu_id]],'[1]Customer Revenue'!$Q:$Q,'[1]Customer Revenue'!$K:$K, "None")</f>
        <v>None</v>
      </c>
      <c r="AF470" s="53" t="str">
        <f>_xlfn.XLOOKUP(Master[[#This Row],[cu_id]],'[1]Customer Revenue'!$Q:$Q,'[1]Customer Revenue'!$L:$L, "None")</f>
        <v>None</v>
      </c>
      <c r="AG470" s="53">
        <v>31.109911242603541</v>
      </c>
      <c r="AH470" s="53">
        <v>32.741627218934909</v>
      </c>
      <c r="AI470" s="53">
        <v>32.65923076923076</v>
      </c>
      <c r="AJ470" s="53">
        <v>35.11307692307691</v>
      </c>
      <c r="AK470" s="53" t="str">
        <f>_xlfn.XLOOKUP(Master[[#This Row],[cu_id]],'[1]Customer Revenue'!$Q:$Q,'[1]Customer Revenue'!$I:$I, "None")</f>
        <v>None</v>
      </c>
      <c r="AL470" s="53">
        <v>31.925769230769223</v>
      </c>
      <c r="AM470" s="61">
        <v>0.33333333333333331</v>
      </c>
      <c r="AN470" s="60">
        <v>0.70833333333333337</v>
      </c>
      <c r="AO470" s="60" t="s">
        <v>36</v>
      </c>
      <c r="AP470" s="60" t="s">
        <v>36</v>
      </c>
      <c r="AQ470" s="58" t="s">
        <v>0</v>
      </c>
      <c r="AR470" s="58"/>
      <c r="AS470" s="58"/>
      <c r="AT470" s="52">
        <v>0</v>
      </c>
      <c r="AU470" s="52" t="e">
        <f>IF(Master[[#This Row],[RSP StopTime override]] &lt;&gt; "",Master[[#This Row],[RSP StopTime override]],IF(Master[[#This Row],[Avg stop time helper]] &lt;&gt; 0, Master[[#This Row],[Avg stop time helper]],Average_Stop_Time))</f>
        <v>#DIV/0!</v>
      </c>
      <c r="AV470" s="21"/>
      <c r="AW470" s="20">
        <f>Master[[#This Row],[RSP StopTime override]]-Master[[#This Row],[Avg stop time helper]]</f>
        <v>0</v>
      </c>
    </row>
    <row r="471" spans="1:49" x14ac:dyDescent="0.3">
      <c r="A471" s="66" t="s">
        <v>4550</v>
      </c>
      <c r="B471" s="58">
        <v>47</v>
      </c>
      <c r="C471" s="58" t="s">
        <v>43</v>
      </c>
      <c r="D471" s="65">
        <v>532224</v>
      </c>
      <c r="E471" s="65" t="s">
        <v>42</v>
      </c>
      <c r="F471" s="65" t="s">
        <v>2616</v>
      </c>
      <c r="G471" s="65" t="s">
        <v>2615</v>
      </c>
      <c r="H471" s="65" t="s">
        <v>7</v>
      </c>
      <c r="I471" s="65" t="s">
        <v>12</v>
      </c>
      <c r="J471" s="65" t="s">
        <v>5</v>
      </c>
      <c r="K471" s="65" t="s">
        <v>197</v>
      </c>
      <c r="L471" s="64" t="s">
        <v>67</v>
      </c>
      <c r="M471" s="58" t="s">
        <v>3</v>
      </c>
      <c r="N471" s="58" t="s">
        <v>2</v>
      </c>
      <c r="O471" s="58">
        <v>242</v>
      </c>
      <c r="P471" s="58">
        <v>0</v>
      </c>
      <c r="Q471" s="58">
        <v>0</v>
      </c>
      <c r="R471" s="58">
        <v>0</v>
      </c>
      <c r="S471" s="58">
        <v>242</v>
      </c>
      <c r="T471" s="58">
        <v>0</v>
      </c>
      <c r="U471" s="58">
        <v>53</v>
      </c>
      <c r="V471" s="62"/>
      <c r="W471" s="62"/>
      <c r="X471" s="63">
        <f>IFERROR(1 -(Master[[#This Row],[Avg Garment Scans per Delivery]]/Master[[#This Row],[Garment Inventory]]), 0)</f>
        <v>0</v>
      </c>
      <c r="Y471" s="62"/>
      <c r="Z471" s="62"/>
      <c r="AA471" s="53">
        <v>95.331420118343189</v>
      </c>
      <c r="AB471" s="53">
        <v>124.40550295857987</v>
      </c>
      <c r="AC471" s="53">
        <v>98.605621301775159</v>
      </c>
      <c r="AD471" s="53">
        <v>125.208224852071</v>
      </c>
      <c r="AE471" s="53" t="str">
        <f>_xlfn.XLOOKUP(Master[[#This Row],[cu_id]],'[1]Customer Revenue'!$Q:$Q,'[1]Customer Revenue'!$K:$K, "None")</f>
        <v>None</v>
      </c>
      <c r="AF471" s="53" t="str">
        <f>_xlfn.XLOOKUP(Master[[#This Row],[cu_id]],'[1]Customer Revenue'!$Q:$Q,'[1]Customer Revenue'!$L:$L, "None")</f>
        <v>None</v>
      </c>
      <c r="AG471" s="53">
        <v>92.98615384615384</v>
      </c>
      <c r="AH471" s="53">
        <v>121.08230769230768</v>
      </c>
      <c r="AI471" s="53">
        <v>109.86846153846153</v>
      </c>
      <c r="AJ471" s="53">
        <v>111.90692307692308</v>
      </c>
      <c r="AK471" s="53" t="str">
        <f>_xlfn.XLOOKUP(Master[[#This Row],[cu_id]],'[1]Customer Revenue'!$Q:$Q,'[1]Customer Revenue'!$I:$I, "None")</f>
        <v>None</v>
      </c>
      <c r="AL471" s="53">
        <v>107.03423076923076</v>
      </c>
      <c r="AM471" s="61">
        <v>0.33333333333333331</v>
      </c>
      <c r="AN471" s="60">
        <v>0.70833333333333337</v>
      </c>
      <c r="AO471" s="60" t="s">
        <v>36</v>
      </c>
      <c r="AP471" s="60" t="s">
        <v>36</v>
      </c>
      <c r="AQ471" s="58" t="s">
        <v>0</v>
      </c>
      <c r="AR471" s="58"/>
      <c r="AS471" s="58"/>
      <c r="AT471" s="52">
        <v>0</v>
      </c>
      <c r="AU471" s="52" t="e">
        <f>IF(Master[[#This Row],[RSP StopTime override]] &lt;&gt; "",Master[[#This Row],[RSP StopTime override]],IF(Master[[#This Row],[Avg stop time helper]] &lt;&gt; 0, Master[[#This Row],[Avg stop time helper]],Average_Stop_Time))</f>
        <v>#DIV/0!</v>
      </c>
      <c r="AV471" s="21"/>
      <c r="AW471" s="20">
        <f>Master[[#This Row],[RSP StopTime override]]-Master[[#This Row],[Avg stop time helper]]</f>
        <v>0</v>
      </c>
    </row>
    <row r="472" spans="1:49" x14ac:dyDescent="0.3">
      <c r="A472" s="66" t="s">
        <v>4551</v>
      </c>
      <c r="B472" s="58">
        <v>47</v>
      </c>
      <c r="C472" s="58" t="s">
        <v>43</v>
      </c>
      <c r="D472" s="65">
        <v>533481</v>
      </c>
      <c r="E472" s="65" t="s">
        <v>42</v>
      </c>
      <c r="F472" s="65" t="s">
        <v>2614</v>
      </c>
      <c r="G472" s="65" t="s">
        <v>2613</v>
      </c>
      <c r="H472" s="65" t="s">
        <v>2612</v>
      </c>
      <c r="I472" s="65" t="s">
        <v>2184</v>
      </c>
      <c r="J472" s="65" t="s">
        <v>5</v>
      </c>
      <c r="K472" s="65" t="s">
        <v>53</v>
      </c>
      <c r="L472" s="64" t="s">
        <v>67</v>
      </c>
      <c r="M472" s="58" t="s">
        <v>3</v>
      </c>
      <c r="N472" s="58" t="s">
        <v>2</v>
      </c>
      <c r="O472" s="58">
        <v>101</v>
      </c>
      <c r="P472" s="58">
        <v>0</v>
      </c>
      <c r="Q472" s="58">
        <v>0</v>
      </c>
      <c r="R472" s="58">
        <v>0</v>
      </c>
      <c r="S472" s="58">
        <v>101</v>
      </c>
      <c r="T472" s="58">
        <v>0</v>
      </c>
      <c r="U472" s="58">
        <v>3</v>
      </c>
      <c r="V472" s="62"/>
      <c r="W472" s="62"/>
      <c r="X472" s="63">
        <f>IFERROR(1 -(Master[[#This Row],[Avg Garment Scans per Delivery]]/Master[[#This Row],[Garment Inventory]]), 0)</f>
        <v>0</v>
      </c>
      <c r="Y472" s="62"/>
      <c r="Z472" s="62"/>
      <c r="AA472" s="53">
        <v>215.24543209876543</v>
      </c>
      <c r="AB472" s="53">
        <v>442.67456790123452</v>
      </c>
      <c r="AC472" s="53">
        <v>279.35753451676521</v>
      </c>
      <c r="AD472" s="53">
        <v>758.52913214990133</v>
      </c>
      <c r="AE472" s="53" t="str">
        <f>_xlfn.XLOOKUP(Master[[#This Row],[cu_id]],'[1]Customer Revenue'!$Q:$Q,'[1]Customer Revenue'!$K:$K, "None")</f>
        <v>None</v>
      </c>
      <c r="AF472" s="53" t="str">
        <f>_xlfn.XLOOKUP(Master[[#This Row],[cu_id]],'[1]Customer Revenue'!$Q:$Q,'[1]Customer Revenue'!$L:$L, "None")</f>
        <v>None</v>
      </c>
      <c r="AG472" s="53">
        <v>222.28431372549016</v>
      </c>
      <c r="AH472" s="53">
        <v>404.44901960784307</v>
      </c>
      <c r="AI472" s="53">
        <v>328.96</v>
      </c>
      <c r="AJ472" s="53">
        <v>518.94333333333327</v>
      </c>
      <c r="AK472" s="53" t="str">
        <f>_xlfn.XLOOKUP(Master[[#This Row],[cu_id]],'[1]Customer Revenue'!$Q:$Q,'[1]Customer Revenue'!$I:$I, "None")</f>
        <v>None</v>
      </c>
      <c r="AL472" s="53">
        <v>313.36666666666662</v>
      </c>
      <c r="AM472" s="61">
        <v>0.16666666666666666</v>
      </c>
      <c r="AN472" s="60">
        <v>0.91666666666666663</v>
      </c>
      <c r="AO472" s="60" t="s">
        <v>36</v>
      </c>
      <c r="AP472" s="60" t="s">
        <v>36</v>
      </c>
      <c r="AQ472" s="58" t="s">
        <v>0</v>
      </c>
      <c r="AR472" s="58"/>
      <c r="AS472" s="58"/>
      <c r="AT472" s="52">
        <v>0</v>
      </c>
      <c r="AU472" s="52" t="e">
        <f>IF(Master[[#This Row],[RSP StopTime override]] &lt;&gt; "",Master[[#This Row],[RSP StopTime override]],IF(Master[[#This Row],[Avg stop time helper]] &lt;&gt; 0, Master[[#This Row],[Avg stop time helper]],Average_Stop_Time))</f>
        <v>#DIV/0!</v>
      </c>
      <c r="AV472" s="21"/>
      <c r="AW472" s="20">
        <f>Master[[#This Row],[RSP StopTime override]]-Master[[#This Row],[Avg stop time helper]]</f>
        <v>0</v>
      </c>
    </row>
    <row r="473" spans="1:49" x14ac:dyDescent="0.3">
      <c r="A473" s="66" t="s">
        <v>4552</v>
      </c>
      <c r="B473" s="58">
        <v>47</v>
      </c>
      <c r="C473" s="58" t="s">
        <v>43</v>
      </c>
      <c r="D473" s="65">
        <v>533571</v>
      </c>
      <c r="E473" s="65" t="s">
        <v>42</v>
      </c>
      <c r="F473" s="65" t="s">
        <v>2611</v>
      </c>
      <c r="G473" s="65" t="s">
        <v>2610</v>
      </c>
      <c r="H473" s="65" t="s">
        <v>7</v>
      </c>
      <c r="I473" s="65" t="s">
        <v>2609</v>
      </c>
      <c r="J473" s="65" t="s">
        <v>5</v>
      </c>
      <c r="K473" s="65" t="s">
        <v>2608</v>
      </c>
      <c r="L473" s="64" t="s">
        <v>67</v>
      </c>
      <c r="M473" s="58" t="s">
        <v>3</v>
      </c>
      <c r="N473" s="58" t="s">
        <v>2</v>
      </c>
      <c r="O473" s="58">
        <v>116</v>
      </c>
      <c r="P473" s="58">
        <v>0</v>
      </c>
      <c r="Q473" s="58">
        <v>0</v>
      </c>
      <c r="R473" s="58">
        <v>0</v>
      </c>
      <c r="S473" s="58">
        <v>116</v>
      </c>
      <c r="T473" s="58">
        <v>0</v>
      </c>
      <c r="U473" s="58">
        <v>4</v>
      </c>
      <c r="V473" s="62"/>
      <c r="W473" s="62"/>
      <c r="X473" s="63">
        <f>IFERROR(1 -(Master[[#This Row],[Avg Garment Scans per Delivery]]/Master[[#This Row],[Garment Inventory]]), 0)</f>
        <v>0</v>
      </c>
      <c r="Y473" s="62"/>
      <c r="Z473" s="62"/>
      <c r="AA473" s="53">
        <v>53.716666666666661</v>
      </c>
      <c r="AB473" s="53">
        <v>139.66333333333333</v>
      </c>
      <c r="AC473" s="53">
        <v>96.534674556213034</v>
      </c>
      <c r="AD473" s="53">
        <v>98.191479289940858</v>
      </c>
      <c r="AE473" s="53" t="str">
        <f>_xlfn.XLOOKUP(Master[[#This Row],[cu_id]],'[1]Customer Revenue'!$Q:$Q,'[1]Customer Revenue'!$K:$K, "None")</f>
        <v>None</v>
      </c>
      <c r="AF473" s="53" t="str">
        <f>_xlfn.XLOOKUP(Master[[#This Row],[cu_id]],'[1]Customer Revenue'!$Q:$Q,'[1]Customer Revenue'!$L:$L, "None")</f>
        <v>None</v>
      </c>
      <c r="AG473" s="53">
        <v>53.716666666666661</v>
      </c>
      <c r="AH473" s="53">
        <v>139.66333333333333</v>
      </c>
      <c r="AI473" s="53">
        <v>96.69</v>
      </c>
      <c r="AJ473" s="53">
        <v>97.363076923076946</v>
      </c>
      <c r="AK473" s="53" t="str">
        <f>_xlfn.XLOOKUP(Master[[#This Row],[cu_id]],'[1]Customer Revenue'!$Q:$Q,'[1]Customer Revenue'!$I:$I, "None")</f>
        <v>None</v>
      </c>
      <c r="AL473" s="53">
        <v>96.69</v>
      </c>
      <c r="AM473" s="61">
        <v>0.16666666666666666</v>
      </c>
      <c r="AN473" s="60">
        <v>0.91666666666666663</v>
      </c>
      <c r="AO473" s="60" t="s">
        <v>36</v>
      </c>
      <c r="AP473" s="60" t="s">
        <v>36</v>
      </c>
      <c r="AQ473" s="58" t="s">
        <v>0</v>
      </c>
      <c r="AR473" s="58"/>
      <c r="AS473" s="58"/>
      <c r="AT473" s="52">
        <v>0</v>
      </c>
      <c r="AU473" s="52" t="e">
        <f>IF(Master[[#This Row],[RSP StopTime override]] &lt;&gt; "",Master[[#This Row],[RSP StopTime override]],IF(Master[[#This Row],[Avg stop time helper]] &lt;&gt; 0, Master[[#This Row],[Avg stop time helper]],Average_Stop_Time))</f>
        <v>#DIV/0!</v>
      </c>
      <c r="AV473" s="21"/>
      <c r="AW473" s="20">
        <f>Master[[#This Row],[RSP StopTime override]]-Master[[#This Row],[Avg stop time helper]]</f>
        <v>0</v>
      </c>
    </row>
    <row r="474" spans="1:49" x14ac:dyDescent="0.3">
      <c r="A474" s="73" t="s">
        <v>4553</v>
      </c>
      <c r="B474" s="64">
        <v>47</v>
      </c>
      <c r="C474" s="64" t="s">
        <v>43</v>
      </c>
      <c r="D474" s="65">
        <v>533624</v>
      </c>
      <c r="E474" s="65" t="s">
        <v>42</v>
      </c>
      <c r="F474" s="65" t="s">
        <v>2607</v>
      </c>
      <c r="G474" s="65" t="s">
        <v>2606</v>
      </c>
      <c r="H474" s="65" t="s">
        <v>7</v>
      </c>
      <c r="I474" s="65" t="s">
        <v>12</v>
      </c>
      <c r="J474" s="65" t="s">
        <v>5</v>
      </c>
      <c r="K474" s="65" t="s">
        <v>197</v>
      </c>
      <c r="L474" s="64" t="s">
        <v>67</v>
      </c>
      <c r="M474" s="65" t="s">
        <v>3</v>
      </c>
      <c r="N474" s="65" t="s">
        <v>2</v>
      </c>
      <c r="O474" s="65">
        <v>237</v>
      </c>
      <c r="P474" s="65">
        <v>0</v>
      </c>
      <c r="Q474" s="65">
        <v>0</v>
      </c>
      <c r="R474" s="65">
        <v>0</v>
      </c>
      <c r="S474" s="65">
        <v>237</v>
      </c>
      <c r="T474" s="65">
        <v>0</v>
      </c>
      <c r="U474" s="65">
        <v>4</v>
      </c>
      <c r="V474" s="65"/>
      <c r="W474" s="65"/>
      <c r="X474" s="72">
        <f>IFERROR(1 -(Master[[#This Row],[Avg Garment Scans per Delivery]]/Master[[#This Row],[Garment Inventory]]), 0)</f>
        <v>0</v>
      </c>
      <c r="Y474" s="65"/>
      <c r="Z474" s="65"/>
      <c r="AA474" s="53">
        <v>68</v>
      </c>
      <c r="AB474" s="53">
        <v>68</v>
      </c>
      <c r="AC474" s="53">
        <v>68</v>
      </c>
      <c r="AD474" s="53">
        <v>68</v>
      </c>
      <c r="AE474" s="53" t="str">
        <f>_xlfn.XLOOKUP(Master[[#This Row],[cu_id]],'[1]Customer Revenue'!$Q:$Q,'[1]Customer Revenue'!$K:$K, "None")</f>
        <v>None</v>
      </c>
      <c r="AF474" s="53" t="str">
        <f>_xlfn.XLOOKUP(Master[[#This Row],[cu_id]],'[1]Customer Revenue'!$Q:$Q,'[1]Customer Revenue'!$L:$L, "None")</f>
        <v>None</v>
      </c>
      <c r="AG474" s="53">
        <v>68</v>
      </c>
      <c r="AH474" s="53">
        <v>68</v>
      </c>
      <c r="AI474" s="53">
        <v>68</v>
      </c>
      <c r="AJ474" s="53">
        <v>68</v>
      </c>
      <c r="AK474" s="53" t="str">
        <f>_xlfn.XLOOKUP(Master[[#This Row],[cu_id]],'[1]Customer Revenue'!$Q:$Q,'[1]Customer Revenue'!$I:$I, "None")</f>
        <v>None</v>
      </c>
      <c r="AL474" s="53">
        <v>68</v>
      </c>
      <c r="AM474" s="71" t="s">
        <v>1</v>
      </c>
      <c r="AN474" s="71" t="s">
        <v>1</v>
      </c>
      <c r="AO474" s="71" t="s">
        <v>36</v>
      </c>
      <c r="AP474" s="71" t="s">
        <v>36</v>
      </c>
      <c r="AQ474" s="64" t="s">
        <v>0</v>
      </c>
      <c r="AR474" s="64"/>
      <c r="AS474" s="65"/>
      <c r="AT474" s="52">
        <v>0</v>
      </c>
      <c r="AU474" s="52" t="e">
        <f>IF(Master[[#This Row],[RSP StopTime override]] &lt;&gt; "",Master[[#This Row],[RSP StopTime override]],IF(Master[[#This Row],[Avg stop time helper]] &lt;&gt; 0, Master[[#This Row],[Avg stop time helper]],Average_Stop_Time))</f>
        <v>#DIV/0!</v>
      </c>
      <c r="AV474" s="21"/>
      <c r="AW474" s="20">
        <f>Master[[#This Row],[RSP StopTime override]]-Master[[#This Row],[Avg stop time helper]]</f>
        <v>0</v>
      </c>
    </row>
    <row r="475" spans="1:49" x14ac:dyDescent="0.3">
      <c r="A475" s="66" t="s">
        <v>4554</v>
      </c>
      <c r="B475" s="58">
        <v>47</v>
      </c>
      <c r="C475" s="58" t="s">
        <v>15</v>
      </c>
      <c r="D475" s="65">
        <v>99031</v>
      </c>
      <c r="E475" s="65" t="s">
        <v>1165</v>
      </c>
      <c r="F475" s="65" t="s">
        <v>2605</v>
      </c>
      <c r="G475" s="65" t="s">
        <v>2604</v>
      </c>
      <c r="H475" s="65" t="s">
        <v>1178</v>
      </c>
      <c r="I475" s="65" t="s">
        <v>26</v>
      </c>
      <c r="J475" s="65" t="s">
        <v>5</v>
      </c>
      <c r="K475" s="65" t="s">
        <v>25</v>
      </c>
      <c r="L475" s="64" t="s">
        <v>67</v>
      </c>
      <c r="M475" s="58" t="s">
        <v>3</v>
      </c>
      <c r="N475" s="58" t="s">
        <v>2</v>
      </c>
      <c r="O475" s="58">
        <v>10</v>
      </c>
      <c r="P475" s="58">
        <v>0</v>
      </c>
      <c r="Q475" s="58">
        <v>0</v>
      </c>
      <c r="R475" s="58">
        <v>0</v>
      </c>
      <c r="S475" s="58">
        <v>0</v>
      </c>
      <c r="T475" s="58">
        <v>10</v>
      </c>
      <c r="U475" s="58">
        <v>54</v>
      </c>
      <c r="V475" s="62"/>
      <c r="W475" s="62"/>
      <c r="X475" s="63">
        <f>IFERROR(1 -(Master[[#This Row],[Avg Garment Scans per Delivery]]/Master[[#This Row],[Garment Inventory]]), 0)</f>
        <v>0</v>
      </c>
      <c r="Y475" s="62"/>
      <c r="Z475" s="62"/>
      <c r="AA475" s="53">
        <v>55.959583333333327</v>
      </c>
      <c r="AB475" s="53">
        <v>84.115416666666633</v>
      </c>
      <c r="AC475" s="53">
        <v>58.553905325443793</v>
      </c>
      <c r="AD475" s="53">
        <v>99.81378698224853</v>
      </c>
      <c r="AE475" s="53" t="str">
        <f>_xlfn.XLOOKUP(Master[[#This Row],[cu_id]],'[1]Customer Revenue'!$Q:$Q,'[1]Customer Revenue'!$K:$K, "None")</f>
        <v>None</v>
      </c>
      <c r="AF475" s="53" t="str">
        <f>_xlfn.XLOOKUP(Master[[#This Row],[cu_id]],'[1]Customer Revenue'!$Q:$Q,'[1]Customer Revenue'!$L:$L, "None")</f>
        <v>None</v>
      </c>
      <c r="AG475" s="53">
        <v>54.322307692307689</v>
      </c>
      <c r="AH475" s="53">
        <v>86.797692307692287</v>
      </c>
      <c r="AI475" s="53">
        <v>70.03749999999998</v>
      </c>
      <c r="AJ475" s="53">
        <v>79.183846153846162</v>
      </c>
      <c r="AK475" s="53" t="str">
        <f>_xlfn.XLOOKUP(Master[[#This Row],[cu_id]],'[1]Customer Revenue'!$Q:$Q,'[1]Customer Revenue'!$I:$I, "None")</f>
        <v>None</v>
      </c>
      <c r="AL475" s="53">
        <v>70.559999999999988</v>
      </c>
      <c r="AM475" s="61">
        <v>0.20833333333333334</v>
      </c>
      <c r="AN475" s="60">
        <v>0.375</v>
      </c>
      <c r="AO475" s="60" t="s">
        <v>36</v>
      </c>
      <c r="AP475" s="60" t="s">
        <v>36</v>
      </c>
      <c r="AQ475" s="58" t="s">
        <v>0</v>
      </c>
      <c r="AR475" s="58"/>
      <c r="AS475" s="58"/>
      <c r="AT475" s="52">
        <v>0</v>
      </c>
      <c r="AU475" s="52" t="e">
        <f>IF(Master[[#This Row],[RSP StopTime override]] &lt;&gt; "",Master[[#This Row],[RSP StopTime override]],IF(Master[[#This Row],[Avg stop time helper]] &lt;&gt; 0, Master[[#This Row],[Avg stop time helper]],Average_Stop_Time))</f>
        <v>#DIV/0!</v>
      </c>
      <c r="AV475" s="21"/>
      <c r="AW475" s="20">
        <f>Master[[#This Row],[RSP StopTime override]]-Master[[#This Row],[Avg stop time helper]]</f>
        <v>0</v>
      </c>
    </row>
    <row r="476" spans="1:49" x14ac:dyDescent="0.3">
      <c r="A476" s="66" t="s">
        <v>4555</v>
      </c>
      <c r="B476" s="58">
        <v>47</v>
      </c>
      <c r="C476" s="58" t="s">
        <v>15</v>
      </c>
      <c r="D476" s="65">
        <v>99031</v>
      </c>
      <c r="E476" s="65" t="s">
        <v>1341</v>
      </c>
      <c r="F476" s="65" t="s">
        <v>2603</v>
      </c>
      <c r="G476" s="65" t="s">
        <v>2602</v>
      </c>
      <c r="H476" s="65" t="s">
        <v>1178</v>
      </c>
      <c r="I476" s="65" t="s">
        <v>26</v>
      </c>
      <c r="J476" s="65" t="s">
        <v>5</v>
      </c>
      <c r="K476" s="65" t="s">
        <v>25</v>
      </c>
      <c r="L476" s="64" t="s">
        <v>67</v>
      </c>
      <c r="M476" s="58" t="s">
        <v>3</v>
      </c>
      <c r="N476" s="58" t="s">
        <v>2</v>
      </c>
      <c r="O476" s="58">
        <v>85</v>
      </c>
      <c r="P476" s="58">
        <v>0</v>
      </c>
      <c r="Q476" s="58">
        <v>0</v>
      </c>
      <c r="R476" s="58">
        <v>0</v>
      </c>
      <c r="S476" s="58">
        <v>0</v>
      </c>
      <c r="T476" s="58">
        <v>85</v>
      </c>
      <c r="U476" s="58">
        <v>52</v>
      </c>
      <c r="V476" s="62"/>
      <c r="W476" s="62"/>
      <c r="X476" s="63">
        <f>IFERROR(1 -(Master[[#This Row],[Avg Garment Scans per Delivery]]/Master[[#This Row],[Garment Inventory]]), 0)</f>
        <v>0</v>
      </c>
      <c r="Y476" s="62"/>
      <c r="Z476" s="62"/>
      <c r="AA476" s="53">
        <v>51.788055555555559</v>
      </c>
      <c r="AB476" s="53">
        <v>104.20361111111112</v>
      </c>
      <c r="AC476" s="53">
        <v>50.538343195266279</v>
      </c>
      <c r="AD476" s="53">
        <v>96.689349112426058</v>
      </c>
      <c r="AE476" s="53" t="str">
        <f>_xlfn.XLOOKUP(Master[[#This Row],[cu_id]],'[1]Customer Revenue'!$Q:$Q,'[1]Customer Revenue'!$K:$K, "None")</f>
        <v>None</v>
      </c>
      <c r="AF476" s="53" t="str">
        <f>_xlfn.XLOOKUP(Master[[#This Row],[cu_id]],'[1]Customer Revenue'!$Q:$Q,'[1]Customer Revenue'!$L:$L, "None")</f>
        <v>None</v>
      </c>
      <c r="AG476" s="53">
        <v>46.90273599999999</v>
      </c>
      <c r="AH476" s="53">
        <v>116.442064</v>
      </c>
      <c r="AI476" s="53">
        <v>77.995833333333337</v>
      </c>
      <c r="AJ476" s="53">
        <v>73.613846153846168</v>
      </c>
      <c r="AK476" s="53" t="str">
        <f>_xlfn.XLOOKUP(Master[[#This Row],[cu_id]],'[1]Customer Revenue'!$Q:$Q,'[1]Customer Revenue'!$I:$I, "None")</f>
        <v>None</v>
      </c>
      <c r="AL476" s="53">
        <v>81.672399999999996</v>
      </c>
      <c r="AM476" s="61">
        <v>0.20833333333333334</v>
      </c>
      <c r="AN476" s="60">
        <v>0.375</v>
      </c>
      <c r="AO476" s="60" t="s">
        <v>36</v>
      </c>
      <c r="AP476" s="60" t="s">
        <v>36</v>
      </c>
      <c r="AQ476" s="58" t="s">
        <v>0</v>
      </c>
      <c r="AR476" s="58"/>
      <c r="AS476" s="58"/>
      <c r="AT476" s="52">
        <v>0</v>
      </c>
      <c r="AU476" s="52" t="e">
        <f>IF(Master[[#This Row],[RSP StopTime override]] &lt;&gt; "",Master[[#This Row],[RSP StopTime override]],IF(Master[[#This Row],[Avg stop time helper]] &lt;&gt; 0, Master[[#This Row],[Avg stop time helper]],Average_Stop_Time))</f>
        <v>#DIV/0!</v>
      </c>
      <c r="AV476" s="21"/>
      <c r="AW476" s="20">
        <f>Master[[#This Row],[RSP StopTime override]]-Master[[#This Row],[Avg stop time helper]]</f>
        <v>0</v>
      </c>
    </row>
    <row r="477" spans="1:49" x14ac:dyDescent="0.3">
      <c r="A477" s="66" t="s">
        <v>4556</v>
      </c>
      <c r="B477" s="58">
        <v>47</v>
      </c>
      <c r="C477" s="58" t="s">
        <v>15</v>
      </c>
      <c r="D477" s="65">
        <v>99031</v>
      </c>
      <c r="E477" s="65" t="s">
        <v>2601</v>
      </c>
      <c r="F477" s="65" t="s">
        <v>2600</v>
      </c>
      <c r="G477" s="65" t="s">
        <v>2599</v>
      </c>
      <c r="H477" s="65" t="s">
        <v>7</v>
      </c>
      <c r="I477" s="65" t="s">
        <v>2544</v>
      </c>
      <c r="J477" s="65" t="s">
        <v>5</v>
      </c>
      <c r="K477" s="65" t="s">
        <v>2543</v>
      </c>
      <c r="L477" s="64" t="s">
        <v>67</v>
      </c>
      <c r="M477" s="58" t="s">
        <v>3</v>
      </c>
      <c r="N477" s="58" t="s">
        <v>2</v>
      </c>
      <c r="O477" s="58">
        <v>35</v>
      </c>
      <c r="P477" s="58">
        <v>0</v>
      </c>
      <c r="Q477" s="58">
        <v>0</v>
      </c>
      <c r="R477" s="58">
        <v>0</v>
      </c>
      <c r="S477" s="58">
        <v>0</v>
      </c>
      <c r="T477" s="58">
        <v>35</v>
      </c>
      <c r="U477" s="58">
        <v>51</v>
      </c>
      <c r="V477" s="62"/>
      <c r="W477" s="62"/>
      <c r="X477" s="63">
        <f>IFERROR(1 -(Master[[#This Row],[Avg Garment Scans per Delivery]]/Master[[#This Row],[Garment Inventory]]), 0)</f>
        <v>0</v>
      </c>
      <c r="Y477" s="62"/>
      <c r="Z477" s="62"/>
      <c r="AA477" s="53">
        <v>102.66208333333333</v>
      </c>
      <c r="AB477" s="53">
        <v>188.23291666666665</v>
      </c>
      <c r="AC477" s="53">
        <v>88.774852071005924</v>
      </c>
      <c r="AD477" s="53">
        <v>240.15591715976331</v>
      </c>
      <c r="AE477" s="53" t="str">
        <f>_xlfn.XLOOKUP(Master[[#This Row],[cu_id]],'[1]Customer Revenue'!$Q:$Q,'[1]Customer Revenue'!$K:$K, "None")</f>
        <v>None</v>
      </c>
      <c r="AF477" s="53" t="str">
        <f>_xlfn.XLOOKUP(Master[[#This Row],[cu_id]],'[1]Customer Revenue'!$Q:$Q,'[1]Customer Revenue'!$L:$L, "None")</f>
        <v>None</v>
      </c>
      <c r="AG477" s="53">
        <v>82.094192000000021</v>
      </c>
      <c r="AH477" s="53">
        <v>199.16260800000003</v>
      </c>
      <c r="AI477" s="53">
        <v>145.44749999999999</v>
      </c>
      <c r="AJ477" s="53">
        <v>164.46538461538461</v>
      </c>
      <c r="AK477" s="53" t="str">
        <f>_xlfn.XLOOKUP(Master[[#This Row],[cu_id]],'[1]Customer Revenue'!$Q:$Q,'[1]Customer Revenue'!$I:$I, "None")</f>
        <v>None</v>
      </c>
      <c r="AL477" s="53">
        <v>140.62840000000003</v>
      </c>
      <c r="AM477" s="61">
        <v>0.20833333333333334</v>
      </c>
      <c r="AN477" s="60">
        <v>0.375</v>
      </c>
      <c r="AO477" s="60" t="s">
        <v>36</v>
      </c>
      <c r="AP477" s="60" t="s">
        <v>36</v>
      </c>
      <c r="AQ477" s="58" t="s">
        <v>0</v>
      </c>
      <c r="AR477" s="58"/>
      <c r="AS477" s="58"/>
      <c r="AT477" s="52">
        <v>0</v>
      </c>
      <c r="AU477" s="52" t="e">
        <f>IF(Master[[#This Row],[RSP StopTime override]] &lt;&gt; "",Master[[#This Row],[RSP StopTime override]],IF(Master[[#This Row],[Avg stop time helper]] &lt;&gt; 0, Master[[#This Row],[Avg stop time helper]],Average_Stop_Time))</f>
        <v>#DIV/0!</v>
      </c>
      <c r="AV477" s="21"/>
      <c r="AW477" s="20">
        <f>Master[[#This Row],[RSP StopTime override]]-Master[[#This Row],[Avg stop time helper]]</f>
        <v>0</v>
      </c>
    </row>
    <row r="478" spans="1:49" x14ac:dyDescent="0.3">
      <c r="A478" s="66" t="s">
        <v>4557</v>
      </c>
      <c r="B478" s="58">
        <v>47</v>
      </c>
      <c r="C478" s="58" t="s">
        <v>15</v>
      </c>
      <c r="D478" s="65">
        <v>99031</v>
      </c>
      <c r="E478" s="65" t="s">
        <v>2598</v>
      </c>
      <c r="F478" s="65" t="s">
        <v>2597</v>
      </c>
      <c r="G478" s="65" t="s">
        <v>2596</v>
      </c>
      <c r="H478" s="65" t="s">
        <v>7</v>
      </c>
      <c r="I478" s="65" t="s">
        <v>26</v>
      </c>
      <c r="J478" s="65" t="s">
        <v>5</v>
      </c>
      <c r="K478" s="65" t="s">
        <v>25</v>
      </c>
      <c r="L478" s="64" t="s">
        <v>67</v>
      </c>
      <c r="M478" s="58" t="s">
        <v>3</v>
      </c>
      <c r="N478" s="58" t="s">
        <v>2</v>
      </c>
      <c r="O478" s="58">
        <v>5</v>
      </c>
      <c r="P478" s="58">
        <v>0</v>
      </c>
      <c r="Q478" s="58">
        <v>0</v>
      </c>
      <c r="R478" s="58">
        <v>0</v>
      </c>
      <c r="S478" s="58">
        <v>0</v>
      </c>
      <c r="T478" s="58">
        <v>5</v>
      </c>
      <c r="U478" s="58">
        <v>52</v>
      </c>
      <c r="V478" s="62"/>
      <c r="W478" s="62"/>
      <c r="X478" s="63">
        <f>IFERROR(1 -(Master[[#This Row],[Avg Garment Scans per Delivery]]/Master[[#This Row],[Garment Inventory]]), 0)</f>
        <v>0</v>
      </c>
      <c r="Y478" s="62"/>
      <c r="Z478" s="62"/>
      <c r="AA478" s="53">
        <v>134.42986111111114</v>
      </c>
      <c r="AB478" s="53">
        <v>196.3718055555556</v>
      </c>
      <c r="AC478" s="53">
        <v>117.63519999999997</v>
      </c>
      <c r="AD478" s="53">
        <v>332.7994666666666</v>
      </c>
      <c r="AE478" s="53" t="str">
        <f>_xlfn.XLOOKUP(Master[[#This Row],[cu_id]],'[1]Customer Revenue'!$Q:$Q,'[1]Customer Revenue'!$K:$K, "None")</f>
        <v>None</v>
      </c>
      <c r="AF478" s="53" t="str">
        <f>_xlfn.XLOOKUP(Master[[#This Row],[cu_id]],'[1]Customer Revenue'!$Q:$Q,'[1]Customer Revenue'!$L:$L, "None")</f>
        <v>None</v>
      </c>
      <c r="AG478" s="53">
        <v>154.50312000000002</v>
      </c>
      <c r="AH478" s="53">
        <v>224.18088</v>
      </c>
      <c r="AI478" s="53">
        <v>165.40083333333337</v>
      </c>
      <c r="AJ478" s="53">
        <v>225.2173333333333</v>
      </c>
      <c r="AK478" s="53" t="str">
        <f>_xlfn.XLOOKUP(Master[[#This Row],[cu_id]],'[1]Customer Revenue'!$Q:$Q,'[1]Customer Revenue'!$I:$I, "None")</f>
        <v>None</v>
      </c>
      <c r="AL478" s="53">
        <v>189.34200000000001</v>
      </c>
      <c r="AM478" s="61">
        <v>0.20833333333333334</v>
      </c>
      <c r="AN478" s="60">
        <v>0.375</v>
      </c>
      <c r="AO478" s="60" t="s">
        <v>36</v>
      </c>
      <c r="AP478" s="60" t="s">
        <v>36</v>
      </c>
      <c r="AQ478" s="58" t="s">
        <v>0</v>
      </c>
      <c r="AR478" s="58"/>
      <c r="AS478" s="58"/>
      <c r="AT478" s="52">
        <v>0</v>
      </c>
      <c r="AU478" s="52" t="e">
        <f>IF(Master[[#This Row],[RSP StopTime override]] &lt;&gt; "",Master[[#This Row],[RSP StopTime override]],IF(Master[[#This Row],[Avg stop time helper]] &lt;&gt; 0, Master[[#This Row],[Avg stop time helper]],Average_Stop_Time))</f>
        <v>#DIV/0!</v>
      </c>
      <c r="AV478" s="21"/>
      <c r="AW478" s="20">
        <f>Master[[#This Row],[RSP StopTime override]]-Master[[#This Row],[Avg stop time helper]]</f>
        <v>0</v>
      </c>
    </row>
    <row r="479" spans="1:49" x14ac:dyDescent="0.3">
      <c r="A479" s="66" t="s">
        <v>4558</v>
      </c>
      <c r="B479" s="58">
        <v>47</v>
      </c>
      <c r="C479" s="58" t="s">
        <v>15</v>
      </c>
      <c r="D479" s="65">
        <v>99031</v>
      </c>
      <c r="E479" s="65" t="s">
        <v>2595</v>
      </c>
      <c r="F479" s="65" t="s">
        <v>2594</v>
      </c>
      <c r="G479" s="65" t="s">
        <v>2593</v>
      </c>
      <c r="H479" s="65" t="s">
        <v>7</v>
      </c>
      <c r="I479" s="65" t="s">
        <v>26</v>
      </c>
      <c r="J479" s="65" t="s">
        <v>5</v>
      </c>
      <c r="K479" s="65" t="s">
        <v>25</v>
      </c>
      <c r="L479" s="64" t="s">
        <v>67</v>
      </c>
      <c r="M479" s="58" t="s">
        <v>3</v>
      </c>
      <c r="N479" s="58" t="s">
        <v>2</v>
      </c>
      <c r="O479" s="58">
        <v>30</v>
      </c>
      <c r="P479" s="58">
        <v>0</v>
      </c>
      <c r="Q479" s="58">
        <v>0</v>
      </c>
      <c r="R479" s="58">
        <v>0</v>
      </c>
      <c r="S479" s="58">
        <v>0</v>
      </c>
      <c r="T479" s="58">
        <v>30</v>
      </c>
      <c r="U479" s="58">
        <v>51</v>
      </c>
      <c r="V479" s="62"/>
      <c r="W479" s="62"/>
      <c r="X479" s="63">
        <f>IFERROR(1 -(Master[[#This Row],[Avg Garment Scans per Delivery]]/Master[[#This Row],[Garment Inventory]]), 0)</f>
        <v>0</v>
      </c>
      <c r="Y479" s="62"/>
      <c r="Z479" s="62"/>
      <c r="AA479" s="53">
        <v>68.480833333333322</v>
      </c>
      <c r="AB479" s="53">
        <v>160.82916666666662</v>
      </c>
      <c r="AC479" s="53">
        <v>59.031183431952662</v>
      </c>
      <c r="AD479" s="53">
        <v>164.47804733727813</v>
      </c>
      <c r="AE479" s="53" t="str">
        <f>_xlfn.XLOOKUP(Master[[#This Row],[cu_id]],'[1]Customer Revenue'!$Q:$Q,'[1]Customer Revenue'!$K:$K, "None")</f>
        <v>None</v>
      </c>
      <c r="AF479" s="53" t="str">
        <f>_xlfn.XLOOKUP(Master[[#This Row],[cu_id]],'[1]Customer Revenue'!$Q:$Q,'[1]Customer Revenue'!$L:$L, "None")</f>
        <v>None</v>
      </c>
      <c r="AG479" s="53">
        <v>57.452719999999999</v>
      </c>
      <c r="AH479" s="53">
        <v>152.22808000000001</v>
      </c>
      <c r="AI479" s="53">
        <v>114.65499999999997</v>
      </c>
      <c r="AJ479" s="53">
        <v>111.75461538461539</v>
      </c>
      <c r="AK479" s="53" t="str">
        <f>_xlfn.XLOOKUP(Master[[#This Row],[cu_id]],'[1]Customer Revenue'!$Q:$Q,'[1]Customer Revenue'!$I:$I, "None")</f>
        <v>None</v>
      </c>
      <c r="AL479" s="53">
        <v>104.8404</v>
      </c>
      <c r="AM479" s="61">
        <v>0.20833333333333334</v>
      </c>
      <c r="AN479" s="60">
        <v>0.375</v>
      </c>
      <c r="AO479" s="60" t="s">
        <v>36</v>
      </c>
      <c r="AP479" s="60" t="s">
        <v>36</v>
      </c>
      <c r="AQ479" s="58" t="s">
        <v>0</v>
      </c>
      <c r="AR479" s="58"/>
      <c r="AS479" s="58"/>
      <c r="AT479" s="52">
        <v>0</v>
      </c>
      <c r="AU479" s="52" t="e">
        <f>IF(Master[[#This Row],[RSP StopTime override]] &lt;&gt; "",Master[[#This Row],[RSP StopTime override]],IF(Master[[#This Row],[Avg stop time helper]] &lt;&gt; 0, Master[[#This Row],[Avg stop time helper]],Average_Stop_Time))</f>
        <v>#DIV/0!</v>
      </c>
      <c r="AV479" s="21"/>
      <c r="AW479" s="20">
        <f>Master[[#This Row],[RSP StopTime override]]-Master[[#This Row],[Avg stop time helper]]</f>
        <v>0</v>
      </c>
    </row>
    <row r="480" spans="1:49" x14ac:dyDescent="0.3">
      <c r="A480" s="66" t="s">
        <v>4559</v>
      </c>
      <c r="B480" s="58">
        <v>47</v>
      </c>
      <c r="C480" s="58" t="s">
        <v>10</v>
      </c>
      <c r="D480" s="65">
        <v>99035</v>
      </c>
      <c r="E480" s="65" t="s">
        <v>1328</v>
      </c>
      <c r="F480" s="65" t="s">
        <v>2775</v>
      </c>
      <c r="G480" s="65" t="s">
        <v>2774</v>
      </c>
      <c r="H480" s="65" t="s">
        <v>7</v>
      </c>
      <c r="I480" s="65" t="s">
        <v>2706</v>
      </c>
      <c r="J480" s="65" t="s">
        <v>5</v>
      </c>
      <c r="K480" s="65" t="s">
        <v>2705</v>
      </c>
      <c r="L480" s="64">
        <v>7</v>
      </c>
      <c r="M480" s="58" t="s">
        <v>205</v>
      </c>
      <c r="N480" s="58" t="s">
        <v>2</v>
      </c>
      <c r="O480" s="58">
        <v>125</v>
      </c>
      <c r="P480" s="58">
        <v>0</v>
      </c>
      <c r="Q480" s="58">
        <v>0</v>
      </c>
      <c r="R480" s="58">
        <v>125</v>
      </c>
      <c r="S480" s="58">
        <v>0</v>
      </c>
      <c r="T480" s="58">
        <v>0</v>
      </c>
      <c r="U480" s="58">
        <v>29</v>
      </c>
      <c r="V480" s="62"/>
      <c r="W480" s="62"/>
      <c r="X480" s="63">
        <f>IFERROR(1 -(Master[[#This Row],[Avg Garment Scans per Delivery]]/Master[[#This Row],[Garment Inventory]]), 0)</f>
        <v>0</v>
      </c>
      <c r="Y480" s="62"/>
      <c r="Z480" s="62"/>
      <c r="AA480" s="53">
        <v>44.840414201183428</v>
      </c>
      <c r="AB480" s="53">
        <v>46.4380473372781</v>
      </c>
      <c r="AC480" s="53">
        <v>47.37</v>
      </c>
      <c r="AD480" s="53">
        <v>65.534999999999997</v>
      </c>
      <c r="AE480" s="53" t="str">
        <f>_xlfn.XLOOKUP(Master[[#This Row],[cu_id]],'[1]Customer Revenue'!$Q:$Q,'[1]Customer Revenue'!$K:$K, "None")</f>
        <v>None</v>
      </c>
      <c r="AF480" s="53" t="str">
        <f>_xlfn.XLOOKUP(Master[[#This Row],[cu_id]],'[1]Customer Revenue'!$Q:$Q,'[1]Customer Revenue'!$L:$L, "None")</f>
        <v>None</v>
      </c>
      <c r="AG480" s="53">
        <v>44.90308128544423</v>
      </c>
      <c r="AH480" s="53">
        <v>45.923875236294904</v>
      </c>
      <c r="AI480" s="53">
        <v>45.639230769230764</v>
      </c>
      <c r="AJ480" s="53">
        <v>56.452500000000001</v>
      </c>
      <c r="AK480" s="53" t="str">
        <f>_xlfn.XLOOKUP(Master[[#This Row],[cu_id]],'[1]Customer Revenue'!$Q:$Q,'[1]Customer Revenue'!$I:$I, "None")</f>
        <v>None</v>
      </c>
      <c r="AL480" s="53">
        <v>45.413478260869567</v>
      </c>
      <c r="AM480" s="61">
        <v>0.375</v>
      </c>
      <c r="AN480" s="60">
        <v>0.70833333333333337</v>
      </c>
      <c r="AO480" s="60" t="s">
        <v>36</v>
      </c>
      <c r="AP480" s="60" t="s">
        <v>36</v>
      </c>
      <c r="AQ480" s="58" t="s">
        <v>0</v>
      </c>
      <c r="AR480" s="58"/>
      <c r="AS480" s="58"/>
      <c r="AT480" s="52">
        <v>0</v>
      </c>
      <c r="AU480" s="52" t="e">
        <f>IF(Master[[#This Row],[RSP StopTime override]] &lt;&gt; "",Master[[#This Row],[RSP StopTime override]],IF(Master[[#This Row],[Avg stop time helper]] &lt;&gt; 0, Master[[#This Row],[Avg stop time helper]],Average_Stop_Time))</f>
        <v>#DIV/0!</v>
      </c>
      <c r="AV480" s="21"/>
      <c r="AW480" s="20">
        <f>Master[[#This Row],[RSP StopTime override]]-Master[[#This Row],[Avg stop time helper]]</f>
        <v>0</v>
      </c>
    </row>
    <row r="481" spans="1:49" x14ac:dyDescent="0.3">
      <c r="A481" s="66" t="s">
        <v>4560</v>
      </c>
      <c r="B481" s="58">
        <v>47</v>
      </c>
      <c r="C481" s="58" t="s">
        <v>15</v>
      </c>
      <c r="D481" s="65">
        <v>99035</v>
      </c>
      <c r="E481" s="65" t="s">
        <v>1158</v>
      </c>
      <c r="F481" s="65" t="s">
        <v>2592</v>
      </c>
      <c r="G481" s="65" t="s">
        <v>2591</v>
      </c>
      <c r="H481" s="65" t="s">
        <v>7</v>
      </c>
      <c r="I481" s="65" t="s">
        <v>26</v>
      </c>
      <c r="J481" s="65" t="s">
        <v>5</v>
      </c>
      <c r="K481" s="65" t="s">
        <v>25</v>
      </c>
      <c r="L481" s="64">
        <v>7</v>
      </c>
      <c r="M481" s="58" t="s">
        <v>205</v>
      </c>
      <c r="N481" s="58" t="s">
        <v>2</v>
      </c>
      <c r="O481" s="58">
        <v>90</v>
      </c>
      <c r="P481" s="58">
        <v>0</v>
      </c>
      <c r="Q481" s="58">
        <v>0</v>
      </c>
      <c r="R481" s="58">
        <v>0</v>
      </c>
      <c r="S481" s="58">
        <v>0</v>
      </c>
      <c r="T481" s="58">
        <v>90</v>
      </c>
      <c r="U481" s="58">
        <v>29</v>
      </c>
      <c r="V481" s="62"/>
      <c r="W481" s="62"/>
      <c r="X481" s="63">
        <f>IFERROR(1 -(Master[[#This Row],[Avg Garment Scans per Delivery]]/Master[[#This Row],[Garment Inventory]]), 0)</f>
        <v>0</v>
      </c>
      <c r="Y481" s="62"/>
      <c r="Z481" s="62"/>
      <c r="AA481" s="53">
        <v>52.486111111111107</v>
      </c>
      <c r="AB481" s="53">
        <v>61.637222222222213</v>
      </c>
      <c r="AC481" s="53">
        <v>32.339799999999997</v>
      </c>
      <c r="AD481" s="53">
        <v>82.770200000000003</v>
      </c>
      <c r="AE481" s="53" t="str">
        <f>_xlfn.XLOOKUP(Master[[#This Row],[cu_id]],'[1]Customer Revenue'!$Q:$Q,'[1]Customer Revenue'!$K:$K, "None")</f>
        <v>None</v>
      </c>
      <c r="AF481" s="53" t="str">
        <f>_xlfn.XLOOKUP(Master[[#This Row],[cu_id]],'[1]Customer Revenue'!$Q:$Q,'[1]Customer Revenue'!$L:$L, "None")</f>
        <v>None</v>
      </c>
      <c r="AG481" s="53">
        <v>52.438842975206612</v>
      </c>
      <c r="AH481" s="53">
        <v>58.564793388429749</v>
      </c>
      <c r="AI481" s="53">
        <v>57.06166666666666</v>
      </c>
      <c r="AJ481" s="53">
        <v>57.555</v>
      </c>
      <c r="AK481" s="53" t="str">
        <f>_xlfn.XLOOKUP(Master[[#This Row],[cu_id]],'[1]Customer Revenue'!$Q:$Q,'[1]Customer Revenue'!$I:$I, "None")</f>
        <v>None</v>
      </c>
      <c r="AL481" s="53">
        <v>55.50181818181818</v>
      </c>
      <c r="AM481" s="61">
        <v>0.375</v>
      </c>
      <c r="AN481" s="60">
        <v>0.70833333333333337</v>
      </c>
      <c r="AO481" s="60" t="s">
        <v>36</v>
      </c>
      <c r="AP481" s="60" t="s">
        <v>36</v>
      </c>
      <c r="AQ481" s="58" t="s">
        <v>0</v>
      </c>
      <c r="AR481" s="58"/>
      <c r="AS481" s="58"/>
      <c r="AT481" s="52">
        <v>0</v>
      </c>
      <c r="AU481" s="52" t="e">
        <f>IF(Master[[#This Row],[RSP StopTime override]] &lt;&gt; "",Master[[#This Row],[RSP StopTime override]],IF(Master[[#This Row],[Avg stop time helper]] &lt;&gt; 0, Master[[#This Row],[Avg stop time helper]],Average_Stop_Time))</f>
        <v>#DIV/0!</v>
      </c>
      <c r="AV481" s="21"/>
      <c r="AW481" s="20">
        <f>Master[[#This Row],[RSP StopTime override]]-Master[[#This Row],[Avg stop time helper]]</f>
        <v>0</v>
      </c>
    </row>
    <row r="482" spans="1:49" x14ac:dyDescent="0.3">
      <c r="A482" s="66" t="s">
        <v>4561</v>
      </c>
      <c r="B482" s="58">
        <v>47</v>
      </c>
      <c r="C482" s="58" t="s">
        <v>15</v>
      </c>
      <c r="D482" s="65">
        <v>99062</v>
      </c>
      <c r="E482" s="65" t="s">
        <v>2579</v>
      </c>
      <c r="F482" s="65" t="s">
        <v>2588</v>
      </c>
      <c r="G482" s="65" t="s">
        <v>2578</v>
      </c>
      <c r="H482" s="65" t="s">
        <v>7</v>
      </c>
      <c r="I482" s="65" t="s">
        <v>26</v>
      </c>
      <c r="J482" s="65" t="s">
        <v>5</v>
      </c>
      <c r="K482" s="65" t="s">
        <v>25</v>
      </c>
      <c r="L482" s="64" t="s">
        <v>67</v>
      </c>
      <c r="M482" s="58" t="s">
        <v>3</v>
      </c>
      <c r="N482" s="58" t="s">
        <v>2</v>
      </c>
      <c r="O482" s="58">
        <v>15</v>
      </c>
      <c r="P482" s="58">
        <v>0</v>
      </c>
      <c r="Q482" s="58">
        <v>0</v>
      </c>
      <c r="R482" s="58">
        <v>0</v>
      </c>
      <c r="S482" s="58">
        <v>0</v>
      </c>
      <c r="T482" s="58">
        <v>15</v>
      </c>
      <c r="U482" s="58">
        <v>51</v>
      </c>
      <c r="V482" s="62"/>
      <c r="W482" s="62"/>
      <c r="X482" s="63">
        <f>IFERROR(1 -(Master[[#This Row],[Avg Garment Scans per Delivery]]/Master[[#This Row],[Garment Inventory]]), 0)</f>
        <v>0</v>
      </c>
      <c r="Y482" s="62"/>
      <c r="Z482" s="62"/>
      <c r="AA482" s="53">
        <v>65.727222222222224</v>
      </c>
      <c r="AB482" s="53">
        <v>67.74111111111111</v>
      </c>
      <c r="AC482" s="53">
        <v>62.943905325443808</v>
      </c>
      <c r="AD482" s="53">
        <v>116.81301775147932</v>
      </c>
      <c r="AE482" s="53" t="str">
        <f>_xlfn.XLOOKUP(Master[[#This Row],[cu_id]],'[1]Customer Revenue'!$Q:$Q,'[1]Customer Revenue'!$K:$K, "None")</f>
        <v>None</v>
      </c>
      <c r="AF482" s="53" t="str">
        <f>_xlfn.XLOOKUP(Master[[#This Row],[cu_id]],'[1]Customer Revenue'!$Q:$Q,'[1]Customer Revenue'!$L:$L, "None")</f>
        <v>None</v>
      </c>
      <c r="AG482" s="53">
        <v>63.80920000000004</v>
      </c>
      <c r="AH482" s="53">
        <v>67.290800000000019</v>
      </c>
      <c r="AI482" s="53">
        <v>66.734166666666667</v>
      </c>
      <c r="AJ482" s="53">
        <v>89.878461538461565</v>
      </c>
      <c r="AK482" s="53" t="str">
        <f>_xlfn.XLOOKUP(Master[[#This Row],[cu_id]],'[1]Customer Revenue'!$Q:$Q,'[1]Customer Revenue'!$I:$I, "None")</f>
        <v>None</v>
      </c>
      <c r="AL482" s="53">
        <v>65.550000000000026</v>
      </c>
      <c r="AM482" s="61">
        <v>0.29166666666666669</v>
      </c>
      <c r="AN482" s="60">
        <v>0.875</v>
      </c>
      <c r="AO482" s="60" t="s">
        <v>36</v>
      </c>
      <c r="AP482" s="60" t="s">
        <v>36</v>
      </c>
      <c r="AQ482" s="58" t="s">
        <v>0</v>
      </c>
      <c r="AR482" s="58"/>
      <c r="AS482" s="58"/>
      <c r="AT482" s="52">
        <v>0</v>
      </c>
      <c r="AU482" s="52" t="e">
        <f>IF(Master[[#This Row],[RSP StopTime override]] &lt;&gt; "",Master[[#This Row],[RSP StopTime override]],IF(Master[[#This Row],[Avg stop time helper]] &lt;&gt; 0, Master[[#This Row],[Avg stop time helper]],Average_Stop_Time))</f>
        <v>#DIV/0!</v>
      </c>
      <c r="AV482" s="21"/>
      <c r="AW482" s="20">
        <f>Master[[#This Row],[RSP StopTime override]]-Master[[#This Row],[Avg stop time helper]]</f>
        <v>0</v>
      </c>
    </row>
    <row r="483" spans="1:49" x14ac:dyDescent="0.3">
      <c r="A483" s="66" t="s">
        <v>4562</v>
      </c>
      <c r="B483" s="58">
        <v>47</v>
      </c>
      <c r="C483" s="58" t="s">
        <v>15</v>
      </c>
      <c r="D483" s="65">
        <v>99117</v>
      </c>
      <c r="E483" s="65" t="s">
        <v>2587</v>
      </c>
      <c r="F483" s="65" t="s">
        <v>3647</v>
      </c>
      <c r="G483" s="65" t="s">
        <v>2586</v>
      </c>
      <c r="H483" s="65" t="s">
        <v>7</v>
      </c>
      <c r="I483" s="65" t="s">
        <v>26</v>
      </c>
      <c r="J483" s="65" t="s">
        <v>5</v>
      </c>
      <c r="K483" s="65" t="s">
        <v>25</v>
      </c>
      <c r="L483" s="64" t="s">
        <v>67</v>
      </c>
      <c r="M483" s="58" t="s">
        <v>3</v>
      </c>
      <c r="N483" s="58" t="s">
        <v>2</v>
      </c>
      <c r="O483" s="58">
        <v>110</v>
      </c>
      <c r="P483" s="58">
        <v>0</v>
      </c>
      <c r="Q483" s="58">
        <v>0</v>
      </c>
      <c r="R483" s="58">
        <v>0</v>
      </c>
      <c r="S483" s="58">
        <v>0</v>
      </c>
      <c r="T483" s="58">
        <v>105</v>
      </c>
      <c r="U483" s="58">
        <v>51</v>
      </c>
      <c r="V483" s="62"/>
      <c r="W483" s="62"/>
      <c r="X483" s="63">
        <f>IFERROR(1 -(Master[[#This Row],[Avg Garment Scans per Delivery]]/Master[[#This Row],[Garment Inventory]]), 0)</f>
        <v>0</v>
      </c>
      <c r="Y483" s="62"/>
      <c r="Z483" s="62"/>
      <c r="AA483" s="53">
        <v>75.783333333333346</v>
      </c>
      <c r="AB483" s="53">
        <v>76.616666666666688</v>
      </c>
      <c r="AC483" s="53">
        <v>55.795147928994083</v>
      </c>
      <c r="AD483" s="53">
        <v>72.294082840236683</v>
      </c>
      <c r="AE483" s="53" t="str">
        <f>_xlfn.XLOOKUP(Master[[#This Row],[cu_id]],'[1]Customer Revenue'!$Q:$Q,'[1]Customer Revenue'!$K:$K, "None")</f>
        <v>None</v>
      </c>
      <c r="AF483" s="53" t="str">
        <f>_xlfn.XLOOKUP(Master[[#This Row],[cu_id]],'[1]Customer Revenue'!$Q:$Q,'[1]Customer Revenue'!$L:$L, "None")</f>
        <v>None</v>
      </c>
      <c r="AG483" s="53">
        <v>68.008800000000036</v>
      </c>
      <c r="AH483" s="53">
        <v>77.96720000000002</v>
      </c>
      <c r="AI483" s="53">
        <v>76.200000000000017</v>
      </c>
      <c r="AJ483" s="53">
        <v>64.044615384615383</v>
      </c>
      <c r="AK483" s="53" t="str">
        <f>_xlfn.XLOOKUP(Master[[#This Row],[cu_id]],'[1]Customer Revenue'!$Q:$Q,'[1]Customer Revenue'!$I:$I, "None")</f>
        <v>None</v>
      </c>
      <c r="AL483" s="53">
        <v>72.988000000000028</v>
      </c>
      <c r="AM483" s="61" t="s">
        <v>36</v>
      </c>
      <c r="AN483" s="60" t="s">
        <v>36</v>
      </c>
      <c r="AO483" s="60" t="s">
        <v>36</v>
      </c>
      <c r="AP483" s="60" t="s">
        <v>36</v>
      </c>
      <c r="AQ483" s="58" t="s">
        <v>0</v>
      </c>
      <c r="AR483" s="58"/>
      <c r="AS483" s="58"/>
      <c r="AT483" s="52">
        <v>0</v>
      </c>
      <c r="AU483" s="52" t="e">
        <f>IF(Master[[#This Row],[RSP StopTime override]] &lt;&gt; "",Master[[#This Row],[RSP StopTime override]],IF(Master[[#This Row],[Avg stop time helper]] &lt;&gt; 0, Master[[#This Row],[Avg stop time helper]],Average_Stop_Time))</f>
        <v>#DIV/0!</v>
      </c>
      <c r="AV483" s="21"/>
      <c r="AW483" s="20">
        <f>Master[[#This Row],[RSP StopTime override]]-Master[[#This Row],[Avg stop time helper]]</f>
        <v>0</v>
      </c>
    </row>
    <row r="484" spans="1:49" x14ac:dyDescent="0.3">
      <c r="A484" s="66" t="s">
        <v>4563</v>
      </c>
      <c r="B484" s="58">
        <v>47</v>
      </c>
      <c r="C484" s="58" t="s">
        <v>15</v>
      </c>
      <c r="D484" s="65">
        <v>99117</v>
      </c>
      <c r="E484" s="65" t="s">
        <v>2107</v>
      </c>
      <c r="F484" s="65" t="s">
        <v>3648</v>
      </c>
      <c r="G484" s="65" t="s">
        <v>2585</v>
      </c>
      <c r="H484" s="65" t="s">
        <v>7</v>
      </c>
      <c r="I484" s="65" t="s">
        <v>2544</v>
      </c>
      <c r="J484" s="65" t="s">
        <v>5</v>
      </c>
      <c r="K484" s="65" t="s">
        <v>2543</v>
      </c>
      <c r="L484" s="64" t="s">
        <v>67</v>
      </c>
      <c r="M484" s="58" t="s">
        <v>3</v>
      </c>
      <c r="N484" s="58" t="s">
        <v>2</v>
      </c>
      <c r="O484" s="58">
        <v>70</v>
      </c>
      <c r="P484" s="58">
        <v>0</v>
      </c>
      <c r="Q484" s="58">
        <v>0</v>
      </c>
      <c r="R484" s="58">
        <v>0</v>
      </c>
      <c r="S484" s="58">
        <v>0</v>
      </c>
      <c r="T484" s="58">
        <v>70</v>
      </c>
      <c r="U484" s="58">
        <v>51</v>
      </c>
      <c r="V484" s="62"/>
      <c r="W484" s="62"/>
      <c r="X484" s="63">
        <f>IFERROR(1 -(Master[[#This Row],[Avg Garment Scans per Delivery]]/Master[[#This Row],[Garment Inventory]]), 0)</f>
        <v>0</v>
      </c>
      <c r="Y484" s="62"/>
      <c r="Z484" s="62"/>
      <c r="AA484" s="53">
        <v>25.120555555555555</v>
      </c>
      <c r="AB484" s="53">
        <v>29.392777777777773</v>
      </c>
      <c r="AC484" s="53">
        <v>25.283550295857989</v>
      </c>
      <c r="AD484" s="53">
        <v>32.088757396449701</v>
      </c>
      <c r="AE484" s="53" t="str">
        <f>_xlfn.XLOOKUP(Master[[#This Row],[cu_id]],'[1]Customer Revenue'!$Q:$Q,'[1]Customer Revenue'!$K:$K, "None")</f>
        <v>None</v>
      </c>
      <c r="AF484" s="53" t="str">
        <f>_xlfn.XLOOKUP(Master[[#This Row],[cu_id]],'[1]Customer Revenue'!$Q:$Q,'[1]Customer Revenue'!$L:$L, "None")</f>
        <v>None</v>
      </c>
      <c r="AG484" s="53">
        <v>24.941072000000002</v>
      </c>
      <c r="AH484" s="53">
        <v>28.005328000000002</v>
      </c>
      <c r="AI484" s="53">
        <v>27.256666666666664</v>
      </c>
      <c r="AJ484" s="53">
        <v>28.686153846153847</v>
      </c>
      <c r="AK484" s="53" t="str">
        <f>_xlfn.XLOOKUP(Master[[#This Row],[cu_id]],'[1]Customer Revenue'!$Q:$Q,'[1]Customer Revenue'!$I:$I, "None")</f>
        <v>None</v>
      </c>
      <c r="AL484" s="53">
        <v>26.473200000000002</v>
      </c>
      <c r="AM484" s="61">
        <v>0.25</v>
      </c>
      <c r="AN484" s="60">
        <v>0.875</v>
      </c>
      <c r="AO484" s="60" t="s">
        <v>36</v>
      </c>
      <c r="AP484" s="60" t="s">
        <v>36</v>
      </c>
      <c r="AQ484" s="58" t="s">
        <v>0</v>
      </c>
      <c r="AR484" s="58"/>
      <c r="AS484" s="58"/>
      <c r="AT484" s="52">
        <v>0</v>
      </c>
      <c r="AU484" s="52" t="e">
        <f>IF(Master[[#This Row],[RSP StopTime override]] &lt;&gt; "",Master[[#This Row],[RSP StopTime override]],IF(Master[[#This Row],[Avg stop time helper]] &lt;&gt; 0, Master[[#This Row],[Avg stop time helper]],Average_Stop_Time))</f>
        <v>#DIV/0!</v>
      </c>
      <c r="AV484" s="21"/>
      <c r="AW484" s="20">
        <f>Master[[#This Row],[RSP StopTime override]]-Master[[#This Row],[Avg stop time helper]]</f>
        <v>0</v>
      </c>
    </row>
    <row r="485" spans="1:49" x14ac:dyDescent="0.3">
      <c r="A485" s="66" t="s">
        <v>4564</v>
      </c>
      <c r="B485" s="58">
        <v>47</v>
      </c>
      <c r="C485" s="58" t="s">
        <v>15</v>
      </c>
      <c r="D485" s="65">
        <v>99117</v>
      </c>
      <c r="E485" s="65" t="s">
        <v>2084</v>
      </c>
      <c r="F485" s="65" t="s">
        <v>3649</v>
      </c>
      <c r="G485" s="65" t="s">
        <v>2584</v>
      </c>
      <c r="H485" s="65" t="s">
        <v>2583</v>
      </c>
      <c r="I485" s="65" t="s">
        <v>2544</v>
      </c>
      <c r="J485" s="65" t="s">
        <v>5</v>
      </c>
      <c r="K485" s="65" t="s">
        <v>2543</v>
      </c>
      <c r="L485" s="64" t="s">
        <v>67</v>
      </c>
      <c r="M485" s="58" t="s">
        <v>3</v>
      </c>
      <c r="N485" s="58" t="s">
        <v>2</v>
      </c>
      <c r="O485" s="58">
        <v>40</v>
      </c>
      <c r="P485" s="58">
        <v>0</v>
      </c>
      <c r="Q485" s="58">
        <v>0</v>
      </c>
      <c r="R485" s="58">
        <v>0</v>
      </c>
      <c r="S485" s="58">
        <v>0</v>
      </c>
      <c r="T485" s="58">
        <v>40</v>
      </c>
      <c r="U485" s="58">
        <v>53</v>
      </c>
      <c r="V485" s="62"/>
      <c r="W485" s="62"/>
      <c r="X485" s="63">
        <f>IFERROR(1 -(Master[[#This Row],[Avg Garment Scans per Delivery]]/Master[[#This Row],[Garment Inventory]]), 0)</f>
        <v>0</v>
      </c>
      <c r="Y485" s="62"/>
      <c r="Z485" s="62"/>
      <c r="AA485" s="53">
        <v>76.044583333333321</v>
      </c>
      <c r="AB485" s="53">
        <v>79.630416666666662</v>
      </c>
      <c r="AC485" s="53">
        <v>67.962248520710077</v>
      </c>
      <c r="AD485" s="53">
        <v>76.090059171597645</v>
      </c>
      <c r="AE485" s="53" t="str">
        <f>_xlfn.XLOOKUP(Master[[#This Row],[cu_id]],'[1]Customer Revenue'!$Q:$Q,'[1]Customer Revenue'!$K:$K, "None")</f>
        <v>None</v>
      </c>
      <c r="AF485" s="53" t="str">
        <f>_xlfn.XLOOKUP(Master[[#This Row],[cu_id]],'[1]Customer Revenue'!$Q:$Q,'[1]Customer Revenue'!$L:$L, "None")</f>
        <v>None</v>
      </c>
      <c r="AG485" s="53">
        <v>62.502656000000023</v>
      </c>
      <c r="AH485" s="53">
        <v>77.52454400000002</v>
      </c>
      <c r="AI485" s="53">
        <v>77.837499999999991</v>
      </c>
      <c r="AJ485" s="53">
        <v>72.026153846153861</v>
      </c>
      <c r="AK485" s="53" t="str">
        <f>_xlfn.XLOOKUP(Master[[#This Row],[cu_id]],'[1]Customer Revenue'!$Q:$Q,'[1]Customer Revenue'!$I:$I, "None")</f>
        <v>None</v>
      </c>
      <c r="AL485" s="53">
        <v>70.013600000000025</v>
      </c>
      <c r="AM485" s="61" t="s">
        <v>36</v>
      </c>
      <c r="AN485" s="60" t="s">
        <v>36</v>
      </c>
      <c r="AO485" s="60" t="s">
        <v>36</v>
      </c>
      <c r="AP485" s="60" t="s">
        <v>36</v>
      </c>
      <c r="AQ485" s="58" t="s">
        <v>0</v>
      </c>
      <c r="AR485" s="58"/>
      <c r="AS485" s="58"/>
      <c r="AT485" s="52">
        <v>0</v>
      </c>
      <c r="AU485" s="52" t="e">
        <f>IF(Master[[#This Row],[RSP StopTime override]] &lt;&gt; "",Master[[#This Row],[RSP StopTime override]],IF(Master[[#This Row],[Avg stop time helper]] &lt;&gt; 0, Master[[#This Row],[Avg stop time helper]],Average_Stop_Time))</f>
        <v>#DIV/0!</v>
      </c>
      <c r="AV485" s="21"/>
      <c r="AW485" s="20">
        <f>Master[[#This Row],[RSP StopTime override]]-Master[[#This Row],[Avg stop time helper]]</f>
        <v>0</v>
      </c>
    </row>
    <row r="486" spans="1:49" x14ac:dyDescent="0.3">
      <c r="A486" s="66" t="s">
        <v>4565</v>
      </c>
      <c r="B486" s="58">
        <v>47</v>
      </c>
      <c r="C486" s="58" t="s">
        <v>15</v>
      </c>
      <c r="D486" s="65">
        <v>99133</v>
      </c>
      <c r="E486" s="65" t="s">
        <v>1158</v>
      </c>
      <c r="F486" s="65" t="s">
        <v>1623</v>
      </c>
      <c r="G486" s="65" t="s">
        <v>2582</v>
      </c>
      <c r="H486" s="65" t="s">
        <v>7</v>
      </c>
      <c r="I486" s="65" t="s">
        <v>1216</v>
      </c>
      <c r="J486" s="65" t="s">
        <v>5</v>
      </c>
      <c r="K486" s="65" t="s">
        <v>30</v>
      </c>
      <c r="L486" s="64" t="s">
        <v>67</v>
      </c>
      <c r="M486" s="58" t="s">
        <v>3</v>
      </c>
      <c r="N486" s="58" t="s">
        <v>2</v>
      </c>
      <c r="O486" s="58">
        <v>165</v>
      </c>
      <c r="P486" s="58">
        <v>0</v>
      </c>
      <c r="Q486" s="58">
        <v>0</v>
      </c>
      <c r="R486" s="58">
        <v>0</v>
      </c>
      <c r="S486" s="58">
        <v>0</v>
      </c>
      <c r="T486" s="58">
        <v>165</v>
      </c>
      <c r="U486" s="58">
        <v>51</v>
      </c>
      <c r="V486" s="62"/>
      <c r="W486" s="62"/>
      <c r="X486" s="63">
        <f>IFERROR(1 -(Master[[#This Row],[Avg Garment Scans per Delivery]]/Master[[#This Row],[Garment Inventory]]), 0)</f>
        <v>0</v>
      </c>
      <c r="Y486" s="62"/>
      <c r="Z486" s="62"/>
      <c r="AA486" s="53">
        <v>147.29999999999995</v>
      </c>
      <c r="AB486" s="53">
        <v>147.30000000000001</v>
      </c>
      <c r="AC486" s="53">
        <v>147.29999999999995</v>
      </c>
      <c r="AD486" s="53">
        <v>147.30000000000001</v>
      </c>
      <c r="AE486" s="53" t="str">
        <f>_xlfn.XLOOKUP(Master[[#This Row],[cu_id]],'[1]Customer Revenue'!$Q:$Q,'[1]Customer Revenue'!$K:$K, "None")</f>
        <v>None</v>
      </c>
      <c r="AF486" s="53" t="str">
        <f>_xlfn.XLOOKUP(Master[[#This Row],[cu_id]],'[1]Customer Revenue'!$Q:$Q,'[1]Customer Revenue'!$L:$L, "None")</f>
        <v>None</v>
      </c>
      <c r="AG486" s="53">
        <v>147.30000000000001</v>
      </c>
      <c r="AH486" s="53">
        <v>147.30000000000013</v>
      </c>
      <c r="AI486" s="53">
        <v>147.29999999999998</v>
      </c>
      <c r="AJ486" s="53">
        <v>147.29999999999998</v>
      </c>
      <c r="AK486" s="53" t="str">
        <f>_xlfn.XLOOKUP(Master[[#This Row],[cu_id]],'[1]Customer Revenue'!$Q:$Q,'[1]Customer Revenue'!$I:$I, "None")</f>
        <v>None</v>
      </c>
      <c r="AL486" s="53">
        <v>147.30000000000007</v>
      </c>
      <c r="AM486" s="61">
        <v>0.45833333333333331</v>
      </c>
      <c r="AN486" s="60">
        <v>0.5</v>
      </c>
      <c r="AO486" s="60" t="s">
        <v>36</v>
      </c>
      <c r="AP486" s="60" t="s">
        <v>36</v>
      </c>
      <c r="AQ486" s="58" t="s">
        <v>0</v>
      </c>
      <c r="AR486" s="58"/>
      <c r="AS486" s="58"/>
      <c r="AT486" s="52">
        <v>0</v>
      </c>
      <c r="AU486" s="52" t="e">
        <f>IF(Master[[#This Row],[RSP StopTime override]] &lt;&gt; "",Master[[#This Row],[RSP StopTime override]],IF(Master[[#This Row],[Avg stop time helper]] &lt;&gt; 0, Master[[#This Row],[Avg stop time helper]],Average_Stop_Time))</f>
        <v>#DIV/0!</v>
      </c>
      <c r="AV486" s="21"/>
      <c r="AW486" s="20">
        <f>Master[[#This Row],[RSP StopTime override]]-Master[[#This Row],[Avg stop time helper]]</f>
        <v>0</v>
      </c>
    </row>
    <row r="487" spans="1:49" x14ac:dyDescent="0.3">
      <c r="A487" s="66" t="s">
        <v>4566</v>
      </c>
      <c r="B487" s="58">
        <v>47</v>
      </c>
      <c r="C487" s="58" t="s">
        <v>15</v>
      </c>
      <c r="D487" s="65">
        <v>99139</v>
      </c>
      <c r="E487" s="65" t="s">
        <v>686</v>
      </c>
      <c r="F487" s="65" t="s">
        <v>2581</v>
      </c>
      <c r="G487" s="65" t="s">
        <v>2580</v>
      </c>
      <c r="H487" s="65" t="s">
        <v>7</v>
      </c>
      <c r="I487" s="65" t="s">
        <v>26</v>
      </c>
      <c r="J487" s="65" t="s">
        <v>5</v>
      </c>
      <c r="K487" s="65" t="s">
        <v>25</v>
      </c>
      <c r="L487" s="64" t="s">
        <v>67</v>
      </c>
      <c r="M487" s="58" t="s">
        <v>3</v>
      </c>
      <c r="N487" s="58" t="s">
        <v>2</v>
      </c>
      <c r="O487" s="58">
        <v>120</v>
      </c>
      <c r="P487" s="58">
        <v>0</v>
      </c>
      <c r="Q487" s="58">
        <v>0</v>
      </c>
      <c r="R487" s="58">
        <v>0</v>
      </c>
      <c r="S487" s="58">
        <v>0</v>
      </c>
      <c r="T487" s="58">
        <v>120</v>
      </c>
      <c r="U487" s="58">
        <v>52</v>
      </c>
      <c r="V487" s="62"/>
      <c r="W487" s="62"/>
      <c r="X487" s="63">
        <f>IFERROR(1 -(Master[[#This Row],[Avg Garment Scans per Delivery]]/Master[[#This Row],[Garment Inventory]]), 0)</f>
        <v>0</v>
      </c>
      <c r="Y487" s="62"/>
      <c r="Z487" s="62"/>
      <c r="AA487" s="53">
        <v>44.585694444444442</v>
      </c>
      <c r="AB487" s="53">
        <v>65.612638888888867</v>
      </c>
      <c r="AC487" s="53">
        <v>44.856686390532545</v>
      </c>
      <c r="AD487" s="53">
        <v>54.795621301775142</v>
      </c>
      <c r="AE487" s="53" t="str">
        <f>_xlfn.XLOOKUP(Master[[#This Row],[cu_id]],'[1]Customer Revenue'!$Q:$Q,'[1]Customer Revenue'!$K:$K, "None")</f>
        <v>None</v>
      </c>
      <c r="AF487" s="53" t="str">
        <f>_xlfn.XLOOKUP(Master[[#This Row],[cu_id]],'[1]Customer Revenue'!$Q:$Q,'[1]Customer Revenue'!$L:$L, "None")</f>
        <v>None</v>
      </c>
      <c r="AG487" s="53">
        <v>44.838624000000003</v>
      </c>
      <c r="AH487" s="53">
        <v>73.942176000000032</v>
      </c>
      <c r="AI487" s="53">
        <v>55.099166666666655</v>
      </c>
      <c r="AJ487" s="53">
        <v>49.826153846153844</v>
      </c>
      <c r="AK487" s="53" t="str">
        <f>_xlfn.XLOOKUP(Master[[#This Row],[cu_id]],'[1]Customer Revenue'!$Q:$Q,'[1]Customer Revenue'!$I:$I, "None")</f>
        <v>None</v>
      </c>
      <c r="AL487" s="53">
        <v>59.390400000000021</v>
      </c>
      <c r="AM487" s="61" t="s">
        <v>36</v>
      </c>
      <c r="AN487" s="60" t="s">
        <v>36</v>
      </c>
      <c r="AO487" s="60" t="s">
        <v>36</v>
      </c>
      <c r="AP487" s="60" t="s">
        <v>36</v>
      </c>
      <c r="AQ487" s="58" t="s">
        <v>0</v>
      </c>
      <c r="AR487" s="58"/>
      <c r="AS487" s="58"/>
      <c r="AT487" s="52">
        <v>0</v>
      </c>
      <c r="AU487" s="52" t="e">
        <f>IF(Master[[#This Row],[RSP StopTime override]] &lt;&gt; "",Master[[#This Row],[RSP StopTime override]],IF(Master[[#This Row],[Avg stop time helper]] &lt;&gt; 0, Master[[#This Row],[Avg stop time helper]],Average_Stop_Time))</f>
        <v>#DIV/0!</v>
      </c>
      <c r="AV487" s="21"/>
      <c r="AW487" s="20">
        <f>Master[[#This Row],[RSP StopTime override]]-Master[[#This Row],[Avg stop time helper]]</f>
        <v>0</v>
      </c>
    </row>
    <row r="488" spans="1:49" x14ac:dyDescent="0.3">
      <c r="A488" s="66" t="s">
        <v>4567</v>
      </c>
      <c r="B488" s="58">
        <v>47</v>
      </c>
      <c r="C488" s="58" t="s">
        <v>15</v>
      </c>
      <c r="D488" s="65">
        <v>99161</v>
      </c>
      <c r="E488" s="65" t="s">
        <v>2579</v>
      </c>
      <c r="F488" s="65" t="s">
        <v>1909</v>
      </c>
      <c r="G488" s="65" t="s">
        <v>2578</v>
      </c>
      <c r="H488" s="65" t="s">
        <v>7</v>
      </c>
      <c r="I488" s="65" t="s">
        <v>26</v>
      </c>
      <c r="J488" s="65" t="s">
        <v>5</v>
      </c>
      <c r="K488" s="65" t="s">
        <v>25</v>
      </c>
      <c r="L488" s="64" t="s">
        <v>67</v>
      </c>
      <c r="M488" s="58" t="s">
        <v>3</v>
      </c>
      <c r="N488" s="58" t="s">
        <v>2</v>
      </c>
      <c r="O488" s="58">
        <v>1</v>
      </c>
      <c r="P488" s="58">
        <v>0</v>
      </c>
      <c r="Q488" s="58">
        <v>0</v>
      </c>
      <c r="R488" s="58">
        <v>0</v>
      </c>
      <c r="S488" s="58">
        <v>0</v>
      </c>
      <c r="T488" s="58">
        <v>1</v>
      </c>
      <c r="U488" s="58">
        <v>1</v>
      </c>
      <c r="V488" s="62"/>
      <c r="W488" s="62"/>
      <c r="X488" s="63">
        <f>IFERROR(1 -(Master[[#This Row],[Avg Garment Scans per Delivery]]/Master[[#This Row],[Garment Inventory]]), 0)</f>
        <v>0</v>
      </c>
      <c r="Y488" s="62"/>
      <c r="Z488" s="62"/>
      <c r="AA488" s="53"/>
      <c r="AB488" s="53"/>
      <c r="AC488" s="53"/>
      <c r="AD488" s="53"/>
      <c r="AE488" s="53" t="str">
        <f>_xlfn.XLOOKUP(Master[[#This Row],[cu_id]],'[1]Customer Revenue'!$Q:$Q,'[1]Customer Revenue'!$K:$K, "None")</f>
        <v>None</v>
      </c>
      <c r="AF488" s="53" t="str">
        <f>_xlfn.XLOOKUP(Master[[#This Row],[cu_id]],'[1]Customer Revenue'!$Q:$Q,'[1]Customer Revenue'!$L:$L, "None")</f>
        <v>None</v>
      </c>
      <c r="AG488" s="53">
        <v>32.912079999999996</v>
      </c>
      <c r="AH488" s="53">
        <v>38.387920000000001</v>
      </c>
      <c r="AI488" s="53"/>
      <c r="AJ488" s="53"/>
      <c r="AK488" s="53" t="str">
        <f>_xlfn.XLOOKUP(Master[[#This Row],[cu_id]],'[1]Customer Revenue'!$Q:$Q,'[1]Customer Revenue'!$I:$I, "None")</f>
        <v>None</v>
      </c>
      <c r="AL488" s="53">
        <v>35.65</v>
      </c>
      <c r="AM488" s="61">
        <v>0.29166666666666669</v>
      </c>
      <c r="AN488" s="60">
        <v>0.875</v>
      </c>
      <c r="AO488" s="60" t="s">
        <v>36</v>
      </c>
      <c r="AP488" s="60" t="s">
        <v>36</v>
      </c>
      <c r="AQ488" s="58" t="s">
        <v>0</v>
      </c>
      <c r="AR488" s="58"/>
      <c r="AS488" s="58"/>
      <c r="AT488" s="52">
        <v>0</v>
      </c>
      <c r="AU488" s="52" t="e">
        <f>IF(Master[[#This Row],[RSP StopTime override]] &lt;&gt; "",Master[[#This Row],[RSP StopTime override]],IF(Master[[#This Row],[Avg stop time helper]] &lt;&gt; 0, Master[[#This Row],[Avg stop time helper]],Average_Stop_Time))</f>
        <v>#DIV/0!</v>
      </c>
      <c r="AV488" s="21"/>
      <c r="AW488" s="20">
        <f>Master[[#This Row],[RSP StopTime override]]-Master[[#This Row],[Avg stop time helper]]</f>
        <v>0</v>
      </c>
    </row>
    <row r="489" spans="1:49" x14ac:dyDescent="0.3">
      <c r="A489" s="66" t="s">
        <v>4568</v>
      </c>
      <c r="B489" s="58">
        <v>47</v>
      </c>
      <c r="C489" s="58" t="s">
        <v>15</v>
      </c>
      <c r="D489" s="65">
        <v>511695</v>
      </c>
      <c r="E489" s="65" t="s">
        <v>42</v>
      </c>
      <c r="F489" s="65" t="s">
        <v>2577</v>
      </c>
      <c r="G489" s="65" t="s">
        <v>2576</v>
      </c>
      <c r="H489" s="65" t="s">
        <v>32</v>
      </c>
      <c r="I489" s="65" t="s">
        <v>2575</v>
      </c>
      <c r="J489" s="65" t="s">
        <v>5</v>
      </c>
      <c r="K489" s="65" t="s">
        <v>25</v>
      </c>
      <c r="L489" s="64" t="s">
        <v>141</v>
      </c>
      <c r="M489" s="58" t="s">
        <v>140</v>
      </c>
      <c r="N489" s="58" t="s">
        <v>2</v>
      </c>
      <c r="O489" s="58">
        <v>100</v>
      </c>
      <c r="P489" s="58">
        <v>0</v>
      </c>
      <c r="Q489" s="58">
        <v>0</v>
      </c>
      <c r="R489" s="58">
        <v>0</v>
      </c>
      <c r="S489" s="58">
        <v>0</v>
      </c>
      <c r="T489" s="58">
        <v>100</v>
      </c>
      <c r="U489" s="58">
        <v>13</v>
      </c>
      <c r="V489" s="62"/>
      <c r="W489" s="62"/>
      <c r="X489" s="63">
        <f>IFERROR(1 -(Master[[#This Row],[Avg Garment Scans per Delivery]]/Master[[#This Row],[Garment Inventory]]), 0)</f>
        <v>0</v>
      </c>
      <c r="Y489" s="62"/>
      <c r="Z489" s="62"/>
      <c r="AA489" s="53">
        <v>38</v>
      </c>
      <c r="AB489" s="53">
        <v>40</v>
      </c>
      <c r="AC489" s="53">
        <v>43.095555555555556</v>
      </c>
      <c r="AD489" s="53">
        <v>44.971111111111107</v>
      </c>
      <c r="AE489" s="53" t="str">
        <f>_xlfn.XLOOKUP(Master[[#This Row],[cu_id]],'[1]Customer Revenue'!$Q:$Q,'[1]Customer Revenue'!$K:$K, "None")</f>
        <v>None</v>
      </c>
      <c r="AF489" s="53" t="str">
        <f>_xlfn.XLOOKUP(Master[[#This Row],[cu_id]],'[1]Customer Revenue'!$Q:$Q,'[1]Customer Revenue'!$L:$L, "None")</f>
        <v>None</v>
      </c>
      <c r="AG489" s="53">
        <v>38.020408163265309</v>
      </c>
      <c r="AH489" s="53">
        <v>39.12244897959183</v>
      </c>
      <c r="AI489" s="53">
        <v>39</v>
      </c>
      <c r="AJ489" s="53">
        <v>44.033333333333331</v>
      </c>
      <c r="AK489" s="53" t="str">
        <f>_xlfn.XLOOKUP(Master[[#This Row],[cu_id]],'[1]Customer Revenue'!$Q:$Q,'[1]Customer Revenue'!$I:$I, "None")</f>
        <v>None</v>
      </c>
      <c r="AL489" s="53">
        <v>38.571428571428569</v>
      </c>
      <c r="AM489" s="61">
        <v>0.375</v>
      </c>
      <c r="AN489" s="60">
        <v>0.70833333333333337</v>
      </c>
      <c r="AO489" s="60" t="s">
        <v>36</v>
      </c>
      <c r="AP489" s="60" t="s">
        <v>36</v>
      </c>
      <c r="AQ489" s="58" t="s">
        <v>0</v>
      </c>
      <c r="AR489" s="58"/>
      <c r="AS489" s="58"/>
      <c r="AT489" s="52">
        <v>0</v>
      </c>
      <c r="AU489" s="52" t="e">
        <f>IF(Master[[#This Row],[RSP StopTime override]] &lt;&gt; "",Master[[#This Row],[RSP StopTime override]],IF(Master[[#This Row],[Avg stop time helper]] &lt;&gt; 0, Master[[#This Row],[Avg stop time helper]],Average_Stop_Time))</f>
        <v>#DIV/0!</v>
      </c>
      <c r="AV489" s="21"/>
      <c r="AW489" s="20">
        <f>Master[[#This Row],[RSP StopTime override]]-Master[[#This Row],[Avg stop time helper]]</f>
        <v>0</v>
      </c>
    </row>
    <row r="490" spans="1:49" x14ac:dyDescent="0.3">
      <c r="A490" s="66" t="s">
        <v>4569</v>
      </c>
      <c r="B490" s="58">
        <v>47</v>
      </c>
      <c r="C490" s="58" t="s">
        <v>15</v>
      </c>
      <c r="D490" s="65">
        <v>521296</v>
      </c>
      <c r="E490" s="65" t="s">
        <v>42</v>
      </c>
      <c r="F490" s="65" t="s">
        <v>2574</v>
      </c>
      <c r="G490" s="65" t="s">
        <v>2573</v>
      </c>
      <c r="H490" s="65" t="s">
        <v>32</v>
      </c>
      <c r="I490" s="65" t="s">
        <v>2572</v>
      </c>
      <c r="J490" s="65" t="s">
        <v>5</v>
      </c>
      <c r="K490" s="65" t="s">
        <v>2080</v>
      </c>
      <c r="L490" s="64" t="s">
        <v>141</v>
      </c>
      <c r="M490" s="58" t="s">
        <v>140</v>
      </c>
      <c r="N490" s="58" t="s">
        <v>2</v>
      </c>
      <c r="O490" s="58">
        <v>140</v>
      </c>
      <c r="P490" s="58">
        <v>0</v>
      </c>
      <c r="Q490" s="58">
        <v>0</v>
      </c>
      <c r="R490" s="58">
        <v>0</v>
      </c>
      <c r="S490" s="58">
        <v>0</v>
      </c>
      <c r="T490" s="58">
        <v>140</v>
      </c>
      <c r="U490" s="58">
        <v>13</v>
      </c>
      <c r="V490" s="62"/>
      <c r="W490" s="62"/>
      <c r="X490" s="63">
        <f>IFERROR(1 -(Master[[#This Row],[Avg Garment Scans per Delivery]]/Master[[#This Row],[Garment Inventory]]), 0)</f>
        <v>0</v>
      </c>
      <c r="Y490" s="62"/>
      <c r="Z490" s="62"/>
      <c r="AA490" s="53">
        <v>91.322222222222223</v>
      </c>
      <c r="AB490" s="53">
        <v>94.26444444444445</v>
      </c>
      <c r="AC490" s="53">
        <v>64.50333333333333</v>
      </c>
      <c r="AD490" s="53">
        <v>99.356666666666655</v>
      </c>
      <c r="AE490" s="53" t="str">
        <f>_xlfn.XLOOKUP(Master[[#This Row],[cu_id]],'[1]Customer Revenue'!$Q:$Q,'[1]Customer Revenue'!$K:$K, "None")</f>
        <v>None</v>
      </c>
      <c r="AF490" s="53" t="str">
        <f>_xlfn.XLOOKUP(Master[[#This Row],[cu_id]],'[1]Customer Revenue'!$Q:$Q,'[1]Customer Revenue'!$L:$L, "None")</f>
        <v>None</v>
      </c>
      <c r="AG490" s="53">
        <v>64.949642857142848</v>
      </c>
      <c r="AH490" s="53">
        <v>120.28464285714286</v>
      </c>
      <c r="AI490" s="53">
        <v>92.793333333333337</v>
      </c>
      <c r="AJ490" s="53">
        <v>81.929999999999993</v>
      </c>
      <c r="AK490" s="53" t="str">
        <f>_xlfn.XLOOKUP(Master[[#This Row],[cu_id]],'[1]Customer Revenue'!$Q:$Q,'[1]Customer Revenue'!$I:$I, "None")</f>
        <v>None</v>
      </c>
      <c r="AL490" s="53">
        <v>92.617142857142852</v>
      </c>
      <c r="AM490" s="61">
        <v>0.41666666666666669</v>
      </c>
      <c r="AN490" s="60">
        <v>0.875</v>
      </c>
      <c r="AO490" s="60" t="s">
        <v>36</v>
      </c>
      <c r="AP490" s="60" t="s">
        <v>36</v>
      </c>
      <c r="AQ490" s="58" t="s">
        <v>0</v>
      </c>
      <c r="AR490" s="58"/>
      <c r="AS490" s="58"/>
      <c r="AT490" s="52">
        <v>0</v>
      </c>
      <c r="AU490" s="52" t="e">
        <f>IF(Master[[#This Row],[RSP StopTime override]] &lt;&gt; "",Master[[#This Row],[RSP StopTime override]],IF(Master[[#This Row],[Avg stop time helper]] &lt;&gt; 0, Master[[#This Row],[Avg stop time helper]],Average_Stop_Time))</f>
        <v>#DIV/0!</v>
      </c>
      <c r="AV490" s="21"/>
      <c r="AW490" s="20">
        <f>Master[[#This Row],[RSP StopTime override]]-Master[[#This Row],[Avg stop time helper]]</f>
        <v>0</v>
      </c>
    </row>
    <row r="491" spans="1:49" x14ac:dyDescent="0.3">
      <c r="A491" s="66" t="s">
        <v>4570</v>
      </c>
      <c r="B491" s="58">
        <v>47</v>
      </c>
      <c r="C491" s="58" t="s">
        <v>15</v>
      </c>
      <c r="D491" s="65">
        <v>529926</v>
      </c>
      <c r="E491" s="65" t="s">
        <v>42</v>
      </c>
      <c r="F491" s="65" t="s">
        <v>2571</v>
      </c>
      <c r="G491" s="65" t="s">
        <v>2570</v>
      </c>
      <c r="H491" s="65" t="s">
        <v>7</v>
      </c>
      <c r="I491" s="65" t="s">
        <v>2569</v>
      </c>
      <c r="J491" s="65" t="s">
        <v>5</v>
      </c>
      <c r="K491" s="65" t="s">
        <v>25</v>
      </c>
      <c r="L491" s="64" t="s">
        <v>91</v>
      </c>
      <c r="M491" s="58" t="s">
        <v>90</v>
      </c>
      <c r="N491" s="58" t="s">
        <v>2</v>
      </c>
      <c r="O491" s="58">
        <v>20</v>
      </c>
      <c r="P491" s="58">
        <v>0</v>
      </c>
      <c r="Q491" s="58">
        <v>0</v>
      </c>
      <c r="R491" s="58">
        <v>0</v>
      </c>
      <c r="S491" s="58">
        <v>0</v>
      </c>
      <c r="T491" s="58">
        <v>20</v>
      </c>
      <c r="U491" s="58">
        <v>30</v>
      </c>
      <c r="V491" s="62"/>
      <c r="W491" s="62"/>
      <c r="X491" s="63">
        <f>IFERROR(1 -(Master[[#This Row],[Avg Garment Scans per Delivery]]/Master[[#This Row],[Garment Inventory]]), 0)</f>
        <v>0</v>
      </c>
      <c r="Y491" s="62"/>
      <c r="Z491" s="62"/>
      <c r="AA491" s="53">
        <v>38.362499999999983</v>
      </c>
      <c r="AB491" s="53">
        <v>99.742500000000007</v>
      </c>
      <c r="AC491" s="53">
        <v>39.344845679012323</v>
      </c>
      <c r="AD491" s="53">
        <v>130.72015432098766</v>
      </c>
      <c r="AE491" s="53" t="str">
        <f>_xlfn.XLOOKUP(Master[[#This Row],[cu_id]],'[1]Customer Revenue'!$Q:$Q,'[1]Customer Revenue'!$K:$K, "None")</f>
        <v>None</v>
      </c>
      <c r="AF491" s="53" t="str">
        <f>_xlfn.XLOOKUP(Master[[#This Row],[cu_id]],'[1]Customer Revenue'!$Q:$Q,'[1]Customer Revenue'!$L:$L, "None")</f>
        <v>None</v>
      </c>
      <c r="AG491" s="53">
        <v>36.033537146614059</v>
      </c>
      <c r="AH491" s="53">
        <v>92.128685075608161</v>
      </c>
      <c r="AI491" s="53">
        <v>69.052499999999995</v>
      </c>
      <c r="AJ491" s="53">
        <v>85.032499999999985</v>
      </c>
      <c r="AK491" s="53" t="str">
        <f>_xlfn.XLOOKUP(Master[[#This Row],[cu_id]],'[1]Customer Revenue'!$Q:$Q,'[1]Customer Revenue'!$I:$I, "None")</f>
        <v>None</v>
      </c>
      <c r="AL491" s="53">
        <v>64.081111111111113</v>
      </c>
      <c r="AM491" s="61" t="s">
        <v>36</v>
      </c>
      <c r="AN491" s="60" t="s">
        <v>36</v>
      </c>
      <c r="AO491" s="60" t="s">
        <v>36</v>
      </c>
      <c r="AP491" s="60" t="s">
        <v>36</v>
      </c>
      <c r="AQ491" s="58" t="s">
        <v>0</v>
      </c>
      <c r="AR491" s="58"/>
      <c r="AS491" s="58"/>
      <c r="AT491" s="52">
        <v>0</v>
      </c>
      <c r="AU491" s="52" t="e">
        <f>IF(Master[[#This Row],[RSP StopTime override]] &lt;&gt; "",Master[[#This Row],[RSP StopTime override]],IF(Master[[#This Row],[Avg stop time helper]] &lt;&gt; 0, Master[[#This Row],[Avg stop time helper]],Average_Stop_Time))</f>
        <v>#DIV/0!</v>
      </c>
      <c r="AV491" s="21"/>
      <c r="AW491" s="20">
        <f>Master[[#This Row],[RSP StopTime override]]-Master[[#This Row],[Avg stop time helper]]</f>
        <v>0</v>
      </c>
    </row>
    <row r="492" spans="1:49" x14ac:dyDescent="0.3">
      <c r="A492" s="66" t="s">
        <v>4571</v>
      </c>
      <c r="B492" s="58">
        <v>47</v>
      </c>
      <c r="C492" s="58" t="s">
        <v>15</v>
      </c>
      <c r="D492" s="65">
        <v>531515</v>
      </c>
      <c r="E492" s="65" t="s">
        <v>42</v>
      </c>
      <c r="F492" s="65" t="s">
        <v>2568</v>
      </c>
      <c r="G492" s="65" t="s">
        <v>2567</v>
      </c>
      <c r="H492" s="65" t="s">
        <v>7</v>
      </c>
      <c r="I492" s="65" t="s">
        <v>26</v>
      </c>
      <c r="J492" s="65" t="s">
        <v>5</v>
      </c>
      <c r="K492" s="65" t="s">
        <v>25</v>
      </c>
      <c r="L492" s="64" t="s">
        <v>91</v>
      </c>
      <c r="M492" s="58" t="s">
        <v>90</v>
      </c>
      <c r="N492" s="58" t="s">
        <v>2</v>
      </c>
      <c r="O492" s="58">
        <v>25</v>
      </c>
      <c r="P492" s="58">
        <v>0</v>
      </c>
      <c r="Q492" s="58">
        <v>0</v>
      </c>
      <c r="R492" s="58">
        <v>0</v>
      </c>
      <c r="S492" s="58">
        <v>0</v>
      </c>
      <c r="T492" s="58">
        <v>25</v>
      </c>
      <c r="U492" s="58">
        <v>25</v>
      </c>
      <c r="V492" s="62"/>
      <c r="W492" s="62"/>
      <c r="X492" s="63">
        <f>IFERROR(1 -(Master[[#This Row],[Avg Garment Scans per Delivery]]/Master[[#This Row],[Garment Inventory]]), 0)</f>
        <v>0</v>
      </c>
      <c r="Y492" s="62"/>
      <c r="Z492" s="62"/>
      <c r="AA492" s="53">
        <v>69.36</v>
      </c>
      <c r="AB492" s="53">
        <v>70.61</v>
      </c>
      <c r="AC492" s="53">
        <v>71.592857142857142</v>
      </c>
      <c r="AD492" s="53">
        <v>75.867142857142866</v>
      </c>
      <c r="AE492" s="53" t="str">
        <f>_xlfn.XLOOKUP(Master[[#This Row],[cu_id]],'[1]Customer Revenue'!$Q:$Q,'[1]Customer Revenue'!$K:$K, "None")</f>
        <v>None</v>
      </c>
      <c r="AF492" s="53" t="str">
        <f>_xlfn.XLOOKUP(Master[[#This Row],[cu_id]],'[1]Customer Revenue'!$Q:$Q,'[1]Customer Revenue'!$L:$L, "None")</f>
        <v>None</v>
      </c>
      <c r="AG492" s="53">
        <v>65.58</v>
      </c>
      <c r="AH492" s="53">
        <v>69.984999999999999</v>
      </c>
      <c r="AI492" s="53">
        <v>69.984999999999999</v>
      </c>
      <c r="AJ492" s="53">
        <v>73.73</v>
      </c>
      <c r="AK492" s="53" t="str">
        <f>_xlfn.XLOOKUP(Master[[#This Row],[cu_id]],'[1]Customer Revenue'!$Q:$Q,'[1]Customer Revenue'!$I:$I, "None")</f>
        <v>None</v>
      </c>
      <c r="AL492" s="53">
        <v>67.782499999999999</v>
      </c>
      <c r="AM492" s="61" t="s">
        <v>36</v>
      </c>
      <c r="AN492" s="60" t="s">
        <v>36</v>
      </c>
      <c r="AO492" s="60" t="s">
        <v>36</v>
      </c>
      <c r="AP492" s="60" t="s">
        <v>36</v>
      </c>
      <c r="AQ492" s="58" t="s">
        <v>0</v>
      </c>
      <c r="AR492" s="58"/>
      <c r="AS492" s="58"/>
      <c r="AT492" s="52">
        <v>0</v>
      </c>
      <c r="AU492" s="52" t="e">
        <f>IF(Master[[#This Row],[RSP StopTime override]] &lt;&gt; "",Master[[#This Row],[RSP StopTime override]],IF(Master[[#This Row],[Avg stop time helper]] &lt;&gt; 0, Master[[#This Row],[Avg stop time helper]],Average_Stop_Time))</f>
        <v>#DIV/0!</v>
      </c>
      <c r="AV492" s="21"/>
      <c r="AW492" s="20">
        <f>Master[[#This Row],[RSP StopTime override]]-Master[[#This Row],[Avg stop time helper]]</f>
        <v>0</v>
      </c>
    </row>
    <row r="493" spans="1:49" x14ac:dyDescent="0.3">
      <c r="A493" s="66" t="s">
        <v>4572</v>
      </c>
      <c r="B493" s="58">
        <v>47</v>
      </c>
      <c r="C493" s="58" t="s">
        <v>15</v>
      </c>
      <c r="D493" s="65">
        <v>531549</v>
      </c>
      <c r="E493" s="65" t="s">
        <v>42</v>
      </c>
      <c r="F493" s="65" t="s">
        <v>2566</v>
      </c>
      <c r="G493" s="65" t="s">
        <v>2565</v>
      </c>
      <c r="H493" s="65" t="s">
        <v>7</v>
      </c>
      <c r="I493" s="65" t="s">
        <v>26</v>
      </c>
      <c r="J493" s="65" t="s">
        <v>5</v>
      </c>
      <c r="K493" s="65" t="s">
        <v>25</v>
      </c>
      <c r="L493" s="64" t="s">
        <v>67</v>
      </c>
      <c r="M493" s="58" t="s">
        <v>3</v>
      </c>
      <c r="N493" s="58" t="s">
        <v>2</v>
      </c>
      <c r="O493" s="58">
        <v>115</v>
      </c>
      <c r="P493" s="58">
        <v>0</v>
      </c>
      <c r="Q493" s="58">
        <v>0</v>
      </c>
      <c r="R493" s="58">
        <v>0</v>
      </c>
      <c r="S493" s="58">
        <v>0</v>
      </c>
      <c r="T493" s="58">
        <v>115</v>
      </c>
      <c r="U493" s="58">
        <v>51</v>
      </c>
      <c r="V493" s="62"/>
      <c r="W493" s="62"/>
      <c r="X493" s="63">
        <f>IFERROR(1 -(Master[[#This Row],[Avg Garment Scans per Delivery]]/Master[[#This Row],[Garment Inventory]]), 0)</f>
        <v>0</v>
      </c>
      <c r="Y493" s="62"/>
      <c r="Z493" s="62"/>
      <c r="AA493" s="53">
        <v>38.7575</v>
      </c>
      <c r="AB493" s="53">
        <v>51.4925</v>
      </c>
      <c r="AC493" s="53">
        <v>41.185976331360948</v>
      </c>
      <c r="AD493" s="53">
        <v>55.950946745562121</v>
      </c>
      <c r="AE493" s="53" t="str">
        <f>_xlfn.XLOOKUP(Master[[#This Row],[cu_id]],'[1]Customer Revenue'!$Q:$Q,'[1]Customer Revenue'!$K:$K, "None")</f>
        <v>None</v>
      </c>
      <c r="AF493" s="53" t="str">
        <f>_xlfn.XLOOKUP(Master[[#This Row],[cu_id]],'[1]Customer Revenue'!$Q:$Q,'[1]Customer Revenue'!$L:$L, "None")</f>
        <v>None</v>
      </c>
      <c r="AG493" s="53">
        <v>38.139504000000009</v>
      </c>
      <c r="AH493" s="53">
        <v>51.997296000000013</v>
      </c>
      <c r="AI493" s="53">
        <v>45.125</v>
      </c>
      <c r="AJ493" s="53">
        <v>48.568461538461534</v>
      </c>
      <c r="AK493" s="53" t="str">
        <f>_xlfn.XLOOKUP(Master[[#This Row],[cu_id]],'[1]Customer Revenue'!$Q:$Q,'[1]Customer Revenue'!$I:$I, "None")</f>
        <v>None</v>
      </c>
      <c r="AL493" s="53">
        <v>45.068400000000011</v>
      </c>
      <c r="AM493" s="61">
        <v>0.25</v>
      </c>
      <c r="AN493" s="60">
        <v>0.625</v>
      </c>
      <c r="AO493" s="60" t="s">
        <v>36</v>
      </c>
      <c r="AP493" s="60" t="s">
        <v>36</v>
      </c>
      <c r="AQ493" s="58" t="s">
        <v>0</v>
      </c>
      <c r="AR493" s="58"/>
      <c r="AS493" s="58"/>
      <c r="AT493" s="52">
        <v>0</v>
      </c>
      <c r="AU493" s="52" t="e">
        <f>IF(Master[[#This Row],[RSP StopTime override]] &lt;&gt; "",Master[[#This Row],[RSP StopTime override]],IF(Master[[#This Row],[Avg stop time helper]] &lt;&gt; 0, Master[[#This Row],[Avg stop time helper]],Average_Stop_Time))</f>
        <v>#DIV/0!</v>
      </c>
      <c r="AV493" s="21"/>
      <c r="AW493" s="20">
        <f>Master[[#This Row],[RSP StopTime override]]-Master[[#This Row],[Avg stop time helper]]</f>
        <v>0</v>
      </c>
    </row>
    <row r="494" spans="1:49" x14ac:dyDescent="0.3">
      <c r="A494" s="66" t="s">
        <v>4573</v>
      </c>
      <c r="B494" s="58">
        <v>47</v>
      </c>
      <c r="C494" s="58" t="s">
        <v>15</v>
      </c>
      <c r="D494" s="65">
        <v>531627</v>
      </c>
      <c r="E494" s="65" t="s">
        <v>42</v>
      </c>
      <c r="F494" s="65" t="s">
        <v>2564</v>
      </c>
      <c r="G494" s="65" t="s">
        <v>2563</v>
      </c>
      <c r="H494" s="65" t="s">
        <v>7</v>
      </c>
      <c r="I494" s="65" t="s">
        <v>26</v>
      </c>
      <c r="J494" s="65" t="s">
        <v>5</v>
      </c>
      <c r="K494" s="65" t="s">
        <v>25</v>
      </c>
      <c r="L494" s="64" t="s">
        <v>67</v>
      </c>
      <c r="M494" s="58" t="s">
        <v>3</v>
      </c>
      <c r="N494" s="58" t="s">
        <v>2</v>
      </c>
      <c r="O494" s="58">
        <v>95</v>
      </c>
      <c r="P494" s="58">
        <v>0</v>
      </c>
      <c r="Q494" s="58">
        <v>0</v>
      </c>
      <c r="R494" s="58">
        <v>0</v>
      </c>
      <c r="S494" s="58">
        <v>0</v>
      </c>
      <c r="T494" s="58">
        <v>95</v>
      </c>
      <c r="U494" s="58">
        <v>53</v>
      </c>
      <c r="V494" s="62"/>
      <c r="W494" s="62"/>
      <c r="X494" s="63">
        <f>IFERROR(1 -(Master[[#This Row],[Avg Garment Scans per Delivery]]/Master[[#This Row],[Garment Inventory]]), 0)</f>
        <v>0</v>
      </c>
      <c r="Y494" s="62"/>
      <c r="Z494" s="62"/>
      <c r="AA494" s="53">
        <v>296.58313609467461</v>
      </c>
      <c r="AB494" s="53">
        <v>420.87071005917164</v>
      </c>
      <c r="AC494" s="53">
        <v>358.43946745562124</v>
      </c>
      <c r="AD494" s="53">
        <v>532.62668639053254</v>
      </c>
      <c r="AE494" s="53" t="str">
        <f>_xlfn.XLOOKUP(Master[[#This Row],[cu_id]],'[1]Customer Revenue'!$Q:$Q,'[1]Customer Revenue'!$K:$K, "None")</f>
        <v>None</v>
      </c>
      <c r="AF494" s="53" t="str">
        <f>_xlfn.XLOOKUP(Master[[#This Row],[cu_id]],'[1]Customer Revenue'!$Q:$Q,'[1]Customer Revenue'!$L:$L, "None")</f>
        <v>None</v>
      </c>
      <c r="AG494" s="53">
        <v>296.86683127572007</v>
      </c>
      <c r="AH494" s="53">
        <v>462.26353909465013</v>
      </c>
      <c r="AI494" s="53">
        <v>358.72692307692313</v>
      </c>
      <c r="AJ494" s="53">
        <v>445.53307692307686</v>
      </c>
      <c r="AK494" s="53" t="str">
        <f>_xlfn.XLOOKUP(Master[[#This Row],[cu_id]],'[1]Customer Revenue'!$Q:$Q,'[1]Customer Revenue'!$I:$I, "None")</f>
        <v>None</v>
      </c>
      <c r="AL494" s="53">
        <v>379.5651851851851</v>
      </c>
      <c r="AM494" s="61" t="s">
        <v>36</v>
      </c>
      <c r="AN494" s="60" t="s">
        <v>36</v>
      </c>
      <c r="AO494" s="60" t="s">
        <v>36</v>
      </c>
      <c r="AP494" s="60" t="s">
        <v>36</v>
      </c>
      <c r="AQ494" s="58" t="s">
        <v>0</v>
      </c>
      <c r="AR494" s="58"/>
      <c r="AS494" s="58"/>
      <c r="AT494" s="52">
        <v>0</v>
      </c>
      <c r="AU494" s="52" t="e">
        <f>IF(Master[[#This Row],[RSP StopTime override]] &lt;&gt; "",Master[[#This Row],[RSP StopTime override]],IF(Master[[#This Row],[Avg stop time helper]] &lt;&gt; 0, Master[[#This Row],[Avg stop time helper]],Average_Stop_Time))</f>
        <v>#DIV/0!</v>
      </c>
      <c r="AV494" s="21"/>
      <c r="AW494" s="20">
        <f>Master[[#This Row],[RSP StopTime override]]-Master[[#This Row],[Avg stop time helper]]</f>
        <v>0</v>
      </c>
    </row>
    <row r="495" spans="1:49" x14ac:dyDescent="0.3">
      <c r="A495" s="66" t="s">
        <v>4574</v>
      </c>
      <c r="B495" s="58">
        <v>47</v>
      </c>
      <c r="C495" s="58" t="s">
        <v>15</v>
      </c>
      <c r="D495" s="65">
        <v>531751</v>
      </c>
      <c r="E495" s="65" t="s">
        <v>42</v>
      </c>
      <c r="F495" s="65" t="s">
        <v>2562</v>
      </c>
      <c r="G495" s="65" t="s">
        <v>2561</v>
      </c>
      <c r="H495" s="65" t="s">
        <v>7</v>
      </c>
      <c r="I495" s="65" t="s">
        <v>2544</v>
      </c>
      <c r="J495" s="65" t="s">
        <v>5</v>
      </c>
      <c r="K495" s="65" t="s">
        <v>2543</v>
      </c>
      <c r="L495" s="64" t="s">
        <v>67</v>
      </c>
      <c r="M495" s="58" t="s">
        <v>3</v>
      </c>
      <c r="N495" s="58" t="s">
        <v>2</v>
      </c>
      <c r="O495" s="58">
        <v>60</v>
      </c>
      <c r="P495" s="58">
        <v>0</v>
      </c>
      <c r="Q495" s="58">
        <v>0</v>
      </c>
      <c r="R495" s="58">
        <v>0</v>
      </c>
      <c r="S495" s="58">
        <v>0</v>
      </c>
      <c r="T495" s="58">
        <v>60</v>
      </c>
      <c r="U495" s="58">
        <v>52</v>
      </c>
      <c r="V495" s="62">
        <v>19</v>
      </c>
      <c r="W495" s="62">
        <v>4</v>
      </c>
      <c r="X495" s="63">
        <f>IFERROR(1 -(Master[[#This Row],[Avg Garment Scans per Delivery]]/Master[[#This Row],[Garment Inventory]]), 0)</f>
        <v>0.78947368421052633</v>
      </c>
      <c r="Y495" s="62">
        <v>2</v>
      </c>
      <c r="Z495" s="62">
        <v>19</v>
      </c>
      <c r="AA495" s="53">
        <v>127.39111111111112</v>
      </c>
      <c r="AB495" s="53">
        <v>128.86055555555555</v>
      </c>
      <c r="AC495" s="53">
        <v>126.32550295857986</v>
      </c>
      <c r="AD495" s="53">
        <v>149.94680473372779</v>
      </c>
      <c r="AE495" s="53" t="str">
        <f>_xlfn.XLOOKUP(Master[[#This Row],[cu_id]],'[1]Customer Revenue'!$Q:$Q,'[1]Customer Revenue'!$K:$K, "None")</f>
        <v>None</v>
      </c>
      <c r="AF495" s="53" t="str">
        <f>_xlfn.XLOOKUP(Master[[#This Row],[cu_id]],'[1]Customer Revenue'!$Q:$Q,'[1]Customer Revenue'!$L:$L, "None")</f>
        <v>None</v>
      </c>
      <c r="AG495" s="53">
        <v>122.06119999999997</v>
      </c>
      <c r="AH495" s="53">
        <v>128.07879999999997</v>
      </c>
      <c r="AI495" s="53">
        <v>128.12583333333333</v>
      </c>
      <c r="AJ495" s="53">
        <v>138.13615384615383</v>
      </c>
      <c r="AK495" s="53" t="str">
        <f>_xlfn.XLOOKUP(Master[[#This Row],[cu_id]],'[1]Customer Revenue'!$Q:$Q,'[1]Customer Revenue'!$I:$I, "None")</f>
        <v>None</v>
      </c>
      <c r="AL495" s="53">
        <v>125.06999999999998</v>
      </c>
      <c r="AM495" s="61">
        <v>0.25</v>
      </c>
      <c r="AN495" s="60">
        <v>0.625</v>
      </c>
      <c r="AO495" s="60" t="s">
        <v>36</v>
      </c>
      <c r="AP495" s="60" t="s">
        <v>36</v>
      </c>
      <c r="AQ495" s="58" t="s">
        <v>0</v>
      </c>
      <c r="AR495" s="58"/>
      <c r="AS495" s="58"/>
      <c r="AT495" s="52">
        <v>0</v>
      </c>
      <c r="AU495" s="52" t="e">
        <f>IF(Master[[#This Row],[RSP StopTime override]] &lt;&gt; "",Master[[#This Row],[RSP StopTime override]],IF(Master[[#This Row],[Avg stop time helper]] &lt;&gt; 0, Master[[#This Row],[Avg stop time helper]],Average_Stop_Time))</f>
        <v>#DIV/0!</v>
      </c>
      <c r="AV495" s="21"/>
      <c r="AW495" s="20">
        <f>Master[[#This Row],[RSP StopTime override]]-Master[[#This Row],[Avg stop time helper]]</f>
        <v>0</v>
      </c>
    </row>
    <row r="496" spans="1:49" x14ac:dyDescent="0.3">
      <c r="A496" s="66" t="s">
        <v>4575</v>
      </c>
      <c r="B496" s="58">
        <v>47</v>
      </c>
      <c r="C496" s="58" t="s">
        <v>15</v>
      </c>
      <c r="D496" s="65">
        <v>532126</v>
      </c>
      <c r="E496" s="65" t="s">
        <v>42</v>
      </c>
      <c r="F496" s="65" t="s">
        <v>2560</v>
      </c>
      <c r="G496" s="65" t="s">
        <v>2559</v>
      </c>
      <c r="H496" s="65" t="s">
        <v>7</v>
      </c>
      <c r="I496" s="65" t="s">
        <v>2081</v>
      </c>
      <c r="J496" s="65" t="s">
        <v>5</v>
      </c>
      <c r="K496" s="65" t="s">
        <v>2080</v>
      </c>
      <c r="L496" s="64" t="s">
        <v>91</v>
      </c>
      <c r="M496" s="58" t="s">
        <v>90</v>
      </c>
      <c r="N496" s="58" t="s">
        <v>2</v>
      </c>
      <c r="O496" s="58">
        <v>135</v>
      </c>
      <c r="P496" s="58">
        <v>0</v>
      </c>
      <c r="Q496" s="58">
        <v>0</v>
      </c>
      <c r="R496" s="58">
        <v>0</v>
      </c>
      <c r="S496" s="58">
        <v>0</v>
      </c>
      <c r="T496" s="58">
        <v>135</v>
      </c>
      <c r="U496" s="58">
        <v>25</v>
      </c>
      <c r="V496" s="62"/>
      <c r="W496" s="62"/>
      <c r="X496" s="63">
        <f>IFERROR(1 -(Master[[#This Row],[Avg Garment Scans per Delivery]]/Master[[#This Row],[Garment Inventory]]), 0)</f>
        <v>0</v>
      </c>
      <c r="Y496" s="62"/>
      <c r="Z496" s="62"/>
      <c r="AA496" s="53">
        <v>30.96</v>
      </c>
      <c r="AB496" s="53">
        <v>32.210000000000008</v>
      </c>
      <c r="AC496" s="53">
        <v>33.006530612244902</v>
      </c>
      <c r="AD496" s="53">
        <v>40.262040816326532</v>
      </c>
      <c r="AE496" s="53" t="str">
        <f>_xlfn.XLOOKUP(Master[[#This Row],[cu_id]],'[1]Customer Revenue'!$Q:$Q,'[1]Customer Revenue'!$K:$K, "None")</f>
        <v>None</v>
      </c>
      <c r="AF496" s="53" t="str">
        <f>_xlfn.XLOOKUP(Master[[#This Row],[cu_id]],'[1]Customer Revenue'!$Q:$Q,'[1]Customer Revenue'!$L:$L, "None")</f>
        <v>None</v>
      </c>
      <c r="AG496" s="53">
        <v>30.359166666666663</v>
      </c>
      <c r="AH496" s="53">
        <v>33.115833333333327</v>
      </c>
      <c r="AI496" s="53">
        <v>31.585000000000004</v>
      </c>
      <c r="AJ496" s="53">
        <v>36.634285714285717</v>
      </c>
      <c r="AK496" s="53" t="str">
        <f>_xlfn.XLOOKUP(Master[[#This Row],[cu_id]],'[1]Customer Revenue'!$Q:$Q,'[1]Customer Revenue'!$I:$I, "None")</f>
        <v>None</v>
      </c>
      <c r="AL496" s="53">
        <v>31.737499999999997</v>
      </c>
      <c r="AM496" s="61">
        <v>0</v>
      </c>
      <c r="AN496" s="60">
        <v>0.875</v>
      </c>
      <c r="AO496" s="60" t="s">
        <v>36</v>
      </c>
      <c r="AP496" s="60" t="s">
        <v>36</v>
      </c>
      <c r="AQ496" s="58" t="s">
        <v>0</v>
      </c>
      <c r="AR496" s="58"/>
      <c r="AS496" s="58"/>
      <c r="AT496" s="52">
        <v>0</v>
      </c>
      <c r="AU496" s="52" t="e">
        <f>IF(Master[[#This Row],[RSP StopTime override]] &lt;&gt; "",Master[[#This Row],[RSP StopTime override]],IF(Master[[#This Row],[Avg stop time helper]] &lt;&gt; 0, Master[[#This Row],[Avg stop time helper]],Average_Stop_Time))</f>
        <v>#DIV/0!</v>
      </c>
      <c r="AV496" s="21"/>
      <c r="AW496" s="20">
        <f>Master[[#This Row],[RSP StopTime override]]-Master[[#This Row],[Avg stop time helper]]</f>
        <v>0</v>
      </c>
    </row>
    <row r="497" spans="1:49" x14ac:dyDescent="0.3">
      <c r="A497" s="66" t="s">
        <v>4576</v>
      </c>
      <c r="B497" s="58">
        <v>47</v>
      </c>
      <c r="C497" s="58" t="s">
        <v>15</v>
      </c>
      <c r="D497" s="65">
        <v>532364</v>
      </c>
      <c r="E497" s="65" t="s">
        <v>42</v>
      </c>
      <c r="F497" s="65" t="s">
        <v>2558</v>
      </c>
      <c r="G497" s="65" t="s">
        <v>2557</v>
      </c>
      <c r="H497" s="65" t="s">
        <v>7</v>
      </c>
      <c r="I497" s="65" t="s">
        <v>1851</v>
      </c>
      <c r="J497" s="65" t="s">
        <v>5</v>
      </c>
      <c r="K497" s="65" t="s">
        <v>1850</v>
      </c>
      <c r="L497" s="64" t="s">
        <v>91</v>
      </c>
      <c r="M497" s="58" t="s">
        <v>90</v>
      </c>
      <c r="N497" s="58" t="s">
        <v>2</v>
      </c>
      <c r="O497" s="58">
        <v>130</v>
      </c>
      <c r="P497" s="58">
        <v>0</v>
      </c>
      <c r="Q497" s="58">
        <v>0</v>
      </c>
      <c r="R497" s="58">
        <v>0</v>
      </c>
      <c r="S497" s="58">
        <v>0</v>
      </c>
      <c r="T497" s="58">
        <v>130</v>
      </c>
      <c r="U497" s="58">
        <v>24</v>
      </c>
      <c r="V497" s="62"/>
      <c r="W497" s="62"/>
      <c r="X497" s="63">
        <f>IFERROR(1 -(Master[[#This Row],[Avg Garment Scans per Delivery]]/Master[[#This Row],[Garment Inventory]]), 0)</f>
        <v>0</v>
      </c>
      <c r="Y497" s="62"/>
      <c r="Z497" s="62"/>
      <c r="AA497" s="53">
        <v>78.05</v>
      </c>
      <c r="AB497" s="53">
        <v>79.3</v>
      </c>
      <c r="AC497" s="53">
        <v>80.263469387755094</v>
      </c>
      <c r="AD497" s="53">
        <v>82.173673469387751</v>
      </c>
      <c r="AE497" s="53" t="str">
        <f>_xlfn.XLOOKUP(Master[[#This Row],[cu_id]],'[1]Customer Revenue'!$Q:$Q,'[1]Customer Revenue'!$K:$K, "None")</f>
        <v>None</v>
      </c>
      <c r="AF497" s="53" t="str">
        <f>_xlfn.XLOOKUP(Master[[#This Row],[cu_id]],'[1]Customer Revenue'!$Q:$Q,'[1]Customer Revenue'!$L:$L, "None")</f>
        <v>None</v>
      </c>
      <c r="AG497" s="53">
        <v>78.143749999999997</v>
      </c>
      <c r="AH497" s="53">
        <v>78.831249999999969</v>
      </c>
      <c r="AI497" s="53">
        <v>78.674999999999997</v>
      </c>
      <c r="AJ497" s="53">
        <v>81.218571428571423</v>
      </c>
      <c r="AK497" s="53" t="str">
        <f>_xlfn.XLOOKUP(Master[[#This Row],[cu_id]],'[1]Customer Revenue'!$Q:$Q,'[1]Customer Revenue'!$I:$I, "None")</f>
        <v>None</v>
      </c>
      <c r="AL497" s="53">
        <v>78.487499999999983</v>
      </c>
      <c r="AM497" s="61">
        <v>0.33333333333333331</v>
      </c>
      <c r="AN497" s="60">
        <v>0.70833333333333337</v>
      </c>
      <c r="AO497" s="60" t="s">
        <v>36</v>
      </c>
      <c r="AP497" s="60" t="s">
        <v>36</v>
      </c>
      <c r="AQ497" s="58" t="s">
        <v>0</v>
      </c>
      <c r="AR497" s="58"/>
      <c r="AS497" s="58"/>
      <c r="AT497" s="52">
        <v>0</v>
      </c>
      <c r="AU497" s="52" t="e">
        <f>IF(Master[[#This Row],[RSP StopTime override]] &lt;&gt; "",Master[[#This Row],[RSP StopTime override]],IF(Master[[#This Row],[Avg stop time helper]] &lt;&gt; 0, Master[[#This Row],[Avg stop time helper]],Average_Stop_Time))</f>
        <v>#DIV/0!</v>
      </c>
      <c r="AV497" s="21"/>
      <c r="AW497" s="20">
        <f>Master[[#This Row],[RSP StopTime override]]-Master[[#This Row],[Avg stop time helper]]</f>
        <v>0</v>
      </c>
    </row>
    <row r="498" spans="1:49" x14ac:dyDescent="0.3">
      <c r="A498" s="66" t="s">
        <v>4577</v>
      </c>
      <c r="B498" s="58">
        <v>47</v>
      </c>
      <c r="C498" s="58" t="s">
        <v>15</v>
      </c>
      <c r="D498" s="65">
        <v>532566</v>
      </c>
      <c r="E498" s="65" t="s">
        <v>42</v>
      </c>
      <c r="F498" s="65" t="s">
        <v>2554</v>
      </c>
      <c r="G498" s="65" t="s">
        <v>2553</v>
      </c>
      <c r="H498" s="65" t="s">
        <v>7</v>
      </c>
      <c r="I498" s="65" t="s">
        <v>2544</v>
      </c>
      <c r="J498" s="65" t="s">
        <v>5</v>
      </c>
      <c r="K498" s="65" t="s">
        <v>2543</v>
      </c>
      <c r="L498" s="64" t="s">
        <v>67</v>
      </c>
      <c r="M498" s="58" t="s">
        <v>3</v>
      </c>
      <c r="N498" s="58" t="s">
        <v>2</v>
      </c>
      <c r="O498" s="58">
        <v>50</v>
      </c>
      <c r="P498" s="58">
        <v>0</v>
      </c>
      <c r="Q498" s="58">
        <v>0</v>
      </c>
      <c r="R498" s="58">
        <v>0</v>
      </c>
      <c r="S498" s="58">
        <v>0</v>
      </c>
      <c r="T498" s="58">
        <v>50</v>
      </c>
      <c r="U498" s="58">
        <v>45</v>
      </c>
      <c r="V498" s="62"/>
      <c r="W498" s="62"/>
      <c r="X498" s="63">
        <f>IFERROR(1 -(Master[[#This Row],[Avg Garment Scans per Delivery]]/Master[[#This Row],[Garment Inventory]]), 0)</f>
        <v>0</v>
      </c>
      <c r="Y498" s="62"/>
      <c r="Z498" s="62"/>
      <c r="AA498" s="53">
        <v>27.919666666666672</v>
      </c>
      <c r="AB498" s="53">
        <v>49.396333333333331</v>
      </c>
      <c r="AC498" s="53">
        <v>42.104497041420125</v>
      </c>
      <c r="AD498" s="53">
        <v>43.800118343195273</v>
      </c>
      <c r="AE498" s="53" t="str">
        <f>_xlfn.XLOOKUP(Master[[#This Row],[cu_id]],'[1]Customer Revenue'!$Q:$Q,'[1]Customer Revenue'!$K:$K, "None")</f>
        <v>None</v>
      </c>
      <c r="AF498" s="53" t="str">
        <f>_xlfn.XLOOKUP(Master[[#This Row],[cu_id]],'[1]Customer Revenue'!$Q:$Q,'[1]Customer Revenue'!$L:$L, "None")</f>
        <v>None</v>
      </c>
      <c r="AG498" s="53">
        <v>28.962943272727301</v>
      </c>
      <c r="AH498" s="53">
        <v>44.472511272727274</v>
      </c>
      <c r="AI498" s="53">
        <v>38.658000000000001</v>
      </c>
      <c r="AJ498" s="53">
        <v>42.952307692307699</v>
      </c>
      <c r="AK498" s="53" t="str">
        <f>_xlfn.XLOOKUP(Master[[#This Row],[cu_id]],'[1]Customer Revenue'!$Q:$Q,'[1]Customer Revenue'!$I:$I, "None")</f>
        <v>None</v>
      </c>
      <c r="AL498" s="53">
        <v>36.717727272727288</v>
      </c>
      <c r="AM498" s="61">
        <v>0.875</v>
      </c>
      <c r="AN498" s="60">
        <v>0.70833333333333337</v>
      </c>
      <c r="AO498" s="60" t="s">
        <v>36</v>
      </c>
      <c r="AP498" s="60" t="s">
        <v>36</v>
      </c>
      <c r="AQ498" s="58" t="s">
        <v>0</v>
      </c>
      <c r="AR498" s="58"/>
      <c r="AS498" s="58"/>
      <c r="AT498" s="52">
        <v>0</v>
      </c>
      <c r="AU498" s="52" t="e">
        <f>IF(Master[[#This Row],[RSP StopTime override]] &lt;&gt; "",Master[[#This Row],[RSP StopTime override]],IF(Master[[#This Row],[Avg stop time helper]] &lt;&gt; 0, Master[[#This Row],[Avg stop time helper]],Average_Stop_Time))</f>
        <v>#DIV/0!</v>
      </c>
      <c r="AV498" s="21"/>
      <c r="AW498" s="20">
        <f>Master[[#This Row],[RSP StopTime override]]-Master[[#This Row],[Avg stop time helper]]</f>
        <v>0</v>
      </c>
    </row>
    <row r="499" spans="1:49" x14ac:dyDescent="0.3">
      <c r="A499" s="66" t="s">
        <v>4578</v>
      </c>
      <c r="B499" s="58">
        <v>47</v>
      </c>
      <c r="C499" s="58" t="s">
        <v>15</v>
      </c>
      <c r="D499" s="65">
        <v>532573</v>
      </c>
      <c r="E499" s="65" t="s">
        <v>42</v>
      </c>
      <c r="F499" s="65" t="s">
        <v>2552</v>
      </c>
      <c r="G499" s="65" t="s">
        <v>2551</v>
      </c>
      <c r="H499" s="65" t="s">
        <v>7</v>
      </c>
      <c r="I499" s="65" t="s">
        <v>2544</v>
      </c>
      <c r="J499" s="65" t="s">
        <v>5</v>
      </c>
      <c r="K499" s="65" t="s">
        <v>2543</v>
      </c>
      <c r="L499" s="64" t="s">
        <v>67</v>
      </c>
      <c r="M499" s="58" t="s">
        <v>3</v>
      </c>
      <c r="N499" s="58" t="s">
        <v>2</v>
      </c>
      <c r="O499" s="58">
        <v>75</v>
      </c>
      <c r="P499" s="58">
        <v>0</v>
      </c>
      <c r="Q499" s="58">
        <v>0</v>
      </c>
      <c r="R499" s="58">
        <v>0</v>
      </c>
      <c r="S499" s="58">
        <v>0</v>
      </c>
      <c r="T499" s="58">
        <v>75</v>
      </c>
      <c r="U499" s="58">
        <v>51</v>
      </c>
      <c r="V499" s="62">
        <v>48</v>
      </c>
      <c r="W499" s="62">
        <v>12</v>
      </c>
      <c r="X499" s="63">
        <f>IFERROR(1 -(Master[[#This Row],[Avg Garment Scans per Delivery]]/Master[[#This Row],[Garment Inventory]]), 0)</f>
        <v>0.75</v>
      </c>
      <c r="Y499" s="62">
        <v>2</v>
      </c>
      <c r="Z499" s="62">
        <v>48</v>
      </c>
      <c r="AA499" s="53">
        <v>34.361022727272719</v>
      </c>
      <c r="AB499" s="53">
        <v>46.753522727272731</v>
      </c>
      <c r="AC499" s="53">
        <v>38.40412087912086</v>
      </c>
      <c r="AD499" s="53">
        <v>50.151263736263736</v>
      </c>
      <c r="AE499" s="53" t="str">
        <f>_xlfn.XLOOKUP(Master[[#This Row],[cu_id]],'[1]Customer Revenue'!$Q:$Q,'[1]Customer Revenue'!$K:$K, "None")</f>
        <v>None</v>
      </c>
      <c r="AF499" s="53" t="str">
        <f>_xlfn.XLOOKUP(Master[[#This Row],[cu_id]],'[1]Customer Revenue'!$Q:$Q,'[1]Customer Revenue'!$L:$L, "None")</f>
        <v>None</v>
      </c>
      <c r="AG499" s="53">
        <v>36.598725333333356</v>
      </c>
      <c r="AH499" s="53">
        <v>42.687941333333335</v>
      </c>
      <c r="AI499" s="53">
        <v>40.557272727272725</v>
      </c>
      <c r="AJ499" s="53">
        <v>44.277692307692298</v>
      </c>
      <c r="AK499" s="53" t="str">
        <f>_xlfn.XLOOKUP(Master[[#This Row],[cu_id]],'[1]Customer Revenue'!$Q:$Q,'[1]Customer Revenue'!$I:$I, "None")</f>
        <v>None</v>
      </c>
      <c r="AL499" s="53">
        <v>39.643333333333345</v>
      </c>
      <c r="AM499" s="61" t="s">
        <v>36</v>
      </c>
      <c r="AN499" s="60" t="s">
        <v>36</v>
      </c>
      <c r="AO499" s="60" t="s">
        <v>36</v>
      </c>
      <c r="AP499" s="60" t="s">
        <v>36</v>
      </c>
      <c r="AQ499" s="58" t="s">
        <v>0</v>
      </c>
      <c r="AR499" s="58"/>
      <c r="AS499" s="58"/>
      <c r="AT499" s="52">
        <v>0</v>
      </c>
      <c r="AU499" s="52">
        <f>IF(Master[[#This Row],[RSP StopTime override]] &lt;&gt; "",Master[[#This Row],[RSP StopTime override]],IF(Master[[#This Row],[Avg stop time helper]] &lt;&gt; 0, Master[[#This Row],[Avg stop time helper]],Average_Stop_Time))</f>
        <v>2</v>
      </c>
      <c r="AV499" s="21">
        <v>2</v>
      </c>
      <c r="AW499" s="20">
        <f>Master[[#This Row],[RSP StopTime override]]-Master[[#This Row],[Avg stop time helper]]</f>
        <v>2</v>
      </c>
    </row>
    <row r="500" spans="1:49" x14ac:dyDescent="0.3">
      <c r="A500" s="66" t="s">
        <v>4579</v>
      </c>
      <c r="B500" s="58">
        <v>47</v>
      </c>
      <c r="C500" s="58" t="s">
        <v>15</v>
      </c>
      <c r="D500" s="65">
        <v>532659</v>
      </c>
      <c r="E500" s="65" t="s">
        <v>42</v>
      </c>
      <c r="F500" s="65" t="s">
        <v>2550</v>
      </c>
      <c r="G500" s="65" t="s">
        <v>2549</v>
      </c>
      <c r="H500" s="65" t="s">
        <v>7</v>
      </c>
      <c r="I500" s="65" t="s">
        <v>2544</v>
      </c>
      <c r="J500" s="65" t="s">
        <v>5</v>
      </c>
      <c r="K500" s="65" t="s">
        <v>2543</v>
      </c>
      <c r="L500" s="64" t="s">
        <v>67</v>
      </c>
      <c r="M500" s="58" t="s">
        <v>3</v>
      </c>
      <c r="N500" s="58" t="s">
        <v>2</v>
      </c>
      <c r="O500" s="58">
        <v>55</v>
      </c>
      <c r="P500" s="58">
        <v>0</v>
      </c>
      <c r="Q500" s="58">
        <v>0</v>
      </c>
      <c r="R500" s="58">
        <v>0</v>
      </c>
      <c r="S500" s="58">
        <v>0</v>
      </c>
      <c r="T500" s="58">
        <v>55</v>
      </c>
      <c r="U500" s="58">
        <v>42</v>
      </c>
      <c r="V500" s="62"/>
      <c r="W500" s="62"/>
      <c r="X500" s="63">
        <f>IFERROR(1 -(Master[[#This Row],[Avg Garment Scans per Delivery]]/Master[[#This Row],[Garment Inventory]]), 0)</f>
        <v>0</v>
      </c>
      <c r="Y500" s="62"/>
      <c r="Z500" s="62"/>
      <c r="AA500" s="53">
        <v>49.161111111111111</v>
      </c>
      <c r="AB500" s="53">
        <v>94.855555555555569</v>
      </c>
      <c r="AC500" s="53">
        <v>83.861479289940817</v>
      </c>
      <c r="AD500" s="53">
        <v>183.93698224852068</v>
      </c>
      <c r="AE500" s="53" t="str">
        <f>_xlfn.XLOOKUP(Master[[#This Row],[cu_id]],'[1]Customer Revenue'!$Q:$Q,'[1]Customer Revenue'!$K:$K, "None")</f>
        <v>None</v>
      </c>
      <c r="AF500" s="53" t="str">
        <f>_xlfn.XLOOKUP(Master[[#This Row],[cu_id]],'[1]Customer Revenue'!$Q:$Q,'[1]Customer Revenue'!$L:$L, "None")</f>
        <v>None</v>
      </c>
      <c r="AG500" s="53">
        <v>41.235030000000009</v>
      </c>
      <c r="AH500" s="53">
        <v>78.352469999999983</v>
      </c>
      <c r="AI500" s="53">
        <v>72.00833333333334</v>
      </c>
      <c r="AJ500" s="53">
        <v>133.89923076923074</v>
      </c>
      <c r="AK500" s="53" t="str">
        <f>_xlfn.XLOOKUP(Master[[#This Row],[cu_id]],'[1]Customer Revenue'!$Q:$Q,'[1]Customer Revenue'!$I:$I, "None")</f>
        <v>None</v>
      </c>
      <c r="AL500" s="53">
        <v>59.793749999999996</v>
      </c>
      <c r="AM500" s="61">
        <v>0.25</v>
      </c>
      <c r="AN500" s="60">
        <v>0.58333333333333337</v>
      </c>
      <c r="AO500" s="60" t="s">
        <v>36</v>
      </c>
      <c r="AP500" s="60" t="s">
        <v>36</v>
      </c>
      <c r="AQ500" s="58" t="s">
        <v>0</v>
      </c>
      <c r="AR500" s="58"/>
      <c r="AS500" s="58"/>
      <c r="AT500" s="52">
        <v>0</v>
      </c>
      <c r="AU500" s="52" t="e">
        <f>IF(Master[[#This Row],[RSP StopTime override]] &lt;&gt; "",Master[[#This Row],[RSP StopTime override]],IF(Master[[#This Row],[Avg stop time helper]] &lt;&gt; 0, Master[[#This Row],[Avg stop time helper]],Average_Stop_Time))</f>
        <v>#DIV/0!</v>
      </c>
      <c r="AV500" s="21"/>
      <c r="AW500" s="20">
        <f>Master[[#This Row],[RSP StopTime override]]-Master[[#This Row],[Avg stop time helper]]</f>
        <v>0</v>
      </c>
    </row>
    <row r="501" spans="1:49" x14ac:dyDescent="0.3">
      <c r="A501" s="66" t="s">
        <v>4580</v>
      </c>
      <c r="B501" s="58">
        <v>47</v>
      </c>
      <c r="C501" s="58" t="s">
        <v>15</v>
      </c>
      <c r="D501" s="65">
        <v>533117</v>
      </c>
      <c r="E501" s="65" t="s">
        <v>42</v>
      </c>
      <c r="F501" s="65" t="s">
        <v>2548</v>
      </c>
      <c r="G501" s="65" t="s">
        <v>2547</v>
      </c>
      <c r="H501" s="65" t="s">
        <v>7</v>
      </c>
      <c r="I501" s="65" t="s">
        <v>2544</v>
      </c>
      <c r="J501" s="65" t="s">
        <v>5</v>
      </c>
      <c r="K501" s="65" t="s">
        <v>2543</v>
      </c>
      <c r="L501" s="64" t="s">
        <v>206</v>
      </c>
      <c r="M501" s="58" t="s">
        <v>205</v>
      </c>
      <c r="N501" s="58" t="s">
        <v>2</v>
      </c>
      <c r="O501" s="58">
        <v>53</v>
      </c>
      <c r="P501" s="58">
        <v>0</v>
      </c>
      <c r="Q501" s="58">
        <v>0</v>
      </c>
      <c r="R501" s="58">
        <v>0</v>
      </c>
      <c r="S501" s="58">
        <v>0</v>
      </c>
      <c r="T501" s="58">
        <v>53</v>
      </c>
      <c r="U501" s="58">
        <v>13</v>
      </c>
      <c r="V501" s="62"/>
      <c r="W501" s="62"/>
      <c r="X501" s="63">
        <f>IFERROR(1 -(Master[[#This Row],[Avg Garment Scans per Delivery]]/Master[[#This Row],[Garment Inventory]]), 0)</f>
        <v>0</v>
      </c>
      <c r="Y501" s="62"/>
      <c r="Z501" s="62"/>
      <c r="AA501" s="53">
        <v>75.55</v>
      </c>
      <c r="AB501" s="53">
        <v>75.55</v>
      </c>
      <c r="AC501" s="53">
        <v>50.21458333333333</v>
      </c>
      <c r="AD501" s="53">
        <v>110.47208333333333</v>
      </c>
      <c r="AE501" s="53" t="str">
        <f>_xlfn.XLOOKUP(Master[[#This Row],[cu_id]],'[1]Customer Revenue'!$Q:$Q,'[1]Customer Revenue'!$K:$K, "None")</f>
        <v>None</v>
      </c>
      <c r="AF501" s="53" t="str">
        <f>_xlfn.XLOOKUP(Master[[#This Row],[cu_id]],'[1]Customer Revenue'!$Q:$Q,'[1]Customer Revenue'!$L:$L, "None")</f>
        <v>None</v>
      </c>
      <c r="AG501" s="53">
        <v>56.414931972789127</v>
      </c>
      <c r="AH501" s="53">
        <v>93.008401360544212</v>
      </c>
      <c r="AI501" s="53">
        <v>75.55</v>
      </c>
      <c r="AJ501" s="53">
        <v>80.343333333333334</v>
      </c>
      <c r="AK501" s="53" t="str">
        <f>_xlfn.XLOOKUP(Master[[#This Row],[cu_id]],'[1]Customer Revenue'!$Q:$Q,'[1]Customer Revenue'!$I:$I, "None")</f>
        <v>None</v>
      </c>
      <c r="AL501" s="53">
        <v>74.711666666666673</v>
      </c>
      <c r="AM501" s="61">
        <v>0.33333333333333331</v>
      </c>
      <c r="AN501" s="60">
        <v>0.66666666666666663</v>
      </c>
      <c r="AO501" s="60" t="s">
        <v>36</v>
      </c>
      <c r="AP501" s="60" t="s">
        <v>36</v>
      </c>
      <c r="AQ501" s="58" t="s">
        <v>0</v>
      </c>
      <c r="AR501" s="58"/>
      <c r="AS501" s="58"/>
      <c r="AT501" s="52">
        <v>0</v>
      </c>
      <c r="AU501" s="52" t="e">
        <f>IF(Master[[#This Row],[RSP StopTime override]] &lt;&gt; "",Master[[#This Row],[RSP StopTime override]],IF(Master[[#This Row],[Avg stop time helper]] &lt;&gt; 0, Master[[#This Row],[Avg stop time helper]],Average_Stop_Time))</f>
        <v>#DIV/0!</v>
      </c>
      <c r="AV501" s="21"/>
      <c r="AW501" s="20">
        <f>Master[[#This Row],[RSP StopTime override]]-Master[[#This Row],[Avg stop time helper]]</f>
        <v>0</v>
      </c>
    </row>
    <row r="502" spans="1:49" x14ac:dyDescent="0.3">
      <c r="A502" s="66" t="s">
        <v>4073</v>
      </c>
      <c r="B502" s="58">
        <v>47</v>
      </c>
      <c r="C502" s="58" t="s">
        <v>15</v>
      </c>
      <c r="D502" s="65">
        <v>533196</v>
      </c>
      <c r="E502" s="65" t="s">
        <v>686</v>
      </c>
      <c r="F502" s="65" t="s">
        <v>2546</v>
      </c>
      <c r="G502" s="65" t="s">
        <v>2545</v>
      </c>
      <c r="H502" s="65" t="s">
        <v>7</v>
      </c>
      <c r="I502" s="65" t="s">
        <v>2544</v>
      </c>
      <c r="J502" s="65" t="s">
        <v>5</v>
      </c>
      <c r="K502" s="65" t="s">
        <v>2543</v>
      </c>
      <c r="L502" s="64" t="s">
        <v>67</v>
      </c>
      <c r="M502" s="58" t="s">
        <v>3</v>
      </c>
      <c r="N502" s="58" t="s">
        <v>2</v>
      </c>
      <c r="O502" s="58">
        <v>72</v>
      </c>
      <c r="P502" s="58">
        <v>0</v>
      </c>
      <c r="Q502" s="58">
        <v>0</v>
      </c>
      <c r="R502" s="58">
        <v>0</v>
      </c>
      <c r="S502" s="58">
        <v>0</v>
      </c>
      <c r="T502" s="58">
        <v>42</v>
      </c>
      <c r="U502" s="58">
        <v>8</v>
      </c>
      <c r="V502" s="62"/>
      <c r="W502" s="62"/>
      <c r="X502" s="63">
        <f>IFERROR(1 -(Master[[#This Row],[Avg Garment Scans per Delivery]]/Master[[#This Row],[Garment Inventory]]), 0)</f>
        <v>0</v>
      </c>
      <c r="Y502" s="62"/>
      <c r="Z502" s="62"/>
      <c r="AA502" s="53">
        <v>80.107199999999992</v>
      </c>
      <c r="AB502" s="53">
        <v>135.98079999999999</v>
      </c>
      <c r="AC502" s="53">
        <v>63.276280991735547</v>
      </c>
      <c r="AD502" s="53">
        <v>83.910991735537209</v>
      </c>
      <c r="AE502" s="53" t="str">
        <f>_xlfn.XLOOKUP(Master[[#This Row],[cu_id]],'[1]Customer Revenue'!$Q:$Q,'[1]Customer Revenue'!$K:$K, "None")</f>
        <v>None</v>
      </c>
      <c r="AF502" s="53" t="str">
        <f>_xlfn.XLOOKUP(Master[[#This Row],[cu_id]],'[1]Customer Revenue'!$Q:$Q,'[1]Customer Revenue'!$L:$L, "None")</f>
        <v>None</v>
      </c>
      <c r="AG502" s="53">
        <v>44.228515624999986</v>
      </c>
      <c r="AH502" s="53">
        <v>137.958984375</v>
      </c>
      <c r="AI502" s="53">
        <v>108.04399999999998</v>
      </c>
      <c r="AJ502" s="53">
        <v>73.593636363636378</v>
      </c>
      <c r="AK502" s="53" t="str">
        <f>_xlfn.XLOOKUP(Master[[#This Row],[cu_id]],'[1]Customer Revenue'!$Q:$Q,'[1]Customer Revenue'!$I:$I, "None")</f>
        <v>None</v>
      </c>
      <c r="AL502" s="53">
        <v>91.093749999999986</v>
      </c>
      <c r="AM502" s="61">
        <v>0.41666666666666669</v>
      </c>
      <c r="AN502" s="60">
        <v>0.875</v>
      </c>
      <c r="AO502" s="60" t="s">
        <v>36</v>
      </c>
      <c r="AP502" s="60" t="s">
        <v>36</v>
      </c>
      <c r="AQ502" s="58" t="s">
        <v>0</v>
      </c>
      <c r="AR502" s="58"/>
      <c r="AS502" s="58"/>
      <c r="AT502" s="52">
        <v>0</v>
      </c>
      <c r="AU502" s="52" t="e">
        <f>IF(Master[[#This Row],[RSP StopTime override]] &lt;&gt; "",Master[[#This Row],[RSP StopTime override]],IF(Master[[#This Row],[Avg stop time helper]] &lt;&gt; 0, Master[[#This Row],[Avg stop time helper]],Average_Stop_Time))</f>
        <v>#DIV/0!</v>
      </c>
      <c r="AV502" s="21"/>
      <c r="AW502" s="20">
        <f>Master[[#This Row],[RSP StopTime override]]-Master[[#This Row],[Avg stop time helper]]</f>
        <v>0</v>
      </c>
    </row>
    <row r="503" spans="1:49" x14ac:dyDescent="0.3">
      <c r="A503" s="66" t="s">
        <v>4581</v>
      </c>
      <c r="B503" s="58">
        <v>47</v>
      </c>
      <c r="C503" s="58" t="s">
        <v>15</v>
      </c>
      <c r="D503" s="65">
        <v>533200</v>
      </c>
      <c r="E503" s="65" t="s">
        <v>42</v>
      </c>
      <c r="F503" s="65" t="s">
        <v>2542</v>
      </c>
      <c r="G503" s="65" t="s">
        <v>2541</v>
      </c>
      <c r="H503" s="65" t="s">
        <v>7</v>
      </c>
      <c r="I503" s="65" t="s">
        <v>26</v>
      </c>
      <c r="J503" s="65" t="s">
        <v>5</v>
      </c>
      <c r="K503" s="65" t="s">
        <v>25</v>
      </c>
      <c r="L503" s="64" t="s">
        <v>67</v>
      </c>
      <c r="M503" s="58" t="s">
        <v>3</v>
      </c>
      <c r="N503" s="58" t="s">
        <v>2</v>
      </c>
      <c r="O503" s="58">
        <v>80</v>
      </c>
      <c r="P503" s="58">
        <v>0</v>
      </c>
      <c r="Q503" s="58">
        <v>0</v>
      </c>
      <c r="R503" s="58">
        <v>0</v>
      </c>
      <c r="S503" s="58">
        <v>0</v>
      </c>
      <c r="T503" s="58">
        <v>80</v>
      </c>
      <c r="U503" s="58">
        <v>49</v>
      </c>
      <c r="V503" s="62"/>
      <c r="W503" s="62"/>
      <c r="X503" s="63">
        <f>IFERROR(1 -(Master[[#This Row],[Avg Garment Scans per Delivery]]/Master[[#This Row],[Garment Inventory]]), 0)</f>
        <v>0</v>
      </c>
      <c r="Y503" s="62"/>
      <c r="Z503" s="62"/>
      <c r="AA503" s="53">
        <v>34.011805555555554</v>
      </c>
      <c r="AB503" s="53">
        <v>48.519861111111112</v>
      </c>
      <c r="AC503" s="53">
        <v>26.619234693877548</v>
      </c>
      <c r="AD503" s="53">
        <v>43.885765306122451</v>
      </c>
      <c r="AE503" s="53" t="str">
        <f>_xlfn.XLOOKUP(Master[[#This Row],[cu_id]],'[1]Customer Revenue'!$Q:$Q,'[1]Customer Revenue'!$K:$K, "None")</f>
        <v>None</v>
      </c>
      <c r="AF503" s="53" t="str">
        <f>_xlfn.XLOOKUP(Master[[#This Row],[cu_id]],'[1]Customer Revenue'!$Q:$Q,'[1]Customer Revenue'!$L:$L, "None")</f>
        <v>None</v>
      </c>
      <c r="AG503" s="53">
        <v>33.211770434782601</v>
      </c>
      <c r="AH503" s="53">
        <v>45.30649043478261</v>
      </c>
      <c r="AI503" s="53">
        <v>41.265833333333333</v>
      </c>
      <c r="AJ503" s="53">
        <v>35.252499999999998</v>
      </c>
      <c r="AK503" s="53" t="str">
        <f>_xlfn.XLOOKUP(Master[[#This Row],[cu_id]],'[1]Customer Revenue'!$Q:$Q,'[1]Customer Revenue'!$I:$I, "None")</f>
        <v>None</v>
      </c>
      <c r="AL503" s="53">
        <v>39.259130434782605</v>
      </c>
      <c r="AM503" s="61">
        <v>0.33333333333333331</v>
      </c>
      <c r="AN503" s="60">
        <v>0.70833333333333337</v>
      </c>
      <c r="AO503" s="60" t="s">
        <v>36</v>
      </c>
      <c r="AP503" s="60" t="s">
        <v>36</v>
      </c>
      <c r="AQ503" s="58" t="s">
        <v>0</v>
      </c>
      <c r="AR503" s="58"/>
      <c r="AS503" s="58"/>
      <c r="AT503" s="52">
        <v>0</v>
      </c>
      <c r="AU503" s="52">
        <f>IF(Master[[#This Row],[RSP StopTime override]] &lt;&gt; "",Master[[#This Row],[RSP StopTime override]],IF(Master[[#This Row],[Avg stop time helper]] &lt;&gt; 0, Master[[#This Row],[Avg stop time helper]],Average_Stop_Time))</f>
        <v>5</v>
      </c>
      <c r="AV503" s="21">
        <v>5</v>
      </c>
      <c r="AW503" s="20">
        <f>Master[[#This Row],[RSP StopTime override]]-Master[[#This Row],[Avg stop time helper]]</f>
        <v>5</v>
      </c>
    </row>
    <row r="504" spans="1:49" x14ac:dyDescent="0.3">
      <c r="A504" s="73" t="s">
        <v>4582</v>
      </c>
      <c r="B504" s="64">
        <v>47</v>
      </c>
      <c r="C504" s="64" t="s">
        <v>15</v>
      </c>
      <c r="D504" s="65">
        <v>533611</v>
      </c>
      <c r="E504" s="65" t="s">
        <v>42</v>
      </c>
      <c r="F504" s="65" t="s">
        <v>2540</v>
      </c>
      <c r="G504" s="65" t="s">
        <v>2539</v>
      </c>
      <c r="H504" s="65" t="s">
        <v>7</v>
      </c>
      <c r="I504" s="65" t="s">
        <v>26</v>
      </c>
      <c r="J504" s="65" t="s">
        <v>5</v>
      </c>
      <c r="K504" s="65" t="s">
        <v>25</v>
      </c>
      <c r="L504" s="64" t="s">
        <v>67</v>
      </c>
      <c r="M504" s="65" t="s">
        <v>3</v>
      </c>
      <c r="N504" s="65" t="s">
        <v>2</v>
      </c>
      <c r="O504" s="65">
        <v>100</v>
      </c>
      <c r="P504" s="65">
        <v>0</v>
      </c>
      <c r="Q504" s="65">
        <v>0</v>
      </c>
      <c r="R504" s="65">
        <v>0</v>
      </c>
      <c r="S504" s="65">
        <v>0</v>
      </c>
      <c r="T504" s="65">
        <v>100</v>
      </c>
      <c r="U504" s="65">
        <v>7</v>
      </c>
      <c r="V504" s="65"/>
      <c r="W504" s="65"/>
      <c r="X504" s="72">
        <f>IFERROR(1 -(Master[[#This Row],[Avg Garment Scans per Delivery]]/Master[[#This Row],[Garment Inventory]]), 0)</f>
        <v>0</v>
      </c>
      <c r="Y504" s="65"/>
      <c r="Z504" s="65"/>
      <c r="AA504" s="53">
        <v>60</v>
      </c>
      <c r="AB504" s="53">
        <v>84</v>
      </c>
      <c r="AC504" s="53">
        <v>60</v>
      </c>
      <c r="AD504" s="53">
        <v>84</v>
      </c>
      <c r="AE504" s="53" t="str">
        <f>_xlfn.XLOOKUP(Master[[#This Row],[cu_id]],'[1]Customer Revenue'!$Q:$Q,'[1]Customer Revenue'!$K:$K, "None")</f>
        <v>None</v>
      </c>
      <c r="AF504" s="53" t="str">
        <f>_xlfn.XLOOKUP(Master[[#This Row],[cu_id]],'[1]Customer Revenue'!$Q:$Q,'[1]Customer Revenue'!$L:$L, "None")</f>
        <v>None</v>
      </c>
      <c r="AG504" s="53">
        <v>60</v>
      </c>
      <c r="AH504" s="53">
        <v>84</v>
      </c>
      <c r="AI504" s="53">
        <v>70</v>
      </c>
      <c r="AJ504" s="53">
        <v>70</v>
      </c>
      <c r="AK504" s="53" t="str">
        <f>_xlfn.XLOOKUP(Master[[#This Row],[cu_id]],'[1]Customer Revenue'!$Q:$Q,'[1]Customer Revenue'!$I:$I, "None")</f>
        <v>None</v>
      </c>
      <c r="AL504" s="53">
        <v>70</v>
      </c>
      <c r="AM504" s="71" t="s">
        <v>1</v>
      </c>
      <c r="AN504" s="71" t="s">
        <v>1</v>
      </c>
      <c r="AO504" s="71" t="s">
        <v>36</v>
      </c>
      <c r="AP504" s="71" t="s">
        <v>36</v>
      </c>
      <c r="AQ504" s="64" t="s">
        <v>0</v>
      </c>
      <c r="AR504" s="64"/>
      <c r="AS504" s="65"/>
      <c r="AT504" s="52">
        <v>0</v>
      </c>
      <c r="AU504" s="52" t="e">
        <f>IF(Master[[#This Row],[RSP StopTime override]] &lt;&gt; "",Master[[#This Row],[RSP StopTime override]],IF(Master[[#This Row],[Avg stop time helper]] &lt;&gt; 0, Master[[#This Row],[Avg stop time helper]],Average_Stop_Time))</f>
        <v>#DIV/0!</v>
      </c>
      <c r="AV504" s="21"/>
      <c r="AW504" s="20">
        <f>Master[[#This Row],[RSP StopTime override]]-Master[[#This Row],[Avg stop time helper]]</f>
        <v>0</v>
      </c>
    </row>
    <row r="505" spans="1:49" x14ac:dyDescent="0.3">
      <c r="A505" s="66" t="s">
        <v>4583</v>
      </c>
      <c r="B505" s="58">
        <v>47</v>
      </c>
      <c r="C505" s="58" t="s">
        <v>15</v>
      </c>
      <c r="D505" s="65">
        <v>804792</v>
      </c>
      <c r="E505" s="65" t="s">
        <v>42</v>
      </c>
      <c r="F505" s="65" t="s">
        <v>2538</v>
      </c>
      <c r="G505" s="65" t="s">
        <v>2537</v>
      </c>
      <c r="H505" s="65" t="s">
        <v>7</v>
      </c>
      <c r="I505" s="65" t="s">
        <v>26</v>
      </c>
      <c r="J505" s="65" t="s">
        <v>5</v>
      </c>
      <c r="K505" s="65" t="s">
        <v>25</v>
      </c>
      <c r="L505" s="64" t="s">
        <v>67</v>
      </c>
      <c r="M505" s="58" t="s">
        <v>3</v>
      </c>
      <c r="N505" s="58" t="s">
        <v>2</v>
      </c>
      <c r="O505" s="58">
        <v>105</v>
      </c>
      <c r="P505" s="58">
        <v>0</v>
      </c>
      <c r="Q505" s="58">
        <v>0</v>
      </c>
      <c r="R505" s="58">
        <v>0</v>
      </c>
      <c r="S505" s="58">
        <v>0</v>
      </c>
      <c r="T505" s="58">
        <v>110</v>
      </c>
      <c r="U505" s="58">
        <v>38</v>
      </c>
      <c r="V505" s="62"/>
      <c r="W505" s="62"/>
      <c r="X505" s="63">
        <f>IFERROR(1 -(Master[[#This Row],[Avg Garment Scans per Delivery]]/Master[[#This Row],[Garment Inventory]]), 0)</f>
        <v>0</v>
      </c>
      <c r="Y505" s="62"/>
      <c r="Z505" s="62"/>
      <c r="AA505" s="53">
        <v>23.593333333333337</v>
      </c>
      <c r="AB505" s="53">
        <v>26.576666666666672</v>
      </c>
      <c r="AC505" s="53">
        <v>32.714556213017758</v>
      </c>
      <c r="AD505" s="53">
        <v>42.6115976331361</v>
      </c>
      <c r="AE505" s="53" t="str">
        <f>_xlfn.XLOOKUP(Master[[#This Row],[cu_id]],'[1]Customer Revenue'!$Q:$Q,'[1]Customer Revenue'!$K:$K, "None")</f>
        <v>None</v>
      </c>
      <c r="AF505" s="53" t="str">
        <f>_xlfn.XLOOKUP(Master[[#This Row],[cu_id]],'[1]Customer Revenue'!$Q:$Q,'[1]Customer Revenue'!$L:$L, "None")</f>
        <v>None</v>
      </c>
      <c r="AG505" s="53">
        <v>23.829136000000002</v>
      </c>
      <c r="AH505" s="53">
        <v>25.410064000000009</v>
      </c>
      <c r="AI505" s="53">
        <v>25.085000000000004</v>
      </c>
      <c r="AJ505" s="53">
        <v>37.663076923076929</v>
      </c>
      <c r="AK505" s="53" t="str">
        <f>_xlfn.XLOOKUP(Master[[#This Row],[cu_id]],'[1]Customer Revenue'!$Q:$Q,'[1]Customer Revenue'!$I:$I, "None")</f>
        <v>None</v>
      </c>
      <c r="AL505" s="53">
        <v>24.619600000000005</v>
      </c>
      <c r="AM505" s="61">
        <v>0.4375</v>
      </c>
      <c r="AN505" s="60">
        <v>0.875</v>
      </c>
      <c r="AO505" s="60" t="s">
        <v>36</v>
      </c>
      <c r="AP505" s="60" t="s">
        <v>36</v>
      </c>
      <c r="AQ505" s="58" t="s">
        <v>0</v>
      </c>
      <c r="AR505" s="58"/>
      <c r="AS505" s="58"/>
      <c r="AT505" s="52">
        <v>0</v>
      </c>
      <c r="AU505" s="52" t="e">
        <f>IF(Master[[#This Row],[RSP StopTime override]] &lt;&gt; "",Master[[#This Row],[RSP StopTime override]],IF(Master[[#This Row],[Avg stop time helper]] &lt;&gt; 0, Master[[#This Row],[Avg stop time helper]],Average_Stop_Time))</f>
        <v>#DIV/0!</v>
      </c>
      <c r="AV505" s="21"/>
      <c r="AW505" s="20">
        <f>Master[[#This Row],[RSP StopTime override]]-Master[[#This Row],[Avg stop time helper]]</f>
        <v>0</v>
      </c>
    </row>
    <row r="506" spans="1:49" x14ac:dyDescent="0.3">
      <c r="A506" s="95" t="s">
        <v>4075</v>
      </c>
      <c r="B506" s="96">
        <v>12</v>
      </c>
      <c r="C506" s="96" t="s">
        <v>15</v>
      </c>
      <c r="D506" s="97">
        <v>524081</v>
      </c>
      <c r="E506" s="97" t="s">
        <v>42</v>
      </c>
      <c r="F506" s="97" t="s">
        <v>56</v>
      </c>
      <c r="G506" s="65" t="s">
        <v>55</v>
      </c>
      <c r="H506" s="65" t="s">
        <v>32</v>
      </c>
      <c r="I506" s="65" t="s">
        <v>54</v>
      </c>
      <c r="J506" s="65" t="s">
        <v>5</v>
      </c>
      <c r="K506" s="65" t="s">
        <v>53</v>
      </c>
      <c r="L506" s="64" t="s">
        <v>37</v>
      </c>
      <c r="M506" s="58" t="s">
        <v>3</v>
      </c>
      <c r="N506" s="58" t="s">
        <v>2</v>
      </c>
      <c r="O506" s="58">
        <v>23</v>
      </c>
      <c r="P506" s="58">
        <v>23</v>
      </c>
      <c r="Q506" s="58">
        <v>0</v>
      </c>
      <c r="R506" s="58">
        <v>23</v>
      </c>
      <c r="S506" s="58">
        <v>0</v>
      </c>
      <c r="T506" s="58">
        <v>20</v>
      </c>
      <c r="U506" s="58">
        <v>231</v>
      </c>
      <c r="V506" s="62"/>
      <c r="W506" s="62"/>
      <c r="X506" s="63">
        <v>0</v>
      </c>
      <c r="Y506" s="62"/>
      <c r="Z506" s="62"/>
      <c r="AA506" s="53"/>
      <c r="AB506" s="53"/>
      <c r="AC506" s="53"/>
      <c r="AD506" s="53"/>
      <c r="AE506" s="53"/>
      <c r="AF506" s="53"/>
      <c r="AG506" s="53"/>
      <c r="AH506" s="53"/>
      <c r="AI506" s="53"/>
      <c r="AJ506" s="53">
        <v>1190.7046153846154</v>
      </c>
      <c r="AK506" s="53">
        <v>1127</v>
      </c>
      <c r="AL506" s="53">
        <v>478.145625</v>
      </c>
      <c r="AM506" s="61">
        <v>0.29166666666666669</v>
      </c>
      <c r="AN506" s="60">
        <v>0.70833333333333337</v>
      </c>
      <c r="AO506" s="60" t="s">
        <v>36</v>
      </c>
      <c r="AP506" s="60" t="s">
        <v>36</v>
      </c>
      <c r="AQ506" s="99" t="s">
        <v>0</v>
      </c>
      <c r="AR506" s="99"/>
      <c r="AS506" s="99"/>
      <c r="AT506" s="52">
        <v>0</v>
      </c>
      <c r="AU506" s="100"/>
      <c r="AV506" s="21">
        <v>0</v>
      </c>
    </row>
    <row r="507" spans="1:49" x14ac:dyDescent="0.3">
      <c r="A507" s="66" t="s">
        <v>4584</v>
      </c>
      <c r="B507" s="58">
        <v>50</v>
      </c>
      <c r="C507" s="58" t="s">
        <v>24</v>
      </c>
      <c r="D507" s="65">
        <v>529098</v>
      </c>
      <c r="E507" s="65" t="s">
        <v>42</v>
      </c>
      <c r="F507" s="65" t="s">
        <v>2535</v>
      </c>
      <c r="G507" s="65" t="s">
        <v>2534</v>
      </c>
      <c r="H507" s="65" t="s">
        <v>32</v>
      </c>
      <c r="I507" s="65" t="s">
        <v>1248</v>
      </c>
      <c r="J507" s="65" t="s">
        <v>5</v>
      </c>
      <c r="K507" s="65" t="s">
        <v>164</v>
      </c>
      <c r="L507" s="64">
        <v>5</v>
      </c>
      <c r="M507" s="58" t="s">
        <v>29</v>
      </c>
      <c r="N507" s="58" t="s">
        <v>2</v>
      </c>
      <c r="O507" s="58">
        <v>58</v>
      </c>
      <c r="P507" s="58">
        <v>58</v>
      </c>
      <c r="Q507" s="58">
        <v>0</v>
      </c>
      <c r="R507" s="58">
        <v>0</v>
      </c>
      <c r="S507" s="58">
        <v>0</v>
      </c>
      <c r="T507" s="58">
        <v>0</v>
      </c>
      <c r="U507" s="58">
        <v>27</v>
      </c>
      <c r="V507" s="62"/>
      <c r="W507" s="62"/>
      <c r="X507" s="63">
        <f>IFERROR(1 -(Master[[#This Row],[Avg Garment Scans per Delivery]]/Master[[#This Row],[Garment Inventory]]), 0)</f>
        <v>0</v>
      </c>
      <c r="Y507" s="62"/>
      <c r="Z507" s="62"/>
      <c r="AA507" s="53">
        <v>110.85693877551022</v>
      </c>
      <c r="AB507" s="53">
        <v>111.59163265306124</v>
      </c>
      <c r="AC507" s="53">
        <v>80.276734693877529</v>
      </c>
      <c r="AD507" s="53">
        <v>191.00326530612244</v>
      </c>
      <c r="AE507" s="53" t="str">
        <f>_xlfn.XLOOKUP(Master[[#This Row],[cu_id]],'[1]Customer Revenue'!$Q:$Q,'[1]Customer Revenue'!$K:$K, "None")</f>
        <v>None</v>
      </c>
      <c r="AF507" s="53" t="str">
        <f>_xlfn.XLOOKUP(Master[[#This Row],[cu_id]],'[1]Customer Revenue'!$Q:$Q,'[1]Customer Revenue'!$L:$L, "None")</f>
        <v>None</v>
      </c>
      <c r="AG507" s="53">
        <v>110.91236686390533</v>
      </c>
      <c r="AH507" s="53">
        <v>111.3384023668639</v>
      </c>
      <c r="AI507" s="53">
        <v>111.22428571428573</v>
      </c>
      <c r="AJ507" s="53">
        <v>135.63999999999999</v>
      </c>
      <c r="AK507" s="53" t="str">
        <f>_xlfn.XLOOKUP(Master[[#This Row],[cu_id]],'[1]Customer Revenue'!$Q:$Q,'[1]Customer Revenue'!$I:$I, "None")</f>
        <v>None</v>
      </c>
      <c r="AL507" s="53">
        <v>111.12538461538462</v>
      </c>
      <c r="AM507" s="61">
        <v>0.39583333333333331</v>
      </c>
      <c r="AN507" s="60">
        <v>0.625</v>
      </c>
      <c r="AO507" s="60" t="s">
        <v>36</v>
      </c>
      <c r="AP507" s="60" t="s">
        <v>36</v>
      </c>
      <c r="AQ507" s="58" t="s">
        <v>0</v>
      </c>
      <c r="AR507" s="58"/>
      <c r="AS507" s="58"/>
      <c r="AT507" s="52">
        <v>0</v>
      </c>
      <c r="AU507" s="52">
        <f>IF(Master[[#This Row],[RSP StopTime override]] &lt;&gt; "",Master[[#This Row],[RSP StopTime override]],IF(Master[[#This Row],[Avg stop time helper]] &lt;&gt; 0, Master[[#This Row],[Avg stop time helper]],Average_Stop_Time))</f>
        <v>7</v>
      </c>
      <c r="AV507" s="21">
        <v>7</v>
      </c>
      <c r="AW507" s="20">
        <f>Master[[#This Row],[RSP StopTime override]]-Master[[#This Row],[Avg stop time helper]]</f>
        <v>7</v>
      </c>
    </row>
    <row r="508" spans="1:49" x14ac:dyDescent="0.3">
      <c r="A508" s="66" t="s">
        <v>4585</v>
      </c>
      <c r="B508" s="58">
        <v>50</v>
      </c>
      <c r="C508" s="58" t="s">
        <v>24</v>
      </c>
      <c r="D508" s="65">
        <v>802700</v>
      </c>
      <c r="E508" s="65" t="s">
        <v>42</v>
      </c>
      <c r="F508" s="65" t="s">
        <v>2533</v>
      </c>
      <c r="G508" s="65" t="s">
        <v>2532</v>
      </c>
      <c r="H508" s="65" t="s">
        <v>7</v>
      </c>
      <c r="I508" s="65" t="s">
        <v>6</v>
      </c>
      <c r="J508" s="65" t="s">
        <v>5</v>
      </c>
      <c r="K508" s="65" t="s">
        <v>146</v>
      </c>
      <c r="L508" s="64" t="s">
        <v>77</v>
      </c>
      <c r="M508" s="58" t="s">
        <v>29</v>
      </c>
      <c r="N508" s="58" t="s">
        <v>2</v>
      </c>
      <c r="O508" s="58">
        <v>136</v>
      </c>
      <c r="P508" s="58">
        <v>136</v>
      </c>
      <c r="Q508" s="58">
        <v>0</v>
      </c>
      <c r="R508" s="58">
        <v>0</v>
      </c>
      <c r="S508" s="58">
        <v>0</v>
      </c>
      <c r="T508" s="58">
        <v>0</v>
      </c>
      <c r="U508" s="58">
        <v>16</v>
      </c>
      <c r="V508" s="62"/>
      <c r="W508" s="62"/>
      <c r="X508" s="63">
        <f>IFERROR(1 -(Master[[#This Row],[Avg Garment Scans per Delivery]]/Master[[#This Row],[Garment Inventory]]), 0)</f>
        <v>0</v>
      </c>
      <c r="Y508" s="62"/>
      <c r="Z508" s="62"/>
      <c r="AA508" s="53">
        <v>25.746938775510205</v>
      </c>
      <c r="AB508" s="53">
        <v>26.481632653061229</v>
      </c>
      <c r="AC508" s="53">
        <v>19.458775510204081</v>
      </c>
      <c r="AD508" s="53">
        <v>23.066938775510206</v>
      </c>
      <c r="AE508" s="53" t="str">
        <f>_xlfn.XLOOKUP(Master[[#This Row],[cu_id]],'[1]Customer Revenue'!$Q:$Q,'[1]Customer Revenue'!$K:$K, "None")</f>
        <v>None</v>
      </c>
      <c r="AF508" s="53" t="str">
        <f>_xlfn.XLOOKUP(Master[[#This Row],[cu_id]],'[1]Customer Revenue'!$Q:$Q,'[1]Customer Revenue'!$L:$L, "None")</f>
        <v>None</v>
      </c>
      <c r="AG508" s="53">
        <v>24.847222222222218</v>
      </c>
      <c r="AH508" s="53">
        <v>26.386111111111109</v>
      </c>
      <c r="AI508" s="53">
        <v>26.114285714285717</v>
      </c>
      <c r="AJ508" s="53">
        <v>21.262857142857143</v>
      </c>
      <c r="AK508" s="53" t="str">
        <f>_xlfn.XLOOKUP(Master[[#This Row],[cu_id]],'[1]Customer Revenue'!$Q:$Q,'[1]Customer Revenue'!$I:$I, "None")</f>
        <v>None</v>
      </c>
      <c r="AL508" s="53">
        <v>25.616666666666664</v>
      </c>
      <c r="AM508" s="61">
        <v>0.375</v>
      </c>
      <c r="AN508" s="60">
        <v>0.91666666666666663</v>
      </c>
      <c r="AO508" s="60" t="s">
        <v>36</v>
      </c>
      <c r="AP508" s="60" t="s">
        <v>36</v>
      </c>
      <c r="AQ508" s="58" t="s">
        <v>0</v>
      </c>
      <c r="AR508" s="58"/>
      <c r="AS508" s="58"/>
      <c r="AT508" s="52">
        <v>0</v>
      </c>
      <c r="AU508" s="52">
        <f>IF(Master[[#This Row],[RSP StopTime override]] &lt;&gt; "",Master[[#This Row],[RSP StopTime override]],IF(Master[[#This Row],[Avg stop time helper]] &lt;&gt; 0, Master[[#This Row],[Avg stop time helper]],Average_Stop_Time))</f>
        <v>3</v>
      </c>
      <c r="AV508" s="21">
        <v>3</v>
      </c>
      <c r="AW508" s="20">
        <f>Master[[#This Row],[RSP StopTime override]]-Master[[#This Row],[Avg stop time helper]]</f>
        <v>3</v>
      </c>
    </row>
    <row r="509" spans="1:49" x14ac:dyDescent="0.3">
      <c r="A509" s="66" t="s">
        <v>4586</v>
      </c>
      <c r="B509" s="58">
        <v>50</v>
      </c>
      <c r="C509" s="58" t="s">
        <v>24</v>
      </c>
      <c r="D509" s="65">
        <v>803610</v>
      </c>
      <c r="E509" s="65" t="s">
        <v>42</v>
      </c>
      <c r="F509" s="65" t="s">
        <v>2531</v>
      </c>
      <c r="G509" s="65" t="s">
        <v>2530</v>
      </c>
      <c r="H509" s="65" t="s">
        <v>7</v>
      </c>
      <c r="I509" s="65" t="s">
        <v>6</v>
      </c>
      <c r="J509" s="65" t="s">
        <v>5</v>
      </c>
      <c r="K509" s="65" t="s">
        <v>146</v>
      </c>
      <c r="L509" s="64" t="s">
        <v>67</v>
      </c>
      <c r="M509" s="58" t="s">
        <v>3</v>
      </c>
      <c r="N509" s="58" t="s">
        <v>2</v>
      </c>
      <c r="O509" s="58">
        <v>155</v>
      </c>
      <c r="P509" s="58">
        <v>155</v>
      </c>
      <c r="Q509" s="58">
        <v>0</v>
      </c>
      <c r="R509" s="58">
        <v>0</v>
      </c>
      <c r="S509" s="58">
        <v>0</v>
      </c>
      <c r="T509" s="58">
        <v>0</v>
      </c>
      <c r="U509" s="58">
        <v>38</v>
      </c>
      <c r="V509" s="62">
        <v>0</v>
      </c>
      <c r="W509" s="62"/>
      <c r="X509" s="63">
        <f>IFERROR(1 -(Master[[#This Row],[Avg Garment Scans per Delivery]]/Master[[#This Row],[Garment Inventory]]), 0)</f>
        <v>0</v>
      </c>
      <c r="Y509" s="62">
        <v>1</v>
      </c>
      <c r="Z509" s="62">
        <v>2</v>
      </c>
      <c r="AA509" s="53">
        <v>20</v>
      </c>
      <c r="AB509" s="53">
        <v>20</v>
      </c>
      <c r="AC509" s="53">
        <v>20</v>
      </c>
      <c r="AD509" s="53">
        <v>20</v>
      </c>
      <c r="AE509" s="53" t="str">
        <f>_xlfn.XLOOKUP(Master[[#This Row],[cu_id]],'[1]Customer Revenue'!$Q:$Q,'[1]Customer Revenue'!$K:$K, "None")</f>
        <v>None</v>
      </c>
      <c r="AF509" s="53" t="str">
        <f>_xlfn.XLOOKUP(Master[[#This Row],[cu_id]],'[1]Customer Revenue'!$Q:$Q,'[1]Customer Revenue'!$L:$L, "None")</f>
        <v>None</v>
      </c>
      <c r="AG509" s="53">
        <v>20</v>
      </c>
      <c r="AH509" s="53">
        <v>20</v>
      </c>
      <c r="AI509" s="53">
        <v>20</v>
      </c>
      <c r="AJ509" s="53">
        <v>20</v>
      </c>
      <c r="AK509" s="53" t="str">
        <f>_xlfn.XLOOKUP(Master[[#This Row],[cu_id]],'[1]Customer Revenue'!$Q:$Q,'[1]Customer Revenue'!$I:$I, "None")</f>
        <v>None</v>
      </c>
      <c r="AL509" s="53">
        <v>20</v>
      </c>
      <c r="AM509" s="61">
        <v>0.375</v>
      </c>
      <c r="AN509" s="60">
        <v>0.5</v>
      </c>
      <c r="AO509" s="60" t="s">
        <v>36</v>
      </c>
      <c r="AP509" s="60" t="s">
        <v>36</v>
      </c>
      <c r="AQ509" s="58" t="s">
        <v>0</v>
      </c>
      <c r="AR509" s="58"/>
      <c r="AS509" s="58"/>
      <c r="AT509" s="52">
        <v>0</v>
      </c>
      <c r="AU509" s="52">
        <f>IF(Master[[#This Row],[RSP StopTime override]] &lt;&gt; "",Master[[#This Row],[RSP StopTime override]],IF(Master[[#This Row],[Avg stop time helper]] &lt;&gt; 0, Master[[#This Row],[Avg stop time helper]],Average_Stop_Time))</f>
        <v>4</v>
      </c>
      <c r="AV509" s="21">
        <v>4</v>
      </c>
      <c r="AW509" s="20">
        <f>Master[[#This Row],[RSP StopTime override]]-Master[[#This Row],[Avg stop time helper]]</f>
        <v>4</v>
      </c>
    </row>
    <row r="510" spans="1:49" x14ac:dyDescent="0.3">
      <c r="A510" s="66" t="s">
        <v>4587</v>
      </c>
      <c r="B510" s="58">
        <v>50</v>
      </c>
      <c r="C510" s="58" t="s">
        <v>24</v>
      </c>
      <c r="D510" s="65">
        <v>804156</v>
      </c>
      <c r="E510" s="65" t="s">
        <v>42</v>
      </c>
      <c r="F510" s="65" t="s">
        <v>668</v>
      </c>
      <c r="G510" s="65" t="s">
        <v>2529</v>
      </c>
      <c r="H510" s="65" t="s">
        <v>7</v>
      </c>
      <c r="I510" s="65" t="s">
        <v>1116</v>
      </c>
      <c r="J510" s="65" t="s">
        <v>5</v>
      </c>
      <c r="K510" s="65" t="s">
        <v>1115</v>
      </c>
      <c r="L510" s="64" t="s">
        <v>206</v>
      </c>
      <c r="M510" s="58" t="s">
        <v>205</v>
      </c>
      <c r="N510" s="58" t="s">
        <v>2</v>
      </c>
      <c r="O510" s="58">
        <v>85</v>
      </c>
      <c r="P510" s="58">
        <v>85</v>
      </c>
      <c r="Q510" s="58">
        <v>0</v>
      </c>
      <c r="R510" s="58">
        <v>0</v>
      </c>
      <c r="S510" s="58">
        <v>0</v>
      </c>
      <c r="T510" s="58">
        <v>0</v>
      </c>
      <c r="U510" s="58">
        <v>14</v>
      </c>
      <c r="V510" s="62"/>
      <c r="W510" s="62"/>
      <c r="X510" s="63">
        <f>IFERROR(1 -(Master[[#This Row],[Avg Garment Scans per Delivery]]/Master[[#This Row],[Garment Inventory]]), 0)</f>
        <v>0</v>
      </c>
      <c r="Y510" s="62"/>
      <c r="Z510" s="62"/>
      <c r="AA510" s="53">
        <v>23.533333333333331</v>
      </c>
      <c r="AB510" s="53">
        <v>61.186666666666667</v>
      </c>
      <c r="AC510" s="53">
        <v>10</v>
      </c>
      <c r="AD510" s="53">
        <v>43.86</v>
      </c>
      <c r="AE510" s="53" t="str">
        <f>_xlfn.XLOOKUP(Master[[#This Row],[cu_id]],'[1]Customer Revenue'!$Q:$Q,'[1]Customer Revenue'!$K:$K, "None")</f>
        <v>None</v>
      </c>
      <c r="AF510" s="53" t="str">
        <f>_xlfn.XLOOKUP(Master[[#This Row],[cu_id]],'[1]Customer Revenue'!$Q:$Q,'[1]Customer Revenue'!$L:$L, "None")</f>
        <v>None</v>
      </c>
      <c r="AG510" s="53">
        <v>20.395357142857144</v>
      </c>
      <c r="AH510" s="53">
        <v>58.010357142857153</v>
      </c>
      <c r="AI510" s="53">
        <v>42.36</v>
      </c>
      <c r="AJ510" s="53">
        <v>26.93</v>
      </c>
      <c r="AK510" s="53" t="str">
        <f>_xlfn.XLOOKUP(Master[[#This Row],[cu_id]],'[1]Customer Revenue'!$Q:$Q,'[1]Customer Revenue'!$I:$I, "None")</f>
        <v>None</v>
      </c>
      <c r="AL510" s="53">
        <v>39.202857142857148</v>
      </c>
      <c r="AM510" s="61">
        <v>0.375</v>
      </c>
      <c r="AN510" s="60">
        <v>0.66666666666666663</v>
      </c>
      <c r="AO510" s="60" t="s">
        <v>36</v>
      </c>
      <c r="AP510" s="60" t="s">
        <v>36</v>
      </c>
      <c r="AQ510" s="58" t="s">
        <v>0</v>
      </c>
      <c r="AR510" s="58"/>
      <c r="AS510" s="58"/>
      <c r="AT510" s="52">
        <v>0</v>
      </c>
      <c r="AU510" s="52">
        <f>IF(Master[[#This Row],[RSP StopTime override]] &lt;&gt; "",Master[[#This Row],[RSP StopTime override]],IF(Master[[#This Row],[Avg stop time helper]] &lt;&gt; 0, Master[[#This Row],[Avg stop time helper]],Average_Stop_Time))</f>
        <v>2</v>
      </c>
      <c r="AV510" s="21">
        <v>2</v>
      </c>
      <c r="AW510" s="20">
        <f>Master[[#This Row],[RSP StopTime override]]-Master[[#This Row],[Avg stop time helper]]</f>
        <v>2</v>
      </c>
    </row>
    <row r="511" spans="1:49" x14ac:dyDescent="0.3">
      <c r="A511" s="66" t="s">
        <v>4588</v>
      </c>
      <c r="B511" s="58">
        <v>50</v>
      </c>
      <c r="C511" s="58" t="s">
        <v>24</v>
      </c>
      <c r="D511" s="65">
        <v>804425</v>
      </c>
      <c r="E511" s="65" t="s">
        <v>42</v>
      </c>
      <c r="F511" s="65" t="s">
        <v>2528</v>
      </c>
      <c r="G511" s="65" t="s">
        <v>2527</v>
      </c>
      <c r="H511" s="65" t="s">
        <v>7</v>
      </c>
      <c r="I511" s="65" t="s">
        <v>126</v>
      </c>
      <c r="J511" s="65" t="s">
        <v>5</v>
      </c>
      <c r="K511" s="65" t="s">
        <v>164</v>
      </c>
      <c r="L511" s="64" t="s">
        <v>67</v>
      </c>
      <c r="M511" s="58" t="s">
        <v>3</v>
      </c>
      <c r="N511" s="58" t="s">
        <v>2</v>
      </c>
      <c r="O511" s="58">
        <v>45</v>
      </c>
      <c r="P511" s="58">
        <v>45</v>
      </c>
      <c r="Q511" s="58">
        <v>0</v>
      </c>
      <c r="R511" s="58">
        <v>0</v>
      </c>
      <c r="S511" s="58">
        <v>0</v>
      </c>
      <c r="T511" s="58">
        <v>0</v>
      </c>
      <c r="U511" s="58">
        <v>40</v>
      </c>
      <c r="V511" s="62"/>
      <c r="W511" s="62"/>
      <c r="X511" s="63">
        <f>IFERROR(1 -(Master[[#This Row],[Avg Garment Scans per Delivery]]/Master[[#This Row],[Garment Inventory]]), 0)</f>
        <v>0</v>
      </c>
      <c r="Y511" s="62"/>
      <c r="Z511" s="62"/>
      <c r="AA511" s="53">
        <v>16.863609467455625</v>
      </c>
      <c r="AB511" s="53">
        <v>17.928698224852077</v>
      </c>
      <c r="AC511" s="53">
        <v>18.367751479289943</v>
      </c>
      <c r="AD511" s="53">
        <v>19.679940828402373</v>
      </c>
      <c r="AE511" s="53" t="str">
        <f>_xlfn.XLOOKUP(Master[[#This Row],[cu_id]],'[1]Customer Revenue'!$Q:$Q,'[1]Customer Revenue'!$K:$K, "None")</f>
        <v>None</v>
      </c>
      <c r="AF511" s="53" t="str">
        <f>_xlfn.XLOOKUP(Master[[#This Row],[cu_id]],'[1]Customer Revenue'!$Q:$Q,'[1]Customer Revenue'!$L:$L, "None")</f>
        <v>None</v>
      </c>
      <c r="AG511" s="53">
        <v>16.916863905325446</v>
      </c>
      <c r="AH511" s="53">
        <v>17.529289940828416</v>
      </c>
      <c r="AI511" s="53">
        <v>17.396153846153851</v>
      </c>
      <c r="AJ511" s="53">
        <v>19.023846153846158</v>
      </c>
      <c r="AK511" s="53" t="str">
        <f>_xlfn.XLOOKUP(Master[[#This Row],[cu_id]],'[1]Customer Revenue'!$Q:$Q,'[1]Customer Revenue'!$I:$I, "None")</f>
        <v>None</v>
      </c>
      <c r="AL511" s="53">
        <v>17.223076923076931</v>
      </c>
      <c r="AM511" s="61">
        <v>0.375</v>
      </c>
      <c r="AN511" s="60">
        <v>0.625</v>
      </c>
      <c r="AO511" s="60" t="s">
        <v>36</v>
      </c>
      <c r="AP511" s="60" t="s">
        <v>36</v>
      </c>
      <c r="AQ511" s="58" t="s">
        <v>0</v>
      </c>
      <c r="AR511" s="58"/>
      <c r="AS511" s="58"/>
      <c r="AT511" s="52">
        <v>0</v>
      </c>
      <c r="AU511" s="52">
        <f>IF(Master[[#This Row],[RSP StopTime override]] &lt;&gt; "",Master[[#This Row],[RSP StopTime override]],IF(Master[[#This Row],[Avg stop time helper]] &lt;&gt; 0, Master[[#This Row],[Avg stop time helper]],Average_Stop_Time))</f>
        <v>4</v>
      </c>
      <c r="AV511" s="21">
        <v>4</v>
      </c>
      <c r="AW511" s="20">
        <f>Master[[#This Row],[RSP StopTime override]]-Master[[#This Row],[Avg stop time helper]]</f>
        <v>4</v>
      </c>
    </row>
    <row r="512" spans="1:49" x14ac:dyDescent="0.3">
      <c r="A512" s="66" t="s">
        <v>4589</v>
      </c>
      <c r="B512" s="58">
        <v>50</v>
      </c>
      <c r="C512" s="58" t="s">
        <v>24</v>
      </c>
      <c r="D512" s="65">
        <v>804431</v>
      </c>
      <c r="E512" s="65" t="s">
        <v>42</v>
      </c>
      <c r="F512" s="65" t="s">
        <v>2526</v>
      </c>
      <c r="G512" s="65" t="s">
        <v>2525</v>
      </c>
      <c r="H512" s="65" t="s">
        <v>7</v>
      </c>
      <c r="I512" s="65" t="s">
        <v>126</v>
      </c>
      <c r="J512" s="65" t="s">
        <v>5</v>
      </c>
      <c r="K512" s="65" t="s">
        <v>164</v>
      </c>
      <c r="L512" s="64" t="s">
        <v>67</v>
      </c>
      <c r="M512" s="58" t="s">
        <v>3</v>
      </c>
      <c r="N512" s="58" t="s">
        <v>2</v>
      </c>
      <c r="O512" s="58">
        <v>10</v>
      </c>
      <c r="P512" s="58">
        <v>10</v>
      </c>
      <c r="Q512" s="58">
        <v>0</v>
      </c>
      <c r="R512" s="58">
        <v>0</v>
      </c>
      <c r="S512" s="58">
        <v>0</v>
      </c>
      <c r="T512" s="58">
        <v>0</v>
      </c>
      <c r="U512" s="58">
        <v>41</v>
      </c>
      <c r="V512" s="62">
        <v>27</v>
      </c>
      <c r="W512" s="62">
        <v>2</v>
      </c>
      <c r="X512" s="63">
        <f>IFERROR(1 -(Master[[#This Row],[Avg Garment Scans per Delivery]]/Master[[#This Row],[Garment Inventory]]), 0)</f>
        <v>0.92592592592592593</v>
      </c>
      <c r="Y512" s="62">
        <v>1</v>
      </c>
      <c r="Z512" s="62">
        <v>23</v>
      </c>
      <c r="AA512" s="53">
        <v>76.226449704142013</v>
      </c>
      <c r="AB512" s="53">
        <v>85.498165680473377</v>
      </c>
      <c r="AC512" s="53">
        <v>77.052958579881647</v>
      </c>
      <c r="AD512" s="53">
        <v>89.474733727810644</v>
      </c>
      <c r="AE512" s="53" t="str">
        <f>_xlfn.XLOOKUP(Master[[#This Row],[cu_id]],'[1]Customer Revenue'!$Q:$Q,'[1]Customer Revenue'!$K:$K, "None")</f>
        <v>None</v>
      </c>
      <c r="AF512" s="53" t="str">
        <f>_xlfn.XLOOKUP(Master[[#This Row],[cu_id]],'[1]Customer Revenue'!$Q:$Q,'[1]Customer Revenue'!$L:$L, "None")</f>
        <v>None</v>
      </c>
      <c r="AG512" s="53">
        <v>74.813668639053247</v>
      </c>
      <c r="AH512" s="53">
        <v>84.422485207100578</v>
      </c>
      <c r="AI512" s="53">
        <v>80.862307692307695</v>
      </c>
      <c r="AJ512" s="53">
        <v>83.263846153846146</v>
      </c>
      <c r="AK512" s="53" t="str">
        <f>_xlfn.XLOOKUP(Master[[#This Row],[cu_id]],'[1]Customer Revenue'!$Q:$Q,'[1]Customer Revenue'!$I:$I, "None")</f>
        <v>None</v>
      </c>
      <c r="AL512" s="53">
        <v>79.618076923076913</v>
      </c>
      <c r="AM512" s="61">
        <v>0.29166666666666669</v>
      </c>
      <c r="AN512" s="60">
        <v>0.5</v>
      </c>
      <c r="AO512" s="60" t="s">
        <v>36</v>
      </c>
      <c r="AP512" s="60" t="s">
        <v>36</v>
      </c>
      <c r="AQ512" s="58" t="s">
        <v>0</v>
      </c>
      <c r="AR512" s="58"/>
      <c r="AS512" s="58"/>
      <c r="AT512" s="52">
        <v>0</v>
      </c>
      <c r="AU512" s="52">
        <f>IF(Master[[#This Row],[RSP StopTime override]] &lt;&gt; "",Master[[#This Row],[RSP StopTime override]],IF(Master[[#This Row],[Avg stop time helper]] &lt;&gt; 0, Master[[#This Row],[Avg stop time helper]],Average_Stop_Time))</f>
        <v>20</v>
      </c>
      <c r="AV512" s="21">
        <v>20</v>
      </c>
      <c r="AW512" s="20">
        <f>Master[[#This Row],[RSP StopTime override]]-Master[[#This Row],[Avg stop time helper]]</f>
        <v>20</v>
      </c>
    </row>
    <row r="513" spans="1:49" x14ac:dyDescent="0.3">
      <c r="A513" s="66" t="s">
        <v>4590</v>
      </c>
      <c r="B513" s="58">
        <v>50</v>
      </c>
      <c r="C513" s="58" t="s">
        <v>24</v>
      </c>
      <c r="D513" s="65">
        <v>804434</v>
      </c>
      <c r="E513" s="65" t="s">
        <v>42</v>
      </c>
      <c r="F513" s="65" t="s">
        <v>2524</v>
      </c>
      <c r="G513" s="65" t="s">
        <v>2523</v>
      </c>
      <c r="H513" s="65" t="s">
        <v>7</v>
      </c>
      <c r="I513" s="65" t="s">
        <v>126</v>
      </c>
      <c r="J513" s="65" t="s">
        <v>5</v>
      </c>
      <c r="K513" s="65" t="s">
        <v>164</v>
      </c>
      <c r="L513" s="64" t="s">
        <v>77</v>
      </c>
      <c r="M513" s="58" t="s">
        <v>29</v>
      </c>
      <c r="N513" s="58" t="s">
        <v>2</v>
      </c>
      <c r="O513" s="58">
        <v>40</v>
      </c>
      <c r="P513" s="58">
        <v>40</v>
      </c>
      <c r="Q513" s="58">
        <v>0</v>
      </c>
      <c r="R513" s="58">
        <v>0</v>
      </c>
      <c r="S513" s="58">
        <v>0</v>
      </c>
      <c r="T513" s="58">
        <v>0</v>
      </c>
      <c r="U513" s="58">
        <v>15</v>
      </c>
      <c r="V513" s="62"/>
      <c r="W513" s="62"/>
      <c r="X513" s="63">
        <f>IFERROR(1 -(Master[[#This Row],[Avg Garment Scans per Delivery]]/Master[[#This Row],[Garment Inventory]]), 0)</f>
        <v>0</v>
      </c>
      <c r="Y513" s="62"/>
      <c r="Z513" s="62"/>
      <c r="AA513" s="53">
        <v>17.716111111111111</v>
      </c>
      <c r="AB513" s="53">
        <v>31.343888888888891</v>
      </c>
      <c r="AC513" s="53">
        <v>8.9686160714285705</v>
      </c>
      <c r="AD513" s="53">
        <v>24.59424107142857</v>
      </c>
      <c r="AE513" s="53" t="str">
        <f>_xlfn.XLOOKUP(Master[[#This Row],[cu_id]],'[1]Customer Revenue'!$Q:$Q,'[1]Customer Revenue'!$K:$K, "None")</f>
        <v>None</v>
      </c>
      <c r="AF513" s="53" t="str">
        <f>_xlfn.XLOOKUP(Master[[#This Row],[cu_id]],'[1]Customer Revenue'!$Q:$Q,'[1]Customer Revenue'!$L:$L, "None")</f>
        <v>None</v>
      </c>
      <c r="AG513" s="53">
        <v>19.603977272727267</v>
      </c>
      <c r="AH513" s="53">
        <v>27.721477272727274</v>
      </c>
      <c r="AI513" s="53">
        <v>24.53</v>
      </c>
      <c r="AJ513" s="53">
        <v>16.78142857142857</v>
      </c>
      <c r="AK513" s="53" t="str">
        <f>_xlfn.XLOOKUP(Master[[#This Row],[cu_id]],'[1]Customer Revenue'!$Q:$Q,'[1]Customer Revenue'!$I:$I, "None")</f>
        <v>None</v>
      </c>
      <c r="AL513" s="53">
        <v>23.66272727272727</v>
      </c>
      <c r="AM513" s="61">
        <v>0.33333333333333331</v>
      </c>
      <c r="AN513" s="60">
        <v>0.625</v>
      </c>
      <c r="AO513" s="60" t="s">
        <v>36</v>
      </c>
      <c r="AP513" s="60" t="s">
        <v>36</v>
      </c>
      <c r="AQ513" s="58" t="s">
        <v>0</v>
      </c>
      <c r="AR513" s="58"/>
      <c r="AS513" s="58"/>
      <c r="AT513" s="52">
        <v>0</v>
      </c>
      <c r="AU513" s="52">
        <f>IF(Master[[#This Row],[RSP StopTime override]] &lt;&gt; "",Master[[#This Row],[RSP StopTime override]],IF(Master[[#This Row],[Avg stop time helper]] &lt;&gt; 0, Master[[#This Row],[Avg stop time helper]],Average_Stop_Time))</f>
        <v>5</v>
      </c>
      <c r="AV513" s="21">
        <v>5</v>
      </c>
      <c r="AW513" s="20">
        <f>Master[[#This Row],[RSP StopTime override]]-Master[[#This Row],[Avg stop time helper]]</f>
        <v>5</v>
      </c>
    </row>
    <row r="514" spans="1:49" x14ac:dyDescent="0.3">
      <c r="A514" s="66" t="s">
        <v>4591</v>
      </c>
      <c r="B514" s="58">
        <v>50</v>
      </c>
      <c r="C514" s="58" t="s">
        <v>24</v>
      </c>
      <c r="D514" s="65">
        <v>804439</v>
      </c>
      <c r="E514" s="65" t="s">
        <v>42</v>
      </c>
      <c r="F514" s="65" t="s">
        <v>2522</v>
      </c>
      <c r="G514" s="65" t="s">
        <v>2521</v>
      </c>
      <c r="H514" s="65" t="s">
        <v>7</v>
      </c>
      <c r="I514" s="65" t="s">
        <v>1116</v>
      </c>
      <c r="J514" s="65" t="s">
        <v>5</v>
      </c>
      <c r="K514" s="65" t="s">
        <v>1115</v>
      </c>
      <c r="L514" s="64" t="s">
        <v>206</v>
      </c>
      <c r="M514" s="58" t="s">
        <v>205</v>
      </c>
      <c r="N514" s="58" t="s">
        <v>2</v>
      </c>
      <c r="O514" s="58">
        <v>85</v>
      </c>
      <c r="P514" s="58">
        <v>85</v>
      </c>
      <c r="Q514" s="58">
        <v>0</v>
      </c>
      <c r="R514" s="58">
        <v>0</v>
      </c>
      <c r="S514" s="58">
        <v>0</v>
      </c>
      <c r="T514" s="58">
        <v>0</v>
      </c>
      <c r="U514" s="58">
        <v>9</v>
      </c>
      <c r="V514" s="62"/>
      <c r="W514" s="62"/>
      <c r="X514" s="63">
        <f>IFERROR(1 -(Master[[#This Row],[Avg Garment Scans per Delivery]]/Master[[#This Row],[Garment Inventory]]), 0)</f>
        <v>0</v>
      </c>
      <c r="Y514" s="62"/>
      <c r="Z514" s="62"/>
      <c r="AA514" s="53">
        <v>39.527777777777786</v>
      </c>
      <c r="AB514" s="53">
        <v>102.77222222222223</v>
      </c>
      <c r="AC514" s="53">
        <v>61.752500000000005</v>
      </c>
      <c r="AD514" s="53">
        <v>69.017500000000013</v>
      </c>
      <c r="AE514" s="53" t="str">
        <f>_xlfn.XLOOKUP(Master[[#This Row],[cu_id]],'[1]Customer Revenue'!$Q:$Q,'[1]Customer Revenue'!$K:$K, "None")</f>
        <v>None</v>
      </c>
      <c r="AF514" s="53" t="str">
        <f>_xlfn.XLOOKUP(Master[[#This Row],[cu_id]],'[1]Customer Revenue'!$Q:$Q,'[1]Customer Revenue'!$L:$L, "None")</f>
        <v>None</v>
      </c>
      <c r="AG514" s="53">
        <v>49.912777777777791</v>
      </c>
      <c r="AH514" s="53">
        <v>88.307222222222236</v>
      </c>
      <c r="AI514" s="53">
        <v>71.150000000000006</v>
      </c>
      <c r="AJ514" s="53">
        <v>65.385000000000005</v>
      </c>
      <c r="AK514" s="53" t="str">
        <f>_xlfn.XLOOKUP(Master[[#This Row],[cu_id]],'[1]Customer Revenue'!$Q:$Q,'[1]Customer Revenue'!$I:$I, "None")</f>
        <v>None</v>
      </c>
      <c r="AL514" s="53">
        <v>69.110000000000014</v>
      </c>
      <c r="AM514" s="61">
        <v>0.375</v>
      </c>
      <c r="AN514" s="60">
        <v>0.5</v>
      </c>
      <c r="AO514" s="60" t="s">
        <v>36</v>
      </c>
      <c r="AP514" s="60" t="s">
        <v>36</v>
      </c>
      <c r="AQ514" s="58" t="s">
        <v>0</v>
      </c>
      <c r="AR514" s="58"/>
      <c r="AS514" s="58"/>
      <c r="AT514" s="52">
        <v>0</v>
      </c>
      <c r="AU514" s="52">
        <f>IF(Master[[#This Row],[RSP StopTime override]] &lt;&gt; "",Master[[#This Row],[RSP StopTime override]],IF(Master[[#This Row],[Avg stop time helper]] &lt;&gt; 0, Master[[#This Row],[Avg stop time helper]],Average_Stop_Time))</f>
        <v>7</v>
      </c>
      <c r="AV514" s="21">
        <v>7</v>
      </c>
      <c r="AW514" s="20">
        <f>Master[[#This Row],[RSP StopTime override]]-Master[[#This Row],[Avg stop time helper]]</f>
        <v>7</v>
      </c>
    </row>
    <row r="515" spans="1:49" x14ac:dyDescent="0.3">
      <c r="A515" s="66" t="s">
        <v>4592</v>
      </c>
      <c r="B515" s="58">
        <v>50</v>
      </c>
      <c r="C515" s="58" t="s">
        <v>24</v>
      </c>
      <c r="D515" s="65">
        <v>804442</v>
      </c>
      <c r="E515" s="65" t="s">
        <v>42</v>
      </c>
      <c r="F515" s="65" t="s">
        <v>2520</v>
      </c>
      <c r="G515" s="65" t="s">
        <v>2519</v>
      </c>
      <c r="H515" s="65" t="s">
        <v>7</v>
      </c>
      <c r="I515" s="65" t="s">
        <v>1116</v>
      </c>
      <c r="J515" s="65" t="s">
        <v>5</v>
      </c>
      <c r="K515" s="65" t="s">
        <v>1115</v>
      </c>
      <c r="L515" s="64" t="s">
        <v>67</v>
      </c>
      <c r="M515" s="58" t="s">
        <v>3</v>
      </c>
      <c r="N515" s="58" t="s">
        <v>2</v>
      </c>
      <c r="O515" s="58">
        <v>5</v>
      </c>
      <c r="P515" s="58">
        <v>5</v>
      </c>
      <c r="Q515" s="58">
        <v>0</v>
      </c>
      <c r="R515" s="58">
        <v>0</v>
      </c>
      <c r="S515" s="58">
        <v>0</v>
      </c>
      <c r="T515" s="58">
        <v>0</v>
      </c>
      <c r="U515" s="58">
        <v>40</v>
      </c>
      <c r="V515" s="62">
        <v>40</v>
      </c>
      <c r="W515" s="62">
        <v>6</v>
      </c>
      <c r="X515" s="63">
        <f>IFERROR(1 -(Master[[#This Row],[Avg Garment Scans per Delivery]]/Master[[#This Row],[Garment Inventory]]), 0)</f>
        <v>0.85</v>
      </c>
      <c r="Y515" s="62">
        <v>2</v>
      </c>
      <c r="Z515" s="62">
        <v>37</v>
      </c>
      <c r="AA515" s="53">
        <v>92.148579881656801</v>
      </c>
      <c r="AB515" s="53">
        <v>94.523727810650868</v>
      </c>
      <c r="AC515" s="53">
        <v>90.762781065088745</v>
      </c>
      <c r="AD515" s="53">
        <v>99.11260355029583</v>
      </c>
      <c r="AE515" s="53" t="str">
        <f>_xlfn.XLOOKUP(Master[[#This Row],[cu_id]],'[1]Customer Revenue'!$Q:$Q,'[1]Customer Revenue'!$K:$K, "None")</f>
        <v>None</v>
      </c>
      <c r="AF515" s="53" t="str">
        <f>_xlfn.XLOOKUP(Master[[#This Row],[cu_id]],'[1]Customer Revenue'!$Q:$Q,'[1]Customer Revenue'!$L:$L, "None")</f>
        <v>None</v>
      </c>
      <c r="AG515" s="53">
        <v>91.644115226337419</v>
      </c>
      <c r="AH515" s="53">
        <v>94.36181069958846</v>
      </c>
      <c r="AI515" s="53">
        <v>93.336153846153834</v>
      </c>
      <c r="AJ515" s="53">
        <v>94.937692307692288</v>
      </c>
      <c r="AK515" s="53" t="str">
        <f>_xlfn.XLOOKUP(Master[[#This Row],[cu_id]],'[1]Customer Revenue'!$Q:$Q,'[1]Customer Revenue'!$I:$I, "None")</f>
        <v>None</v>
      </c>
      <c r="AL515" s="53">
        <v>93.00296296296294</v>
      </c>
      <c r="AM515" s="61">
        <v>0.29166666666666669</v>
      </c>
      <c r="AN515" s="60">
        <v>0.5</v>
      </c>
      <c r="AO515" s="60" t="s">
        <v>36</v>
      </c>
      <c r="AP515" s="60" t="s">
        <v>36</v>
      </c>
      <c r="AQ515" s="58" t="s">
        <v>0</v>
      </c>
      <c r="AR515" s="58"/>
      <c r="AS515" s="58"/>
      <c r="AT515" s="52">
        <v>0</v>
      </c>
      <c r="AU515" s="52">
        <f>IF(Master[[#This Row],[RSP StopTime override]] &lt;&gt; "",Master[[#This Row],[RSP StopTime override]],IF(Master[[#This Row],[Avg stop time helper]] &lt;&gt; 0, Master[[#This Row],[Avg stop time helper]],Average_Stop_Time))</f>
        <v>20</v>
      </c>
      <c r="AV515" s="21">
        <v>20</v>
      </c>
      <c r="AW515" s="20">
        <f>Master[[#This Row],[RSP StopTime override]]-Master[[#This Row],[Avg stop time helper]]</f>
        <v>20</v>
      </c>
    </row>
    <row r="516" spans="1:49" x14ac:dyDescent="0.3">
      <c r="A516" s="66" t="s">
        <v>4593</v>
      </c>
      <c r="B516" s="58">
        <v>50</v>
      </c>
      <c r="C516" s="58" t="s">
        <v>24</v>
      </c>
      <c r="D516" s="65">
        <v>804449</v>
      </c>
      <c r="E516" s="65" t="s">
        <v>42</v>
      </c>
      <c r="F516" s="65" t="s">
        <v>2518</v>
      </c>
      <c r="G516" s="65" t="s">
        <v>2517</v>
      </c>
      <c r="H516" s="65" t="s">
        <v>7</v>
      </c>
      <c r="I516" s="65" t="s">
        <v>1116</v>
      </c>
      <c r="J516" s="65" t="s">
        <v>5</v>
      </c>
      <c r="K516" s="65" t="s">
        <v>1115</v>
      </c>
      <c r="L516" s="64" t="s">
        <v>67</v>
      </c>
      <c r="M516" s="58" t="s">
        <v>3</v>
      </c>
      <c r="N516" s="58" t="s">
        <v>2</v>
      </c>
      <c r="O516" s="58">
        <v>35</v>
      </c>
      <c r="P516" s="58">
        <v>35</v>
      </c>
      <c r="Q516" s="58">
        <v>0</v>
      </c>
      <c r="R516" s="58">
        <v>0</v>
      </c>
      <c r="S516" s="58">
        <v>0</v>
      </c>
      <c r="T516" s="58">
        <v>0</v>
      </c>
      <c r="U516" s="58">
        <v>39</v>
      </c>
      <c r="V516" s="62"/>
      <c r="W516" s="62"/>
      <c r="X516" s="63">
        <f>IFERROR(1 -(Master[[#This Row],[Avg Garment Scans per Delivery]]/Master[[#This Row],[Garment Inventory]]), 0)</f>
        <v>0</v>
      </c>
      <c r="Y516" s="62"/>
      <c r="Z516" s="62"/>
      <c r="AA516" s="53">
        <v>62.63206436420721</v>
      </c>
      <c r="AB516" s="53">
        <v>116.03716640502354</v>
      </c>
      <c r="AC516" s="53">
        <v>86.180604395604405</v>
      </c>
      <c r="AD516" s="53">
        <v>122.7963186813187</v>
      </c>
      <c r="AE516" s="53" t="str">
        <f>_xlfn.XLOOKUP(Master[[#This Row],[cu_id]],'[1]Customer Revenue'!$Q:$Q,'[1]Customer Revenue'!$K:$K, "None")</f>
        <v>None</v>
      </c>
      <c r="AF516" s="53" t="str">
        <f>_xlfn.XLOOKUP(Master[[#This Row],[cu_id]],'[1]Customer Revenue'!$Q:$Q,'[1]Customer Revenue'!$L:$L, "None")</f>
        <v>None</v>
      </c>
      <c r="AG516" s="53">
        <v>68.128921428571431</v>
      </c>
      <c r="AH516" s="53">
        <v>119.21427857142857</v>
      </c>
      <c r="AI516" s="53">
        <v>89.334615384615375</v>
      </c>
      <c r="AJ516" s="53">
        <v>104.48846153846155</v>
      </c>
      <c r="AK516" s="53" t="str">
        <f>_xlfn.XLOOKUP(Master[[#This Row],[cu_id]],'[1]Customer Revenue'!$Q:$Q,'[1]Customer Revenue'!$I:$I, "None")</f>
        <v>None</v>
      </c>
      <c r="AL516" s="53">
        <v>93.671599999999998</v>
      </c>
      <c r="AM516" s="61">
        <v>0.33333333333333331</v>
      </c>
      <c r="AN516" s="60">
        <v>0.58333333333333337</v>
      </c>
      <c r="AO516" s="60" t="s">
        <v>36</v>
      </c>
      <c r="AP516" s="60" t="s">
        <v>36</v>
      </c>
      <c r="AQ516" s="58" t="s">
        <v>0</v>
      </c>
      <c r="AR516" s="58"/>
      <c r="AS516" s="58"/>
      <c r="AT516" s="52">
        <v>0</v>
      </c>
      <c r="AU516" s="52">
        <f>IF(Master[[#This Row],[RSP StopTime override]] &lt;&gt; "",Master[[#This Row],[RSP StopTime override]],IF(Master[[#This Row],[Avg stop time helper]] &lt;&gt; 0, Master[[#This Row],[Avg stop time helper]],Average_Stop_Time))</f>
        <v>7</v>
      </c>
      <c r="AV516" s="21">
        <v>7</v>
      </c>
      <c r="AW516" s="20">
        <f>Master[[#This Row],[RSP StopTime override]]-Master[[#This Row],[Avg stop time helper]]</f>
        <v>7</v>
      </c>
    </row>
    <row r="517" spans="1:49" x14ac:dyDescent="0.3">
      <c r="A517" s="66" t="s">
        <v>4594</v>
      </c>
      <c r="B517" s="58">
        <v>50</v>
      </c>
      <c r="C517" s="58" t="s">
        <v>24</v>
      </c>
      <c r="D517" s="65">
        <v>804450</v>
      </c>
      <c r="E517" s="65" t="s">
        <v>42</v>
      </c>
      <c r="F517" s="65" t="s">
        <v>2516</v>
      </c>
      <c r="G517" s="65" t="s">
        <v>2515</v>
      </c>
      <c r="H517" s="65" t="s">
        <v>7</v>
      </c>
      <c r="I517" s="65" t="s">
        <v>1116</v>
      </c>
      <c r="J517" s="65" t="s">
        <v>5</v>
      </c>
      <c r="K517" s="65" t="s">
        <v>1115</v>
      </c>
      <c r="L517" s="64" t="s">
        <v>67</v>
      </c>
      <c r="M517" s="58" t="s">
        <v>3</v>
      </c>
      <c r="N517" s="58" t="s">
        <v>2</v>
      </c>
      <c r="O517" s="58">
        <v>30</v>
      </c>
      <c r="P517" s="58">
        <v>30</v>
      </c>
      <c r="Q517" s="58">
        <v>0</v>
      </c>
      <c r="R517" s="58">
        <v>0</v>
      </c>
      <c r="S517" s="58">
        <v>0</v>
      </c>
      <c r="T517" s="58">
        <v>0</v>
      </c>
      <c r="U517" s="58">
        <v>40</v>
      </c>
      <c r="V517" s="62"/>
      <c r="W517" s="62"/>
      <c r="X517" s="63">
        <f>IFERROR(1 -(Master[[#This Row],[Avg Garment Scans per Delivery]]/Master[[#This Row],[Garment Inventory]]), 0)</f>
        <v>0</v>
      </c>
      <c r="Y517" s="62"/>
      <c r="Z517" s="62"/>
      <c r="AA517" s="53">
        <v>10.85360946745562</v>
      </c>
      <c r="AB517" s="53">
        <v>11.918698224852065</v>
      </c>
      <c r="AC517" s="53">
        <v>12.357751479289941</v>
      </c>
      <c r="AD517" s="53">
        <v>13.669940828402368</v>
      </c>
      <c r="AE517" s="53" t="str">
        <f>_xlfn.XLOOKUP(Master[[#This Row],[cu_id]],'[1]Customer Revenue'!$Q:$Q,'[1]Customer Revenue'!$K:$K, "None")</f>
        <v>None</v>
      </c>
      <c r="AF517" s="53" t="str">
        <f>_xlfn.XLOOKUP(Master[[#This Row],[cu_id]],'[1]Customer Revenue'!$Q:$Q,'[1]Customer Revenue'!$L:$L, "None")</f>
        <v>None</v>
      </c>
      <c r="AG517" s="53">
        <v>10.906863905325443</v>
      </c>
      <c r="AH517" s="53">
        <v>11.519289940828395</v>
      </c>
      <c r="AI517" s="53">
        <v>11.386153846153842</v>
      </c>
      <c r="AJ517" s="53">
        <v>13.013846153846155</v>
      </c>
      <c r="AK517" s="53" t="str">
        <f>_xlfn.XLOOKUP(Master[[#This Row],[cu_id]],'[1]Customer Revenue'!$Q:$Q,'[1]Customer Revenue'!$I:$I, "None")</f>
        <v>None</v>
      </c>
      <c r="AL517" s="53">
        <v>11.213076923076919</v>
      </c>
      <c r="AM517" s="61">
        <v>0.33333333333333331</v>
      </c>
      <c r="AN517" s="60">
        <v>0.625</v>
      </c>
      <c r="AO517" s="60" t="s">
        <v>36</v>
      </c>
      <c r="AP517" s="60" t="s">
        <v>36</v>
      </c>
      <c r="AQ517" s="58" t="s">
        <v>0</v>
      </c>
      <c r="AR517" s="58"/>
      <c r="AS517" s="58"/>
      <c r="AT517" s="52">
        <v>0</v>
      </c>
      <c r="AU517" s="52">
        <f>IF(Master[[#This Row],[RSP StopTime override]] &lt;&gt; "",Master[[#This Row],[RSP StopTime override]],IF(Master[[#This Row],[Avg stop time helper]] &lt;&gt; 0, Master[[#This Row],[Avg stop time helper]],Average_Stop_Time))</f>
        <v>4</v>
      </c>
      <c r="AV517" s="21">
        <v>4</v>
      </c>
      <c r="AW517" s="20">
        <f>Master[[#This Row],[RSP StopTime override]]-Master[[#This Row],[Avg stop time helper]]</f>
        <v>4</v>
      </c>
    </row>
    <row r="518" spans="1:49" x14ac:dyDescent="0.3">
      <c r="A518" s="66" t="s">
        <v>4595</v>
      </c>
      <c r="B518" s="58">
        <v>50</v>
      </c>
      <c r="C518" s="58" t="s">
        <v>24</v>
      </c>
      <c r="D518" s="65">
        <v>806090</v>
      </c>
      <c r="E518" s="65" t="s">
        <v>42</v>
      </c>
      <c r="F518" s="65" t="s">
        <v>2514</v>
      </c>
      <c r="G518" s="65" t="s">
        <v>2513</v>
      </c>
      <c r="H518" s="65" t="s">
        <v>7</v>
      </c>
      <c r="I518" s="65" t="s">
        <v>6</v>
      </c>
      <c r="J518" s="65" t="s">
        <v>5</v>
      </c>
      <c r="K518" s="65" t="s">
        <v>146</v>
      </c>
      <c r="L518" s="64" t="s">
        <v>141</v>
      </c>
      <c r="M518" s="58" t="s">
        <v>140</v>
      </c>
      <c r="N518" s="58" t="s">
        <v>2</v>
      </c>
      <c r="O518" s="58">
        <v>130</v>
      </c>
      <c r="P518" s="58">
        <v>130</v>
      </c>
      <c r="Q518" s="58">
        <v>0</v>
      </c>
      <c r="R518" s="58">
        <v>0</v>
      </c>
      <c r="S518" s="58">
        <v>0</v>
      </c>
      <c r="T518" s="58">
        <v>0</v>
      </c>
      <c r="U518" s="58">
        <v>10</v>
      </c>
      <c r="V518" s="62"/>
      <c r="W518" s="62"/>
      <c r="X518" s="63">
        <f>IFERROR(1 -(Master[[#This Row],[Avg Garment Scans per Delivery]]/Master[[#This Row],[Garment Inventory]]), 0)</f>
        <v>0</v>
      </c>
      <c r="Y518" s="62"/>
      <c r="Z518" s="62"/>
      <c r="AA518" s="53">
        <v>21.603333333333332</v>
      </c>
      <c r="AB518" s="53">
        <v>22.936666666666667</v>
      </c>
      <c r="AC518" s="53">
        <v>23.098888888888887</v>
      </c>
      <c r="AD518" s="53">
        <v>24.467777777777776</v>
      </c>
      <c r="AE518" s="53" t="str">
        <f>_xlfn.XLOOKUP(Master[[#This Row],[cu_id]],'[1]Customer Revenue'!$Q:$Q,'[1]Customer Revenue'!$K:$K, "None")</f>
        <v>None</v>
      </c>
      <c r="AF518" s="53" t="str">
        <f>_xlfn.XLOOKUP(Master[[#This Row],[cu_id]],'[1]Customer Revenue'!$Q:$Q,'[1]Customer Revenue'!$L:$L, "None")</f>
        <v>None</v>
      </c>
      <c r="AG518" s="53">
        <v>17.175223214285715</v>
      </c>
      <c r="AH518" s="53">
        <v>26.793348214285714</v>
      </c>
      <c r="AI518" s="53">
        <v>22.27</v>
      </c>
      <c r="AJ518" s="53">
        <v>23.783333333333331</v>
      </c>
      <c r="AK518" s="53" t="str">
        <f>_xlfn.XLOOKUP(Master[[#This Row],[cu_id]],'[1]Customer Revenue'!$Q:$Q,'[1]Customer Revenue'!$I:$I, "None")</f>
        <v>None</v>
      </c>
      <c r="AL518" s="53">
        <v>21.984285714285715</v>
      </c>
      <c r="AM518" s="61">
        <v>0.375</v>
      </c>
      <c r="AN518" s="60">
        <v>0.625</v>
      </c>
      <c r="AO518" s="60" t="s">
        <v>36</v>
      </c>
      <c r="AP518" s="60" t="s">
        <v>36</v>
      </c>
      <c r="AQ518" s="58" t="s">
        <v>0</v>
      </c>
      <c r="AR518" s="58"/>
      <c r="AS518" s="58"/>
      <c r="AT518" s="52">
        <v>0</v>
      </c>
      <c r="AU518" s="52">
        <f>IF(Master[[#This Row],[RSP StopTime override]] &lt;&gt; "",Master[[#This Row],[RSP StopTime override]],IF(Master[[#This Row],[Avg stop time helper]] &lt;&gt; 0, Master[[#This Row],[Avg stop time helper]],Average_Stop_Time))</f>
        <v>3</v>
      </c>
      <c r="AV518" s="21">
        <v>3</v>
      </c>
      <c r="AW518" s="20">
        <f>Master[[#This Row],[RSP StopTime override]]-Master[[#This Row],[Avg stop time helper]]</f>
        <v>3</v>
      </c>
    </row>
    <row r="519" spans="1:49" x14ac:dyDescent="0.3">
      <c r="A519" s="66" t="s">
        <v>4596</v>
      </c>
      <c r="B519" s="58">
        <v>50</v>
      </c>
      <c r="C519" s="58" t="s">
        <v>24</v>
      </c>
      <c r="D519" s="65">
        <v>806197</v>
      </c>
      <c r="E519" s="65" t="s">
        <v>42</v>
      </c>
      <c r="F519" s="65" t="s">
        <v>2512</v>
      </c>
      <c r="G519" s="65" t="s">
        <v>2511</v>
      </c>
      <c r="H519" s="65" t="s">
        <v>7</v>
      </c>
      <c r="I519" s="65" t="s">
        <v>6</v>
      </c>
      <c r="J519" s="65" t="s">
        <v>5</v>
      </c>
      <c r="K519" s="65" t="s">
        <v>115</v>
      </c>
      <c r="L519" s="64" t="s">
        <v>77</v>
      </c>
      <c r="M519" s="58" t="s">
        <v>29</v>
      </c>
      <c r="N519" s="58" t="s">
        <v>2</v>
      </c>
      <c r="O519" s="58">
        <v>135</v>
      </c>
      <c r="P519" s="58">
        <v>135</v>
      </c>
      <c r="Q519" s="58">
        <v>0</v>
      </c>
      <c r="R519" s="58">
        <v>0</v>
      </c>
      <c r="S519" s="58">
        <v>0</v>
      </c>
      <c r="T519" s="58">
        <v>0</v>
      </c>
      <c r="U519" s="58">
        <v>21</v>
      </c>
      <c r="V519" s="62"/>
      <c r="W519" s="62"/>
      <c r="X519" s="63">
        <f>IFERROR(1 -(Master[[#This Row],[Avg Garment Scans per Delivery]]/Master[[#This Row],[Garment Inventory]]), 0)</f>
        <v>0</v>
      </c>
      <c r="Y519" s="62"/>
      <c r="Z519" s="62"/>
      <c r="AA519" s="53">
        <v>56.534444444444432</v>
      </c>
      <c r="AB519" s="53">
        <v>72.372222222222206</v>
      </c>
      <c r="AC519" s="53">
        <v>61.655510204081637</v>
      </c>
      <c r="AD519" s="53">
        <v>91.761632653061227</v>
      </c>
      <c r="AE519" s="53" t="str">
        <f>_xlfn.XLOOKUP(Master[[#This Row],[cu_id]],'[1]Customer Revenue'!$Q:$Q,'[1]Customer Revenue'!$K:$K, "None")</f>
        <v>None</v>
      </c>
      <c r="AF519" s="53" t="str">
        <f>_xlfn.XLOOKUP(Master[[#This Row],[cu_id]],'[1]Customer Revenue'!$Q:$Q,'[1]Customer Revenue'!$L:$L, "None")</f>
        <v>None</v>
      </c>
      <c r="AG519" s="53">
        <v>37.504153846153848</v>
      </c>
      <c r="AH519" s="53">
        <v>117.88815384615384</v>
      </c>
      <c r="AI519" s="53">
        <v>64.453333333333319</v>
      </c>
      <c r="AJ519" s="53">
        <v>76.708571428571432</v>
      </c>
      <c r="AK519" s="53" t="str">
        <f>_xlfn.XLOOKUP(Master[[#This Row],[cu_id]],'[1]Customer Revenue'!$Q:$Q,'[1]Customer Revenue'!$I:$I, "None")</f>
        <v>None</v>
      </c>
      <c r="AL519" s="53">
        <v>77.696153846153848</v>
      </c>
      <c r="AM519" s="61">
        <v>0.375</v>
      </c>
      <c r="AN519" s="60">
        <v>0.66666666666666663</v>
      </c>
      <c r="AO519" s="60" t="s">
        <v>36</v>
      </c>
      <c r="AP519" s="60" t="s">
        <v>36</v>
      </c>
      <c r="AQ519" s="58" t="s">
        <v>0</v>
      </c>
      <c r="AR519" s="58"/>
      <c r="AS519" s="58"/>
      <c r="AT519" s="52">
        <v>0</v>
      </c>
      <c r="AU519" s="52">
        <f>IF(Master[[#This Row],[RSP StopTime override]] &lt;&gt; "",Master[[#This Row],[RSP StopTime override]],IF(Master[[#This Row],[Avg stop time helper]] &lt;&gt; 0, Master[[#This Row],[Avg stop time helper]],Average_Stop_Time))</f>
        <v>6</v>
      </c>
      <c r="AV519" s="21">
        <v>6</v>
      </c>
      <c r="AW519" s="20">
        <f>Master[[#This Row],[RSP StopTime override]]-Master[[#This Row],[Avg stop time helper]]</f>
        <v>6</v>
      </c>
    </row>
    <row r="520" spans="1:49" x14ac:dyDescent="0.3">
      <c r="A520" s="66" t="s">
        <v>4597</v>
      </c>
      <c r="B520" s="58">
        <v>50</v>
      </c>
      <c r="C520" s="58" t="s">
        <v>24</v>
      </c>
      <c r="D520" s="65">
        <v>806200</v>
      </c>
      <c r="E520" s="65" t="s">
        <v>42</v>
      </c>
      <c r="F520" s="65" t="s">
        <v>2510</v>
      </c>
      <c r="G520" s="65" t="s">
        <v>2509</v>
      </c>
      <c r="H520" s="65" t="s">
        <v>7</v>
      </c>
      <c r="I520" s="65" t="s">
        <v>126</v>
      </c>
      <c r="J520" s="65" t="s">
        <v>5</v>
      </c>
      <c r="K520" s="65" t="s">
        <v>164</v>
      </c>
      <c r="L520" s="64" t="s">
        <v>67</v>
      </c>
      <c r="M520" s="58" t="s">
        <v>3</v>
      </c>
      <c r="N520" s="58" t="s">
        <v>2</v>
      </c>
      <c r="O520" s="58">
        <v>15</v>
      </c>
      <c r="P520" s="58">
        <v>15</v>
      </c>
      <c r="Q520" s="58">
        <v>0</v>
      </c>
      <c r="R520" s="58">
        <v>0</v>
      </c>
      <c r="S520" s="58">
        <v>0</v>
      </c>
      <c r="T520" s="58">
        <v>0</v>
      </c>
      <c r="U520" s="58">
        <v>40</v>
      </c>
      <c r="V520" s="62"/>
      <c r="W520" s="62"/>
      <c r="X520" s="63">
        <f>IFERROR(1 -(Master[[#This Row],[Avg Garment Scans per Delivery]]/Master[[#This Row],[Garment Inventory]]), 0)</f>
        <v>0</v>
      </c>
      <c r="Y520" s="62"/>
      <c r="Z520" s="62"/>
      <c r="AA520" s="53">
        <v>81.479822485207109</v>
      </c>
      <c r="AB520" s="53">
        <v>106.92171597633137</v>
      </c>
      <c r="AC520" s="53">
        <v>80.503571428571419</v>
      </c>
      <c r="AD520" s="53">
        <v>121.51642857142856</v>
      </c>
      <c r="AE520" s="53" t="str">
        <f>_xlfn.XLOOKUP(Master[[#This Row],[cu_id]],'[1]Customer Revenue'!$Q:$Q,'[1]Customer Revenue'!$K:$K, "None")</f>
        <v>None</v>
      </c>
      <c r="AF520" s="53" t="str">
        <f>_xlfn.XLOOKUP(Master[[#This Row],[cu_id]],'[1]Customer Revenue'!$Q:$Q,'[1]Customer Revenue'!$L:$L, "None")</f>
        <v>None</v>
      </c>
      <c r="AG520" s="53">
        <v>83.103017751479271</v>
      </c>
      <c r="AH520" s="53">
        <v>110.08928994082838</v>
      </c>
      <c r="AI520" s="53">
        <v>94.200769230769239</v>
      </c>
      <c r="AJ520" s="53">
        <v>101.00999999999999</v>
      </c>
      <c r="AK520" s="53" t="str">
        <f>_xlfn.XLOOKUP(Master[[#This Row],[cu_id]],'[1]Customer Revenue'!$Q:$Q,'[1]Customer Revenue'!$I:$I, "None")</f>
        <v>None</v>
      </c>
      <c r="AL520" s="53">
        <v>96.596153846153825</v>
      </c>
      <c r="AM520" s="61">
        <v>0.375</v>
      </c>
      <c r="AN520" s="60">
        <v>0.70833333333333337</v>
      </c>
      <c r="AO520" s="60" t="s">
        <v>36</v>
      </c>
      <c r="AP520" s="60" t="s">
        <v>36</v>
      </c>
      <c r="AQ520" s="58" t="s">
        <v>0</v>
      </c>
      <c r="AR520" s="58"/>
      <c r="AS520" s="58"/>
      <c r="AT520" s="52">
        <v>0</v>
      </c>
      <c r="AU520" s="52">
        <f>IF(Master[[#This Row],[RSP StopTime override]] &lt;&gt; "",Master[[#This Row],[RSP StopTime override]],IF(Master[[#This Row],[Avg stop time helper]] &lt;&gt; 0, Master[[#This Row],[Avg stop time helper]],Average_Stop_Time))</f>
        <v>10</v>
      </c>
      <c r="AV520" s="21">
        <v>10</v>
      </c>
      <c r="AW520" s="20">
        <f>Master[[#This Row],[RSP StopTime override]]-Master[[#This Row],[Avg stop time helper]]</f>
        <v>10</v>
      </c>
    </row>
    <row r="521" spans="1:49" x14ac:dyDescent="0.3">
      <c r="A521" s="66" t="s">
        <v>4598</v>
      </c>
      <c r="B521" s="58">
        <v>50</v>
      </c>
      <c r="C521" s="58" t="s">
        <v>24</v>
      </c>
      <c r="D521" s="65">
        <v>806470</v>
      </c>
      <c r="E521" s="65" t="s">
        <v>42</v>
      </c>
      <c r="F521" s="65" t="s">
        <v>2508</v>
      </c>
      <c r="G521" s="65" t="s">
        <v>2507</v>
      </c>
      <c r="H521" s="65" t="s">
        <v>7</v>
      </c>
      <c r="I521" s="65" t="s">
        <v>126</v>
      </c>
      <c r="J521" s="65" t="s">
        <v>5</v>
      </c>
      <c r="K521" s="65" t="s">
        <v>164</v>
      </c>
      <c r="L521" s="64" t="s">
        <v>194</v>
      </c>
      <c r="M521" s="58" t="s">
        <v>193</v>
      </c>
      <c r="N521" s="58" t="s">
        <v>2</v>
      </c>
      <c r="O521" s="58">
        <v>70</v>
      </c>
      <c r="P521" s="58">
        <v>70</v>
      </c>
      <c r="Q521" s="58">
        <v>0</v>
      </c>
      <c r="R521" s="58">
        <v>0</v>
      </c>
      <c r="S521" s="58">
        <v>0</v>
      </c>
      <c r="T521" s="58">
        <v>0</v>
      </c>
      <c r="U521" s="58">
        <v>9</v>
      </c>
      <c r="V521" s="62"/>
      <c r="W521" s="62"/>
      <c r="X521" s="63">
        <f>IFERROR(1 -(Master[[#This Row],[Avg Garment Scans per Delivery]]/Master[[#This Row],[Garment Inventory]]), 0)</f>
        <v>0</v>
      </c>
      <c r="Y521" s="62"/>
      <c r="Z521" s="62"/>
      <c r="AA521" s="53">
        <v>52.975000000000009</v>
      </c>
      <c r="AB521" s="53">
        <v>116.545</v>
      </c>
      <c r="AC521" s="53">
        <v>43.510000000000005</v>
      </c>
      <c r="AD521" s="53">
        <v>45.05</v>
      </c>
      <c r="AE521" s="53" t="str">
        <f>_xlfn.XLOOKUP(Master[[#This Row],[cu_id]],'[1]Customer Revenue'!$Q:$Q,'[1]Customer Revenue'!$K:$K, "None")</f>
        <v>None</v>
      </c>
      <c r="AF521" s="53" t="str">
        <f>_xlfn.XLOOKUP(Master[[#This Row],[cu_id]],'[1]Customer Revenue'!$Q:$Q,'[1]Customer Revenue'!$L:$L, "None")</f>
        <v>None</v>
      </c>
      <c r="AG521" s="53">
        <v>47.377499999999984</v>
      </c>
      <c r="AH521" s="53">
        <v>104.7025</v>
      </c>
      <c r="AI521" s="53">
        <v>84.76</v>
      </c>
      <c r="AJ521" s="53">
        <v>44.28</v>
      </c>
      <c r="AK521" s="53" t="str">
        <f>_xlfn.XLOOKUP(Master[[#This Row],[cu_id]],'[1]Customer Revenue'!$Q:$Q,'[1]Customer Revenue'!$I:$I, "None")</f>
        <v>None</v>
      </c>
      <c r="AL521" s="53">
        <v>76.039999999999992</v>
      </c>
      <c r="AM521" s="61">
        <v>0.41666666666666669</v>
      </c>
      <c r="AN521" s="60">
        <v>0.66666666666666663</v>
      </c>
      <c r="AO521" s="60" t="s">
        <v>36</v>
      </c>
      <c r="AP521" s="60" t="s">
        <v>36</v>
      </c>
      <c r="AQ521" s="58" t="s">
        <v>0</v>
      </c>
      <c r="AR521" s="58"/>
      <c r="AS521" s="58"/>
      <c r="AT521" s="52">
        <v>0</v>
      </c>
      <c r="AU521" s="52">
        <f>IF(Master[[#This Row],[RSP StopTime override]] &lt;&gt; "",Master[[#This Row],[RSP StopTime override]],IF(Master[[#This Row],[Avg stop time helper]] &lt;&gt; 0, Master[[#This Row],[Avg stop time helper]],Average_Stop_Time))</f>
        <v>4</v>
      </c>
      <c r="AV521" s="21">
        <v>4</v>
      </c>
      <c r="AW521" s="20">
        <f>Master[[#This Row],[RSP StopTime override]]-Master[[#This Row],[Avg stop time helper]]</f>
        <v>4</v>
      </c>
    </row>
    <row r="522" spans="1:49" x14ac:dyDescent="0.3">
      <c r="A522" s="66" t="s">
        <v>4599</v>
      </c>
      <c r="B522" s="58">
        <v>50</v>
      </c>
      <c r="C522" s="58" t="s">
        <v>24</v>
      </c>
      <c r="D522" s="65">
        <v>806505</v>
      </c>
      <c r="E522" s="65" t="s">
        <v>42</v>
      </c>
      <c r="F522" s="65" t="s">
        <v>2506</v>
      </c>
      <c r="G522" s="65" t="s">
        <v>2505</v>
      </c>
      <c r="H522" s="65" t="s">
        <v>7</v>
      </c>
      <c r="I522" s="65" t="s">
        <v>1399</v>
      </c>
      <c r="J522" s="65" t="s">
        <v>5</v>
      </c>
      <c r="K522" s="65" t="s">
        <v>1398</v>
      </c>
      <c r="L522" s="64" t="s">
        <v>91</v>
      </c>
      <c r="M522" s="58" t="s">
        <v>90</v>
      </c>
      <c r="N522" s="58" t="s">
        <v>2</v>
      </c>
      <c r="O522" s="58">
        <v>75</v>
      </c>
      <c r="P522" s="58">
        <v>75</v>
      </c>
      <c r="Q522" s="58">
        <v>0</v>
      </c>
      <c r="R522" s="58">
        <v>0</v>
      </c>
      <c r="S522" s="58">
        <v>0</v>
      </c>
      <c r="T522" s="58">
        <v>0</v>
      </c>
      <c r="U522" s="58">
        <v>20</v>
      </c>
      <c r="V522" s="62"/>
      <c r="W522" s="62"/>
      <c r="X522" s="63">
        <f>IFERROR(1 -(Master[[#This Row],[Avg Garment Scans per Delivery]]/Master[[#This Row],[Garment Inventory]]), 0)</f>
        <v>0</v>
      </c>
      <c r="Y522" s="62"/>
      <c r="Z522" s="62"/>
      <c r="AA522" s="53">
        <v>12.060133928571442</v>
      </c>
      <c r="AB522" s="53">
        <v>57.017008928571428</v>
      </c>
      <c r="AC522" s="53">
        <v>22.308</v>
      </c>
      <c r="AD522" s="53">
        <v>39.467999999999996</v>
      </c>
      <c r="AE522" s="53" t="str">
        <f>_xlfn.XLOOKUP(Master[[#This Row],[cu_id]],'[1]Customer Revenue'!$Q:$Q,'[1]Customer Revenue'!$K:$K, "None")</f>
        <v>None</v>
      </c>
      <c r="AF522" s="53" t="str">
        <f>_xlfn.XLOOKUP(Master[[#This Row],[cu_id]],'[1]Customer Revenue'!$Q:$Q,'[1]Customer Revenue'!$L:$L, "None")</f>
        <v>None</v>
      </c>
      <c r="AG522" s="53">
        <v>19.354285714285734</v>
      </c>
      <c r="AH522" s="53">
        <v>49.294285714285706</v>
      </c>
      <c r="AI522" s="53">
        <v>34.538571428571437</v>
      </c>
      <c r="AJ522" s="53">
        <v>30.887999999999998</v>
      </c>
      <c r="AK522" s="53" t="str">
        <f>_xlfn.XLOOKUP(Master[[#This Row],[cu_id]],'[1]Customer Revenue'!$Q:$Q,'[1]Customer Revenue'!$I:$I, "None")</f>
        <v>None</v>
      </c>
      <c r="AL522" s="53">
        <v>34.324285714285722</v>
      </c>
      <c r="AM522" s="61">
        <v>0.375</v>
      </c>
      <c r="AN522" s="60">
        <v>0.66666666666666663</v>
      </c>
      <c r="AO522" s="60" t="s">
        <v>36</v>
      </c>
      <c r="AP522" s="60" t="s">
        <v>36</v>
      </c>
      <c r="AQ522" s="58" t="s">
        <v>0</v>
      </c>
      <c r="AR522" s="58"/>
      <c r="AS522" s="58"/>
      <c r="AT522" s="52">
        <v>0</v>
      </c>
      <c r="AU522" s="52">
        <f>IF(Master[[#This Row],[RSP StopTime override]] &lt;&gt; "",Master[[#This Row],[RSP StopTime override]],IF(Master[[#This Row],[Avg stop time helper]] &lt;&gt; 0, Master[[#This Row],[Avg stop time helper]],Average_Stop_Time))</f>
        <v>4</v>
      </c>
      <c r="AV522" s="21">
        <v>4</v>
      </c>
      <c r="AW522" s="20">
        <f>Master[[#This Row],[RSP StopTime override]]-Master[[#This Row],[Avg stop time helper]]</f>
        <v>4</v>
      </c>
    </row>
    <row r="523" spans="1:49" x14ac:dyDescent="0.3">
      <c r="A523" s="66" t="s">
        <v>4600</v>
      </c>
      <c r="B523" s="58">
        <v>50</v>
      </c>
      <c r="C523" s="58" t="s">
        <v>24</v>
      </c>
      <c r="D523" s="65">
        <v>806559</v>
      </c>
      <c r="E523" s="65" t="s">
        <v>42</v>
      </c>
      <c r="F523" s="65" t="s">
        <v>2504</v>
      </c>
      <c r="G523" s="65" t="s">
        <v>2503</v>
      </c>
      <c r="H523" s="65" t="s">
        <v>7</v>
      </c>
      <c r="I523" s="65" t="s">
        <v>126</v>
      </c>
      <c r="J523" s="65" t="s">
        <v>5</v>
      </c>
      <c r="K523" s="65" t="s">
        <v>164</v>
      </c>
      <c r="L523" s="64" t="s">
        <v>67</v>
      </c>
      <c r="M523" s="58" t="s">
        <v>3</v>
      </c>
      <c r="N523" s="58" t="s">
        <v>2</v>
      </c>
      <c r="O523" s="58">
        <v>50</v>
      </c>
      <c r="P523" s="58">
        <v>50</v>
      </c>
      <c r="Q523" s="58">
        <v>0</v>
      </c>
      <c r="R523" s="58">
        <v>0</v>
      </c>
      <c r="S523" s="58">
        <v>0</v>
      </c>
      <c r="T523" s="58">
        <v>0</v>
      </c>
      <c r="U523" s="58">
        <v>40</v>
      </c>
      <c r="V523" s="62"/>
      <c r="W523" s="62"/>
      <c r="X523" s="63">
        <f>IFERROR(1 -(Master[[#This Row],[Avg Garment Scans per Delivery]]/Master[[#This Row],[Garment Inventory]]), 0)</f>
        <v>0</v>
      </c>
      <c r="Y523" s="62"/>
      <c r="Z523" s="62"/>
      <c r="AA523" s="53">
        <v>18.598757396449699</v>
      </c>
      <c r="AB523" s="53">
        <v>30.605857988165681</v>
      </c>
      <c r="AC523" s="53">
        <v>20.279230769230772</v>
      </c>
      <c r="AD523" s="53">
        <v>32.180769230769229</v>
      </c>
      <c r="AE523" s="53" t="str">
        <f>_xlfn.XLOOKUP(Master[[#This Row],[cu_id]],'[1]Customer Revenue'!$Q:$Q,'[1]Customer Revenue'!$K:$K, "None")</f>
        <v>None</v>
      </c>
      <c r="AF523" s="53" t="str">
        <f>_xlfn.XLOOKUP(Master[[#This Row],[cu_id]],'[1]Customer Revenue'!$Q:$Q,'[1]Customer Revenue'!$L:$L, "None")</f>
        <v>None</v>
      </c>
      <c r="AG523" s="53">
        <v>18.474497041420115</v>
      </c>
      <c r="AH523" s="53">
        <v>31.669349112426019</v>
      </c>
      <c r="AI523" s="53">
        <v>24.60230769230769</v>
      </c>
      <c r="AJ523" s="53">
        <v>26.23</v>
      </c>
      <c r="AK523" s="53" t="str">
        <f>_xlfn.XLOOKUP(Master[[#This Row],[cu_id]],'[1]Customer Revenue'!$Q:$Q,'[1]Customer Revenue'!$I:$I, "None")</f>
        <v>None</v>
      </c>
      <c r="AL523" s="53">
        <v>25.071923076923067</v>
      </c>
      <c r="AM523" s="61">
        <v>0.33333333333333331</v>
      </c>
      <c r="AN523" s="60">
        <v>0.625</v>
      </c>
      <c r="AO523" s="60" t="s">
        <v>36</v>
      </c>
      <c r="AP523" s="60" t="s">
        <v>36</v>
      </c>
      <c r="AQ523" s="58" t="s">
        <v>0</v>
      </c>
      <c r="AR523" s="58"/>
      <c r="AS523" s="58"/>
      <c r="AT523" s="52">
        <v>0</v>
      </c>
      <c r="AU523" s="52">
        <f>IF(Master[[#This Row],[RSP StopTime override]] &lt;&gt; "",Master[[#This Row],[RSP StopTime override]],IF(Master[[#This Row],[Avg stop time helper]] &lt;&gt; 0, Master[[#This Row],[Avg stop time helper]],Average_Stop_Time))</f>
        <v>4</v>
      </c>
      <c r="AV523" s="21">
        <v>4</v>
      </c>
      <c r="AW523" s="20">
        <f>Master[[#This Row],[RSP StopTime override]]-Master[[#This Row],[Avg stop time helper]]</f>
        <v>4</v>
      </c>
    </row>
    <row r="524" spans="1:49" x14ac:dyDescent="0.3">
      <c r="A524" s="66" t="s">
        <v>4601</v>
      </c>
      <c r="B524" s="58">
        <v>50</v>
      </c>
      <c r="C524" s="58" t="s">
        <v>24</v>
      </c>
      <c r="D524" s="65">
        <v>806572</v>
      </c>
      <c r="E524" s="65" t="s">
        <v>42</v>
      </c>
      <c r="F524" s="65" t="s">
        <v>2502</v>
      </c>
      <c r="G524" s="65" t="s">
        <v>2501</v>
      </c>
      <c r="H524" s="65" t="s">
        <v>7</v>
      </c>
      <c r="I524" s="65" t="s">
        <v>126</v>
      </c>
      <c r="J524" s="65" t="s">
        <v>5</v>
      </c>
      <c r="K524" s="65" t="s">
        <v>164</v>
      </c>
      <c r="L524" s="64" t="s">
        <v>124</v>
      </c>
      <c r="M524" s="58" t="s">
        <v>123</v>
      </c>
      <c r="N524" s="58" t="s">
        <v>2</v>
      </c>
      <c r="O524" s="58">
        <v>65</v>
      </c>
      <c r="P524" s="58">
        <v>65</v>
      </c>
      <c r="Q524" s="58">
        <v>0</v>
      </c>
      <c r="R524" s="58">
        <v>0</v>
      </c>
      <c r="S524" s="58">
        <v>0</v>
      </c>
      <c r="T524" s="58">
        <v>0</v>
      </c>
      <c r="U524" s="58">
        <v>17</v>
      </c>
      <c r="V524" s="62"/>
      <c r="W524" s="62"/>
      <c r="X524" s="63">
        <f>IFERROR(1 -(Master[[#This Row],[Avg Garment Scans per Delivery]]/Master[[#This Row],[Garment Inventory]]), 0)</f>
        <v>0</v>
      </c>
      <c r="Y524" s="62"/>
      <c r="Z524" s="62"/>
      <c r="AA524" s="53">
        <v>23.258333333333344</v>
      </c>
      <c r="AB524" s="53">
        <v>69.775000000000006</v>
      </c>
      <c r="AC524" s="53">
        <v>28.9</v>
      </c>
      <c r="AD524" s="53">
        <v>49.62</v>
      </c>
      <c r="AE524" s="53" t="str">
        <f>_xlfn.XLOOKUP(Master[[#This Row],[cu_id]],'[1]Customer Revenue'!$Q:$Q,'[1]Customer Revenue'!$K:$K, "None")</f>
        <v>None</v>
      </c>
      <c r="AF524" s="53" t="str">
        <f>_xlfn.XLOOKUP(Master[[#This Row],[cu_id]],'[1]Customer Revenue'!$Q:$Q,'[1]Customer Revenue'!$L:$L, "None")</f>
        <v>None</v>
      </c>
      <c r="AG524" s="53">
        <v>24.585082182774492</v>
      </c>
      <c r="AH524" s="53">
        <v>64.146028928336619</v>
      </c>
      <c r="AI524" s="53">
        <v>46.516666666666673</v>
      </c>
      <c r="AJ524" s="53">
        <v>39.26</v>
      </c>
      <c r="AK524" s="53" t="str">
        <f>_xlfn.XLOOKUP(Master[[#This Row],[cu_id]],'[1]Customer Revenue'!$Q:$Q,'[1]Customer Revenue'!$I:$I, "None")</f>
        <v>None</v>
      </c>
      <c r="AL524" s="53">
        <v>44.365555555555559</v>
      </c>
      <c r="AM524" s="61">
        <v>0.33333333333333331</v>
      </c>
      <c r="AN524" s="60">
        <v>0.625</v>
      </c>
      <c r="AO524" s="60" t="s">
        <v>36</v>
      </c>
      <c r="AP524" s="60" t="s">
        <v>36</v>
      </c>
      <c r="AQ524" s="58" t="s">
        <v>0</v>
      </c>
      <c r="AR524" s="58"/>
      <c r="AS524" s="58"/>
      <c r="AT524" s="52">
        <v>0</v>
      </c>
      <c r="AU524" s="52">
        <f>IF(Master[[#This Row],[RSP StopTime override]] &lt;&gt; "",Master[[#This Row],[RSP StopTime override]],IF(Master[[#This Row],[Avg stop time helper]] &lt;&gt; 0, Master[[#This Row],[Avg stop time helper]],Average_Stop_Time))</f>
        <v>4</v>
      </c>
      <c r="AV524" s="21">
        <v>4</v>
      </c>
      <c r="AW524" s="20">
        <f>Master[[#This Row],[RSP StopTime override]]-Master[[#This Row],[Avg stop time helper]]</f>
        <v>4</v>
      </c>
    </row>
    <row r="525" spans="1:49" x14ac:dyDescent="0.3">
      <c r="A525" s="66" t="s">
        <v>4602</v>
      </c>
      <c r="B525" s="58">
        <v>50</v>
      </c>
      <c r="C525" s="58" t="s">
        <v>24</v>
      </c>
      <c r="D525" s="65">
        <v>806578</v>
      </c>
      <c r="E525" s="65" t="s">
        <v>42</v>
      </c>
      <c r="F525" s="65" t="s">
        <v>2500</v>
      </c>
      <c r="G525" s="65" t="s">
        <v>2499</v>
      </c>
      <c r="H525" s="65" t="s">
        <v>7</v>
      </c>
      <c r="I525" s="65" t="s">
        <v>1116</v>
      </c>
      <c r="J525" s="65" t="s">
        <v>5</v>
      </c>
      <c r="K525" s="65" t="s">
        <v>2498</v>
      </c>
      <c r="L525" s="64" t="s">
        <v>91</v>
      </c>
      <c r="M525" s="58" t="s">
        <v>90</v>
      </c>
      <c r="N525" s="58" t="s">
        <v>2</v>
      </c>
      <c r="O525" s="58">
        <v>90</v>
      </c>
      <c r="P525" s="58">
        <v>90</v>
      </c>
      <c r="Q525" s="58">
        <v>0</v>
      </c>
      <c r="R525" s="58">
        <v>0</v>
      </c>
      <c r="S525" s="58">
        <v>0</v>
      </c>
      <c r="T525" s="58">
        <v>0</v>
      </c>
      <c r="U525" s="58">
        <v>20</v>
      </c>
      <c r="V525" s="62"/>
      <c r="W525" s="62"/>
      <c r="X525" s="63">
        <f>IFERROR(1 -(Master[[#This Row],[Avg Garment Scans per Delivery]]/Master[[#This Row],[Garment Inventory]]), 0)</f>
        <v>0</v>
      </c>
      <c r="Y525" s="62"/>
      <c r="Z525" s="62"/>
      <c r="AA525" s="53">
        <v>19.897142857142857</v>
      </c>
      <c r="AB525" s="53">
        <v>21.782857142857143</v>
      </c>
      <c r="AC525" s="53">
        <v>22.218888888888891</v>
      </c>
      <c r="AD525" s="53">
        <v>23.587777777777781</v>
      </c>
      <c r="AE525" s="53" t="str">
        <f>_xlfn.XLOOKUP(Master[[#This Row],[cu_id]],'[1]Customer Revenue'!$Q:$Q,'[1]Customer Revenue'!$K:$K, "None")</f>
        <v>None</v>
      </c>
      <c r="AF525" s="53" t="str">
        <f>_xlfn.XLOOKUP(Master[[#This Row],[cu_id]],'[1]Customer Revenue'!$Q:$Q,'[1]Customer Revenue'!$L:$L, "None")</f>
        <v>None</v>
      </c>
      <c r="AG525" s="53">
        <v>15.938676190476185</v>
      </c>
      <c r="AH525" s="53">
        <v>21.905609523809517</v>
      </c>
      <c r="AI525" s="53">
        <v>20.84</v>
      </c>
      <c r="AJ525" s="53">
        <v>22.903333333333336</v>
      </c>
      <c r="AK525" s="53" t="str">
        <f>_xlfn.XLOOKUP(Master[[#This Row],[cu_id]],'[1]Customer Revenue'!$Q:$Q,'[1]Customer Revenue'!$I:$I, "None")</f>
        <v>None</v>
      </c>
      <c r="AL525" s="53">
        <v>18.922142857142852</v>
      </c>
      <c r="AM525" s="61">
        <v>0.375</v>
      </c>
      <c r="AN525" s="60">
        <v>0.58333333333333337</v>
      </c>
      <c r="AO525" s="60" t="s">
        <v>36</v>
      </c>
      <c r="AP525" s="60" t="s">
        <v>36</v>
      </c>
      <c r="AQ525" s="58" t="s">
        <v>0</v>
      </c>
      <c r="AR525" s="58"/>
      <c r="AS525" s="58"/>
      <c r="AT525" s="52">
        <v>0</v>
      </c>
      <c r="AU525" s="52">
        <f>IF(Master[[#This Row],[RSP StopTime override]] &lt;&gt; "",Master[[#This Row],[RSP StopTime override]],IF(Master[[#This Row],[Avg stop time helper]] &lt;&gt; 0, Master[[#This Row],[Avg stop time helper]],Average_Stop_Time))</f>
        <v>10</v>
      </c>
      <c r="AV525" s="21">
        <v>10</v>
      </c>
      <c r="AW525" s="20">
        <f>Master[[#This Row],[RSP StopTime override]]-Master[[#This Row],[Avg stop time helper]]</f>
        <v>10</v>
      </c>
    </row>
    <row r="526" spans="1:49" x14ac:dyDescent="0.3">
      <c r="A526" s="66" t="s">
        <v>4603</v>
      </c>
      <c r="B526" s="58">
        <v>50</v>
      </c>
      <c r="C526" s="58" t="s">
        <v>24</v>
      </c>
      <c r="D526" s="65">
        <v>806710</v>
      </c>
      <c r="E526" s="65" t="s">
        <v>42</v>
      </c>
      <c r="F526" s="65" t="s">
        <v>2497</v>
      </c>
      <c r="G526" s="65" t="s">
        <v>2496</v>
      </c>
      <c r="H526" s="65" t="s">
        <v>7</v>
      </c>
      <c r="I526" s="65" t="s">
        <v>1116</v>
      </c>
      <c r="J526" s="65" t="s">
        <v>5</v>
      </c>
      <c r="K526" s="65" t="s">
        <v>1115</v>
      </c>
      <c r="L526" s="64" t="s">
        <v>91</v>
      </c>
      <c r="M526" s="58" t="s">
        <v>90</v>
      </c>
      <c r="N526" s="58" t="s">
        <v>2</v>
      </c>
      <c r="O526" s="58">
        <v>82</v>
      </c>
      <c r="P526" s="58">
        <v>82</v>
      </c>
      <c r="Q526" s="58">
        <v>0</v>
      </c>
      <c r="R526" s="58">
        <v>0</v>
      </c>
      <c r="S526" s="58">
        <v>0</v>
      </c>
      <c r="T526" s="58">
        <v>0</v>
      </c>
      <c r="U526" s="58">
        <v>20</v>
      </c>
      <c r="V526" s="62"/>
      <c r="W526" s="62"/>
      <c r="X526" s="63">
        <f>IFERROR(1 -(Master[[#This Row],[Avg Garment Scans per Delivery]]/Master[[#This Row],[Garment Inventory]]), 0)</f>
        <v>0</v>
      </c>
      <c r="Y526" s="62"/>
      <c r="Z526" s="62"/>
      <c r="AA526" s="53">
        <v>56.31428571428571</v>
      </c>
      <c r="AB526" s="53">
        <v>58.16571428571428</v>
      </c>
      <c r="AC526" s="53">
        <v>53.407777777777781</v>
      </c>
      <c r="AD526" s="53">
        <v>71.825555555555567</v>
      </c>
      <c r="AE526" s="53" t="str">
        <f>_xlfn.XLOOKUP(Master[[#This Row],[cu_id]],'[1]Customer Revenue'!$Q:$Q,'[1]Customer Revenue'!$K:$K, "None")</f>
        <v>None</v>
      </c>
      <c r="AF526" s="53" t="str">
        <f>_xlfn.XLOOKUP(Master[[#This Row],[cu_id]],'[1]Customer Revenue'!$Q:$Q,'[1]Customer Revenue'!$L:$L, "None")</f>
        <v>None</v>
      </c>
      <c r="AG526" s="53">
        <v>51.898775510204075</v>
      </c>
      <c r="AH526" s="53">
        <v>61.098367346938758</v>
      </c>
      <c r="AI526" s="53">
        <v>57.239999999999995</v>
      </c>
      <c r="AJ526" s="53">
        <v>62.616666666666674</v>
      </c>
      <c r="AK526" s="53" t="str">
        <f>_xlfn.XLOOKUP(Master[[#This Row],[cu_id]],'[1]Customer Revenue'!$Q:$Q,'[1]Customer Revenue'!$I:$I, "None")</f>
        <v>None</v>
      </c>
      <c r="AL526" s="53">
        <v>56.498571428571417</v>
      </c>
      <c r="AM526" s="61">
        <v>0.375</v>
      </c>
      <c r="AN526" s="60">
        <v>0.625</v>
      </c>
      <c r="AO526" s="60" t="s">
        <v>36</v>
      </c>
      <c r="AP526" s="60" t="s">
        <v>36</v>
      </c>
      <c r="AQ526" s="58" t="s">
        <v>2495</v>
      </c>
      <c r="AR526" s="58"/>
      <c r="AS526" s="58"/>
      <c r="AT526" s="52">
        <v>0</v>
      </c>
      <c r="AU526" s="52">
        <f>IF(Master[[#This Row],[RSP StopTime override]] &lt;&gt; "",Master[[#This Row],[RSP StopTime override]],IF(Master[[#This Row],[Avg stop time helper]] &lt;&gt; 0, Master[[#This Row],[Avg stop time helper]],Average_Stop_Time))</f>
        <v>3</v>
      </c>
      <c r="AV526" s="21">
        <v>3</v>
      </c>
      <c r="AW526" s="20">
        <f>Master[[#This Row],[RSP StopTime override]]-Master[[#This Row],[Avg stop time helper]]</f>
        <v>3</v>
      </c>
    </row>
    <row r="527" spans="1:49" x14ac:dyDescent="0.3">
      <c r="A527" s="66" t="s">
        <v>4604</v>
      </c>
      <c r="B527" s="58">
        <v>50</v>
      </c>
      <c r="C527" s="58" t="s">
        <v>24</v>
      </c>
      <c r="D527" s="65">
        <v>806723</v>
      </c>
      <c r="E527" s="65" t="s">
        <v>42</v>
      </c>
      <c r="F527" s="65" t="s">
        <v>2494</v>
      </c>
      <c r="G527" s="65" t="s">
        <v>2493</v>
      </c>
      <c r="H527" s="65" t="s">
        <v>7</v>
      </c>
      <c r="I527" s="65" t="s">
        <v>126</v>
      </c>
      <c r="J527" s="65" t="s">
        <v>5</v>
      </c>
      <c r="K527" s="65" t="s">
        <v>164</v>
      </c>
      <c r="L527" s="64" t="s">
        <v>77</v>
      </c>
      <c r="M527" s="58" t="s">
        <v>29</v>
      </c>
      <c r="N527" s="58" t="s">
        <v>2</v>
      </c>
      <c r="O527" s="58">
        <v>55</v>
      </c>
      <c r="P527" s="58">
        <v>55</v>
      </c>
      <c r="Q527" s="58">
        <v>0</v>
      </c>
      <c r="R527" s="58">
        <v>0</v>
      </c>
      <c r="S527" s="58">
        <v>0</v>
      </c>
      <c r="T527" s="58">
        <v>0</v>
      </c>
      <c r="U527" s="58">
        <v>16</v>
      </c>
      <c r="V527" s="62"/>
      <c r="W527" s="62"/>
      <c r="X527" s="63">
        <f>IFERROR(1 -(Master[[#This Row],[Avg Garment Scans per Delivery]]/Master[[#This Row],[Garment Inventory]]), 0)</f>
        <v>0</v>
      </c>
      <c r="Y527" s="62"/>
      <c r="Z527" s="62"/>
      <c r="AA527" s="53">
        <v>35.453333333333333</v>
      </c>
      <c r="AB527" s="53">
        <v>36.286666666666662</v>
      </c>
      <c r="AC527" s="53">
        <v>19.434693877551023</v>
      </c>
      <c r="AD527" s="53">
        <v>32.296734693877553</v>
      </c>
      <c r="AE527" s="53" t="str">
        <f>_xlfn.XLOOKUP(Master[[#This Row],[cu_id]],'[1]Customer Revenue'!$Q:$Q,'[1]Customer Revenue'!$K:$K, "None")</f>
        <v>None</v>
      </c>
      <c r="AF527" s="53" t="str">
        <f>_xlfn.XLOOKUP(Master[[#This Row],[cu_id]],'[1]Customer Revenue'!$Q:$Q,'[1]Customer Revenue'!$L:$L, "None")</f>
        <v>None</v>
      </c>
      <c r="AG527" s="53">
        <v>28.876666666666672</v>
      </c>
      <c r="AH527" s="53">
        <v>37.493333333333332</v>
      </c>
      <c r="AI527" s="53">
        <v>35.869999999999997</v>
      </c>
      <c r="AJ527" s="53">
        <v>25.865714285714287</v>
      </c>
      <c r="AK527" s="53" t="str">
        <f>_xlfn.XLOOKUP(Master[[#This Row],[cu_id]],'[1]Customer Revenue'!$Q:$Q,'[1]Customer Revenue'!$I:$I, "None")</f>
        <v>None</v>
      </c>
      <c r="AL527" s="53">
        <v>33.185000000000002</v>
      </c>
      <c r="AM527" s="61">
        <v>0.375</v>
      </c>
      <c r="AN527" s="60">
        <v>0.625</v>
      </c>
      <c r="AO527" s="60" t="s">
        <v>36</v>
      </c>
      <c r="AP527" s="60" t="s">
        <v>36</v>
      </c>
      <c r="AQ527" s="58" t="s">
        <v>0</v>
      </c>
      <c r="AR527" s="58"/>
      <c r="AS527" s="58"/>
      <c r="AT527" s="52">
        <v>0</v>
      </c>
      <c r="AU527" s="52">
        <f>IF(Master[[#This Row],[RSP StopTime override]] &lt;&gt; "",Master[[#This Row],[RSP StopTime override]],IF(Master[[#This Row],[Avg stop time helper]] &lt;&gt; 0, Master[[#This Row],[Avg stop time helper]],Average_Stop_Time))</f>
        <v>4</v>
      </c>
      <c r="AV527" s="21">
        <v>4</v>
      </c>
      <c r="AW527" s="20">
        <f>Master[[#This Row],[RSP StopTime override]]-Master[[#This Row],[Avg stop time helper]]</f>
        <v>4</v>
      </c>
    </row>
    <row r="528" spans="1:49" x14ac:dyDescent="0.3">
      <c r="A528" s="66" t="s">
        <v>4605</v>
      </c>
      <c r="B528" s="58">
        <v>50</v>
      </c>
      <c r="C528" s="58" t="s">
        <v>24</v>
      </c>
      <c r="D528" s="65">
        <v>806724</v>
      </c>
      <c r="E528" s="65" t="s">
        <v>42</v>
      </c>
      <c r="F528" s="65" t="s">
        <v>2492</v>
      </c>
      <c r="G528" s="65" t="s">
        <v>2491</v>
      </c>
      <c r="H528" s="65" t="s">
        <v>7</v>
      </c>
      <c r="I528" s="65" t="s">
        <v>126</v>
      </c>
      <c r="J528" s="65" t="s">
        <v>5</v>
      </c>
      <c r="K528" s="65" t="s">
        <v>164</v>
      </c>
      <c r="L528" s="64" t="s">
        <v>206</v>
      </c>
      <c r="M528" s="58" t="s">
        <v>205</v>
      </c>
      <c r="N528" s="58" t="s">
        <v>2</v>
      </c>
      <c r="O528" s="58">
        <v>25</v>
      </c>
      <c r="P528" s="58">
        <v>25</v>
      </c>
      <c r="Q528" s="58">
        <v>0</v>
      </c>
      <c r="R528" s="58">
        <v>0</v>
      </c>
      <c r="S528" s="58">
        <v>0</v>
      </c>
      <c r="T528" s="58">
        <v>0</v>
      </c>
      <c r="U528" s="58">
        <v>10</v>
      </c>
      <c r="V528" s="62"/>
      <c r="W528" s="62"/>
      <c r="X528" s="63">
        <f>IFERROR(1 -(Master[[#This Row],[Avg Garment Scans per Delivery]]/Master[[#This Row],[Garment Inventory]]), 0)</f>
        <v>0</v>
      </c>
      <c r="Y528" s="62"/>
      <c r="Z528" s="62"/>
      <c r="AA528" s="53">
        <v>53.03</v>
      </c>
      <c r="AB528" s="53">
        <v>53.03</v>
      </c>
      <c r="AC528" s="53">
        <v>54.337499999999999</v>
      </c>
      <c r="AD528" s="53">
        <v>55.4925</v>
      </c>
      <c r="AE528" s="53" t="str">
        <f>_xlfn.XLOOKUP(Master[[#This Row],[cu_id]],'[1]Customer Revenue'!$Q:$Q,'[1]Customer Revenue'!$K:$K, "None")</f>
        <v>None</v>
      </c>
      <c r="AF528" s="53" t="str">
        <f>_xlfn.XLOOKUP(Master[[#This Row],[cu_id]],'[1]Customer Revenue'!$Q:$Q,'[1]Customer Revenue'!$L:$L, "None")</f>
        <v>None</v>
      </c>
      <c r="AG528" s="53">
        <v>53.029999999999987</v>
      </c>
      <c r="AH528" s="53">
        <v>53.03</v>
      </c>
      <c r="AI528" s="53">
        <v>53.03</v>
      </c>
      <c r="AJ528" s="53">
        <v>54.914999999999999</v>
      </c>
      <c r="AK528" s="53" t="str">
        <f>_xlfn.XLOOKUP(Master[[#This Row],[cu_id]],'[1]Customer Revenue'!$Q:$Q,'[1]Customer Revenue'!$I:$I, "None")</f>
        <v>None</v>
      </c>
      <c r="AL528" s="53">
        <v>53.029999999999994</v>
      </c>
      <c r="AM528" s="61">
        <v>0.375</v>
      </c>
      <c r="AN528" s="60">
        <v>0.91666666666666663</v>
      </c>
      <c r="AO528" s="60" t="s">
        <v>36</v>
      </c>
      <c r="AP528" s="60" t="s">
        <v>36</v>
      </c>
      <c r="AQ528" s="58" t="s">
        <v>0</v>
      </c>
      <c r="AR528" s="58"/>
      <c r="AS528" s="58"/>
      <c r="AT528" s="52">
        <v>0</v>
      </c>
      <c r="AU528" s="52">
        <f>IF(Master[[#This Row],[RSP StopTime override]] &lt;&gt; "",Master[[#This Row],[RSP StopTime override]],IF(Master[[#This Row],[Avg stop time helper]] &lt;&gt; 0, Master[[#This Row],[Avg stop time helper]],Average_Stop_Time))</f>
        <v>2</v>
      </c>
      <c r="AV528" s="21">
        <v>2</v>
      </c>
      <c r="AW528" s="20">
        <f>Master[[#This Row],[RSP StopTime override]]-Master[[#This Row],[Avg stop time helper]]</f>
        <v>2</v>
      </c>
    </row>
    <row r="529" spans="1:49" x14ac:dyDescent="0.3">
      <c r="A529" s="66" t="s">
        <v>4606</v>
      </c>
      <c r="B529" s="58">
        <v>50</v>
      </c>
      <c r="C529" s="58" t="s">
        <v>24</v>
      </c>
      <c r="D529" s="65">
        <v>806777</v>
      </c>
      <c r="E529" s="65" t="s">
        <v>42</v>
      </c>
      <c r="F529" s="65" t="s">
        <v>2490</v>
      </c>
      <c r="G529" s="65" t="s">
        <v>2489</v>
      </c>
      <c r="H529" s="65" t="s">
        <v>7</v>
      </c>
      <c r="I529" s="65" t="s">
        <v>126</v>
      </c>
      <c r="J529" s="65" t="s">
        <v>5</v>
      </c>
      <c r="K529" s="65" t="s">
        <v>164</v>
      </c>
      <c r="L529" s="64" t="s">
        <v>91</v>
      </c>
      <c r="M529" s="58" t="s">
        <v>90</v>
      </c>
      <c r="N529" s="58" t="s">
        <v>2</v>
      </c>
      <c r="O529" s="58">
        <v>60</v>
      </c>
      <c r="P529" s="58">
        <v>60</v>
      </c>
      <c r="Q529" s="58">
        <v>0</v>
      </c>
      <c r="R529" s="58">
        <v>0</v>
      </c>
      <c r="S529" s="58">
        <v>0</v>
      </c>
      <c r="T529" s="58">
        <v>0</v>
      </c>
      <c r="U529" s="58">
        <v>10</v>
      </c>
      <c r="V529" s="62"/>
      <c r="W529" s="62"/>
      <c r="X529" s="63">
        <f>IFERROR(1 -(Master[[#This Row],[Avg Garment Scans per Delivery]]/Master[[#This Row],[Garment Inventory]]), 0)</f>
        <v>0</v>
      </c>
      <c r="Y529" s="62"/>
      <c r="Z529" s="62"/>
      <c r="AA529" s="53">
        <v>12.685714285714287</v>
      </c>
      <c r="AB529" s="53">
        <v>20.914285714285715</v>
      </c>
      <c r="AC529" s="53">
        <v>10</v>
      </c>
      <c r="AD529" s="53">
        <v>10</v>
      </c>
      <c r="AE529" s="53" t="str">
        <f>_xlfn.XLOOKUP(Master[[#This Row],[cu_id]],'[1]Customer Revenue'!$Q:$Q,'[1]Customer Revenue'!$K:$K, "None")</f>
        <v>None</v>
      </c>
      <c r="AF529" s="53" t="str">
        <f>_xlfn.XLOOKUP(Master[[#This Row],[cu_id]],'[1]Customer Revenue'!$Q:$Q,'[1]Customer Revenue'!$L:$L, "None")</f>
        <v>None</v>
      </c>
      <c r="AG529" s="53">
        <v>9.824489795918371</v>
      </c>
      <c r="AH529" s="53">
        <v>23.375510204081632</v>
      </c>
      <c r="AI529" s="53">
        <v>16.8</v>
      </c>
      <c r="AJ529" s="53">
        <v>10</v>
      </c>
      <c r="AK529" s="53" t="str">
        <f>_xlfn.XLOOKUP(Master[[#This Row],[cu_id]],'[1]Customer Revenue'!$Q:$Q,'[1]Customer Revenue'!$I:$I, "None")</f>
        <v>None</v>
      </c>
      <c r="AL529" s="53">
        <v>16.600000000000001</v>
      </c>
      <c r="AM529" s="61">
        <v>0.375</v>
      </c>
      <c r="AN529" s="60">
        <v>0.91666666666666663</v>
      </c>
      <c r="AO529" s="60" t="s">
        <v>36</v>
      </c>
      <c r="AP529" s="60" t="s">
        <v>36</v>
      </c>
      <c r="AQ529" s="58" t="s">
        <v>0</v>
      </c>
      <c r="AR529" s="58"/>
      <c r="AS529" s="58"/>
      <c r="AT529" s="52">
        <v>0</v>
      </c>
      <c r="AU529" s="52">
        <f>IF(Master[[#This Row],[RSP StopTime override]] &lt;&gt; "",Master[[#This Row],[RSP StopTime override]],IF(Master[[#This Row],[Avg stop time helper]] &lt;&gt; 0, Master[[#This Row],[Avg stop time helper]],Average_Stop_Time))</f>
        <v>7</v>
      </c>
      <c r="AV529" s="21">
        <v>7</v>
      </c>
      <c r="AW529" s="20">
        <f>Master[[#This Row],[RSP StopTime override]]-Master[[#This Row],[Avg stop time helper]]</f>
        <v>7</v>
      </c>
    </row>
    <row r="530" spans="1:49" x14ac:dyDescent="0.3">
      <c r="A530" s="66" t="s">
        <v>2536</v>
      </c>
      <c r="B530" s="58">
        <v>12</v>
      </c>
      <c r="C530" s="58" t="s">
        <v>15</v>
      </c>
      <c r="D530" s="65">
        <v>524081</v>
      </c>
      <c r="E530" s="65" t="s">
        <v>42</v>
      </c>
      <c r="F530" s="65" t="s">
        <v>56</v>
      </c>
      <c r="G530" s="65" t="s">
        <v>55</v>
      </c>
      <c r="H530" s="65" t="s">
        <v>32</v>
      </c>
      <c r="I530" s="65" t="s">
        <v>54</v>
      </c>
      <c r="J530" s="65" t="s">
        <v>5</v>
      </c>
      <c r="K530" s="65" t="s">
        <v>53</v>
      </c>
      <c r="L530" s="64" t="s">
        <v>37</v>
      </c>
      <c r="M530" s="58" t="s">
        <v>3</v>
      </c>
      <c r="N530" s="58" t="s">
        <v>2</v>
      </c>
      <c r="O530" s="58">
        <v>23</v>
      </c>
      <c r="P530" s="58">
        <v>23</v>
      </c>
      <c r="Q530" s="58">
        <v>0</v>
      </c>
      <c r="R530" s="58">
        <v>23</v>
      </c>
      <c r="S530" s="58">
        <v>0</v>
      </c>
      <c r="T530" s="58">
        <v>20</v>
      </c>
      <c r="U530" s="58">
        <v>231</v>
      </c>
      <c r="V530" s="62"/>
      <c r="W530" s="62"/>
      <c r="X530" s="63">
        <f>IFERROR(1 -(Master[[#This Row],[Avg Garment Scans per Delivery]]/Master[[#This Row],[Garment Inventory]]), 0)</f>
        <v>0</v>
      </c>
      <c r="Y530" s="62"/>
      <c r="Z530" s="62"/>
      <c r="AA530" s="53">
        <v>145.40916666666666</v>
      </c>
      <c r="AB530" s="53">
        <v>424.38083333333327</v>
      </c>
      <c r="AC530" s="53">
        <v>558.04733727810651</v>
      </c>
      <c r="AD530" s="53">
        <v>1823.3618934911242</v>
      </c>
      <c r="AE530" s="53">
        <v>635.94000000000005</v>
      </c>
      <c r="AF530" s="53">
        <v>1617.68</v>
      </c>
      <c r="AG530" s="53">
        <v>208.8124297337277</v>
      </c>
      <c r="AH530" s="53">
        <v>747.47882026627235</v>
      </c>
      <c r="AI530" s="53">
        <v>284.89499999999998</v>
      </c>
      <c r="AJ530" s="53">
        <v>1190.7046153846154</v>
      </c>
      <c r="AK530" s="53">
        <v>1127</v>
      </c>
      <c r="AL530" s="53">
        <v>478.145625</v>
      </c>
      <c r="AM530" s="61">
        <v>0.29166666666666669</v>
      </c>
      <c r="AN530" s="60">
        <v>0.70833333333333337</v>
      </c>
      <c r="AO530" s="60" t="s">
        <v>36</v>
      </c>
      <c r="AP530" s="60" t="s">
        <v>36</v>
      </c>
      <c r="AQ530" s="58" t="s">
        <v>0</v>
      </c>
      <c r="AR530" s="58"/>
      <c r="AS530" s="58"/>
      <c r="AT530" s="52">
        <v>0</v>
      </c>
      <c r="AU530" s="52" t="e">
        <f>IF(Master[[#This Row],[RSP StopTime override]] &lt;&gt; "",Master[[#This Row],[RSP StopTime override]],IF(Master[[#This Row],[Avg stop time helper]] &lt;&gt; 0, Master[[#This Row],[Avg stop time helper]],Average_Stop_Time))</f>
        <v>#DIV/0!</v>
      </c>
      <c r="AV530" s="21"/>
      <c r="AW530" s="20">
        <f>Master[[#This Row],[RSP StopTime override]]-Master[[#This Row],[Avg stop time helper]]</f>
        <v>0</v>
      </c>
    </row>
    <row r="531" spans="1:49" x14ac:dyDescent="0.3">
      <c r="A531" s="66" t="s">
        <v>4607</v>
      </c>
      <c r="B531" s="58">
        <v>50</v>
      </c>
      <c r="C531" s="58" t="s">
        <v>24</v>
      </c>
      <c r="D531" s="65">
        <v>807701</v>
      </c>
      <c r="E531" s="65" t="s">
        <v>42</v>
      </c>
      <c r="F531" s="65" t="s">
        <v>2485</v>
      </c>
      <c r="G531" s="65" t="s">
        <v>2484</v>
      </c>
      <c r="H531" s="65" t="s">
        <v>7</v>
      </c>
      <c r="I531" s="65" t="s">
        <v>1116</v>
      </c>
      <c r="J531" s="65" t="s">
        <v>5</v>
      </c>
      <c r="K531" s="65" t="s">
        <v>1115</v>
      </c>
      <c r="L531" s="64" t="s">
        <v>67</v>
      </c>
      <c r="M531" s="58" t="s">
        <v>3</v>
      </c>
      <c r="N531" s="58" t="s">
        <v>2</v>
      </c>
      <c r="O531" s="58">
        <v>80</v>
      </c>
      <c r="P531" s="58">
        <v>80</v>
      </c>
      <c r="Q531" s="58">
        <v>0</v>
      </c>
      <c r="R531" s="58">
        <v>0</v>
      </c>
      <c r="S531" s="58">
        <v>0</v>
      </c>
      <c r="T531" s="58">
        <v>0</v>
      </c>
      <c r="U531" s="58">
        <v>45</v>
      </c>
      <c r="V531" s="62">
        <v>203</v>
      </c>
      <c r="W531" s="62">
        <v>10</v>
      </c>
      <c r="X531" s="63">
        <f>IFERROR(1 -(Master[[#This Row],[Avg Garment Scans per Delivery]]/Master[[#This Row],[Garment Inventory]]), 0)</f>
        <v>0.95073891625615758</v>
      </c>
      <c r="Y531" s="62">
        <v>9</v>
      </c>
      <c r="Z531" s="62">
        <v>125</v>
      </c>
      <c r="AA531" s="53">
        <v>169.61244897959185</v>
      </c>
      <c r="AB531" s="53">
        <v>196.44183673469379</v>
      </c>
      <c r="AC531" s="53">
        <v>127.04929356357933</v>
      </c>
      <c r="AD531" s="53">
        <v>263.79378335949764</v>
      </c>
      <c r="AE531" s="53" t="str">
        <f>_xlfn.XLOOKUP(Master[[#This Row],[cu_id]],'[1]Customer Revenue'!$Q:$Q,'[1]Customer Revenue'!$K:$K, "None")</f>
        <v>None</v>
      </c>
      <c r="AF531" s="53" t="str">
        <f>_xlfn.XLOOKUP(Master[[#This Row],[cu_id]],'[1]Customer Revenue'!$Q:$Q,'[1]Customer Revenue'!$L:$L, "None")</f>
        <v>None</v>
      </c>
      <c r="AG531" s="53">
        <v>72.085522083000114</v>
      </c>
      <c r="AH531" s="53">
        <v>608.77125211054829</v>
      </c>
      <c r="AI531" s="53">
        <v>183.02714285714282</v>
      </c>
      <c r="AJ531" s="53">
        <v>195.42153846153849</v>
      </c>
      <c r="AK531" s="53" t="str">
        <f>_xlfn.XLOOKUP(Master[[#This Row],[cu_id]],'[1]Customer Revenue'!$Q:$Q,'[1]Customer Revenue'!$I:$I, "None")</f>
        <v>None</v>
      </c>
      <c r="AL531" s="53">
        <v>340.4283870967742</v>
      </c>
      <c r="AM531" s="61">
        <v>0.33333333333333331</v>
      </c>
      <c r="AN531" s="60">
        <v>0.625</v>
      </c>
      <c r="AO531" s="60" t="s">
        <v>36</v>
      </c>
      <c r="AP531" s="60" t="s">
        <v>36</v>
      </c>
      <c r="AQ531" s="58" t="s">
        <v>0</v>
      </c>
      <c r="AR531" s="58"/>
      <c r="AS531" s="58"/>
      <c r="AT531" s="52">
        <v>0</v>
      </c>
      <c r="AU531" s="52">
        <f>IF(Master[[#This Row],[RSP StopTime override]] &lt;&gt; "",Master[[#This Row],[RSP StopTime override]],IF(Master[[#This Row],[Avg stop time helper]] &lt;&gt; 0, Master[[#This Row],[Avg stop time helper]],Average_Stop_Time))</f>
        <v>17</v>
      </c>
      <c r="AV531" s="21">
        <v>17</v>
      </c>
      <c r="AW531" s="20">
        <f>Master[[#This Row],[RSP StopTime override]]-Master[[#This Row],[Avg stop time helper]]</f>
        <v>17</v>
      </c>
    </row>
    <row r="532" spans="1:49" x14ac:dyDescent="0.3">
      <c r="A532" s="66" t="s">
        <v>4608</v>
      </c>
      <c r="B532" s="58">
        <v>50</v>
      </c>
      <c r="C532" s="58" t="s">
        <v>24</v>
      </c>
      <c r="D532" s="65">
        <v>808022</v>
      </c>
      <c r="E532" s="65" t="s">
        <v>42</v>
      </c>
      <c r="F532" s="65" t="s">
        <v>2483</v>
      </c>
      <c r="G532" s="65" t="s">
        <v>2482</v>
      </c>
      <c r="H532" s="65" t="s">
        <v>7</v>
      </c>
      <c r="I532" s="65" t="s">
        <v>6</v>
      </c>
      <c r="J532" s="65" t="s">
        <v>5</v>
      </c>
      <c r="K532" s="65" t="s">
        <v>1115</v>
      </c>
      <c r="L532" s="64" t="s">
        <v>67</v>
      </c>
      <c r="M532" s="58" t="s">
        <v>3</v>
      </c>
      <c r="N532" s="58" t="s">
        <v>2</v>
      </c>
      <c r="O532" s="58">
        <v>118</v>
      </c>
      <c r="P532" s="58">
        <v>118</v>
      </c>
      <c r="Q532" s="58">
        <v>0</v>
      </c>
      <c r="R532" s="58">
        <v>0</v>
      </c>
      <c r="S532" s="58">
        <v>0</v>
      </c>
      <c r="T532" s="58">
        <v>0</v>
      </c>
      <c r="U532" s="58">
        <v>40</v>
      </c>
      <c r="V532" s="62">
        <v>0</v>
      </c>
      <c r="W532" s="62">
        <v>0</v>
      </c>
      <c r="X532" s="63">
        <f>IFERROR(1 -(Master[[#This Row],[Avg Garment Scans per Delivery]]/Master[[#This Row],[Garment Inventory]]), 0)</f>
        <v>0</v>
      </c>
      <c r="Y532" s="62">
        <v>1</v>
      </c>
      <c r="Z532" s="62">
        <v>16</v>
      </c>
      <c r="AA532" s="53">
        <v>76.54378698224852</v>
      </c>
      <c r="AB532" s="53">
        <v>104.29005917159765</v>
      </c>
      <c r="AC532" s="53">
        <v>86.994674556213027</v>
      </c>
      <c r="AD532" s="53">
        <v>109.78686390532545</v>
      </c>
      <c r="AE532" s="53" t="str">
        <f>_xlfn.XLOOKUP(Master[[#This Row],[cu_id]],'[1]Customer Revenue'!$Q:$Q,'[1]Customer Revenue'!$K:$K, "None")</f>
        <v>None</v>
      </c>
      <c r="AF532" s="53" t="str">
        <f>_xlfn.XLOOKUP(Master[[#This Row],[cu_id]],'[1]Customer Revenue'!$Q:$Q,'[1]Customer Revenue'!$L:$L, "None")</f>
        <v>None</v>
      </c>
      <c r="AG532" s="53">
        <v>76.420325443786979</v>
      </c>
      <c r="AH532" s="53">
        <v>106.26352071005915</v>
      </c>
      <c r="AI532" s="53">
        <v>90.416923076923084</v>
      </c>
      <c r="AJ532" s="53">
        <v>98.390769230769237</v>
      </c>
      <c r="AK532" s="53" t="str">
        <f>_xlfn.XLOOKUP(Master[[#This Row],[cu_id]],'[1]Customer Revenue'!$Q:$Q,'[1]Customer Revenue'!$I:$I, "None")</f>
        <v>None</v>
      </c>
      <c r="AL532" s="53">
        <v>91.341923076923067</v>
      </c>
      <c r="AM532" s="61">
        <v>0.375</v>
      </c>
      <c r="AN532" s="60">
        <v>0.66666666666666663</v>
      </c>
      <c r="AO532" s="60" t="s">
        <v>36</v>
      </c>
      <c r="AP532" s="60" t="s">
        <v>36</v>
      </c>
      <c r="AQ532" s="58" t="s">
        <v>0</v>
      </c>
      <c r="AR532" s="58"/>
      <c r="AS532" s="58"/>
      <c r="AT532" s="52">
        <v>0</v>
      </c>
      <c r="AU532" s="52">
        <f>IF(Master[[#This Row],[RSP StopTime override]] &lt;&gt; "",Master[[#This Row],[RSP StopTime override]],IF(Master[[#This Row],[Avg stop time helper]] &lt;&gt; 0, Master[[#This Row],[Avg stop time helper]],Average_Stop_Time))</f>
        <v>9</v>
      </c>
      <c r="AV532" s="21">
        <v>9</v>
      </c>
      <c r="AW532" s="20">
        <f>Master[[#This Row],[RSP StopTime override]]-Master[[#This Row],[Avg stop time helper]]</f>
        <v>9</v>
      </c>
    </row>
    <row r="533" spans="1:49" x14ac:dyDescent="0.3">
      <c r="A533" s="66" t="s">
        <v>4609</v>
      </c>
      <c r="B533" s="58">
        <v>50</v>
      </c>
      <c r="C533" s="58" t="s">
        <v>24</v>
      </c>
      <c r="D533" s="65">
        <v>808440</v>
      </c>
      <c r="E533" s="65" t="s">
        <v>42</v>
      </c>
      <c r="F533" s="65" t="s">
        <v>2481</v>
      </c>
      <c r="G533" s="65" t="s">
        <v>2480</v>
      </c>
      <c r="H533" s="65" t="s">
        <v>7</v>
      </c>
      <c r="I533" s="65" t="s">
        <v>1116</v>
      </c>
      <c r="J533" s="65" t="s">
        <v>5</v>
      </c>
      <c r="K533" s="65" t="s">
        <v>1115</v>
      </c>
      <c r="L533" s="64" t="s">
        <v>67</v>
      </c>
      <c r="M533" s="58" t="s">
        <v>3</v>
      </c>
      <c r="N533" s="58" t="s">
        <v>2</v>
      </c>
      <c r="O533" s="58">
        <v>119</v>
      </c>
      <c r="P533" s="58">
        <v>119</v>
      </c>
      <c r="Q533" s="58">
        <v>0</v>
      </c>
      <c r="R533" s="58">
        <v>0</v>
      </c>
      <c r="S533" s="58">
        <v>0</v>
      </c>
      <c r="T533" s="58">
        <v>0</v>
      </c>
      <c r="U533" s="58">
        <v>38</v>
      </c>
      <c r="V533" s="62"/>
      <c r="W533" s="62"/>
      <c r="X533" s="63">
        <f>IFERROR(1 -(Master[[#This Row],[Avg Garment Scans per Delivery]]/Master[[#This Row],[Garment Inventory]]), 0)</f>
        <v>0</v>
      </c>
      <c r="Y533" s="62"/>
      <c r="Z533" s="62"/>
      <c r="AA533" s="53">
        <v>28.329747175901019</v>
      </c>
      <c r="AB533" s="53">
        <v>48.273889187735335</v>
      </c>
      <c r="AC533" s="53">
        <v>34.385798816568048</v>
      </c>
      <c r="AD533" s="53">
        <v>44.192662721893491</v>
      </c>
      <c r="AE533" s="53" t="str">
        <f>_xlfn.XLOOKUP(Master[[#This Row],[cu_id]],'[1]Customer Revenue'!$Q:$Q,'[1]Customer Revenue'!$K:$K, "None")</f>
        <v>None</v>
      </c>
      <c r="AF533" s="53" t="str">
        <f>_xlfn.XLOOKUP(Master[[#This Row],[cu_id]],'[1]Customer Revenue'!$Q:$Q,'[1]Customer Revenue'!$L:$L, "None")</f>
        <v>None</v>
      </c>
      <c r="AG533" s="53">
        <v>31.515073964497038</v>
      </c>
      <c r="AH533" s="53">
        <v>44.019926035502948</v>
      </c>
      <c r="AI533" s="53">
        <v>38.301818181818177</v>
      </c>
      <c r="AJ533" s="53">
        <v>39.28923076923077</v>
      </c>
      <c r="AK533" s="53" t="str">
        <f>_xlfn.XLOOKUP(Master[[#This Row],[cu_id]],'[1]Customer Revenue'!$Q:$Q,'[1]Customer Revenue'!$I:$I, "None")</f>
        <v>None</v>
      </c>
      <c r="AL533" s="53">
        <v>37.767499999999991</v>
      </c>
      <c r="AM533" s="61">
        <v>0.375</v>
      </c>
      <c r="AN533" s="60">
        <v>0.70833333333333337</v>
      </c>
      <c r="AO533" s="60" t="s">
        <v>36</v>
      </c>
      <c r="AP533" s="60" t="s">
        <v>36</v>
      </c>
      <c r="AQ533" s="58" t="s">
        <v>0</v>
      </c>
      <c r="AR533" s="58"/>
      <c r="AS533" s="58"/>
      <c r="AT533" s="52">
        <v>0</v>
      </c>
      <c r="AU533" s="52">
        <f>IF(Master[[#This Row],[RSP StopTime override]] &lt;&gt; "",Master[[#This Row],[RSP StopTime override]],IF(Master[[#This Row],[Avg stop time helper]] &lt;&gt; 0, Master[[#This Row],[Avg stop time helper]],Average_Stop_Time))</f>
        <v>10</v>
      </c>
      <c r="AV533" s="21">
        <v>10</v>
      </c>
      <c r="AW533" s="20">
        <f>Master[[#This Row],[RSP StopTime override]]-Master[[#This Row],[Avg stop time helper]]</f>
        <v>10</v>
      </c>
    </row>
    <row r="534" spans="1:49" x14ac:dyDescent="0.3">
      <c r="A534" s="66" t="s">
        <v>4610</v>
      </c>
      <c r="B534" s="58">
        <v>50</v>
      </c>
      <c r="C534" s="58" t="s">
        <v>24</v>
      </c>
      <c r="D534" s="65">
        <v>808527</v>
      </c>
      <c r="E534" s="65" t="s">
        <v>42</v>
      </c>
      <c r="F534" s="65" t="s">
        <v>2479</v>
      </c>
      <c r="G534" s="65" t="s">
        <v>2478</v>
      </c>
      <c r="H534" s="65" t="s">
        <v>7</v>
      </c>
      <c r="I534" s="65" t="s">
        <v>1116</v>
      </c>
      <c r="J534" s="65" t="s">
        <v>5</v>
      </c>
      <c r="K534" s="65" t="s">
        <v>1115</v>
      </c>
      <c r="L534" s="64" t="s">
        <v>67</v>
      </c>
      <c r="M534" s="58" t="s">
        <v>3</v>
      </c>
      <c r="N534" s="58" t="s">
        <v>2</v>
      </c>
      <c r="O534" s="58">
        <v>81</v>
      </c>
      <c r="P534" s="58">
        <v>81</v>
      </c>
      <c r="Q534" s="58">
        <v>0</v>
      </c>
      <c r="R534" s="58">
        <v>0</v>
      </c>
      <c r="S534" s="58">
        <v>0</v>
      </c>
      <c r="T534" s="58">
        <v>0</v>
      </c>
      <c r="U534" s="58">
        <v>41</v>
      </c>
      <c r="V534" s="62"/>
      <c r="W534" s="62"/>
      <c r="X534" s="63">
        <f>IFERROR(1 -(Master[[#This Row],[Avg Garment Scans per Delivery]]/Master[[#This Row],[Garment Inventory]]), 0)</f>
        <v>0</v>
      </c>
      <c r="Y534" s="62"/>
      <c r="Z534" s="62"/>
      <c r="AA534" s="53">
        <v>77.894166666666663</v>
      </c>
      <c r="AB534" s="53">
        <v>99.335833333333355</v>
      </c>
      <c r="AC534" s="53">
        <v>78.057751479289934</v>
      </c>
      <c r="AD534" s="53">
        <v>79.369940828402363</v>
      </c>
      <c r="AE534" s="53" t="str">
        <f>_xlfn.XLOOKUP(Master[[#This Row],[cu_id]],'[1]Customer Revenue'!$Q:$Q,'[1]Customer Revenue'!$K:$K, "None")</f>
        <v>None</v>
      </c>
      <c r="AF534" s="53" t="str">
        <f>_xlfn.XLOOKUP(Master[[#This Row],[cu_id]],'[1]Customer Revenue'!$Q:$Q,'[1]Customer Revenue'!$L:$L, "None")</f>
        <v>None</v>
      </c>
      <c r="AG534" s="53">
        <v>65.740151946818642</v>
      </c>
      <c r="AH534" s="53">
        <v>94.241386514719849</v>
      </c>
      <c r="AI534" s="53">
        <v>88.615000000000009</v>
      </c>
      <c r="AJ534" s="53">
        <v>78.713846153846148</v>
      </c>
      <c r="AK534" s="53" t="str">
        <f>_xlfn.XLOOKUP(Master[[#This Row],[cu_id]],'[1]Customer Revenue'!$Q:$Q,'[1]Customer Revenue'!$I:$I, "None")</f>
        <v>None</v>
      </c>
      <c r="AL534" s="53">
        <v>79.990769230769246</v>
      </c>
      <c r="AM534" s="61">
        <v>0.375</v>
      </c>
      <c r="AN534" s="60">
        <v>0.54166666666666663</v>
      </c>
      <c r="AO534" s="60" t="s">
        <v>36</v>
      </c>
      <c r="AP534" s="60" t="s">
        <v>36</v>
      </c>
      <c r="AQ534" s="58" t="s">
        <v>0</v>
      </c>
      <c r="AR534" s="58"/>
      <c r="AS534" s="58"/>
      <c r="AT534" s="52">
        <v>0</v>
      </c>
      <c r="AU534" s="52">
        <f>IF(Master[[#This Row],[RSP StopTime override]] &lt;&gt; "",Master[[#This Row],[RSP StopTime override]],IF(Master[[#This Row],[Avg stop time helper]] &lt;&gt; 0, Master[[#This Row],[Avg stop time helper]],Average_Stop_Time))</f>
        <v>3</v>
      </c>
      <c r="AV534" s="21">
        <v>3</v>
      </c>
      <c r="AW534" s="20">
        <f>Master[[#This Row],[RSP StopTime override]]-Master[[#This Row],[Avg stop time helper]]</f>
        <v>3</v>
      </c>
    </row>
    <row r="535" spans="1:49" x14ac:dyDescent="0.3">
      <c r="A535" s="66" t="s">
        <v>4611</v>
      </c>
      <c r="B535" s="58">
        <v>50</v>
      </c>
      <c r="C535" s="58" t="s">
        <v>24</v>
      </c>
      <c r="D535" s="65">
        <v>808617</v>
      </c>
      <c r="E535" s="65" t="s">
        <v>42</v>
      </c>
      <c r="F535" s="65" t="s">
        <v>2477</v>
      </c>
      <c r="G535" s="65" t="s">
        <v>2476</v>
      </c>
      <c r="H535" s="65" t="s">
        <v>7</v>
      </c>
      <c r="I535" s="65" t="s">
        <v>169</v>
      </c>
      <c r="J535" s="65" t="s">
        <v>5</v>
      </c>
      <c r="K535" s="65" t="s">
        <v>115</v>
      </c>
      <c r="L535" s="64" t="s">
        <v>67</v>
      </c>
      <c r="M535" s="58" t="s">
        <v>3</v>
      </c>
      <c r="N535" s="58" t="s">
        <v>2</v>
      </c>
      <c r="O535" s="58">
        <v>120</v>
      </c>
      <c r="P535" s="58">
        <v>120</v>
      </c>
      <c r="Q535" s="58">
        <v>0</v>
      </c>
      <c r="R535" s="58">
        <v>0</v>
      </c>
      <c r="S535" s="58">
        <v>0</v>
      </c>
      <c r="T535" s="58">
        <v>0</v>
      </c>
      <c r="U535" s="58">
        <v>42</v>
      </c>
      <c r="V535" s="62">
        <v>77</v>
      </c>
      <c r="W535" s="62">
        <v>1</v>
      </c>
      <c r="X535" s="63">
        <f>IFERROR(1 -(Master[[#This Row],[Avg Garment Scans per Delivery]]/Master[[#This Row],[Garment Inventory]]), 0)</f>
        <v>0.98701298701298701</v>
      </c>
      <c r="Y535" s="62">
        <v>8</v>
      </c>
      <c r="Z535" s="62">
        <v>102</v>
      </c>
      <c r="AA535" s="53">
        <v>92.684097331240196</v>
      </c>
      <c r="AB535" s="53">
        <v>200.00205651491365</v>
      </c>
      <c r="AC535" s="53">
        <v>187.44497041420118</v>
      </c>
      <c r="AD535" s="53">
        <v>210.24118343195266</v>
      </c>
      <c r="AE535" s="53" t="str">
        <f>_xlfn.XLOOKUP(Master[[#This Row],[cu_id]],'[1]Customer Revenue'!$Q:$Q,'[1]Customer Revenue'!$K:$K, "None")</f>
        <v>None</v>
      </c>
      <c r="AF535" s="53" t="str">
        <f>_xlfn.XLOOKUP(Master[[#This Row],[cu_id]],'[1]Customer Revenue'!$Q:$Q,'[1]Customer Revenue'!$L:$L, "None")</f>
        <v>None</v>
      </c>
      <c r="AG535" s="53">
        <v>86.776729977841043</v>
      </c>
      <c r="AH535" s="53">
        <v>175.05557771446655</v>
      </c>
      <c r="AI535" s="53">
        <v>146.34307692307692</v>
      </c>
      <c r="AJ535" s="53">
        <v>198.84307692307692</v>
      </c>
      <c r="AK535" s="53" t="str">
        <f>_xlfn.XLOOKUP(Master[[#This Row],[cu_id]],'[1]Customer Revenue'!$Q:$Q,'[1]Customer Revenue'!$I:$I, "None")</f>
        <v>None</v>
      </c>
      <c r="AL535" s="53">
        <v>130.9161538461538</v>
      </c>
      <c r="AM535" s="61">
        <v>0.375</v>
      </c>
      <c r="AN535" s="60">
        <v>0.66666666666666663</v>
      </c>
      <c r="AO535" s="60" t="s">
        <v>36</v>
      </c>
      <c r="AP535" s="60" t="s">
        <v>36</v>
      </c>
      <c r="AQ535" s="58" t="s">
        <v>0</v>
      </c>
      <c r="AR535" s="58"/>
      <c r="AS535" s="58"/>
      <c r="AT535" s="52">
        <v>0</v>
      </c>
      <c r="AU535" s="52">
        <f>IF(Master[[#This Row],[RSP StopTime override]] &lt;&gt; "",Master[[#This Row],[RSP StopTime override]],IF(Master[[#This Row],[Avg stop time helper]] &lt;&gt; 0, Master[[#This Row],[Avg stop time helper]],Average_Stop_Time))</f>
        <v>19</v>
      </c>
      <c r="AV535" s="21">
        <v>19</v>
      </c>
      <c r="AW535" s="20">
        <f>Master[[#This Row],[RSP StopTime override]]-Master[[#This Row],[Avg stop time helper]]</f>
        <v>19</v>
      </c>
    </row>
    <row r="536" spans="1:49" x14ac:dyDescent="0.3">
      <c r="A536" s="66" t="s">
        <v>4612</v>
      </c>
      <c r="B536" s="58">
        <v>50</v>
      </c>
      <c r="C536" s="58" t="s">
        <v>24</v>
      </c>
      <c r="D536" s="65">
        <v>808859</v>
      </c>
      <c r="E536" s="65" t="s">
        <v>42</v>
      </c>
      <c r="F536" s="65" t="s">
        <v>2475</v>
      </c>
      <c r="G536" s="65" t="s">
        <v>2474</v>
      </c>
      <c r="H536" s="65" t="s">
        <v>7</v>
      </c>
      <c r="I536" s="65" t="s">
        <v>1116</v>
      </c>
      <c r="J536" s="65" t="s">
        <v>5</v>
      </c>
      <c r="K536" s="65" t="s">
        <v>1115</v>
      </c>
      <c r="L536" s="64" t="s">
        <v>141</v>
      </c>
      <c r="M536" s="58" t="s">
        <v>140</v>
      </c>
      <c r="N536" s="58" t="s">
        <v>2</v>
      </c>
      <c r="O536" s="58">
        <v>107</v>
      </c>
      <c r="P536" s="58">
        <v>107</v>
      </c>
      <c r="Q536" s="58">
        <v>0</v>
      </c>
      <c r="R536" s="58">
        <v>0</v>
      </c>
      <c r="S536" s="58">
        <v>0</v>
      </c>
      <c r="T536" s="58">
        <v>0</v>
      </c>
      <c r="U536" s="58">
        <v>9</v>
      </c>
      <c r="V536" s="62"/>
      <c r="W536" s="62"/>
      <c r="X536" s="63">
        <f>IFERROR(1 -(Master[[#This Row],[Avg Garment Scans per Delivery]]/Master[[#This Row],[Garment Inventory]]), 0)</f>
        <v>0</v>
      </c>
      <c r="Y536" s="62"/>
      <c r="Z536" s="62"/>
      <c r="AA536" s="53">
        <v>10.6</v>
      </c>
      <c r="AB536" s="53">
        <v>23.32</v>
      </c>
      <c r="AC536" s="53">
        <v>17.788888888888888</v>
      </c>
      <c r="AD536" s="53">
        <v>19.157777777777778</v>
      </c>
      <c r="AE536" s="53" t="str">
        <f>_xlfn.XLOOKUP(Master[[#This Row],[cu_id]],'[1]Customer Revenue'!$Q:$Q,'[1]Customer Revenue'!$K:$K, "None")</f>
        <v>None</v>
      </c>
      <c r="AF536" s="53" t="str">
        <f>_xlfn.XLOOKUP(Master[[#This Row],[cu_id]],'[1]Customer Revenue'!$Q:$Q,'[1]Customer Revenue'!$L:$L, "None")</f>
        <v>None</v>
      </c>
      <c r="AG536" s="53">
        <v>10.443750000000007</v>
      </c>
      <c r="AH536" s="53">
        <v>22.97625</v>
      </c>
      <c r="AI536" s="53">
        <v>16.96</v>
      </c>
      <c r="AJ536" s="53">
        <v>18.473333333333333</v>
      </c>
      <c r="AK536" s="53" t="str">
        <f>_xlfn.XLOOKUP(Master[[#This Row],[cu_id]],'[1]Customer Revenue'!$Q:$Q,'[1]Customer Revenue'!$I:$I, "None")</f>
        <v>None</v>
      </c>
      <c r="AL536" s="53">
        <v>16.710000000000004</v>
      </c>
      <c r="AM536" s="61">
        <v>0.375</v>
      </c>
      <c r="AN536" s="60">
        <v>0.625</v>
      </c>
      <c r="AO536" s="60" t="s">
        <v>36</v>
      </c>
      <c r="AP536" s="60" t="s">
        <v>36</v>
      </c>
      <c r="AQ536" s="58" t="s">
        <v>0</v>
      </c>
      <c r="AR536" s="58"/>
      <c r="AS536" s="58"/>
      <c r="AT536" s="52">
        <v>0</v>
      </c>
      <c r="AU536" s="52">
        <f>IF(Master[[#This Row],[RSP StopTime override]] &lt;&gt; "",Master[[#This Row],[RSP StopTime override]],IF(Master[[#This Row],[Avg stop time helper]] &lt;&gt; 0, Master[[#This Row],[Avg stop time helper]],Average_Stop_Time))</f>
        <v>2</v>
      </c>
      <c r="AV536" s="21">
        <v>2</v>
      </c>
      <c r="AW536" s="20">
        <f>Master[[#This Row],[RSP StopTime override]]-Master[[#This Row],[Avg stop time helper]]</f>
        <v>2</v>
      </c>
    </row>
    <row r="537" spans="1:49" x14ac:dyDescent="0.3">
      <c r="A537" s="66" t="s">
        <v>4613</v>
      </c>
      <c r="B537" s="58">
        <v>50</v>
      </c>
      <c r="C537" s="58" t="s">
        <v>24</v>
      </c>
      <c r="D537" s="65">
        <v>856041</v>
      </c>
      <c r="E537" s="65" t="s">
        <v>42</v>
      </c>
      <c r="F537" s="65" t="s">
        <v>2473</v>
      </c>
      <c r="G537" s="65" t="s">
        <v>147</v>
      </c>
      <c r="H537" s="65" t="s">
        <v>7</v>
      </c>
      <c r="I537" s="65" t="s">
        <v>6</v>
      </c>
      <c r="J537" s="65" t="s">
        <v>5</v>
      </c>
      <c r="K537" s="65" t="s">
        <v>146</v>
      </c>
      <c r="L537" s="64" t="s">
        <v>67</v>
      </c>
      <c r="M537" s="58" t="s">
        <v>3</v>
      </c>
      <c r="N537" s="58" t="s">
        <v>2</v>
      </c>
      <c r="O537" s="58">
        <v>140</v>
      </c>
      <c r="P537" s="58">
        <v>140</v>
      </c>
      <c r="Q537" s="58">
        <v>0</v>
      </c>
      <c r="R537" s="58">
        <v>0</v>
      </c>
      <c r="S537" s="58">
        <v>0</v>
      </c>
      <c r="T537" s="58">
        <v>0</v>
      </c>
      <c r="U537" s="58">
        <v>41</v>
      </c>
      <c r="V537" s="62"/>
      <c r="W537" s="62"/>
      <c r="X537" s="63">
        <f>IFERROR(1 -(Master[[#This Row],[Avg Garment Scans per Delivery]]/Master[[#This Row],[Garment Inventory]]), 0)</f>
        <v>0</v>
      </c>
      <c r="Y537" s="62"/>
      <c r="Z537" s="62"/>
      <c r="AA537" s="53">
        <v>35.363609467455625</v>
      </c>
      <c r="AB537" s="53">
        <v>36.428698224852077</v>
      </c>
      <c r="AC537" s="53">
        <v>36.867751479289943</v>
      </c>
      <c r="AD537" s="53">
        <v>38.179940828402387</v>
      </c>
      <c r="AE537" s="53" t="str">
        <f>_xlfn.XLOOKUP(Master[[#This Row],[cu_id]],'[1]Customer Revenue'!$Q:$Q,'[1]Customer Revenue'!$K:$K, "None")</f>
        <v>None</v>
      </c>
      <c r="AF537" s="53" t="str">
        <f>_xlfn.XLOOKUP(Master[[#This Row],[cu_id]],'[1]Customer Revenue'!$Q:$Q,'[1]Customer Revenue'!$L:$L, "None")</f>
        <v>None</v>
      </c>
      <c r="AG537" s="53">
        <v>35.267218934911234</v>
      </c>
      <c r="AH537" s="53">
        <v>36.649704142011807</v>
      </c>
      <c r="AI537" s="53">
        <v>35.896153846153851</v>
      </c>
      <c r="AJ537" s="53">
        <v>37.523846153846165</v>
      </c>
      <c r="AK537" s="53" t="str">
        <f>_xlfn.XLOOKUP(Master[[#This Row],[cu_id]],'[1]Customer Revenue'!$Q:$Q,'[1]Customer Revenue'!$I:$I, "None")</f>
        <v>None</v>
      </c>
      <c r="AL537" s="53">
        <v>35.95846153846152</v>
      </c>
      <c r="AM537" s="61">
        <v>0.375</v>
      </c>
      <c r="AN537" s="60">
        <v>0.47916666666666669</v>
      </c>
      <c r="AO537" s="60" t="s">
        <v>36</v>
      </c>
      <c r="AP537" s="60" t="s">
        <v>36</v>
      </c>
      <c r="AQ537" s="58" t="s">
        <v>0</v>
      </c>
      <c r="AR537" s="58"/>
      <c r="AS537" s="58"/>
      <c r="AT537" s="52">
        <v>0</v>
      </c>
      <c r="AU537" s="52">
        <f>IF(Master[[#This Row],[RSP StopTime override]] &lt;&gt; "",Master[[#This Row],[RSP StopTime override]],IF(Master[[#This Row],[Avg stop time helper]] &lt;&gt; 0, Master[[#This Row],[Avg stop time helper]],Average_Stop_Time))</f>
        <v>4</v>
      </c>
      <c r="AV537" s="21">
        <v>4</v>
      </c>
      <c r="AW537" s="20">
        <f>Master[[#This Row],[RSP StopTime override]]-Master[[#This Row],[Avg stop time helper]]</f>
        <v>4</v>
      </c>
    </row>
    <row r="538" spans="1:49" x14ac:dyDescent="0.3">
      <c r="A538" s="66" t="s">
        <v>4614</v>
      </c>
      <c r="B538" s="58">
        <v>50</v>
      </c>
      <c r="C538" s="58" t="s">
        <v>24</v>
      </c>
      <c r="D538" s="65">
        <v>883674</v>
      </c>
      <c r="E538" s="65" t="s">
        <v>2472</v>
      </c>
      <c r="F538" s="65" t="s">
        <v>2471</v>
      </c>
      <c r="G538" s="65" t="s">
        <v>2470</v>
      </c>
      <c r="H538" s="65" t="s">
        <v>7</v>
      </c>
      <c r="I538" s="65" t="s">
        <v>2469</v>
      </c>
      <c r="J538" s="65" t="s">
        <v>5</v>
      </c>
      <c r="K538" s="65" t="s">
        <v>1115</v>
      </c>
      <c r="L538" s="64" t="s">
        <v>67</v>
      </c>
      <c r="M538" s="58" t="s">
        <v>3</v>
      </c>
      <c r="N538" s="58" t="s">
        <v>2</v>
      </c>
      <c r="O538" s="58">
        <v>95</v>
      </c>
      <c r="P538" s="58">
        <v>95</v>
      </c>
      <c r="Q538" s="58">
        <v>0</v>
      </c>
      <c r="R538" s="58">
        <v>0</v>
      </c>
      <c r="S538" s="58">
        <v>0</v>
      </c>
      <c r="T538" s="58">
        <v>0</v>
      </c>
      <c r="U538" s="58">
        <v>40</v>
      </c>
      <c r="V538" s="62"/>
      <c r="W538" s="62"/>
      <c r="X538" s="63">
        <f>IFERROR(1 -(Master[[#This Row],[Avg Garment Scans per Delivery]]/Master[[#This Row],[Garment Inventory]]), 0)</f>
        <v>0</v>
      </c>
      <c r="Y538" s="62"/>
      <c r="Z538" s="62"/>
      <c r="AA538" s="53">
        <v>108.70125588697017</v>
      </c>
      <c r="AB538" s="53">
        <v>141.9510518053375</v>
      </c>
      <c r="AC538" s="53">
        <v>24.908979289940852</v>
      </c>
      <c r="AD538" s="53">
        <v>143.28602071005918</v>
      </c>
      <c r="AE538" s="53" t="str">
        <f>_xlfn.XLOOKUP(Master[[#This Row],[cu_id]],'[1]Customer Revenue'!$Q:$Q,'[1]Customer Revenue'!$K:$K, "None")</f>
        <v>None</v>
      </c>
      <c r="AF538" s="53" t="str">
        <f>_xlfn.XLOOKUP(Master[[#This Row],[cu_id]],'[1]Customer Revenue'!$Q:$Q,'[1]Customer Revenue'!$L:$L, "None")</f>
        <v>None</v>
      </c>
      <c r="AG538" s="53">
        <v>117.43868102796675</v>
      </c>
      <c r="AH538" s="53">
        <v>134.81317082388512</v>
      </c>
      <c r="AI538" s="53">
        <v>125.32615384615384</v>
      </c>
      <c r="AJ538" s="53">
        <v>84.097500000000011</v>
      </c>
      <c r="AK538" s="53" t="str">
        <f>_xlfn.XLOOKUP(Master[[#This Row],[cu_id]],'[1]Customer Revenue'!$Q:$Q,'[1]Customer Revenue'!$I:$I, "None")</f>
        <v>None</v>
      </c>
      <c r="AL538" s="53">
        <v>126.12592592592593</v>
      </c>
      <c r="AM538" s="61">
        <v>0.375</v>
      </c>
      <c r="AN538" s="60">
        <v>0.625</v>
      </c>
      <c r="AO538" s="60" t="s">
        <v>36</v>
      </c>
      <c r="AP538" s="60" t="s">
        <v>36</v>
      </c>
      <c r="AQ538" s="58" t="s">
        <v>0</v>
      </c>
      <c r="AR538" s="58"/>
      <c r="AS538" s="58"/>
      <c r="AT538" s="52">
        <v>0</v>
      </c>
      <c r="AU538" s="52">
        <f>IF(Master[[#This Row],[RSP StopTime override]] &lt;&gt; "",Master[[#This Row],[RSP StopTime override]],IF(Master[[#This Row],[Avg stop time helper]] &lt;&gt; 0, Master[[#This Row],[Avg stop time helper]],Average_Stop_Time))</f>
        <v>3</v>
      </c>
      <c r="AV538" s="21">
        <v>3</v>
      </c>
      <c r="AW538" s="20">
        <f>Master[[#This Row],[RSP StopTime override]]-Master[[#This Row],[Avg stop time helper]]</f>
        <v>3</v>
      </c>
    </row>
    <row r="539" spans="1:49" x14ac:dyDescent="0.3">
      <c r="A539" s="66" t="s">
        <v>4615</v>
      </c>
      <c r="B539" s="58">
        <v>50</v>
      </c>
      <c r="C539" s="58" t="s">
        <v>24</v>
      </c>
      <c r="D539" s="65">
        <v>886085</v>
      </c>
      <c r="E539" s="65" t="s">
        <v>2468</v>
      </c>
      <c r="F539" s="65" t="s">
        <v>2467</v>
      </c>
      <c r="G539" s="65" t="s">
        <v>2466</v>
      </c>
      <c r="H539" s="65" t="s">
        <v>7</v>
      </c>
      <c r="I539" s="65" t="s">
        <v>1399</v>
      </c>
      <c r="J539" s="65" t="s">
        <v>5</v>
      </c>
      <c r="K539" s="65" t="s">
        <v>1115</v>
      </c>
      <c r="L539" s="64" t="s">
        <v>91</v>
      </c>
      <c r="M539" s="58" t="s">
        <v>90</v>
      </c>
      <c r="N539" s="58" t="s">
        <v>2</v>
      </c>
      <c r="O539" s="58">
        <v>100</v>
      </c>
      <c r="P539" s="58">
        <v>100</v>
      </c>
      <c r="Q539" s="58">
        <v>0</v>
      </c>
      <c r="R539" s="58">
        <v>0</v>
      </c>
      <c r="S539" s="58">
        <v>0</v>
      </c>
      <c r="T539" s="58">
        <v>0</v>
      </c>
      <c r="U539" s="58">
        <v>20</v>
      </c>
      <c r="V539" s="62"/>
      <c r="W539" s="62"/>
      <c r="X539" s="63">
        <f>IFERROR(1 -(Master[[#This Row],[Avg Garment Scans per Delivery]]/Master[[#This Row],[Garment Inventory]]), 0)</f>
        <v>0</v>
      </c>
      <c r="Y539" s="62"/>
      <c r="Z539" s="62"/>
      <c r="AA539" s="53">
        <v>12.716326530612246</v>
      </c>
      <c r="AB539" s="53">
        <v>13.940816326530616</v>
      </c>
      <c r="AC539" s="53">
        <v>14.228888888888889</v>
      </c>
      <c r="AD539" s="53">
        <v>15.597777777777779</v>
      </c>
      <c r="AE539" s="53" t="str">
        <f>_xlfn.XLOOKUP(Master[[#This Row],[cu_id]],'[1]Customer Revenue'!$Q:$Q,'[1]Customer Revenue'!$K:$K, "None")</f>
        <v>None</v>
      </c>
      <c r="AF539" s="53" t="str">
        <f>_xlfn.XLOOKUP(Master[[#This Row],[cu_id]],'[1]Customer Revenue'!$Q:$Q,'[1]Customer Revenue'!$L:$L, "None")</f>
        <v>None</v>
      </c>
      <c r="AG539" s="53">
        <v>12.746938775510205</v>
      </c>
      <c r="AH539" s="53">
        <v>13.481632653061229</v>
      </c>
      <c r="AI539" s="53">
        <v>13.328571428571431</v>
      </c>
      <c r="AJ539" s="53">
        <v>14.913333333333334</v>
      </c>
      <c r="AK539" s="53" t="str">
        <f>_xlfn.XLOOKUP(Master[[#This Row],[cu_id]],'[1]Customer Revenue'!$Q:$Q,'[1]Customer Revenue'!$I:$I, "None")</f>
        <v>None</v>
      </c>
      <c r="AL539" s="53">
        <v>13.114285714285717</v>
      </c>
      <c r="AM539" s="61">
        <v>0.375</v>
      </c>
      <c r="AN539" s="60">
        <v>0.66666666666666663</v>
      </c>
      <c r="AO539" s="60" t="s">
        <v>36</v>
      </c>
      <c r="AP539" s="60" t="s">
        <v>36</v>
      </c>
      <c r="AQ539" s="58" t="s">
        <v>0</v>
      </c>
      <c r="AR539" s="58"/>
      <c r="AS539" s="58"/>
      <c r="AT539" s="52">
        <v>0</v>
      </c>
      <c r="AU539" s="52">
        <f>IF(Master[[#This Row],[RSP StopTime override]] &lt;&gt; "",Master[[#This Row],[RSP StopTime override]],IF(Master[[#This Row],[Avg stop time helper]] &lt;&gt; 0, Master[[#This Row],[Avg stop time helper]],Average_Stop_Time))</f>
        <v>7</v>
      </c>
      <c r="AV539" s="21">
        <v>7</v>
      </c>
      <c r="AW539" s="20">
        <f>Master[[#This Row],[RSP StopTime override]]-Master[[#This Row],[Avg stop time helper]]</f>
        <v>7</v>
      </c>
    </row>
    <row r="540" spans="1:49" x14ac:dyDescent="0.3">
      <c r="A540" s="66" t="s">
        <v>4616</v>
      </c>
      <c r="B540" s="58">
        <v>50</v>
      </c>
      <c r="C540" s="58" t="s">
        <v>24</v>
      </c>
      <c r="D540" s="65">
        <v>888020</v>
      </c>
      <c r="E540" s="65" t="s">
        <v>2465</v>
      </c>
      <c r="F540" s="65" t="s">
        <v>1368</v>
      </c>
      <c r="G540" s="65" t="s">
        <v>2464</v>
      </c>
      <c r="H540" s="65" t="s">
        <v>7</v>
      </c>
      <c r="I540" s="65" t="s">
        <v>1116</v>
      </c>
      <c r="J540" s="65" t="s">
        <v>5</v>
      </c>
      <c r="K540" s="65" t="s">
        <v>1115</v>
      </c>
      <c r="L540" s="64" t="s">
        <v>141</v>
      </c>
      <c r="M540" s="58" t="s">
        <v>140</v>
      </c>
      <c r="N540" s="58" t="s">
        <v>2</v>
      </c>
      <c r="O540" s="58">
        <v>90</v>
      </c>
      <c r="P540" s="58">
        <v>90</v>
      </c>
      <c r="Q540" s="58">
        <v>0</v>
      </c>
      <c r="R540" s="58">
        <v>0</v>
      </c>
      <c r="S540" s="58">
        <v>0</v>
      </c>
      <c r="T540" s="58">
        <v>0</v>
      </c>
      <c r="U540" s="58">
        <v>10</v>
      </c>
      <c r="V540" s="62"/>
      <c r="W540" s="62"/>
      <c r="X540" s="63">
        <f>IFERROR(1 -(Master[[#This Row],[Avg Garment Scans per Delivery]]/Master[[#This Row],[Garment Inventory]]), 0)</f>
        <v>0</v>
      </c>
      <c r="Y540" s="62"/>
      <c r="Z540" s="62"/>
      <c r="AA540" s="53">
        <v>22.903333333333336</v>
      </c>
      <c r="AB540" s="53">
        <v>24.236666666666672</v>
      </c>
      <c r="AC540" s="53">
        <v>24.398888888888887</v>
      </c>
      <c r="AD540" s="53">
        <v>25.767777777777777</v>
      </c>
      <c r="AE540" s="53" t="str">
        <f>_xlfn.XLOOKUP(Master[[#This Row],[cu_id]],'[1]Customer Revenue'!$Q:$Q,'[1]Customer Revenue'!$K:$K, "None")</f>
        <v>None</v>
      </c>
      <c r="AF540" s="53" t="str">
        <f>_xlfn.XLOOKUP(Master[[#This Row],[cu_id]],'[1]Customer Revenue'!$Q:$Q,'[1]Customer Revenue'!$L:$L, "None")</f>
        <v>None</v>
      </c>
      <c r="AG540" s="53">
        <v>18.190848214285708</v>
      </c>
      <c r="AH540" s="53">
        <v>28.377723214285716</v>
      </c>
      <c r="AI540" s="53">
        <v>23.570000000000004</v>
      </c>
      <c r="AJ540" s="53">
        <v>25.083333333333332</v>
      </c>
      <c r="AK540" s="53" t="str">
        <f>_xlfn.XLOOKUP(Master[[#This Row],[cu_id]],'[1]Customer Revenue'!$Q:$Q,'[1]Customer Revenue'!$I:$I, "None")</f>
        <v>None</v>
      </c>
      <c r="AL540" s="53">
        <v>23.284285714285712</v>
      </c>
      <c r="AM540" s="61">
        <v>0.375</v>
      </c>
      <c r="AN540" s="60">
        <v>0.58333333333333337</v>
      </c>
      <c r="AO540" s="60" t="s">
        <v>36</v>
      </c>
      <c r="AP540" s="60" t="s">
        <v>36</v>
      </c>
      <c r="AQ540" s="58" t="s">
        <v>0</v>
      </c>
      <c r="AR540" s="58"/>
      <c r="AS540" s="58"/>
      <c r="AT540" s="52">
        <v>0</v>
      </c>
      <c r="AU540" s="52">
        <f>IF(Master[[#This Row],[RSP StopTime override]] &lt;&gt; "",Master[[#This Row],[RSP StopTime override]],IF(Master[[#This Row],[Avg stop time helper]] &lt;&gt; 0, Master[[#This Row],[Avg stop time helper]],Average_Stop_Time))</f>
        <v>4</v>
      </c>
      <c r="AV540" s="21">
        <v>4</v>
      </c>
      <c r="AW540" s="20">
        <f>Master[[#This Row],[RSP StopTime override]]-Master[[#This Row],[Avg stop time helper]]</f>
        <v>4</v>
      </c>
    </row>
    <row r="541" spans="1:49" x14ac:dyDescent="0.3">
      <c r="A541" s="66" t="s">
        <v>4617</v>
      </c>
      <c r="B541" s="58">
        <v>50</v>
      </c>
      <c r="C541" s="58" t="s">
        <v>24</v>
      </c>
      <c r="D541" s="65">
        <v>888021</v>
      </c>
      <c r="E541" s="65" t="s">
        <v>2463</v>
      </c>
      <c r="F541" s="65" t="s">
        <v>2462</v>
      </c>
      <c r="G541" s="65" t="s">
        <v>2461</v>
      </c>
      <c r="H541" s="65" t="s">
        <v>7</v>
      </c>
      <c r="I541" s="65" t="s">
        <v>6</v>
      </c>
      <c r="J541" s="65" t="s">
        <v>5</v>
      </c>
      <c r="K541" s="65" t="s">
        <v>146</v>
      </c>
      <c r="L541" s="64" t="s">
        <v>141</v>
      </c>
      <c r="M541" s="58" t="s">
        <v>140</v>
      </c>
      <c r="N541" s="58" t="s">
        <v>2</v>
      </c>
      <c r="O541" s="58">
        <v>115</v>
      </c>
      <c r="P541" s="58">
        <v>115</v>
      </c>
      <c r="Q541" s="58">
        <v>0</v>
      </c>
      <c r="R541" s="58">
        <v>0</v>
      </c>
      <c r="S541" s="58">
        <v>0</v>
      </c>
      <c r="T541" s="58">
        <v>0</v>
      </c>
      <c r="U541" s="58">
        <v>13</v>
      </c>
      <c r="V541" s="62"/>
      <c r="W541" s="62"/>
      <c r="X541" s="63">
        <f>IFERROR(1 -(Master[[#This Row],[Avg Garment Scans per Delivery]]/Master[[#This Row],[Garment Inventory]]), 0)</f>
        <v>0</v>
      </c>
      <c r="Y541" s="62"/>
      <c r="Z541" s="62"/>
      <c r="AA541" s="53">
        <v>38.37080000000001</v>
      </c>
      <c r="AB541" s="53">
        <v>67.8172</v>
      </c>
      <c r="AC541" s="53">
        <v>58.050000000000004</v>
      </c>
      <c r="AD541" s="53">
        <v>93.495000000000005</v>
      </c>
      <c r="AE541" s="53" t="str">
        <f>_xlfn.XLOOKUP(Master[[#This Row],[cu_id]],'[1]Customer Revenue'!$Q:$Q,'[1]Customer Revenue'!$K:$K, "None")</f>
        <v>None</v>
      </c>
      <c r="AF541" s="53" t="str">
        <f>_xlfn.XLOOKUP(Master[[#This Row],[cu_id]],'[1]Customer Revenue'!$Q:$Q,'[1]Customer Revenue'!$L:$L, "None")</f>
        <v>None</v>
      </c>
      <c r="AG541" s="53">
        <v>26.263472222222212</v>
      </c>
      <c r="AH541" s="53">
        <v>64.46652777777777</v>
      </c>
      <c r="AI541" s="53">
        <v>53.094000000000008</v>
      </c>
      <c r="AJ541" s="53">
        <v>75.772500000000008</v>
      </c>
      <c r="AK541" s="53" t="str">
        <f>_xlfn.XLOOKUP(Master[[#This Row],[cu_id]],'[1]Customer Revenue'!$Q:$Q,'[1]Customer Revenue'!$I:$I, "None")</f>
        <v>None</v>
      </c>
      <c r="AL541" s="53">
        <v>45.364999999999995</v>
      </c>
      <c r="AM541" s="61">
        <v>0.375</v>
      </c>
      <c r="AN541" s="60">
        <v>0.625</v>
      </c>
      <c r="AO541" s="60" t="s">
        <v>36</v>
      </c>
      <c r="AP541" s="60" t="s">
        <v>36</v>
      </c>
      <c r="AQ541" s="58" t="s">
        <v>0</v>
      </c>
      <c r="AR541" s="58"/>
      <c r="AS541" s="58"/>
      <c r="AT541" s="52">
        <v>0</v>
      </c>
      <c r="AU541" s="52">
        <f>IF(Master[[#This Row],[RSP StopTime override]] &lt;&gt; "",Master[[#This Row],[RSP StopTime override]],IF(Master[[#This Row],[Avg stop time helper]] &lt;&gt; 0, Master[[#This Row],[Avg stop time helper]],Average_Stop_Time))</f>
        <v>4</v>
      </c>
      <c r="AV541" s="21">
        <v>4</v>
      </c>
      <c r="AW541" s="20">
        <f>Master[[#This Row],[RSP StopTime override]]-Master[[#This Row],[Avg stop time helper]]</f>
        <v>4</v>
      </c>
    </row>
    <row r="542" spans="1:49" x14ac:dyDescent="0.3">
      <c r="A542" s="66" t="s">
        <v>4618</v>
      </c>
      <c r="B542" s="58">
        <v>50</v>
      </c>
      <c r="C542" s="58" t="s">
        <v>35</v>
      </c>
      <c r="D542" s="65">
        <v>27828</v>
      </c>
      <c r="E542" s="65" t="s">
        <v>1996</v>
      </c>
      <c r="F542" s="65" t="s">
        <v>2460</v>
      </c>
      <c r="G542" s="65" t="s">
        <v>2459</v>
      </c>
      <c r="H542" s="65" t="s">
        <v>32</v>
      </c>
      <c r="I542" s="65" t="s">
        <v>50</v>
      </c>
      <c r="J542" s="65" t="s">
        <v>5</v>
      </c>
      <c r="K542" s="65" t="s">
        <v>1215</v>
      </c>
      <c r="L542" s="64" t="s">
        <v>67</v>
      </c>
      <c r="M542" s="58" t="s">
        <v>3</v>
      </c>
      <c r="N542" s="58" t="s">
        <v>2</v>
      </c>
      <c r="O542" s="58">
        <v>100</v>
      </c>
      <c r="P542" s="58">
        <v>0</v>
      </c>
      <c r="Q542" s="58">
        <v>100</v>
      </c>
      <c r="R542" s="58">
        <v>0</v>
      </c>
      <c r="S542" s="58">
        <v>0</v>
      </c>
      <c r="T542" s="58">
        <v>0</v>
      </c>
      <c r="U542" s="58">
        <v>53</v>
      </c>
      <c r="V542" s="62"/>
      <c r="W542" s="62"/>
      <c r="X542" s="63">
        <f>IFERROR(1 -(Master[[#This Row],[Avg Garment Scans per Delivery]]/Master[[#This Row],[Garment Inventory]]), 0)</f>
        <v>0</v>
      </c>
      <c r="Y542" s="62"/>
      <c r="Z542" s="62"/>
      <c r="AA542" s="53">
        <v>57.891775147928996</v>
      </c>
      <c r="AB542" s="53">
        <v>77.918994082840243</v>
      </c>
      <c r="AC542" s="53">
        <v>62.07579881656806</v>
      </c>
      <c r="AD542" s="53">
        <v>95.814970414201184</v>
      </c>
      <c r="AE542" s="53" t="str">
        <f>_xlfn.XLOOKUP(Master[[#This Row],[cu_id]],'[1]Customer Revenue'!$Q:$Q,'[1]Customer Revenue'!$K:$K, "None")</f>
        <v>None</v>
      </c>
      <c r="AF542" s="53" t="str">
        <f>_xlfn.XLOOKUP(Master[[#This Row],[cu_id]],'[1]Customer Revenue'!$Q:$Q,'[1]Customer Revenue'!$L:$L, "None")</f>
        <v>None</v>
      </c>
      <c r="AG542" s="53">
        <v>58.613816568047341</v>
      </c>
      <c r="AH542" s="53">
        <v>86.293106508875738</v>
      </c>
      <c r="AI542" s="53">
        <v>67.905384615384619</v>
      </c>
      <c r="AJ542" s="53">
        <v>78.945384615384626</v>
      </c>
      <c r="AK542" s="53" t="str">
        <f>_xlfn.XLOOKUP(Master[[#This Row],[cu_id]],'[1]Customer Revenue'!$Q:$Q,'[1]Customer Revenue'!$I:$I, "None")</f>
        <v>None</v>
      </c>
      <c r="AL542" s="53">
        <v>72.453461538461539</v>
      </c>
      <c r="AM542" s="61">
        <v>0.375</v>
      </c>
      <c r="AN542" s="60">
        <v>0.70833333333333337</v>
      </c>
      <c r="AO542" s="60" t="s">
        <v>36</v>
      </c>
      <c r="AP542" s="60" t="s">
        <v>36</v>
      </c>
      <c r="AQ542" s="58" t="s">
        <v>0</v>
      </c>
      <c r="AR542" s="58"/>
      <c r="AS542" s="58"/>
      <c r="AT542" s="52">
        <v>0</v>
      </c>
      <c r="AU542" s="52">
        <f>IF(Master[[#This Row],[RSP StopTime override]] &lt;&gt; "",Master[[#This Row],[RSP StopTime override]],IF(Master[[#This Row],[Avg stop time helper]] &lt;&gt; 0, Master[[#This Row],[Avg stop time helper]],Average_Stop_Time))</f>
        <v>11</v>
      </c>
      <c r="AV542" s="21">
        <v>11</v>
      </c>
      <c r="AW542" s="20">
        <f>Master[[#This Row],[RSP StopTime override]]-Master[[#This Row],[Avg stop time helper]]</f>
        <v>11</v>
      </c>
    </row>
    <row r="543" spans="1:49" x14ac:dyDescent="0.3">
      <c r="A543" s="66" t="s">
        <v>4619</v>
      </c>
      <c r="B543" s="58">
        <v>50</v>
      </c>
      <c r="C543" s="58" t="s">
        <v>35</v>
      </c>
      <c r="D543" s="65">
        <v>27828</v>
      </c>
      <c r="E543" s="65" t="s">
        <v>1416</v>
      </c>
      <c r="F543" s="65" t="s">
        <v>2458</v>
      </c>
      <c r="G543" s="65" t="s">
        <v>2457</v>
      </c>
      <c r="H543" s="65" t="s">
        <v>32</v>
      </c>
      <c r="I543" s="65" t="s">
        <v>2456</v>
      </c>
      <c r="J543" s="65" t="s">
        <v>5</v>
      </c>
      <c r="K543" s="65" t="s">
        <v>1211</v>
      </c>
      <c r="L543" s="64" t="s">
        <v>67</v>
      </c>
      <c r="M543" s="58" t="s">
        <v>3</v>
      </c>
      <c r="N543" s="58" t="s">
        <v>2</v>
      </c>
      <c r="O543" s="58">
        <v>40</v>
      </c>
      <c r="P543" s="58">
        <v>0</v>
      </c>
      <c r="Q543" s="58">
        <v>40</v>
      </c>
      <c r="R543" s="58">
        <v>0</v>
      </c>
      <c r="S543" s="58">
        <v>0</v>
      </c>
      <c r="T543" s="58">
        <v>0</v>
      </c>
      <c r="U543" s="58">
        <v>56</v>
      </c>
      <c r="V543" s="62">
        <v>11</v>
      </c>
      <c r="W543" s="62">
        <v>0</v>
      </c>
      <c r="X543" s="63">
        <f>IFERROR(1 -(Master[[#This Row],[Avg Garment Scans per Delivery]]/Master[[#This Row],[Garment Inventory]]), 0)</f>
        <v>1</v>
      </c>
      <c r="Y543" s="62">
        <v>1</v>
      </c>
      <c r="Z543" s="62">
        <v>11</v>
      </c>
      <c r="AA543" s="53">
        <v>181.73804733727812</v>
      </c>
      <c r="AB543" s="53">
        <v>208.66349112426039</v>
      </c>
      <c r="AC543" s="53">
        <v>152.31795918367348</v>
      </c>
      <c r="AD543" s="53">
        <v>396.15918367346944</v>
      </c>
      <c r="AE543" s="53" t="str">
        <f>_xlfn.XLOOKUP(Master[[#This Row],[cu_id]],'[1]Customer Revenue'!$Q:$Q,'[1]Customer Revenue'!$K:$K, "None")</f>
        <v>None</v>
      </c>
      <c r="AF543" s="53" t="str">
        <f>_xlfn.XLOOKUP(Master[[#This Row],[cu_id]],'[1]Customer Revenue'!$Q:$Q,'[1]Customer Revenue'!$L:$L, "None")</f>
        <v>None</v>
      </c>
      <c r="AG543" s="53">
        <v>180.93079881656806</v>
      </c>
      <c r="AH543" s="53">
        <v>215.72689349112434</v>
      </c>
      <c r="AI543" s="53">
        <v>195.20076923076925</v>
      </c>
      <c r="AJ543" s="53">
        <v>274.23857142857145</v>
      </c>
      <c r="AK543" s="53" t="str">
        <f>_xlfn.XLOOKUP(Master[[#This Row],[cu_id]],'[1]Customer Revenue'!$Q:$Q,'[1]Customer Revenue'!$I:$I, "None")</f>
        <v>None</v>
      </c>
      <c r="AL543" s="53">
        <v>198.3288461538462</v>
      </c>
      <c r="AM543" s="61">
        <v>0.33333333333333331</v>
      </c>
      <c r="AN543" s="60">
        <v>0.75</v>
      </c>
      <c r="AO543" s="60" t="s">
        <v>36</v>
      </c>
      <c r="AP543" s="60" t="s">
        <v>36</v>
      </c>
      <c r="AQ543" s="58" t="s">
        <v>0</v>
      </c>
      <c r="AR543" s="58"/>
      <c r="AS543" s="58"/>
      <c r="AT543" s="52">
        <v>0</v>
      </c>
      <c r="AU543" s="52">
        <f>IF(Master[[#This Row],[RSP StopTime override]] &lt;&gt; "",Master[[#This Row],[RSP StopTime override]],IF(Master[[#This Row],[Avg stop time helper]] &lt;&gt; 0, Master[[#This Row],[Avg stop time helper]],Average_Stop_Time))</f>
        <v>10</v>
      </c>
      <c r="AV543" s="21">
        <v>10</v>
      </c>
      <c r="AW543" s="20">
        <f>Master[[#This Row],[RSP StopTime override]]-Master[[#This Row],[Avg stop time helper]]</f>
        <v>10</v>
      </c>
    </row>
    <row r="544" spans="1:49" x14ac:dyDescent="0.3">
      <c r="A544" s="66" t="s">
        <v>4620</v>
      </c>
      <c r="B544" s="58">
        <v>50</v>
      </c>
      <c r="C544" s="58" t="s">
        <v>35</v>
      </c>
      <c r="D544" s="65">
        <v>27828</v>
      </c>
      <c r="E544" s="65" t="s">
        <v>1156</v>
      </c>
      <c r="F544" s="65" t="s">
        <v>2455</v>
      </c>
      <c r="G544" s="65" t="s">
        <v>2454</v>
      </c>
      <c r="H544" s="65" t="s">
        <v>7</v>
      </c>
      <c r="I544" s="65" t="s">
        <v>2382</v>
      </c>
      <c r="J544" s="65" t="s">
        <v>5</v>
      </c>
      <c r="K544" s="65" t="s">
        <v>1211</v>
      </c>
      <c r="L544" s="64" t="s">
        <v>67</v>
      </c>
      <c r="M544" s="58" t="s">
        <v>3</v>
      </c>
      <c r="N544" s="58" t="s">
        <v>2</v>
      </c>
      <c r="O544" s="58">
        <v>25</v>
      </c>
      <c r="P544" s="58">
        <v>0</v>
      </c>
      <c r="Q544" s="58">
        <v>25</v>
      </c>
      <c r="R544" s="58">
        <v>0</v>
      </c>
      <c r="S544" s="58">
        <v>0</v>
      </c>
      <c r="T544" s="58">
        <v>0</v>
      </c>
      <c r="U544" s="58">
        <v>52</v>
      </c>
      <c r="V544" s="62"/>
      <c r="W544" s="62"/>
      <c r="X544" s="63">
        <f>IFERROR(1 -(Master[[#This Row],[Avg Garment Scans per Delivery]]/Master[[#This Row],[Garment Inventory]]), 0)</f>
        <v>0</v>
      </c>
      <c r="Y544" s="62"/>
      <c r="Z544" s="62"/>
      <c r="AA544" s="53">
        <v>35.191065088757405</v>
      </c>
      <c r="AB544" s="53">
        <v>38.715088757396451</v>
      </c>
      <c r="AC544" s="53">
        <v>37.007100591715982</v>
      </c>
      <c r="AD544" s="53">
        <v>38.377514792899404</v>
      </c>
      <c r="AE544" s="53" t="str">
        <f>_xlfn.XLOOKUP(Master[[#This Row],[cu_id]],'[1]Customer Revenue'!$Q:$Q,'[1]Customer Revenue'!$K:$K, "None")</f>
        <v>None</v>
      </c>
      <c r="AF544" s="53" t="str">
        <f>_xlfn.XLOOKUP(Master[[#This Row],[cu_id]],'[1]Customer Revenue'!$Q:$Q,'[1]Customer Revenue'!$L:$L, "None")</f>
        <v>None</v>
      </c>
      <c r="AG544" s="53">
        <v>36.287573964497028</v>
      </c>
      <c r="AH544" s="53">
        <v>38.08550295857988</v>
      </c>
      <c r="AI544" s="53">
        <v>36.953076923076928</v>
      </c>
      <c r="AJ544" s="53">
        <v>37.692307692307693</v>
      </c>
      <c r="AK544" s="53" t="str">
        <f>_xlfn.XLOOKUP(Master[[#This Row],[cu_id]],'[1]Customer Revenue'!$Q:$Q,'[1]Customer Revenue'!$I:$I, "None")</f>
        <v>None</v>
      </c>
      <c r="AL544" s="53">
        <v>37.186538461538454</v>
      </c>
      <c r="AM544" s="61">
        <v>0.33333333333333331</v>
      </c>
      <c r="AN544" s="60">
        <v>0.75</v>
      </c>
      <c r="AO544" s="60" t="s">
        <v>36</v>
      </c>
      <c r="AP544" s="60" t="s">
        <v>36</v>
      </c>
      <c r="AQ544" s="58" t="s">
        <v>0</v>
      </c>
      <c r="AR544" s="58"/>
      <c r="AS544" s="58"/>
      <c r="AT544" s="52">
        <v>0</v>
      </c>
      <c r="AU544" s="52">
        <f>IF(Master[[#This Row],[RSP StopTime override]] &lt;&gt; "",Master[[#This Row],[RSP StopTime override]],IF(Master[[#This Row],[Avg stop time helper]] &lt;&gt; 0, Master[[#This Row],[Avg stop time helper]],Average_Stop_Time))</f>
        <v>4</v>
      </c>
      <c r="AV544" s="21">
        <v>4</v>
      </c>
      <c r="AW544" s="20">
        <f>Master[[#This Row],[RSP StopTime override]]-Master[[#This Row],[Avg stop time helper]]</f>
        <v>4</v>
      </c>
    </row>
    <row r="545" spans="1:49" x14ac:dyDescent="0.3">
      <c r="A545" s="66" t="s">
        <v>4621</v>
      </c>
      <c r="B545" s="58">
        <v>50</v>
      </c>
      <c r="C545" s="58" t="s">
        <v>35</v>
      </c>
      <c r="D545" s="65">
        <v>99031</v>
      </c>
      <c r="E545" s="65" t="s">
        <v>1634</v>
      </c>
      <c r="F545" s="65" t="s">
        <v>2453</v>
      </c>
      <c r="G545" s="65" t="s">
        <v>2452</v>
      </c>
      <c r="H545" s="65" t="s">
        <v>1178</v>
      </c>
      <c r="I545" s="65" t="s">
        <v>1084</v>
      </c>
      <c r="J545" s="65" t="s">
        <v>5</v>
      </c>
      <c r="K545" s="65" t="s">
        <v>1088</v>
      </c>
      <c r="L545" s="64" t="s">
        <v>67</v>
      </c>
      <c r="M545" s="58" t="s">
        <v>3</v>
      </c>
      <c r="N545" s="58" t="s">
        <v>2</v>
      </c>
      <c r="O545" s="58">
        <v>50</v>
      </c>
      <c r="P545" s="58">
        <v>0</v>
      </c>
      <c r="Q545" s="58">
        <v>50</v>
      </c>
      <c r="R545" s="58">
        <v>0</v>
      </c>
      <c r="S545" s="58">
        <v>0</v>
      </c>
      <c r="T545" s="58">
        <v>0</v>
      </c>
      <c r="U545" s="58">
        <v>52</v>
      </c>
      <c r="V545" s="62"/>
      <c r="W545" s="62"/>
      <c r="X545" s="63">
        <f>IFERROR(1 -(Master[[#This Row],[Avg Garment Scans per Delivery]]/Master[[#This Row],[Garment Inventory]]), 0)</f>
        <v>0</v>
      </c>
      <c r="Y545" s="62"/>
      <c r="Z545" s="62"/>
      <c r="AA545" s="53">
        <v>38.409704142011847</v>
      </c>
      <c r="AB545" s="53">
        <v>108.75952662721893</v>
      </c>
      <c r="AC545" s="53">
        <v>50.991952662721907</v>
      </c>
      <c r="AD545" s="53">
        <v>110.87881656804734</v>
      </c>
      <c r="AE545" s="53" t="str">
        <f>_xlfn.XLOOKUP(Master[[#This Row],[cu_id]],'[1]Customer Revenue'!$Q:$Q,'[1]Customer Revenue'!$K:$K, "None")</f>
        <v>None</v>
      </c>
      <c r="AF545" s="53" t="str">
        <f>_xlfn.XLOOKUP(Master[[#This Row],[cu_id]],'[1]Customer Revenue'!$Q:$Q,'[1]Customer Revenue'!$L:$L, "None")</f>
        <v>None</v>
      </c>
      <c r="AG545" s="53">
        <v>31.828313609467436</v>
      </c>
      <c r="AH545" s="53">
        <v>104.5124556213018</v>
      </c>
      <c r="AI545" s="53">
        <v>73.58461538461539</v>
      </c>
      <c r="AJ545" s="53">
        <v>80.935384615384621</v>
      </c>
      <c r="AK545" s="53" t="str">
        <f>_xlfn.XLOOKUP(Master[[#This Row],[cu_id]],'[1]Customer Revenue'!$Q:$Q,'[1]Customer Revenue'!$I:$I, "None")</f>
        <v>None</v>
      </c>
      <c r="AL545" s="53">
        <v>68.17038461538462</v>
      </c>
      <c r="AM545" s="61">
        <v>0.375</v>
      </c>
      <c r="AN545" s="60">
        <v>0.66666666666666663</v>
      </c>
      <c r="AO545" s="60" t="s">
        <v>36</v>
      </c>
      <c r="AP545" s="60" t="s">
        <v>36</v>
      </c>
      <c r="AQ545" s="58" t="s">
        <v>0</v>
      </c>
      <c r="AR545" s="58"/>
      <c r="AS545" s="58"/>
      <c r="AT545" s="52">
        <v>0</v>
      </c>
      <c r="AU545" s="52">
        <f>IF(Master[[#This Row],[RSP StopTime override]] &lt;&gt; "",Master[[#This Row],[RSP StopTime override]],IF(Master[[#This Row],[Avg stop time helper]] &lt;&gt; 0, Master[[#This Row],[Avg stop time helper]],Average_Stop_Time))</f>
        <v>7</v>
      </c>
      <c r="AV545" s="21">
        <v>7</v>
      </c>
      <c r="AW545" s="20">
        <f>Master[[#This Row],[RSP StopTime override]]-Master[[#This Row],[Avg stop time helper]]</f>
        <v>7</v>
      </c>
    </row>
    <row r="546" spans="1:49" x14ac:dyDescent="0.3">
      <c r="A546" s="66" t="s">
        <v>4622</v>
      </c>
      <c r="B546" s="58">
        <v>47</v>
      </c>
      <c r="C546" s="58" t="s">
        <v>43</v>
      </c>
      <c r="D546" s="65">
        <v>99035</v>
      </c>
      <c r="E546" s="65" t="s">
        <v>1804</v>
      </c>
      <c r="F546" s="65" t="s">
        <v>2698</v>
      </c>
      <c r="G546" s="65" t="s">
        <v>2697</v>
      </c>
      <c r="H546" s="65" t="s">
        <v>7</v>
      </c>
      <c r="I546" s="65" t="s">
        <v>2618</v>
      </c>
      <c r="J546" s="65" t="s">
        <v>5</v>
      </c>
      <c r="K546" s="65" t="s">
        <v>2696</v>
      </c>
      <c r="L546" s="64">
        <v>7</v>
      </c>
      <c r="M546" s="58" t="s">
        <v>205</v>
      </c>
      <c r="N546" s="58" t="s">
        <v>2</v>
      </c>
      <c r="O546" s="58">
        <v>165</v>
      </c>
      <c r="P546" s="58">
        <v>0</v>
      </c>
      <c r="Q546" s="58">
        <v>0</v>
      </c>
      <c r="R546" s="58">
        <v>0</v>
      </c>
      <c r="S546" s="58">
        <v>165</v>
      </c>
      <c r="T546" s="58">
        <v>0</v>
      </c>
      <c r="U546" s="58">
        <v>29</v>
      </c>
      <c r="V546" s="62"/>
      <c r="W546" s="62"/>
      <c r="X546" s="63">
        <f>IFERROR(1 -(Master[[#This Row],[Avg Garment Scans per Delivery]]/Master[[#This Row],[Garment Inventory]]), 0)</f>
        <v>0</v>
      </c>
      <c r="Y546" s="62"/>
      <c r="Z546" s="62"/>
      <c r="AA546" s="53">
        <v>36.89041420118344</v>
      </c>
      <c r="AB546" s="53">
        <v>38.488047337278125</v>
      </c>
      <c r="AC546" s="53">
        <v>29.990000000000002</v>
      </c>
      <c r="AD546" s="53">
        <v>49.35</v>
      </c>
      <c r="AE546" s="53" t="str">
        <f>_xlfn.XLOOKUP(Master[[#This Row],[cu_id]],'[1]Customer Revenue'!$Q:$Q,'[1]Customer Revenue'!$K:$K, "None")</f>
        <v>None</v>
      </c>
      <c r="AF546" s="53" t="str">
        <f>_xlfn.XLOOKUP(Master[[#This Row],[cu_id]],'[1]Customer Revenue'!$Q:$Q,'[1]Customer Revenue'!$L:$L, "None")</f>
        <v>None</v>
      </c>
      <c r="AG546" s="53">
        <v>36.953081285444235</v>
      </c>
      <c r="AH546" s="53">
        <v>37.97387523629488</v>
      </c>
      <c r="AI546" s="53">
        <v>37.689230769230782</v>
      </c>
      <c r="AJ546" s="53">
        <v>39.67</v>
      </c>
      <c r="AK546" s="53" t="str">
        <f>_xlfn.XLOOKUP(Master[[#This Row],[cu_id]],'[1]Customer Revenue'!$Q:$Q,'[1]Customer Revenue'!$I:$I, "None")</f>
        <v>None</v>
      </c>
      <c r="AL546" s="53">
        <v>37.463478260869557</v>
      </c>
      <c r="AM546" s="61">
        <v>0.375</v>
      </c>
      <c r="AN546" s="60">
        <v>0.70833333333333337</v>
      </c>
      <c r="AO546" s="60" t="s">
        <v>36</v>
      </c>
      <c r="AP546" s="60" t="s">
        <v>36</v>
      </c>
      <c r="AQ546" s="58" t="s">
        <v>0</v>
      </c>
      <c r="AR546" s="58"/>
      <c r="AS546" s="58"/>
      <c r="AT546" s="52">
        <v>0</v>
      </c>
      <c r="AU546" s="52" t="e">
        <f>IF(Master[[#This Row],[RSP StopTime override]] &lt;&gt; "",Master[[#This Row],[RSP StopTime override]],IF(Master[[#This Row],[Avg stop time helper]] &lt;&gt; 0, Master[[#This Row],[Avg stop time helper]],Average_Stop_Time))</f>
        <v>#DIV/0!</v>
      </c>
      <c r="AV546" s="21"/>
      <c r="AW546" s="20">
        <f>Master[[#This Row],[RSP StopTime override]]-Master[[#This Row],[Avg stop time helper]]</f>
        <v>0</v>
      </c>
    </row>
    <row r="547" spans="1:49" x14ac:dyDescent="0.3">
      <c r="A547" s="66" t="s">
        <v>4623</v>
      </c>
      <c r="B547" s="58">
        <v>50</v>
      </c>
      <c r="C547" s="58" t="s">
        <v>35</v>
      </c>
      <c r="D547" s="65">
        <v>99051</v>
      </c>
      <c r="E547" s="65" t="s">
        <v>1467</v>
      </c>
      <c r="F547" s="65" t="s">
        <v>2448</v>
      </c>
      <c r="G547" s="65" t="s">
        <v>2447</v>
      </c>
      <c r="H547" s="65" t="s">
        <v>32</v>
      </c>
      <c r="I547" s="65" t="s">
        <v>31</v>
      </c>
      <c r="J547" s="65" t="s">
        <v>5</v>
      </c>
      <c r="K547" s="65" t="s">
        <v>1215</v>
      </c>
      <c r="L547" s="64" t="s">
        <v>67</v>
      </c>
      <c r="M547" s="58" t="s">
        <v>3</v>
      </c>
      <c r="N547" s="58" t="s">
        <v>2</v>
      </c>
      <c r="O547" s="58">
        <v>90</v>
      </c>
      <c r="P547" s="58">
        <v>0</v>
      </c>
      <c r="Q547" s="58">
        <v>90</v>
      </c>
      <c r="R547" s="58">
        <v>0</v>
      </c>
      <c r="S547" s="58">
        <v>0</v>
      </c>
      <c r="T547" s="58">
        <v>0</v>
      </c>
      <c r="U547" s="58">
        <v>55</v>
      </c>
      <c r="V547" s="62"/>
      <c r="W547" s="62"/>
      <c r="X547" s="63">
        <f>IFERROR(1 -(Master[[#This Row],[Avg Garment Scans per Delivery]]/Master[[#This Row],[Garment Inventory]]), 0)</f>
        <v>0</v>
      </c>
      <c r="Y547" s="62"/>
      <c r="Z547" s="62"/>
      <c r="AA547" s="53">
        <v>15.233313609467451</v>
      </c>
      <c r="AB547" s="53">
        <v>61.097455621301769</v>
      </c>
      <c r="AC547" s="53">
        <v>27.335443786982253</v>
      </c>
      <c r="AD547" s="53">
        <v>78.906094674556229</v>
      </c>
      <c r="AE547" s="53" t="str">
        <f>_xlfn.XLOOKUP(Master[[#This Row],[cu_id]],'[1]Customer Revenue'!$Q:$Q,'[1]Customer Revenue'!$K:$K, "None")</f>
        <v>None</v>
      </c>
      <c r="AF547" s="53" t="str">
        <f>_xlfn.XLOOKUP(Master[[#This Row],[cu_id]],'[1]Customer Revenue'!$Q:$Q,'[1]Customer Revenue'!$L:$L, "None")</f>
        <v>None</v>
      </c>
      <c r="AG547" s="53">
        <v>18.128106995884785</v>
      </c>
      <c r="AH547" s="53">
        <v>59.580781893004122</v>
      </c>
      <c r="AI547" s="53">
        <v>38.16538461538461</v>
      </c>
      <c r="AJ547" s="53">
        <v>53.120769230769241</v>
      </c>
      <c r="AK547" s="53" t="str">
        <f>_xlfn.XLOOKUP(Master[[#This Row],[cu_id]],'[1]Customer Revenue'!$Q:$Q,'[1]Customer Revenue'!$I:$I, "None")</f>
        <v>None</v>
      </c>
      <c r="AL547" s="53">
        <v>38.854444444444454</v>
      </c>
      <c r="AM547" s="61">
        <v>0.375</v>
      </c>
      <c r="AN547" s="60">
        <v>0.66666666666666663</v>
      </c>
      <c r="AO547" s="60" t="s">
        <v>36</v>
      </c>
      <c r="AP547" s="60" t="s">
        <v>36</v>
      </c>
      <c r="AQ547" s="58" t="s">
        <v>0</v>
      </c>
      <c r="AR547" s="58"/>
      <c r="AS547" s="58"/>
      <c r="AT547" s="52">
        <v>0</v>
      </c>
      <c r="AU547" s="52">
        <f>IF(Master[[#This Row],[RSP StopTime override]] &lt;&gt; "",Master[[#This Row],[RSP StopTime override]],IF(Master[[#This Row],[Avg stop time helper]] &lt;&gt; 0, Master[[#This Row],[Avg stop time helper]],Average_Stop_Time))</f>
        <v>2</v>
      </c>
      <c r="AV547" s="21">
        <v>2</v>
      </c>
      <c r="AW547" s="20">
        <f>Master[[#This Row],[RSP StopTime override]]-Master[[#This Row],[Avg stop time helper]]</f>
        <v>2</v>
      </c>
    </row>
    <row r="548" spans="1:49" x14ac:dyDescent="0.3">
      <c r="A548" s="66" t="s">
        <v>4624</v>
      </c>
      <c r="B548" s="58">
        <v>50</v>
      </c>
      <c r="C548" s="58" t="s">
        <v>35</v>
      </c>
      <c r="D548" s="65">
        <v>99051</v>
      </c>
      <c r="E548" s="65" t="s">
        <v>1945</v>
      </c>
      <c r="F548" s="65" t="s">
        <v>2446</v>
      </c>
      <c r="G548" s="65" t="s">
        <v>2445</v>
      </c>
      <c r="H548" s="65" t="s">
        <v>7</v>
      </c>
      <c r="I548" s="65" t="s">
        <v>2382</v>
      </c>
      <c r="J548" s="65" t="s">
        <v>5</v>
      </c>
      <c r="K548" s="65" t="s">
        <v>1211</v>
      </c>
      <c r="L548" s="64" t="s">
        <v>67</v>
      </c>
      <c r="M548" s="58" t="s">
        <v>3</v>
      </c>
      <c r="N548" s="58" t="s">
        <v>2</v>
      </c>
      <c r="O548" s="58">
        <v>45</v>
      </c>
      <c r="P548" s="58">
        <v>0</v>
      </c>
      <c r="Q548" s="58">
        <v>45</v>
      </c>
      <c r="R548" s="58">
        <v>0</v>
      </c>
      <c r="S548" s="58">
        <v>0</v>
      </c>
      <c r="T548" s="58">
        <v>0</v>
      </c>
      <c r="U548" s="58">
        <v>55</v>
      </c>
      <c r="V548" s="62"/>
      <c r="W548" s="62"/>
      <c r="X548" s="63">
        <f>IFERROR(1 -(Master[[#This Row],[Avg Garment Scans per Delivery]]/Master[[#This Row],[Garment Inventory]]), 0)</f>
        <v>0</v>
      </c>
      <c r="Y548" s="62"/>
      <c r="Z548" s="62"/>
      <c r="AA548" s="53">
        <v>21.884144427001562</v>
      </c>
      <c r="AB548" s="53">
        <v>69.380470957613809</v>
      </c>
      <c r="AC548" s="53">
        <v>34.15007849293562</v>
      </c>
      <c r="AD548" s="53">
        <v>88.560690737833582</v>
      </c>
      <c r="AE548" s="53" t="str">
        <f>_xlfn.XLOOKUP(Master[[#This Row],[cu_id]],'[1]Customer Revenue'!$Q:$Q,'[1]Customer Revenue'!$K:$K, "None")</f>
        <v>None</v>
      </c>
      <c r="AF548" s="53" t="str">
        <f>_xlfn.XLOOKUP(Master[[#This Row],[cu_id]],'[1]Customer Revenue'!$Q:$Q,'[1]Customer Revenue'!$L:$L, "None")</f>
        <v>None</v>
      </c>
      <c r="AG548" s="53">
        <v>22.995863567649302</v>
      </c>
      <c r="AH548" s="53">
        <v>71.238210506424792</v>
      </c>
      <c r="AI548" s="53">
        <v>45.632307692307684</v>
      </c>
      <c r="AJ548" s="53">
        <v>61.355384615384601</v>
      </c>
      <c r="AK548" s="53" t="str">
        <f>_xlfn.XLOOKUP(Master[[#This Row],[cu_id]],'[1]Customer Revenue'!$Q:$Q,'[1]Customer Revenue'!$I:$I, "None")</f>
        <v>None</v>
      </c>
      <c r="AL548" s="53">
        <v>47.117037037037051</v>
      </c>
      <c r="AM548" s="61">
        <v>0.375</v>
      </c>
      <c r="AN548" s="60">
        <v>0.66666666666666663</v>
      </c>
      <c r="AO548" s="60" t="s">
        <v>36</v>
      </c>
      <c r="AP548" s="60" t="s">
        <v>36</v>
      </c>
      <c r="AQ548" s="58" t="s">
        <v>0</v>
      </c>
      <c r="AR548" s="58"/>
      <c r="AS548" s="58"/>
      <c r="AT548" s="52">
        <v>0</v>
      </c>
      <c r="AU548" s="52">
        <f>IF(Master[[#This Row],[RSP StopTime override]] &lt;&gt; "",Master[[#This Row],[RSP StopTime override]],IF(Master[[#This Row],[Avg stop time helper]] &lt;&gt; 0, Master[[#This Row],[Avg stop time helper]],Average_Stop_Time))</f>
        <v>6</v>
      </c>
      <c r="AV548" s="21">
        <v>6</v>
      </c>
      <c r="AW548" s="20">
        <f>Master[[#This Row],[RSP StopTime override]]-Master[[#This Row],[Avg stop time helper]]</f>
        <v>6</v>
      </c>
    </row>
    <row r="549" spans="1:49" x14ac:dyDescent="0.3">
      <c r="A549" s="66" t="s">
        <v>4625</v>
      </c>
      <c r="B549" s="58">
        <v>50</v>
      </c>
      <c r="C549" s="58" t="s">
        <v>35</v>
      </c>
      <c r="D549" s="65">
        <v>99054</v>
      </c>
      <c r="E549" s="65" t="s">
        <v>1343</v>
      </c>
      <c r="F549" s="65" t="s">
        <v>1462</v>
      </c>
      <c r="G549" s="65" t="s">
        <v>2444</v>
      </c>
      <c r="H549" s="65" t="s">
        <v>7</v>
      </c>
      <c r="I549" s="65" t="s">
        <v>2382</v>
      </c>
      <c r="J549" s="65" t="s">
        <v>5</v>
      </c>
      <c r="K549" s="65" t="s">
        <v>1211</v>
      </c>
      <c r="L549" s="64" t="s">
        <v>206</v>
      </c>
      <c r="M549" s="58" t="s">
        <v>205</v>
      </c>
      <c r="N549" s="58" t="s">
        <v>2</v>
      </c>
      <c r="O549" s="58">
        <v>90</v>
      </c>
      <c r="P549" s="58">
        <v>0</v>
      </c>
      <c r="Q549" s="58">
        <v>90</v>
      </c>
      <c r="R549" s="58">
        <v>0</v>
      </c>
      <c r="S549" s="58">
        <v>0</v>
      </c>
      <c r="T549" s="58">
        <v>0</v>
      </c>
      <c r="U549" s="58">
        <v>13</v>
      </c>
      <c r="V549" s="62"/>
      <c r="W549" s="62"/>
      <c r="X549" s="63">
        <f>IFERROR(1 -(Master[[#This Row],[Avg Garment Scans per Delivery]]/Master[[#This Row],[Garment Inventory]]), 0)</f>
        <v>0</v>
      </c>
      <c r="Y549" s="62"/>
      <c r="Z549" s="62"/>
      <c r="AA549" s="53">
        <v>48.257777777777768</v>
      </c>
      <c r="AB549" s="53">
        <v>78.835555555555544</v>
      </c>
      <c r="AC549" s="53">
        <v>54.039999999999992</v>
      </c>
      <c r="AD549" s="53">
        <v>79.125</v>
      </c>
      <c r="AE549" s="53" t="str">
        <f>_xlfn.XLOOKUP(Master[[#This Row],[cu_id]],'[1]Customer Revenue'!$Q:$Q,'[1]Customer Revenue'!$K:$K, "None")</f>
        <v>None</v>
      </c>
      <c r="AF549" s="53" t="str">
        <f>_xlfn.XLOOKUP(Master[[#This Row],[cu_id]],'[1]Customer Revenue'!$Q:$Q,'[1]Customer Revenue'!$L:$L, "None")</f>
        <v>None</v>
      </c>
      <c r="AG549" s="53">
        <v>52.08</v>
      </c>
      <c r="AH549" s="53">
        <v>86.48</v>
      </c>
      <c r="AI549" s="53">
        <v>63.54666666666666</v>
      </c>
      <c r="AJ549" s="53">
        <v>66.582499999999996</v>
      </c>
      <c r="AK549" s="53" t="str">
        <f>_xlfn.XLOOKUP(Master[[#This Row],[cu_id]],'[1]Customer Revenue'!$Q:$Q,'[1]Customer Revenue'!$I:$I, "None")</f>
        <v>None</v>
      </c>
      <c r="AL549" s="53">
        <v>69.28</v>
      </c>
      <c r="AM549" s="61">
        <v>0.375</v>
      </c>
      <c r="AN549" s="60">
        <v>0.58333333333333337</v>
      </c>
      <c r="AO549" s="60" t="s">
        <v>36</v>
      </c>
      <c r="AP549" s="60" t="s">
        <v>36</v>
      </c>
      <c r="AQ549" s="58" t="s">
        <v>0</v>
      </c>
      <c r="AR549" s="58"/>
      <c r="AS549" s="58"/>
      <c r="AT549" s="52">
        <v>0</v>
      </c>
      <c r="AU549" s="52">
        <f>IF(Master[[#This Row],[RSP StopTime override]] &lt;&gt; "",Master[[#This Row],[RSP StopTime override]],IF(Master[[#This Row],[Avg stop time helper]] &lt;&gt; 0, Master[[#This Row],[Avg stop time helper]],Average_Stop_Time))</f>
        <v>3</v>
      </c>
      <c r="AV549" s="21">
        <v>3</v>
      </c>
      <c r="AW549" s="20">
        <f>Master[[#This Row],[RSP StopTime override]]-Master[[#This Row],[Avg stop time helper]]</f>
        <v>3</v>
      </c>
    </row>
    <row r="550" spans="1:49" x14ac:dyDescent="0.3">
      <c r="A550" s="66" t="s">
        <v>4626</v>
      </c>
      <c r="B550" s="58">
        <v>50</v>
      </c>
      <c r="C550" s="58" t="s">
        <v>35</v>
      </c>
      <c r="D550" s="65">
        <v>99059</v>
      </c>
      <c r="E550" s="65" t="s">
        <v>1158</v>
      </c>
      <c r="F550" s="65" t="s">
        <v>3650</v>
      </c>
      <c r="G550" s="65" t="s">
        <v>2443</v>
      </c>
      <c r="H550" s="65" t="s">
        <v>32</v>
      </c>
      <c r="I550" s="65" t="s">
        <v>50</v>
      </c>
      <c r="J550" s="65" t="s">
        <v>5</v>
      </c>
      <c r="K550" s="65" t="s">
        <v>61</v>
      </c>
      <c r="L550" s="64" t="s">
        <v>67</v>
      </c>
      <c r="M550" s="58" t="s">
        <v>3</v>
      </c>
      <c r="N550" s="58" t="s">
        <v>2</v>
      </c>
      <c r="O550" s="58">
        <v>1</v>
      </c>
      <c r="P550" s="58">
        <v>0</v>
      </c>
      <c r="Q550" s="58">
        <v>1</v>
      </c>
      <c r="R550" s="58">
        <v>0</v>
      </c>
      <c r="S550" s="58">
        <v>0</v>
      </c>
      <c r="T550" s="58">
        <v>0</v>
      </c>
      <c r="U550" s="58">
        <v>52</v>
      </c>
      <c r="V550" s="62">
        <v>141</v>
      </c>
      <c r="W550" s="62">
        <v>31</v>
      </c>
      <c r="X550" s="63">
        <f>IFERROR(1 -(Master[[#This Row],[Avg Garment Scans per Delivery]]/Master[[#This Row],[Garment Inventory]]), 0)</f>
        <v>0.78014184397163122</v>
      </c>
      <c r="Y550" s="62">
        <v>15</v>
      </c>
      <c r="Z550" s="62">
        <v>143</v>
      </c>
      <c r="AA550" s="53">
        <v>192.08692307692306</v>
      </c>
      <c r="AB550" s="53">
        <v>204.13307692307691</v>
      </c>
      <c r="AC550" s="53">
        <v>206.0033136094674</v>
      </c>
      <c r="AD550" s="53">
        <v>230.82130177514784</v>
      </c>
      <c r="AE550" s="53" t="str">
        <f>_xlfn.XLOOKUP(Master[[#This Row],[cu_id]],'[1]Customer Revenue'!$Q:$Q,'[1]Customer Revenue'!$K:$K, "None")</f>
        <v>None</v>
      </c>
      <c r="AF550" s="53" t="str">
        <f>_xlfn.XLOOKUP(Master[[#This Row],[cu_id]],'[1]Customer Revenue'!$Q:$Q,'[1]Customer Revenue'!$L:$L, "None")</f>
        <v>None</v>
      </c>
      <c r="AG550" s="53">
        <v>173.58647959183668</v>
      </c>
      <c r="AH550" s="53">
        <v>226.68352040816325</v>
      </c>
      <c r="AI550" s="53">
        <v>198.10999999999999</v>
      </c>
      <c r="AJ550" s="53">
        <v>218.41230769230762</v>
      </c>
      <c r="AK550" s="53" t="str">
        <f>_xlfn.XLOOKUP(Master[[#This Row],[cu_id]],'[1]Customer Revenue'!$Q:$Q,'[1]Customer Revenue'!$I:$I, "None")</f>
        <v>None</v>
      </c>
      <c r="AL550" s="53">
        <v>200.13499999999996</v>
      </c>
      <c r="AM550" s="61">
        <v>0.29166666666666669</v>
      </c>
      <c r="AN550" s="60">
        <v>0.625</v>
      </c>
      <c r="AO550" s="60" t="s">
        <v>36</v>
      </c>
      <c r="AP550" s="60" t="s">
        <v>36</v>
      </c>
      <c r="AQ550" s="58" t="s">
        <v>0</v>
      </c>
      <c r="AR550" s="58"/>
      <c r="AS550" s="58"/>
      <c r="AT550" s="52">
        <v>0</v>
      </c>
      <c r="AU550" s="52">
        <f>IF(Master[[#This Row],[RSP StopTime override]] &lt;&gt; "",Master[[#This Row],[RSP StopTime override]],IF(Master[[#This Row],[Avg stop time helper]] &lt;&gt; 0, Master[[#This Row],[Avg stop time helper]],Average_Stop_Time))</f>
        <v>12</v>
      </c>
      <c r="AV550" s="21">
        <v>12</v>
      </c>
      <c r="AW550" s="20">
        <f>Master[[#This Row],[RSP StopTime override]]-Master[[#This Row],[Avg stop time helper]]</f>
        <v>12</v>
      </c>
    </row>
    <row r="551" spans="1:49" x14ac:dyDescent="0.3">
      <c r="A551" s="66" t="s">
        <v>3945</v>
      </c>
      <c r="B551" s="58">
        <v>50</v>
      </c>
      <c r="C551" s="58" t="s">
        <v>35</v>
      </c>
      <c r="D551" s="65">
        <v>99061</v>
      </c>
      <c r="E551" s="65" t="s">
        <v>2433</v>
      </c>
      <c r="F551" s="65" t="s">
        <v>3651</v>
      </c>
      <c r="G551" s="65" t="s">
        <v>2432</v>
      </c>
      <c r="H551" s="65" t="s">
        <v>32</v>
      </c>
      <c r="I551" s="65" t="s">
        <v>2382</v>
      </c>
      <c r="J551" s="65" t="s">
        <v>5</v>
      </c>
      <c r="K551" s="65" t="s">
        <v>1211</v>
      </c>
      <c r="L551" s="64" t="s">
        <v>67</v>
      </c>
      <c r="M551" s="58" t="s">
        <v>3</v>
      </c>
      <c r="N551" s="58" t="s">
        <v>2</v>
      </c>
      <c r="O551" s="58">
        <v>70</v>
      </c>
      <c r="P551" s="58">
        <v>0</v>
      </c>
      <c r="Q551" s="58">
        <v>70</v>
      </c>
      <c r="R551" s="58">
        <v>0</v>
      </c>
      <c r="S551" s="58">
        <v>0</v>
      </c>
      <c r="T551" s="58">
        <v>0</v>
      </c>
      <c r="U551" s="58">
        <v>53</v>
      </c>
      <c r="V551" s="62">
        <v>44</v>
      </c>
      <c r="W551" s="62">
        <v>11</v>
      </c>
      <c r="X551" s="63">
        <f>IFERROR(1 -(Master[[#This Row],[Avg Garment Scans per Delivery]]/Master[[#This Row],[Garment Inventory]]), 0)</f>
        <v>0.75</v>
      </c>
      <c r="Y551" s="62">
        <v>1</v>
      </c>
      <c r="Z551" s="62">
        <v>44</v>
      </c>
      <c r="AA551" s="53">
        <v>92.303017751479288</v>
      </c>
      <c r="AB551" s="53">
        <v>99.815443786982243</v>
      </c>
      <c r="AC551" s="53">
        <v>104.20673469387755</v>
      </c>
      <c r="AD551" s="53">
        <v>129.21897959183673</v>
      </c>
      <c r="AE551" s="53" t="str">
        <f>_xlfn.XLOOKUP(Master[[#This Row],[cu_id]],'[1]Customer Revenue'!$Q:$Q,'[1]Customer Revenue'!$K:$K, "None")</f>
        <v>None</v>
      </c>
      <c r="AF551" s="53" t="str">
        <f>_xlfn.XLOOKUP(Master[[#This Row],[cu_id]],'[1]Customer Revenue'!$Q:$Q,'[1]Customer Revenue'!$L:$L, "None")</f>
        <v>None</v>
      </c>
      <c r="AG551" s="53">
        <v>87.985295857988191</v>
      </c>
      <c r="AH551" s="53">
        <v>104.0154733727811</v>
      </c>
      <c r="AI551" s="53">
        <v>96.059230769230766</v>
      </c>
      <c r="AJ551" s="53">
        <v>116.71285714285715</v>
      </c>
      <c r="AK551" s="53" t="str">
        <f>_xlfn.XLOOKUP(Master[[#This Row],[cu_id]],'[1]Customer Revenue'!$Q:$Q,'[1]Customer Revenue'!$I:$I, "None")</f>
        <v>None</v>
      </c>
      <c r="AL551" s="53">
        <v>96.000384615384647</v>
      </c>
      <c r="AM551" s="61">
        <v>0.25</v>
      </c>
      <c r="AN551" s="60">
        <v>0.5</v>
      </c>
      <c r="AO551" s="60" t="s">
        <v>36</v>
      </c>
      <c r="AP551" s="60" t="s">
        <v>36</v>
      </c>
      <c r="AQ551" s="58" t="s">
        <v>0</v>
      </c>
      <c r="AR551" s="58"/>
      <c r="AS551" s="58"/>
      <c r="AT551" s="52">
        <v>0</v>
      </c>
      <c r="AU551" s="52">
        <f>IF(Master[[#This Row],[RSP StopTime override]] &lt;&gt; "",Master[[#This Row],[RSP StopTime override]],IF(Master[[#This Row],[Avg stop time helper]] &lt;&gt; 0, Master[[#This Row],[Avg stop time helper]],Average_Stop_Time))</f>
        <v>3</v>
      </c>
      <c r="AV551" s="21">
        <v>3</v>
      </c>
      <c r="AW551" s="20">
        <f>Master[[#This Row],[RSP StopTime override]]-Master[[#This Row],[Avg stop time helper]]</f>
        <v>3</v>
      </c>
    </row>
    <row r="552" spans="1:49" x14ac:dyDescent="0.3">
      <c r="A552" s="66" t="s">
        <v>4627</v>
      </c>
      <c r="B552" s="58">
        <v>50</v>
      </c>
      <c r="C552" s="58" t="s">
        <v>35</v>
      </c>
      <c r="D552" s="65">
        <v>99061</v>
      </c>
      <c r="E552" s="65" t="s">
        <v>2429</v>
      </c>
      <c r="F552" s="65" t="s">
        <v>2442</v>
      </c>
      <c r="G552" s="65" t="s">
        <v>2427</v>
      </c>
      <c r="H552" s="65" t="s">
        <v>32</v>
      </c>
      <c r="I552" s="65" t="s">
        <v>1582</v>
      </c>
      <c r="J552" s="65" t="s">
        <v>5</v>
      </c>
      <c r="K552" s="65" t="s">
        <v>61</v>
      </c>
      <c r="L552" s="64" t="s">
        <v>67</v>
      </c>
      <c r="M552" s="58" t="s">
        <v>3</v>
      </c>
      <c r="N552" s="58" t="s">
        <v>2</v>
      </c>
      <c r="O552" s="58">
        <v>15</v>
      </c>
      <c r="P552" s="58">
        <v>0</v>
      </c>
      <c r="Q552" s="58">
        <v>15</v>
      </c>
      <c r="R552" s="58">
        <v>0</v>
      </c>
      <c r="S552" s="58">
        <v>0</v>
      </c>
      <c r="T552" s="58">
        <v>0</v>
      </c>
      <c r="U552" s="58">
        <v>54</v>
      </c>
      <c r="V552" s="62">
        <v>33</v>
      </c>
      <c r="W552" s="62">
        <v>6</v>
      </c>
      <c r="X552" s="63">
        <f>IFERROR(1 -(Master[[#This Row],[Avg Garment Scans per Delivery]]/Master[[#This Row],[Garment Inventory]]), 0)</f>
        <v>0.81818181818181812</v>
      </c>
      <c r="Y552" s="62">
        <v>2</v>
      </c>
      <c r="Z552" s="62">
        <v>58</v>
      </c>
      <c r="AA552" s="53">
        <v>179.93384615384616</v>
      </c>
      <c r="AB552" s="53">
        <v>252.90615384615387</v>
      </c>
      <c r="AC552" s="53">
        <v>197.66508875739643</v>
      </c>
      <c r="AD552" s="53">
        <v>225.38414201183431</v>
      </c>
      <c r="AE552" s="53" t="str">
        <f>_xlfn.XLOOKUP(Master[[#This Row],[cu_id]],'[1]Customer Revenue'!$Q:$Q,'[1]Customer Revenue'!$K:$K, "None")</f>
        <v>None</v>
      </c>
      <c r="AF552" s="53" t="str">
        <f>_xlfn.XLOOKUP(Master[[#This Row],[cu_id]],'[1]Customer Revenue'!$Q:$Q,'[1]Customer Revenue'!$L:$L, "None")</f>
        <v>None</v>
      </c>
      <c r="AG552" s="53">
        <v>185.56165680473373</v>
      </c>
      <c r="AH552" s="53">
        <v>225.78295857988161</v>
      </c>
      <c r="AI552" s="53">
        <v>216.42000000000002</v>
      </c>
      <c r="AJ552" s="53">
        <v>211.52461538461537</v>
      </c>
      <c r="AK552" s="53" t="str">
        <f>_xlfn.XLOOKUP(Master[[#This Row],[cu_id]],'[1]Customer Revenue'!$Q:$Q,'[1]Customer Revenue'!$I:$I, "None")</f>
        <v>None</v>
      </c>
      <c r="AL552" s="53">
        <v>205.67230769230767</v>
      </c>
      <c r="AM552" s="61">
        <v>0.25</v>
      </c>
      <c r="AN552" s="60">
        <v>0.5</v>
      </c>
      <c r="AO552" s="60" t="s">
        <v>36</v>
      </c>
      <c r="AP552" s="60" t="s">
        <v>36</v>
      </c>
      <c r="AQ552" s="58" t="s">
        <v>0</v>
      </c>
      <c r="AR552" s="58"/>
      <c r="AS552" s="58"/>
      <c r="AT552" s="52">
        <v>0</v>
      </c>
      <c r="AU552" s="52">
        <f>IF(Master[[#This Row],[RSP StopTime override]] &lt;&gt; "",Master[[#This Row],[RSP StopTime override]],IF(Master[[#This Row],[Avg stop time helper]] &lt;&gt; 0, Master[[#This Row],[Avg stop time helper]],Average_Stop_Time))</f>
        <v>3</v>
      </c>
      <c r="AV552" s="21">
        <v>3</v>
      </c>
      <c r="AW552" s="20">
        <f>Master[[#This Row],[RSP StopTime override]]-Master[[#This Row],[Avg stop time helper]]</f>
        <v>3</v>
      </c>
    </row>
    <row r="553" spans="1:49" x14ac:dyDescent="0.3">
      <c r="A553" s="66" t="s">
        <v>3906</v>
      </c>
      <c r="B553" s="58">
        <v>50</v>
      </c>
      <c r="C553" s="58" t="s">
        <v>35</v>
      </c>
      <c r="D553" s="65">
        <v>99061</v>
      </c>
      <c r="E553" s="65" t="s">
        <v>2431</v>
      </c>
      <c r="F553" s="65" t="s">
        <v>3652</v>
      </c>
      <c r="G553" s="65" t="s">
        <v>2430</v>
      </c>
      <c r="H553" s="65" t="s">
        <v>32</v>
      </c>
      <c r="I553" s="65" t="s">
        <v>2382</v>
      </c>
      <c r="J553" s="65" t="s">
        <v>5</v>
      </c>
      <c r="K553" s="65" t="s">
        <v>1211</v>
      </c>
      <c r="L553" s="64" t="s">
        <v>67</v>
      </c>
      <c r="M553" s="58" t="s">
        <v>3</v>
      </c>
      <c r="N553" s="58" t="s">
        <v>2</v>
      </c>
      <c r="O553" s="58">
        <v>65</v>
      </c>
      <c r="P553" s="58">
        <v>0</v>
      </c>
      <c r="Q553" s="58">
        <v>65</v>
      </c>
      <c r="R553" s="58">
        <v>0</v>
      </c>
      <c r="S553" s="58">
        <v>0</v>
      </c>
      <c r="T553" s="58">
        <v>0</v>
      </c>
      <c r="U553" s="58">
        <v>52</v>
      </c>
      <c r="V553" s="62"/>
      <c r="W553" s="62"/>
      <c r="X553" s="63">
        <f>IFERROR(1 -(Master[[#This Row],[Avg Garment Scans per Delivery]]/Master[[#This Row],[Garment Inventory]]), 0)</f>
        <v>0</v>
      </c>
      <c r="Y553" s="62"/>
      <c r="Z553" s="62"/>
      <c r="AA553" s="53">
        <v>14.932899408284023</v>
      </c>
      <c r="AB553" s="53">
        <v>15.26094674556213</v>
      </c>
      <c r="AC553" s="53">
        <v>17.579999999999984</v>
      </c>
      <c r="AD553" s="53">
        <v>17.579999999999998</v>
      </c>
      <c r="AE553" s="53" t="str">
        <f>_xlfn.XLOOKUP(Master[[#This Row],[cu_id]],'[1]Customer Revenue'!$Q:$Q,'[1]Customer Revenue'!$K:$K, "None")</f>
        <v>None</v>
      </c>
      <c r="AF553" s="53" t="str">
        <f>_xlfn.XLOOKUP(Master[[#This Row],[cu_id]],'[1]Customer Revenue'!$Q:$Q,'[1]Customer Revenue'!$L:$L, "None")</f>
        <v>None</v>
      </c>
      <c r="AG553" s="53">
        <v>14.858343195266272</v>
      </c>
      <c r="AH553" s="53">
        <v>15.550887573964495</v>
      </c>
      <c r="AI553" s="53">
        <v>15.096923076923076</v>
      </c>
      <c r="AJ553" s="53">
        <v>17.579999999999991</v>
      </c>
      <c r="AK553" s="53" t="str">
        <f>_xlfn.XLOOKUP(Master[[#This Row],[cu_id]],'[1]Customer Revenue'!$Q:$Q,'[1]Customer Revenue'!$I:$I, "None")</f>
        <v>None</v>
      </c>
      <c r="AL553" s="53">
        <v>15.204615384615384</v>
      </c>
      <c r="AM553" s="61">
        <v>0.25</v>
      </c>
      <c r="AN553" s="60">
        <v>0.5</v>
      </c>
      <c r="AO553" s="60" t="s">
        <v>36</v>
      </c>
      <c r="AP553" s="60" t="s">
        <v>36</v>
      </c>
      <c r="AQ553" s="58" t="s">
        <v>0</v>
      </c>
      <c r="AR553" s="58"/>
      <c r="AS553" s="58"/>
      <c r="AT553" s="52">
        <v>0</v>
      </c>
      <c r="AU553" s="52">
        <f>IF(Master[[#This Row],[RSP StopTime override]] &lt;&gt; "",Master[[#This Row],[RSP StopTime override]],IF(Master[[#This Row],[Avg stop time helper]] &lt;&gt; 0, Master[[#This Row],[Avg stop time helper]],Average_Stop_Time))</f>
        <v>8</v>
      </c>
      <c r="AV553" s="21">
        <v>8</v>
      </c>
      <c r="AW553" s="20">
        <f>Master[[#This Row],[RSP StopTime override]]-Master[[#This Row],[Avg stop time helper]]</f>
        <v>8</v>
      </c>
    </row>
    <row r="554" spans="1:49" x14ac:dyDescent="0.3">
      <c r="A554" s="66" t="s">
        <v>4628</v>
      </c>
      <c r="B554" s="58">
        <v>50</v>
      </c>
      <c r="C554" s="58" t="s">
        <v>35</v>
      </c>
      <c r="D554" s="65">
        <v>99061</v>
      </c>
      <c r="E554" s="65" t="s">
        <v>2426</v>
      </c>
      <c r="F554" s="65" t="s">
        <v>2441</v>
      </c>
      <c r="G554" s="65" t="s">
        <v>2425</v>
      </c>
      <c r="H554" s="65" t="s">
        <v>2440</v>
      </c>
      <c r="I554" s="65" t="s">
        <v>2423</v>
      </c>
      <c r="J554" s="65" t="s">
        <v>5</v>
      </c>
      <c r="K554" s="65" t="s">
        <v>61</v>
      </c>
      <c r="L554" s="64" t="s">
        <v>67</v>
      </c>
      <c r="M554" s="58" t="s">
        <v>3</v>
      </c>
      <c r="N554" s="58" t="s">
        <v>2</v>
      </c>
      <c r="O554" s="58">
        <v>10</v>
      </c>
      <c r="P554" s="58">
        <v>0</v>
      </c>
      <c r="Q554" s="58">
        <v>10</v>
      </c>
      <c r="R554" s="58">
        <v>0</v>
      </c>
      <c r="S554" s="58">
        <v>0</v>
      </c>
      <c r="T554" s="58">
        <v>0</v>
      </c>
      <c r="U554" s="58">
        <v>52</v>
      </c>
      <c r="V554" s="62"/>
      <c r="W554" s="62"/>
      <c r="X554" s="63">
        <f>IFERROR(1 -(Master[[#This Row],[Avg Garment Scans per Delivery]]/Master[[#This Row],[Garment Inventory]]), 0)</f>
        <v>0</v>
      </c>
      <c r="Y554" s="62"/>
      <c r="Z554" s="62"/>
      <c r="AA554" s="53">
        <v>15.593668639053254</v>
      </c>
      <c r="AB554" s="53">
        <v>16.260177514792897</v>
      </c>
      <c r="AC554" s="53">
        <v>18.793491124260356</v>
      </c>
      <c r="AD554" s="53">
        <v>19.744970414201191</v>
      </c>
      <c r="AE554" s="53" t="str">
        <f>_xlfn.XLOOKUP(Master[[#This Row],[cu_id]],'[1]Customer Revenue'!$Q:$Q,'[1]Customer Revenue'!$K:$K, "None")</f>
        <v>None</v>
      </c>
      <c r="AF554" s="53" t="str">
        <f>_xlfn.XLOOKUP(Master[[#This Row],[cu_id]],'[1]Customer Revenue'!$Q:$Q,'[1]Customer Revenue'!$L:$L, "None")</f>
        <v>None</v>
      </c>
      <c r="AG554" s="53">
        <v>15.278372781065089</v>
      </c>
      <c r="AH554" s="53">
        <v>16.50855029585799</v>
      </c>
      <c r="AI554" s="53">
        <v>15.926923076923076</v>
      </c>
      <c r="AJ554" s="53">
        <v>19.269230769230774</v>
      </c>
      <c r="AK554" s="53" t="str">
        <f>_xlfn.XLOOKUP(Master[[#This Row],[cu_id]],'[1]Customer Revenue'!$Q:$Q,'[1]Customer Revenue'!$I:$I, "None")</f>
        <v>None</v>
      </c>
      <c r="AL554" s="53">
        <v>15.893461538461541</v>
      </c>
      <c r="AM554" s="61">
        <v>0.25</v>
      </c>
      <c r="AN554" s="60">
        <v>0.5</v>
      </c>
      <c r="AO554" s="60" t="s">
        <v>36</v>
      </c>
      <c r="AP554" s="60" t="s">
        <v>36</v>
      </c>
      <c r="AQ554" s="58" t="s">
        <v>0</v>
      </c>
      <c r="AR554" s="58"/>
      <c r="AS554" s="58"/>
      <c r="AT554" s="52">
        <v>0</v>
      </c>
      <c r="AU554" s="52">
        <f>IF(Master[[#This Row],[RSP StopTime override]] &lt;&gt; "",Master[[#This Row],[RSP StopTime override]],IF(Master[[#This Row],[Avg stop time helper]] &lt;&gt; 0, Master[[#This Row],[Avg stop time helper]],Average_Stop_Time))</f>
        <v>15</v>
      </c>
      <c r="AV554" s="21">
        <v>15</v>
      </c>
      <c r="AW554" s="20">
        <f>Master[[#This Row],[RSP StopTime override]]-Master[[#This Row],[Avg stop time helper]]</f>
        <v>15</v>
      </c>
    </row>
    <row r="555" spans="1:49" x14ac:dyDescent="0.3">
      <c r="A555" s="66" t="s">
        <v>4629</v>
      </c>
      <c r="B555" s="58">
        <v>50</v>
      </c>
      <c r="C555" s="58" t="s">
        <v>35</v>
      </c>
      <c r="D555" s="65">
        <v>99094</v>
      </c>
      <c r="E555" s="65" t="s">
        <v>42</v>
      </c>
      <c r="F555" s="65" t="s">
        <v>2439</v>
      </c>
      <c r="G555" s="65" t="s">
        <v>2438</v>
      </c>
      <c r="H555" s="65" t="s">
        <v>7</v>
      </c>
      <c r="I555" s="65" t="s">
        <v>2382</v>
      </c>
      <c r="J555" s="65" t="s">
        <v>5</v>
      </c>
      <c r="K555" s="65" t="s">
        <v>1211</v>
      </c>
      <c r="L555" s="64" t="s">
        <v>67</v>
      </c>
      <c r="M555" s="58" t="s">
        <v>3</v>
      </c>
      <c r="N555" s="58" t="s">
        <v>2</v>
      </c>
      <c r="O555" s="58">
        <v>35</v>
      </c>
      <c r="P555" s="58">
        <v>0</v>
      </c>
      <c r="Q555" s="58">
        <v>35</v>
      </c>
      <c r="R555" s="58">
        <v>0</v>
      </c>
      <c r="S555" s="58">
        <v>0</v>
      </c>
      <c r="T555" s="58">
        <v>0</v>
      </c>
      <c r="U555" s="58">
        <v>38</v>
      </c>
      <c r="V555" s="62"/>
      <c r="W555" s="62"/>
      <c r="X555" s="63">
        <f>IFERROR(1 -(Master[[#This Row],[Avg Garment Scans per Delivery]]/Master[[#This Row],[Garment Inventory]]), 0)</f>
        <v>0</v>
      </c>
      <c r="Y555" s="62"/>
      <c r="Z555" s="62"/>
      <c r="AA555" s="53">
        <v>21.629027777777775</v>
      </c>
      <c r="AB555" s="53">
        <v>28.209305555555556</v>
      </c>
      <c r="AC555" s="53">
        <v>4.5088888888888974</v>
      </c>
      <c r="AD555" s="53">
        <v>24.39777777777778</v>
      </c>
      <c r="AE555" s="53" t="str">
        <f>_xlfn.XLOOKUP(Master[[#This Row],[cu_id]],'[1]Customer Revenue'!$Q:$Q,'[1]Customer Revenue'!$K:$K, "None")</f>
        <v>None</v>
      </c>
      <c r="AF555" s="53" t="str">
        <f>_xlfn.XLOOKUP(Master[[#This Row],[cu_id]],'[1]Customer Revenue'!$Q:$Q,'[1]Customer Revenue'!$L:$L, "None")</f>
        <v>None</v>
      </c>
      <c r="AG555" s="53">
        <v>20.253742911153118</v>
      </c>
      <c r="AH555" s="53">
        <v>26.310604914933826</v>
      </c>
      <c r="AI555" s="53">
        <v>24.919166666666666</v>
      </c>
      <c r="AJ555" s="53">
        <v>14.453333333333338</v>
      </c>
      <c r="AK555" s="53" t="str">
        <f>_xlfn.XLOOKUP(Master[[#This Row],[cu_id]],'[1]Customer Revenue'!$Q:$Q,'[1]Customer Revenue'!$I:$I, "None")</f>
        <v>None</v>
      </c>
      <c r="AL555" s="53">
        <v>23.282173913043472</v>
      </c>
      <c r="AM555" s="61">
        <v>0.375</v>
      </c>
      <c r="AN555" s="60">
        <v>0.625</v>
      </c>
      <c r="AO555" s="60" t="s">
        <v>36</v>
      </c>
      <c r="AP555" s="60" t="s">
        <v>36</v>
      </c>
      <c r="AQ555" s="58" t="s">
        <v>0</v>
      </c>
      <c r="AR555" s="58"/>
      <c r="AS555" s="58"/>
      <c r="AT555" s="52">
        <v>0</v>
      </c>
      <c r="AU555" s="52">
        <f>IF(Master[[#This Row],[RSP StopTime override]] &lt;&gt; "",Master[[#This Row],[RSP StopTime override]],IF(Master[[#This Row],[Avg stop time helper]] &lt;&gt; 0, Master[[#This Row],[Avg stop time helper]],Average_Stop_Time))</f>
        <v>3</v>
      </c>
      <c r="AV555" s="21">
        <v>3</v>
      </c>
      <c r="AW555" s="20">
        <f>Master[[#This Row],[RSP StopTime override]]-Master[[#This Row],[Avg stop time helper]]</f>
        <v>3</v>
      </c>
    </row>
    <row r="556" spans="1:49" x14ac:dyDescent="0.3">
      <c r="A556" s="66" t="s">
        <v>4630</v>
      </c>
      <c r="B556" s="58">
        <v>50</v>
      </c>
      <c r="C556" s="58" t="s">
        <v>35</v>
      </c>
      <c r="D556" s="65">
        <v>99094</v>
      </c>
      <c r="E556" s="65" t="s">
        <v>1455</v>
      </c>
      <c r="F556" s="65" t="s">
        <v>2437</v>
      </c>
      <c r="G556" s="65" t="s">
        <v>2436</v>
      </c>
      <c r="H556" s="65" t="s">
        <v>7</v>
      </c>
      <c r="I556" s="65" t="s">
        <v>12</v>
      </c>
      <c r="J556" s="65" t="s">
        <v>5</v>
      </c>
      <c r="K556" s="65" t="s">
        <v>61</v>
      </c>
      <c r="L556" s="64" t="s">
        <v>67</v>
      </c>
      <c r="M556" s="58" t="s">
        <v>3</v>
      </c>
      <c r="N556" s="58" t="s">
        <v>2</v>
      </c>
      <c r="O556" s="58">
        <v>110</v>
      </c>
      <c r="P556" s="58">
        <v>0</v>
      </c>
      <c r="Q556" s="58">
        <v>110</v>
      </c>
      <c r="R556" s="58">
        <v>0</v>
      </c>
      <c r="S556" s="58">
        <v>0</v>
      </c>
      <c r="T556" s="58">
        <v>0</v>
      </c>
      <c r="U556" s="58">
        <v>8</v>
      </c>
      <c r="V556" s="62"/>
      <c r="W556" s="62"/>
      <c r="X556" s="63">
        <f>IFERROR(1 -(Master[[#This Row],[Avg Garment Scans per Delivery]]/Master[[#This Row],[Garment Inventory]]), 0)</f>
        <v>0</v>
      </c>
      <c r="Y556" s="62"/>
      <c r="Z556" s="62"/>
      <c r="AA556" s="53">
        <v>23.072399999999998</v>
      </c>
      <c r="AB556" s="53">
        <v>44.787599999999998</v>
      </c>
      <c r="AC556" s="53">
        <v>23.072399999999998</v>
      </c>
      <c r="AD556" s="53">
        <v>44.787599999999998</v>
      </c>
      <c r="AE556" s="53" t="str">
        <f>_xlfn.XLOOKUP(Master[[#This Row],[cu_id]],'[1]Customer Revenue'!$Q:$Q,'[1]Customer Revenue'!$K:$K, "None")</f>
        <v>None</v>
      </c>
      <c r="AF556" s="53" t="str">
        <f>_xlfn.XLOOKUP(Master[[#This Row],[cu_id]],'[1]Customer Revenue'!$Q:$Q,'[1]Customer Revenue'!$L:$L, "None")</f>
        <v>None</v>
      </c>
      <c r="AG556" s="53">
        <v>23.072399999999998</v>
      </c>
      <c r="AH556" s="53">
        <v>44.787599999999998</v>
      </c>
      <c r="AI556" s="53">
        <v>33.93</v>
      </c>
      <c r="AJ556" s="53">
        <v>33.93</v>
      </c>
      <c r="AK556" s="53" t="str">
        <f>_xlfn.XLOOKUP(Master[[#This Row],[cu_id]],'[1]Customer Revenue'!$Q:$Q,'[1]Customer Revenue'!$I:$I, "None")</f>
        <v>None</v>
      </c>
      <c r="AL556" s="53">
        <v>33.93</v>
      </c>
      <c r="AM556" s="61">
        <v>0.375</v>
      </c>
      <c r="AN556" s="60">
        <v>0.625</v>
      </c>
      <c r="AO556" s="60" t="s">
        <v>36</v>
      </c>
      <c r="AP556" s="60" t="s">
        <v>36</v>
      </c>
      <c r="AQ556" s="58" t="s">
        <v>0</v>
      </c>
      <c r="AR556" s="58"/>
      <c r="AS556" s="58"/>
      <c r="AT556" s="52">
        <v>0</v>
      </c>
      <c r="AU556" s="52">
        <f>IF(Master[[#This Row],[RSP StopTime override]] &lt;&gt; "",Master[[#This Row],[RSP StopTime override]],IF(Master[[#This Row],[Avg stop time helper]] &lt;&gt; 0, Master[[#This Row],[Avg stop time helper]],Average_Stop_Time))</f>
        <v>7</v>
      </c>
      <c r="AV556" s="21">
        <v>7</v>
      </c>
      <c r="AW556" s="20">
        <f>Master[[#This Row],[RSP StopTime override]]-Master[[#This Row],[Avg stop time helper]]</f>
        <v>7</v>
      </c>
    </row>
    <row r="557" spans="1:49" x14ac:dyDescent="0.3">
      <c r="A557" s="66" t="s">
        <v>4631</v>
      </c>
      <c r="B557" s="58">
        <v>50</v>
      </c>
      <c r="C557" s="58" t="s">
        <v>35</v>
      </c>
      <c r="D557" s="65">
        <v>99100</v>
      </c>
      <c r="E557" s="65" t="s">
        <v>1996</v>
      </c>
      <c r="F557" s="65" t="s">
        <v>2435</v>
      </c>
      <c r="G557" s="65" t="s">
        <v>2434</v>
      </c>
      <c r="H557" s="65" t="s">
        <v>7</v>
      </c>
      <c r="I557" s="65" t="s">
        <v>12</v>
      </c>
      <c r="J557" s="65" t="s">
        <v>5</v>
      </c>
      <c r="K557" s="65" t="s">
        <v>1215</v>
      </c>
      <c r="L557" s="64" t="s">
        <v>91</v>
      </c>
      <c r="M557" s="58" t="s">
        <v>90</v>
      </c>
      <c r="N557" s="58" t="s">
        <v>2</v>
      </c>
      <c r="O557" s="58">
        <v>90</v>
      </c>
      <c r="P557" s="58">
        <v>0</v>
      </c>
      <c r="Q557" s="58">
        <v>90</v>
      </c>
      <c r="R557" s="58">
        <v>0</v>
      </c>
      <c r="S557" s="58">
        <v>0</v>
      </c>
      <c r="T557" s="58">
        <v>0</v>
      </c>
      <c r="U557" s="58">
        <v>25</v>
      </c>
      <c r="V557" s="62"/>
      <c r="W557" s="62"/>
      <c r="X557" s="63">
        <f>IFERROR(1 -(Master[[#This Row],[Avg Garment Scans per Delivery]]/Master[[#This Row],[Garment Inventory]]), 0)</f>
        <v>0</v>
      </c>
      <c r="Y557" s="62"/>
      <c r="Z557" s="62"/>
      <c r="AA557" s="53">
        <v>18.064557823129249</v>
      </c>
      <c r="AB557" s="53">
        <v>29.782108843537415</v>
      </c>
      <c r="AC557" s="53">
        <v>26.04</v>
      </c>
      <c r="AD557" s="53">
        <v>29.013333333333335</v>
      </c>
      <c r="AE557" s="53" t="str">
        <f>_xlfn.XLOOKUP(Master[[#This Row],[cu_id]],'[1]Customer Revenue'!$Q:$Q,'[1]Customer Revenue'!$K:$K, "None")</f>
        <v>None</v>
      </c>
      <c r="AF557" s="53" t="str">
        <f>_xlfn.XLOOKUP(Master[[#This Row],[cu_id]],'[1]Customer Revenue'!$Q:$Q,'[1]Customer Revenue'!$L:$L, "None")</f>
        <v>None</v>
      </c>
      <c r="AG557" s="53">
        <v>20.204191321499017</v>
      </c>
      <c r="AH557" s="53">
        <v>26.892475345167654</v>
      </c>
      <c r="AI557" s="53">
        <v>23.923333333333332</v>
      </c>
      <c r="AJ557" s="53">
        <v>27.526666666666667</v>
      </c>
      <c r="AK557" s="53" t="str">
        <f>_xlfn.XLOOKUP(Master[[#This Row],[cu_id]],'[1]Customer Revenue'!$Q:$Q,'[1]Customer Revenue'!$I:$I, "None")</f>
        <v>None</v>
      </c>
      <c r="AL557" s="53">
        <v>23.548333333333336</v>
      </c>
      <c r="AM557" s="61">
        <v>0.375</v>
      </c>
      <c r="AN557" s="60">
        <v>0.625</v>
      </c>
      <c r="AO557" s="60" t="s">
        <v>36</v>
      </c>
      <c r="AP557" s="60" t="s">
        <v>36</v>
      </c>
      <c r="AQ557" s="58" t="s">
        <v>0</v>
      </c>
      <c r="AR557" s="58"/>
      <c r="AS557" s="58"/>
      <c r="AT557" s="52">
        <v>0</v>
      </c>
      <c r="AU557" s="52">
        <f>IF(Master[[#This Row],[RSP StopTime override]] &lt;&gt; "",Master[[#This Row],[RSP StopTime override]],IF(Master[[#This Row],[Avg stop time helper]] &lt;&gt; 0, Master[[#This Row],[Avg stop time helper]],Average_Stop_Time))</f>
        <v>3</v>
      </c>
      <c r="AV557" s="21">
        <v>3</v>
      </c>
      <c r="AW557" s="20">
        <f>Master[[#This Row],[RSP StopTime override]]-Master[[#This Row],[Avg stop time helper]]</f>
        <v>3</v>
      </c>
    </row>
    <row r="558" spans="1:49" x14ac:dyDescent="0.3">
      <c r="A558" s="66" t="s">
        <v>4052</v>
      </c>
      <c r="B558" s="58">
        <v>50</v>
      </c>
      <c r="C558" s="58" t="s">
        <v>35</v>
      </c>
      <c r="D558" s="65">
        <v>99161</v>
      </c>
      <c r="E558" s="65" t="s">
        <v>2433</v>
      </c>
      <c r="F558" s="65" t="s">
        <v>3653</v>
      </c>
      <c r="G558" s="65" t="s">
        <v>2432</v>
      </c>
      <c r="H558" s="65" t="s">
        <v>7</v>
      </c>
      <c r="I558" s="65" t="s">
        <v>2382</v>
      </c>
      <c r="J558" s="65" t="s">
        <v>5</v>
      </c>
      <c r="K558" s="65" t="s">
        <v>1211</v>
      </c>
      <c r="L558" s="64" t="s">
        <v>67</v>
      </c>
      <c r="M558" s="58" t="s">
        <v>3</v>
      </c>
      <c r="N558" s="58" t="s">
        <v>2</v>
      </c>
      <c r="O558" s="58">
        <v>55</v>
      </c>
      <c r="P558" s="58">
        <v>0</v>
      </c>
      <c r="Q558" s="58">
        <v>55</v>
      </c>
      <c r="R558" s="58">
        <v>0</v>
      </c>
      <c r="S558" s="58">
        <v>0</v>
      </c>
      <c r="T558" s="58">
        <v>0</v>
      </c>
      <c r="U558" s="58">
        <v>4</v>
      </c>
      <c r="V558" s="62"/>
      <c r="W558" s="62"/>
      <c r="X558" s="63">
        <f>IFERROR(1 -(Master[[#This Row],[Avg Garment Scans per Delivery]]/Master[[#This Row],[Garment Inventory]]), 0)</f>
        <v>0</v>
      </c>
      <c r="Y558" s="62"/>
      <c r="Z558" s="62"/>
      <c r="AA558" s="53">
        <v>80.280000000000015</v>
      </c>
      <c r="AB558" s="53">
        <v>238.82</v>
      </c>
      <c r="AC558" s="53"/>
      <c r="AD558" s="53"/>
      <c r="AE558" s="53" t="str">
        <f>_xlfn.XLOOKUP(Master[[#This Row],[cu_id]],'[1]Customer Revenue'!$Q:$Q,'[1]Customer Revenue'!$K:$K, "None")</f>
        <v>None</v>
      </c>
      <c r="AF558" s="53" t="str">
        <f>_xlfn.XLOOKUP(Master[[#This Row],[cu_id]],'[1]Customer Revenue'!$Q:$Q,'[1]Customer Revenue'!$L:$L, "None")</f>
        <v>None</v>
      </c>
      <c r="AG558" s="53">
        <v>108.28</v>
      </c>
      <c r="AH558" s="53">
        <v>220.28</v>
      </c>
      <c r="AI558" s="53">
        <v>159.55000000000001</v>
      </c>
      <c r="AJ558" s="53"/>
      <c r="AK558" s="53" t="str">
        <f>_xlfn.XLOOKUP(Master[[#This Row],[cu_id]],'[1]Customer Revenue'!$Q:$Q,'[1]Customer Revenue'!$I:$I, "None")</f>
        <v>None</v>
      </c>
      <c r="AL558" s="53">
        <v>164.28</v>
      </c>
      <c r="AM558" s="61">
        <v>0.25</v>
      </c>
      <c r="AN558" s="60">
        <v>0.5</v>
      </c>
      <c r="AO558" s="60" t="s">
        <v>36</v>
      </c>
      <c r="AP558" s="60" t="s">
        <v>36</v>
      </c>
      <c r="AQ558" s="58" t="s">
        <v>0</v>
      </c>
      <c r="AR558" s="58"/>
      <c r="AS558" s="58"/>
      <c r="AT558" s="52">
        <v>0</v>
      </c>
      <c r="AU558" s="52">
        <f>IF(Master[[#This Row],[RSP StopTime override]] &lt;&gt; "",Master[[#This Row],[RSP StopTime override]],IF(Master[[#This Row],[Avg stop time helper]] &lt;&gt; 0, Master[[#This Row],[Avg stop time helper]],Average_Stop_Time))</f>
        <v>7</v>
      </c>
      <c r="AV558" s="21">
        <v>7</v>
      </c>
      <c r="AW558" s="20">
        <f>Master[[#This Row],[RSP StopTime override]]-Master[[#This Row],[Avg stop time helper]]</f>
        <v>7</v>
      </c>
    </row>
    <row r="559" spans="1:49" x14ac:dyDescent="0.3">
      <c r="A559" s="66" t="s">
        <v>4036</v>
      </c>
      <c r="B559" s="58">
        <v>50</v>
      </c>
      <c r="C559" s="58" t="s">
        <v>35</v>
      </c>
      <c r="D559" s="65">
        <v>99161</v>
      </c>
      <c r="E559" s="65" t="s">
        <v>2431</v>
      </c>
      <c r="F559" s="65" t="s">
        <v>3654</v>
      </c>
      <c r="G559" s="65" t="s">
        <v>2430</v>
      </c>
      <c r="H559" s="65" t="s">
        <v>7</v>
      </c>
      <c r="I559" s="65" t="s">
        <v>2382</v>
      </c>
      <c r="J559" s="65" t="s">
        <v>5</v>
      </c>
      <c r="K559" s="65" t="s">
        <v>1211</v>
      </c>
      <c r="L559" s="64" t="s">
        <v>67</v>
      </c>
      <c r="M559" s="58" t="s">
        <v>3</v>
      </c>
      <c r="N559" s="58" t="s">
        <v>2</v>
      </c>
      <c r="O559" s="58">
        <v>76</v>
      </c>
      <c r="P559" s="58">
        <v>0</v>
      </c>
      <c r="Q559" s="58">
        <v>76</v>
      </c>
      <c r="R559" s="58">
        <v>0</v>
      </c>
      <c r="S559" s="58">
        <v>0</v>
      </c>
      <c r="T559" s="58">
        <v>0</v>
      </c>
      <c r="U559" s="58">
        <v>2</v>
      </c>
      <c r="V559" s="62"/>
      <c r="W559" s="62"/>
      <c r="X559" s="63">
        <f>IFERROR(1 -(Master[[#This Row],[Avg Garment Scans per Delivery]]/Master[[#This Row],[Garment Inventory]]), 0)</f>
        <v>0</v>
      </c>
      <c r="Y559" s="62"/>
      <c r="Z559" s="62"/>
      <c r="AA559" s="53">
        <v>36.08</v>
      </c>
      <c r="AB559" s="53">
        <v>36.08</v>
      </c>
      <c r="AC559" s="53"/>
      <c r="AD559" s="53"/>
      <c r="AE559" s="53" t="str">
        <f>_xlfn.XLOOKUP(Master[[#This Row],[cu_id]],'[1]Customer Revenue'!$Q:$Q,'[1]Customer Revenue'!$K:$K, "None")</f>
        <v>None</v>
      </c>
      <c r="AF559" s="53" t="str">
        <f>_xlfn.XLOOKUP(Master[[#This Row],[cu_id]],'[1]Customer Revenue'!$Q:$Q,'[1]Customer Revenue'!$L:$L, "None")</f>
        <v>None</v>
      </c>
      <c r="AG559" s="53">
        <v>31.450000000000003</v>
      </c>
      <c r="AH559" s="53">
        <v>36.08</v>
      </c>
      <c r="AI559" s="53">
        <v>36.08</v>
      </c>
      <c r="AJ559" s="53"/>
      <c r="AK559" s="53" t="str">
        <f>_xlfn.XLOOKUP(Master[[#This Row],[cu_id]],'[1]Customer Revenue'!$Q:$Q,'[1]Customer Revenue'!$I:$I, "None")</f>
        <v>None</v>
      </c>
      <c r="AL559" s="53">
        <v>33.765000000000001</v>
      </c>
      <c r="AM559" s="61">
        <v>0.25</v>
      </c>
      <c r="AN559" s="60">
        <v>0.5</v>
      </c>
      <c r="AO559" s="60" t="s">
        <v>36</v>
      </c>
      <c r="AP559" s="60" t="s">
        <v>36</v>
      </c>
      <c r="AQ559" s="58" t="s">
        <v>0</v>
      </c>
      <c r="AR559" s="58"/>
      <c r="AS559" s="58"/>
      <c r="AT559" s="52">
        <v>0</v>
      </c>
      <c r="AU559" s="52">
        <f>IF(Master[[#This Row],[RSP StopTime override]] &lt;&gt; "",Master[[#This Row],[RSP StopTime override]],IF(Master[[#This Row],[Avg stop time helper]] &lt;&gt; 0, Master[[#This Row],[Avg stop time helper]],Average_Stop_Time))</f>
        <v>7</v>
      </c>
      <c r="AV559" s="21">
        <v>7</v>
      </c>
      <c r="AW559" s="20">
        <f>Master[[#This Row],[RSP StopTime override]]-Master[[#This Row],[Avg stop time helper]]</f>
        <v>7</v>
      </c>
    </row>
    <row r="560" spans="1:49" x14ac:dyDescent="0.3">
      <c r="A560" s="66" t="s">
        <v>4632</v>
      </c>
      <c r="B560" s="58">
        <v>50</v>
      </c>
      <c r="C560" s="58" t="s">
        <v>35</v>
      </c>
      <c r="D560" s="65">
        <v>99161</v>
      </c>
      <c r="E560" s="65" t="s">
        <v>2429</v>
      </c>
      <c r="F560" s="65" t="s">
        <v>2428</v>
      </c>
      <c r="G560" s="65" t="s">
        <v>2427</v>
      </c>
      <c r="H560" s="65" t="s">
        <v>7</v>
      </c>
      <c r="I560" s="65" t="s">
        <v>1582</v>
      </c>
      <c r="J560" s="65" t="s">
        <v>5</v>
      </c>
      <c r="K560" s="65" t="s">
        <v>61</v>
      </c>
      <c r="L560" s="64" t="s">
        <v>67</v>
      </c>
      <c r="M560" s="58" t="s">
        <v>3</v>
      </c>
      <c r="N560" s="58" t="s">
        <v>2</v>
      </c>
      <c r="O560" s="58">
        <v>16</v>
      </c>
      <c r="P560" s="58">
        <v>0</v>
      </c>
      <c r="Q560" s="58">
        <v>16</v>
      </c>
      <c r="R560" s="58">
        <v>0</v>
      </c>
      <c r="S560" s="58">
        <v>0</v>
      </c>
      <c r="T560" s="58">
        <v>0</v>
      </c>
      <c r="U560" s="58">
        <v>1</v>
      </c>
      <c r="V560" s="62"/>
      <c r="W560" s="62"/>
      <c r="X560" s="63">
        <f>IFERROR(1 -(Master[[#This Row],[Avg Garment Scans per Delivery]]/Master[[#This Row],[Garment Inventory]]), 0)</f>
        <v>0</v>
      </c>
      <c r="Y560" s="62"/>
      <c r="Z560" s="62"/>
      <c r="AA560" s="53">
        <v>45.92</v>
      </c>
      <c r="AB560" s="53">
        <v>137.76</v>
      </c>
      <c r="AC560" s="53">
        <v>83.31</v>
      </c>
      <c r="AD560" s="53">
        <v>83.31</v>
      </c>
      <c r="AE560" s="53" t="str">
        <f>_xlfn.XLOOKUP(Master[[#This Row],[cu_id]],'[1]Customer Revenue'!$Q:$Q,'[1]Customer Revenue'!$K:$K, "None")</f>
        <v>None</v>
      </c>
      <c r="AF560" s="53" t="str">
        <f>_xlfn.XLOOKUP(Master[[#This Row],[cu_id]],'[1]Customer Revenue'!$Q:$Q,'[1]Customer Revenue'!$L:$L, "None")</f>
        <v>None</v>
      </c>
      <c r="AG560" s="53">
        <v>45.92</v>
      </c>
      <c r="AH560" s="53">
        <v>137.76</v>
      </c>
      <c r="AI560" s="53">
        <v>91.84</v>
      </c>
      <c r="AJ560" s="53">
        <v>83.31</v>
      </c>
      <c r="AK560" s="53" t="str">
        <f>_xlfn.XLOOKUP(Master[[#This Row],[cu_id]],'[1]Customer Revenue'!$Q:$Q,'[1]Customer Revenue'!$I:$I, "None")</f>
        <v>None</v>
      </c>
      <c r="AL560" s="53">
        <v>91.84</v>
      </c>
      <c r="AM560" s="61">
        <v>0.25</v>
      </c>
      <c r="AN560" s="60">
        <v>0.5</v>
      </c>
      <c r="AO560" s="60" t="s">
        <v>36</v>
      </c>
      <c r="AP560" s="60" t="s">
        <v>36</v>
      </c>
      <c r="AQ560" s="58" t="s">
        <v>0</v>
      </c>
      <c r="AR560" s="58"/>
      <c r="AS560" s="58"/>
      <c r="AT560" s="52">
        <v>0</v>
      </c>
      <c r="AU560" s="52">
        <f>IF(Master[[#This Row],[RSP StopTime override]] &lt;&gt; "",Master[[#This Row],[RSP StopTime override]],IF(Master[[#This Row],[Avg stop time helper]] &lt;&gt; 0, Master[[#This Row],[Avg stop time helper]],Average_Stop_Time))</f>
        <v>7</v>
      </c>
      <c r="AV560" s="21">
        <v>7</v>
      </c>
      <c r="AW560" s="20">
        <f>Master[[#This Row],[RSP StopTime override]]-Master[[#This Row],[Avg stop time helper]]</f>
        <v>7</v>
      </c>
    </row>
    <row r="561" spans="1:49" x14ac:dyDescent="0.3">
      <c r="A561" s="66" t="s">
        <v>4048</v>
      </c>
      <c r="B561" s="58">
        <v>50</v>
      </c>
      <c r="C561" s="58" t="s">
        <v>35</v>
      </c>
      <c r="D561" s="65">
        <v>99161</v>
      </c>
      <c r="E561" s="65" t="s">
        <v>2426</v>
      </c>
      <c r="F561" s="65" t="s">
        <v>3655</v>
      </c>
      <c r="G561" s="65" t="s">
        <v>2425</v>
      </c>
      <c r="H561" s="65" t="s">
        <v>2424</v>
      </c>
      <c r="I561" s="65" t="s">
        <v>2423</v>
      </c>
      <c r="J561" s="65" t="s">
        <v>5</v>
      </c>
      <c r="K561" s="65" t="s">
        <v>61</v>
      </c>
      <c r="L561" s="64" t="s">
        <v>67</v>
      </c>
      <c r="M561" s="58" t="s">
        <v>3</v>
      </c>
      <c r="N561" s="58" t="s">
        <v>2</v>
      </c>
      <c r="O561" s="58">
        <v>21</v>
      </c>
      <c r="P561" s="58">
        <v>0</v>
      </c>
      <c r="Q561" s="58">
        <v>21</v>
      </c>
      <c r="R561" s="58">
        <v>0</v>
      </c>
      <c r="S561" s="58">
        <v>0</v>
      </c>
      <c r="T561" s="58">
        <v>0</v>
      </c>
      <c r="U561" s="58">
        <v>1</v>
      </c>
      <c r="V561" s="62"/>
      <c r="W561" s="62"/>
      <c r="X561" s="63">
        <f>IFERROR(1 -(Master[[#This Row],[Avg Garment Scans per Delivery]]/Master[[#This Row],[Garment Inventory]]), 0)</f>
        <v>0</v>
      </c>
      <c r="Y561" s="62"/>
      <c r="Z561" s="62"/>
      <c r="AA561" s="53"/>
      <c r="AB561" s="53"/>
      <c r="AC561" s="53"/>
      <c r="AD561" s="53"/>
      <c r="AE561" s="53" t="str">
        <f>_xlfn.XLOOKUP(Master[[#This Row],[cu_id]],'[1]Customer Revenue'!$Q:$Q,'[1]Customer Revenue'!$K:$K, "None")</f>
        <v>None</v>
      </c>
      <c r="AF561" s="53" t="str">
        <f>_xlfn.XLOOKUP(Master[[#This Row],[cu_id]],'[1]Customer Revenue'!$Q:$Q,'[1]Customer Revenue'!$L:$L, "None")</f>
        <v>None</v>
      </c>
      <c r="AG561" s="53">
        <v>23.96</v>
      </c>
      <c r="AH561" s="53">
        <v>23.96</v>
      </c>
      <c r="AI561" s="53"/>
      <c r="AJ561" s="53"/>
      <c r="AK561" s="53" t="str">
        <f>_xlfn.XLOOKUP(Master[[#This Row],[cu_id]],'[1]Customer Revenue'!$Q:$Q,'[1]Customer Revenue'!$I:$I, "None")</f>
        <v>None</v>
      </c>
      <c r="AL561" s="53">
        <v>23.96</v>
      </c>
      <c r="AM561" s="61">
        <v>0.25</v>
      </c>
      <c r="AN561" s="60">
        <v>0.5</v>
      </c>
      <c r="AO561" s="60" t="s">
        <v>36</v>
      </c>
      <c r="AP561" s="60" t="s">
        <v>36</v>
      </c>
      <c r="AQ561" s="58" t="s">
        <v>0</v>
      </c>
      <c r="AR561" s="58"/>
      <c r="AS561" s="58"/>
      <c r="AT561" s="52">
        <v>0</v>
      </c>
      <c r="AU561" s="52">
        <f>IF(Master[[#This Row],[RSP StopTime override]] &lt;&gt; "",Master[[#This Row],[RSP StopTime override]],IF(Master[[#This Row],[Avg stop time helper]] &lt;&gt; 0, Master[[#This Row],[Avg stop time helper]],Average_Stop_Time))</f>
        <v>7</v>
      </c>
      <c r="AV561" s="21">
        <v>7</v>
      </c>
      <c r="AW561" s="20">
        <f>Master[[#This Row],[RSP StopTime override]]-Master[[#This Row],[Avg stop time helper]]</f>
        <v>7</v>
      </c>
    </row>
    <row r="562" spans="1:49" x14ac:dyDescent="0.3">
      <c r="A562" s="66" t="s">
        <v>4633</v>
      </c>
      <c r="B562" s="58">
        <v>50</v>
      </c>
      <c r="C562" s="58" t="s">
        <v>35</v>
      </c>
      <c r="D562" s="65">
        <v>499014</v>
      </c>
      <c r="E562" s="65" t="s">
        <v>1165</v>
      </c>
      <c r="F562" s="65" t="s">
        <v>1149</v>
      </c>
      <c r="G562" s="65" t="s">
        <v>2422</v>
      </c>
      <c r="H562" s="65" t="s">
        <v>32</v>
      </c>
      <c r="I562" s="65" t="s">
        <v>2384</v>
      </c>
      <c r="J562" s="65" t="s">
        <v>5</v>
      </c>
      <c r="K562" s="65" t="s">
        <v>1215</v>
      </c>
      <c r="L562" s="64" t="s">
        <v>206</v>
      </c>
      <c r="M562" s="58" t="s">
        <v>205</v>
      </c>
      <c r="N562" s="58" t="s">
        <v>2</v>
      </c>
      <c r="O562" s="58">
        <v>124</v>
      </c>
      <c r="P562" s="58">
        <v>0</v>
      </c>
      <c r="Q562" s="58">
        <v>124</v>
      </c>
      <c r="R562" s="58">
        <v>0</v>
      </c>
      <c r="S562" s="58">
        <v>0</v>
      </c>
      <c r="T562" s="58">
        <v>0</v>
      </c>
      <c r="U562" s="58">
        <v>32</v>
      </c>
      <c r="V562" s="62"/>
      <c r="W562" s="62">
        <v>6</v>
      </c>
      <c r="X562" s="63">
        <f>IFERROR(1 -(Master[[#This Row],[Avg Garment Scans per Delivery]]/Master[[#This Row],[Garment Inventory]]), 0)</f>
        <v>0</v>
      </c>
      <c r="Y562" s="62"/>
      <c r="Z562" s="62"/>
      <c r="AA562" s="53">
        <v>25.016666666666666</v>
      </c>
      <c r="AB562" s="53">
        <v>91.523333333333341</v>
      </c>
      <c r="AC562" s="53">
        <v>35.45999999999998</v>
      </c>
      <c r="AD562" s="53">
        <v>237.48000000000002</v>
      </c>
      <c r="AE562" s="53" t="str">
        <f>_xlfn.XLOOKUP(Master[[#This Row],[cu_id]],'[1]Customer Revenue'!$Q:$Q,'[1]Customer Revenue'!$K:$K, "None")</f>
        <v>None</v>
      </c>
      <c r="AF562" s="53" t="str">
        <f>_xlfn.XLOOKUP(Master[[#This Row],[cu_id]],'[1]Customer Revenue'!$Q:$Q,'[1]Customer Revenue'!$L:$L, "None")</f>
        <v>None</v>
      </c>
      <c r="AG562" s="53">
        <v>26.116326530612238</v>
      </c>
      <c r="AH562" s="53">
        <v>65.483673469387739</v>
      </c>
      <c r="AI562" s="53">
        <v>58.27</v>
      </c>
      <c r="AJ562" s="53">
        <v>136.47</v>
      </c>
      <c r="AK562" s="53" t="str">
        <f>_xlfn.XLOOKUP(Master[[#This Row],[cu_id]],'[1]Customer Revenue'!$Q:$Q,'[1]Customer Revenue'!$I:$I, "None")</f>
        <v>None</v>
      </c>
      <c r="AL562" s="53">
        <v>45.79999999999999</v>
      </c>
      <c r="AM562" s="61">
        <v>0.375</v>
      </c>
      <c r="AN562" s="60">
        <v>0.625</v>
      </c>
      <c r="AO562" s="60" t="s">
        <v>36</v>
      </c>
      <c r="AP562" s="60" t="s">
        <v>36</v>
      </c>
      <c r="AQ562" s="58" t="s">
        <v>0</v>
      </c>
      <c r="AR562" s="58"/>
      <c r="AS562" s="58"/>
      <c r="AT562" s="52">
        <v>0</v>
      </c>
      <c r="AU562" s="52">
        <f>IF(Master[[#This Row],[RSP StopTime override]] &lt;&gt; "",Master[[#This Row],[RSP StopTime override]],IF(Master[[#This Row],[Avg stop time helper]] &lt;&gt; 0, Master[[#This Row],[Avg stop time helper]],Average_Stop_Time))</f>
        <v>7</v>
      </c>
      <c r="AV562" s="21">
        <v>7</v>
      </c>
      <c r="AW562" s="20">
        <f>Master[[#This Row],[RSP StopTime override]]-Master[[#This Row],[Avg stop time helper]]</f>
        <v>7</v>
      </c>
    </row>
    <row r="563" spans="1:49" x14ac:dyDescent="0.3">
      <c r="A563" s="66" t="s">
        <v>4634</v>
      </c>
      <c r="B563" s="58">
        <v>50</v>
      </c>
      <c r="C563" s="58" t="s">
        <v>35</v>
      </c>
      <c r="D563" s="65">
        <v>512618</v>
      </c>
      <c r="E563" s="65" t="s">
        <v>42</v>
      </c>
      <c r="F563" s="65" t="s">
        <v>2421</v>
      </c>
      <c r="G563" s="65" t="s">
        <v>2420</v>
      </c>
      <c r="H563" s="65" t="s">
        <v>32</v>
      </c>
      <c r="I563" s="65" t="s">
        <v>1129</v>
      </c>
      <c r="J563" s="65" t="s">
        <v>5</v>
      </c>
      <c r="K563" s="65" t="s">
        <v>1088</v>
      </c>
      <c r="L563" s="64" t="s">
        <v>206</v>
      </c>
      <c r="M563" s="58" t="s">
        <v>205</v>
      </c>
      <c r="N563" s="58" t="s">
        <v>2</v>
      </c>
      <c r="O563" s="58">
        <v>105</v>
      </c>
      <c r="P563" s="58">
        <v>0</v>
      </c>
      <c r="Q563" s="58">
        <v>105</v>
      </c>
      <c r="R563" s="58">
        <v>0</v>
      </c>
      <c r="S563" s="58">
        <v>0</v>
      </c>
      <c r="T563" s="58">
        <v>0</v>
      </c>
      <c r="U563" s="58">
        <v>13</v>
      </c>
      <c r="V563" s="62"/>
      <c r="W563" s="62"/>
      <c r="X563" s="63">
        <f>IFERROR(1 -(Master[[#This Row],[Avg Garment Scans per Delivery]]/Master[[#This Row],[Garment Inventory]]), 0)</f>
        <v>0</v>
      </c>
      <c r="Y563" s="62"/>
      <c r="Z563" s="62"/>
      <c r="AA563" s="53">
        <v>36.479999999999997</v>
      </c>
      <c r="AB563" s="53">
        <v>36.479999999999997</v>
      </c>
      <c r="AC563" s="53">
        <v>37.261250000000004</v>
      </c>
      <c r="AD563" s="53">
        <v>41.783749999999998</v>
      </c>
      <c r="AE563" s="53" t="str">
        <f>_xlfn.XLOOKUP(Master[[#This Row],[cu_id]],'[1]Customer Revenue'!$Q:$Q,'[1]Customer Revenue'!$K:$K, "None")</f>
        <v>None</v>
      </c>
      <c r="AF563" s="53" t="str">
        <f>_xlfn.XLOOKUP(Master[[#This Row],[cu_id]],'[1]Customer Revenue'!$Q:$Q,'[1]Customer Revenue'!$L:$L, "None")</f>
        <v>None</v>
      </c>
      <c r="AG563" s="53">
        <v>36.479999999999997</v>
      </c>
      <c r="AH563" s="53">
        <v>36.479999999999997</v>
      </c>
      <c r="AI563" s="53">
        <v>36.479999999999997</v>
      </c>
      <c r="AJ563" s="53">
        <v>39.522500000000001</v>
      </c>
      <c r="AK563" s="53" t="str">
        <f>_xlfn.XLOOKUP(Master[[#This Row],[cu_id]],'[1]Customer Revenue'!$Q:$Q,'[1]Customer Revenue'!$I:$I, "None")</f>
        <v>None</v>
      </c>
      <c r="AL563" s="53">
        <v>36.479999999999997</v>
      </c>
      <c r="AM563" s="61">
        <v>0.5</v>
      </c>
      <c r="AN563" s="60">
        <v>0.625</v>
      </c>
      <c r="AO563" s="60" t="s">
        <v>36</v>
      </c>
      <c r="AP563" s="60" t="s">
        <v>36</v>
      </c>
      <c r="AQ563" s="58" t="s">
        <v>0</v>
      </c>
      <c r="AR563" s="58"/>
      <c r="AS563" s="58"/>
      <c r="AT563" s="52">
        <v>0</v>
      </c>
      <c r="AU563" s="52">
        <f>IF(Master[[#This Row],[RSP StopTime override]] &lt;&gt; "",Master[[#This Row],[RSP StopTime override]],IF(Master[[#This Row],[Avg stop time helper]] &lt;&gt; 0, Master[[#This Row],[Avg stop time helper]],Average_Stop_Time))</f>
        <v>7</v>
      </c>
      <c r="AV563" s="21">
        <v>7</v>
      </c>
      <c r="AW563" s="20">
        <f>Master[[#This Row],[RSP StopTime override]]-Master[[#This Row],[Avg stop time helper]]</f>
        <v>7</v>
      </c>
    </row>
    <row r="564" spans="1:49" x14ac:dyDescent="0.3">
      <c r="A564" s="66" t="s">
        <v>4635</v>
      </c>
      <c r="B564" s="58">
        <v>50</v>
      </c>
      <c r="C564" s="58" t="s">
        <v>35</v>
      </c>
      <c r="D564" s="65">
        <v>512791</v>
      </c>
      <c r="E564" s="65" t="s">
        <v>42</v>
      </c>
      <c r="F564" s="65" t="s">
        <v>2419</v>
      </c>
      <c r="G564" s="65" t="s">
        <v>2418</v>
      </c>
      <c r="H564" s="65" t="s">
        <v>32</v>
      </c>
      <c r="I564" s="65" t="s">
        <v>2417</v>
      </c>
      <c r="J564" s="65" t="s">
        <v>5</v>
      </c>
      <c r="K564" s="65" t="s">
        <v>2377</v>
      </c>
      <c r="L564" s="64" t="s">
        <v>77</v>
      </c>
      <c r="M564" s="58" t="s">
        <v>29</v>
      </c>
      <c r="N564" s="58" t="s">
        <v>2</v>
      </c>
      <c r="O564" s="58">
        <v>48</v>
      </c>
      <c r="P564" s="58">
        <v>0</v>
      </c>
      <c r="Q564" s="58">
        <v>48</v>
      </c>
      <c r="R564" s="58">
        <v>0</v>
      </c>
      <c r="S564" s="58">
        <v>0</v>
      </c>
      <c r="T564" s="58">
        <v>0</v>
      </c>
      <c r="U564" s="58">
        <v>23</v>
      </c>
      <c r="V564" s="62"/>
      <c r="W564" s="62"/>
      <c r="X564" s="63">
        <f>IFERROR(1 -(Master[[#This Row],[Avg Garment Scans per Delivery]]/Master[[#This Row],[Garment Inventory]]), 0)</f>
        <v>0</v>
      </c>
      <c r="Y564" s="62"/>
      <c r="Z564" s="62"/>
      <c r="AA564" s="53">
        <v>26.036111111111111</v>
      </c>
      <c r="AB564" s="53">
        <v>46.063888888888883</v>
      </c>
      <c r="AC564" s="53">
        <v>40.037551020408166</v>
      </c>
      <c r="AD564" s="53">
        <v>41.653877551020408</v>
      </c>
      <c r="AE564" s="53" t="str">
        <f>_xlfn.XLOOKUP(Master[[#This Row],[cu_id]],'[1]Customer Revenue'!$Q:$Q,'[1]Customer Revenue'!$K:$K, "None")</f>
        <v>None</v>
      </c>
      <c r="AF564" s="53" t="str">
        <f>_xlfn.XLOOKUP(Master[[#This Row],[cu_id]],'[1]Customer Revenue'!$Q:$Q,'[1]Customer Revenue'!$L:$L, "None")</f>
        <v>None</v>
      </c>
      <c r="AG564" s="53">
        <v>26.543168370091443</v>
      </c>
      <c r="AH564" s="53">
        <v>45.229558902635823</v>
      </c>
      <c r="AI564" s="53">
        <v>36.049999999999997</v>
      </c>
      <c r="AJ564" s="53">
        <v>40.845714285714287</v>
      </c>
      <c r="AK564" s="53" t="str">
        <f>_xlfn.XLOOKUP(Master[[#This Row],[cu_id]],'[1]Customer Revenue'!$Q:$Q,'[1]Customer Revenue'!$I:$I, "None")</f>
        <v>None</v>
      </c>
      <c r="AL564" s="53">
        <v>35.886363636363633</v>
      </c>
      <c r="AM564" s="61">
        <v>0.375</v>
      </c>
      <c r="AN564" s="60">
        <v>0.625</v>
      </c>
      <c r="AO564" s="60" t="s">
        <v>36</v>
      </c>
      <c r="AP564" s="60" t="s">
        <v>36</v>
      </c>
      <c r="AQ564" s="58" t="s">
        <v>0</v>
      </c>
      <c r="AR564" s="58"/>
      <c r="AS564" s="58"/>
      <c r="AT564" s="52">
        <v>0</v>
      </c>
      <c r="AU564" s="52">
        <f>IF(Master[[#This Row],[RSP StopTime override]] &lt;&gt; "",Master[[#This Row],[RSP StopTime override]],IF(Master[[#This Row],[Avg stop time helper]] &lt;&gt; 0, Master[[#This Row],[Avg stop time helper]],Average_Stop_Time))</f>
        <v>7</v>
      </c>
      <c r="AV564" s="21">
        <v>7</v>
      </c>
      <c r="AW564" s="20">
        <f>Master[[#This Row],[RSP StopTime override]]-Master[[#This Row],[Avg stop time helper]]</f>
        <v>7</v>
      </c>
    </row>
    <row r="565" spans="1:49" x14ac:dyDescent="0.3">
      <c r="A565" s="66" t="s">
        <v>4636</v>
      </c>
      <c r="B565" s="58">
        <v>50</v>
      </c>
      <c r="C565" s="58" t="s">
        <v>35</v>
      </c>
      <c r="D565" s="65">
        <v>529567</v>
      </c>
      <c r="E565" s="65" t="s">
        <v>42</v>
      </c>
      <c r="F565" s="65" t="s">
        <v>2416</v>
      </c>
      <c r="G565" s="65" t="s">
        <v>2415</v>
      </c>
      <c r="H565" s="65" t="s">
        <v>7</v>
      </c>
      <c r="I565" s="65" t="s">
        <v>2394</v>
      </c>
      <c r="J565" s="65" t="s">
        <v>5</v>
      </c>
      <c r="K565" s="65" t="s">
        <v>2393</v>
      </c>
      <c r="L565" s="64" t="s">
        <v>194</v>
      </c>
      <c r="M565" s="58" t="s">
        <v>193</v>
      </c>
      <c r="N565" s="58" t="s">
        <v>2</v>
      </c>
      <c r="O565" s="58">
        <v>60</v>
      </c>
      <c r="P565" s="58">
        <v>0</v>
      </c>
      <c r="Q565" s="58">
        <v>60</v>
      </c>
      <c r="R565" s="58">
        <v>0</v>
      </c>
      <c r="S565" s="58">
        <v>0</v>
      </c>
      <c r="T565" s="58">
        <v>0</v>
      </c>
      <c r="U565" s="58">
        <v>12</v>
      </c>
      <c r="V565" s="62"/>
      <c r="W565" s="62"/>
      <c r="X565" s="63">
        <f>IFERROR(1 -(Master[[#This Row],[Avg Garment Scans per Delivery]]/Master[[#This Row],[Garment Inventory]]), 0)</f>
        <v>0</v>
      </c>
      <c r="Y565" s="62"/>
      <c r="Z565" s="62"/>
      <c r="AA565" s="53">
        <v>66.25</v>
      </c>
      <c r="AB565" s="53">
        <v>66.25</v>
      </c>
      <c r="AC565" s="53">
        <v>24.534999999999997</v>
      </c>
      <c r="AD565" s="53">
        <v>139.85499999999999</v>
      </c>
      <c r="AE565" s="53" t="str">
        <f>_xlfn.XLOOKUP(Master[[#This Row],[cu_id]],'[1]Customer Revenue'!$Q:$Q,'[1]Customer Revenue'!$K:$K, "None")</f>
        <v>None</v>
      </c>
      <c r="AF565" s="53" t="str">
        <f>_xlfn.XLOOKUP(Master[[#This Row],[cu_id]],'[1]Customer Revenue'!$Q:$Q,'[1]Customer Revenue'!$L:$L, "None")</f>
        <v>None</v>
      </c>
      <c r="AG565" s="53">
        <v>64.570000000000007</v>
      </c>
      <c r="AH565" s="53">
        <v>66.67</v>
      </c>
      <c r="AI565" s="53">
        <v>66.25</v>
      </c>
      <c r="AJ565" s="53">
        <v>82.194999999999993</v>
      </c>
      <c r="AK565" s="53" t="str">
        <f>_xlfn.XLOOKUP(Master[[#This Row],[cu_id]],'[1]Customer Revenue'!$Q:$Q,'[1]Customer Revenue'!$I:$I, "None")</f>
        <v>None</v>
      </c>
      <c r="AL565" s="53">
        <v>65.62</v>
      </c>
      <c r="AM565" s="61">
        <v>0.45833333333333331</v>
      </c>
      <c r="AN565" s="60">
        <v>0.75</v>
      </c>
      <c r="AO565" s="60" t="s">
        <v>36</v>
      </c>
      <c r="AP565" s="60" t="s">
        <v>36</v>
      </c>
      <c r="AQ565" s="58" t="s">
        <v>0</v>
      </c>
      <c r="AR565" s="58"/>
      <c r="AS565" s="58"/>
      <c r="AT565" s="52">
        <v>0</v>
      </c>
      <c r="AU565" s="52">
        <f>IF(Master[[#This Row],[RSP StopTime override]] &lt;&gt; "",Master[[#This Row],[RSP StopTime override]],IF(Master[[#This Row],[Avg stop time helper]] &lt;&gt; 0, Master[[#This Row],[Avg stop time helper]],Average_Stop_Time))</f>
        <v>7</v>
      </c>
      <c r="AV565" s="21">
        <v>7</v>
      </c>
      <c r="AW565" s="20">
        <f>Master[[#This Row],[RSP StopTime override]]-Master[[#This Row],[Avg stop time helper]]</f>
        <v>7</v>
      </c>
    </row>
    <row r="566" spans="1:49" x14ac:dyDescent="0.3">
      <c r="A566" s="66" t="s">
        <v>4637</v>
      </c>
      <c r="B566" s="58">
        <v>50</v>
      </c>
      <c r="C566" s="58" t="s">
        <v>35</v>
      </c>
      <c r="D566" s="65">
        <v>529638</v>
      </c>
      <c r="E566" s="65" t="s">
        <v>42</v>
      </c>
      <c r="F566" s="65" t="s">
        <v>2414</v>
      </c>
      <c r="G566" s="65" t="s">
        <v>2413</v>
      </c>
      <c r="H566" s="65" t="s">
        <v>7</v>
      </c>
      <c r="I566" s="65" t="s">
        <v>2412</v>
      </c>
      <c r="J566" s="65" t="s">
        <v>5</v>
      </c>
      <c r="K566" s="65" t="s">
        <v>1636</v>
      </c>
      <c r="L566" s="64" t="s">
        <v>67</v>
      </c>
      <c r="M566" s="58" t="s">
        <v>3</v>
      </c>
      <c r="N566" s="58" t="s">
        <v>2</v>
      </c>
      <c r="O566" s="58">
        <v>60</v>
      </c>
      <c r="P566" s="58">
        <v>0</v>
      </c>
      <c r="Q566" s="58">
        <v>60</v>
      </c>
      <c r="R566" s="58">
        <v>0</v>
      </c>
      <c r="S566" s="58">
        <v>0</v>
      </c>
      <c r="T566" s="58">
        <v>0</v>
      </c>
      <c r="U566" s="58">
        <v>52</v>
      </c>
      <c r="V566" s="62"/>
      <c r="W566" s="62">
        <v>3</v>
      </c>
      <c r="X566" s="63">
        <f>IFERROR(1 -(Master[[#This Row],[Avg Garment Scans per Delivery]]/Master[[#This Row],[Garment Inventory]]), 0)</f>
        <v>0</v>
      </c>
      <c r="Y566" s="62"/>
      <c r="Z566" s="62"/>
      <c r="AA566" s="53">
        <v>40.20538461538461</v>
      </c>
      <c r="AB566" s="53">
        <v>121.81461538461537</v>
      </c>
      <c r="AC566" s="53">
        <v>53.024911242603551</v>
      </c>
      <c r="AD566" s="53">
        <v>54.933550295857984</v>
      </c>
      <c r="AE566" s="53" t="str">
        <f>_xlfn.XLOOKUP(Master[[#This Row],[cu_id]],'[1]Customer Revenue'!$Q:$Q,'[1]Customer Revenue'!$K:$K, "None")</f>
        <v>None</v>
      </c>
      <c r="AF566" s="53" t="str">
        <f>_xlfn.XLOOKUP(Master[[#This Row],[cu_id]],'[1]Customer Revenue'!$Q:$Q,'[1]Customer Revenue'!$L:$L, "None")</f>
        <v>None</v>
      </c>
      <c r="AG566" s="53">
        <v>69.7489349112426</v>
      </c>
      <c r="AH566" s="53">
        <v>167.02721893491122</v>
      </c>
      <c r="AI566" s="53">
        <v>81.009999999999991</v>
      </c>
      <c r="AJ566" s="53">
        <v>53.979230769230767</v>
      </c>
      <c r="AK566" s="53" t="str">
        <f>_xlfn.XLOOKUP(Master[[#This Row],[cu_id]],'[1]Customer Revenue'!$Q:$Q,'[1]Customer Revenue'!$I:$I, "None")</f>
        <v>None</v>
      </c>
      <c r="AL566" s="53">
        <v>118.38807692307691</v>
      </c>
      <c r="AM566" s="61">
        <v>0.45833333333333331</v>
      </c>
      <c r="AN566" s="60">
        <v>0.75</v>
      </c>
      <c r="AO566" s="60" t="s">
        <v>36</v>
      </c>
      <c r="AP566" s="60" t="s">
        <v>36</v>
      </c>
      <c r="AQ566" s="58" t="s">
        <v>0</v>
      </c>
      <c r="AR566" s="58"/>
      <c r="AS566" s="58"/>
      <c r="AT566" s="52">
        <v>0</v>
      </c>
      <c r="AU566" s="52">
        <f>IF(Master[[#This Row],[RSP StopTime override]] &lt;&gt; "",Master[[#This Row],[RSP StopTime override]],IF(Master[[#This Row],[Avg stop time helper]] &lt;&gt; 0, Master[[#This Row],[Avg stop time helper]],Average_Stop_Time))</f>
        <v>4</v>
      </c>
      <c r="AV566" s="21">
        <v>4</v>
      </c>
      <c r="AW566" s="20">
        <f>Master[[#This Row],[RSP StopTime override]]-Master[[#This Row],[Avg stop time helper]]</f>
        <v>4</v>
      </c>
    </row>
    <row r="567" spans="1:49" x14ac:dyDescent="0.3">
      <c r="A567" s="66" t="s">
        <v>4638</v>
      </c>
      <c r="B567" s="58">
        <v>50</v>
      </c>
      <c r="C567" s="58" t="s">
        <v>35</v>
      </c>
      <c r="D567" s="65">
        <v>530885</v>
      </c>
      <c r="E567" s="65" t="s">
        <v>42</v>
      </c>
      <c r="F567" s="65" t="s">
        <v>2411</v>
      </c>
      <c r="G567" s="65" t="s">
        <v>2410</v>
      </c>
      <c r="H567" s="65" t="s">
        <v>7</v>
      </c>
      <c r="I567" s="65" t="s">
        <v>12</v>
      </c>
      <c r="J567" s="65" t="s">
        <v>5</v>
      </c>
      <c r="K567" s="65" t="s">
        <v>1215</v>
      </c>
      <c r="L567" s="64" t="s">
        <v>206</v>
      </c>
      <c r="M567" s="58" t="s">
        <v>205</v>
      </c>
      <c r="N567" s="58" t="s">
        <v>2</v>
      </c>
      <c r="O567" s="58">
        <v>145</v>
      </c>
      <c r="P567" s="58">
        <v>0</v>
      </c>
      <c r="Q567" s="58">
        <v>145</v>
      </c>
      <c r="R567" s="58">
        <v>0</v>
      </c>
      <c r="S567" s="58">
        <v>0</v>
      </c>
      <c r="T567" s="58">
        <v>0</v>
      </c>
      <c r="U567" s="58">
        <v>13</v>
      </c>
      <c r="V567" s="62"/>
      <c r="W567" s="62"/>
      <c r="X567" s="63">
        <f>IFERROR(1 -(Master[[#This Row],[Avg Garment Scans per Delivery]]/Master[[#This Row],[Garment Inventory]]), 0)</f>
        <v>0</v>
      </c>
      <c r="Y567" s="62"/>
      <c r="Z567" s="62"/>
      <c r="AA567" s="53">
        <v>48.99</v>
      </c>
      <c r="AB567" s="53">
        <v>48.99</v>
      </c>
      <c r="AC567" s="53">
        <v>35.960099999999997</v>
      </c>
      <c r="AD567" s="53">
        <v>69.804900000000004</v>
      </c>
      <c r="AE567" s="53" t="str">
        <f>_xlfn.XLOOKUP(Master[[#This Row],[cu_id]],'[1]Customer Revenue'!$Q:$Q,'[1]Customer Revenue'!$K:$K, "None")</f>
        <v>None</v>
      </c>
      <c r="AF567" s="53" t="str">
        <f>_xlfn.XLOOKUP(Master[[#This Row],[cu_id]],'[1]Customer Revenue'!$Q:$Q,'[1]Customer Revenue'!$L:$L, "None")</f>
        <v>None</v>
      </c>
      <c r="AG567" s="53">
        <v>48.99</v>
      </c>
      <c r="AH567" s="53">
        <v>48.99</v>
      </c>
      <c r="AI567" s="53">
        <v>48.99</v>
      </c>
      <c r="AJ567" s="53">
        <v>52.8825</v>
      </c>
      <c r="AK567" s="53" t="str">
        <f>_xlfn.XLOOKUP(Master[[#This Row],[cu_id]],'[1]Customer Revenue'!$Q:$Q,'[1]Customer Revenue'!$I:$I, "None")</f>
        <v>None</v>
      </c>
      <c r="AL567" s="53">
        <v>48.99</v>
      </c>
      <c r="AM567" s="61">
        <v>0.5</v>
      </c>
      <c r="AN567" s="60">
        <v>0.625</v>
      </c>
      <c r="AO567" s="60" t="s">
        <v>36</v>
      </c>
      <c r="AP567" s="60" t="s">
        <v>36</v>
      </c>
      <c r="AQ567" s="58" t="s">
        <v>0</v>
      </c>
      <c r="AR567" s="58"/>
      <c r="AS567" s="58"/>
      <c r="AT567" s="52">
        <v>0</v>
      </c>
      <c r="AU567" s="52">
        <f>IF(Master[[#This Row],[RSP StopTime override]] &lt;&gt; "",Master[[#This Row],[RSP StopTime override]],IF(Master[[#This Row],[Avg stop time helper]] &lt;&gt; 0, Master[[#This Row],[Avg stop time helper]],Average_Stop_Time))</f>
        <v>5</v>
      </c>
      <c r="AV567" s="21">
        <v>5</v>
      </c>
      <c r="AW567" s="20">
        <f>Master[[#This Row],[RSP StopTime override]]-Master[[#This Row],[Avg stop time helper]]</f>
        <v>5</v>
      </c>
    </row>
    <row r="568" spans="1:49" x14ac:dyDescent="0.3">
      <c r="A568" s="66" t="s">
        <v>4639</v>
      </c>
      <c r="B568" s="58">
        <v>50</v>
      </c>
      <c r="C568" s="58" t="s">
        <v>35</v>
      </c>
      <c r="D568" s="65">
        <v>531660</v>
      </c>
      <c r="E568" s="65" t="s">
        <v>42</v>
      </c>
      <c r="F568" s="65" t="s">
        <v>2409</v>
      </c>
      <c r="G568" s="65" t="s">
        <v>2408</v>
      </c>
      <c r="H568" s="65" t="s">
        <v>7</v>
      </c>
      <c r="I568" s="65" t="s">
        <v>1216</v>
      </c>
      <c r="J568" s="65" t="s">
        <v>5</v>
      </c>
      <c r="K568" s="65" t="s">
        <v>1215</v>
      </c>
      <c r="L568" s="64" t="s">
        <v>77</v>
      </c>
      <c r="M568" s="58" t="s">
        <v>29</v>
      </c>
      <c r="N568" s="58" t="s">
        <v>2</v>
      </c>
      <c r="O568" s="58">
        <v>105</v>
      </c>
      <c r="P568" s="58">
        <v>0</v>
      </c>
      <c r="Q568" s="58">
        <v>105</v>
      </c>
      <c r="R568" s="58">
        <v>0</v>
      </c>
      <c r="S568" s="58">
        <v>0</v>
      </c>
      <c r="T568" s="58">
        <v>0</v>
      </c>
      <c r="U568" s="58">
        <v>30</v>
      </c>
      <c r="V568" s="62"/>
      <c r="W568" s="62"/>
      <c r="X568" s="63">
        <f>IFERROR(1 -(Master[[#This Row],[Avg Garment Scans per Delivery]]/Master[[#This Row],[Garment Inventory]]), 0)</f>
        <v>0</v>
      </c>
      <c r="Y568" s="62"/>
      <c r="Z568" s="62"/>
      <c r="AA568" s="53">
        <v>69.765937500000007</v>
      </c>
      <c r="AB568" s="53">
        <v>150.62156250000001</v>
      </c>
      <c r="AC568" s="53">
        <v>118.83944444444444</v>
      </c>
      <c r="AD568" s="53">
        <v>203.71722222222223</v>
      </c>
      <c r="AE568" s="53" t="str">
        <f>_xlfn.XLOOKUP(Master[[#This Row],[cu_id]],'[1]Customer Revenue'!$Q:$Q,'[1]Customer Revenue'!$K:$K, "None")</f>
        <v>None</v>
      </c>
      <c r="AF568" s="53" t="str">
        <f>_xlfn.XLOOKUP(Master[[#This Row],[cu_id]],'[1]Customer Revenue'!$Q:$Q,'[1]Customer Revenue'!$L:$L, "None")</f>
        <v>None</v>
      </c>
      <c r="AG568" s="53">
        <v>66.65480968858131</v>
      </c>
      <c r="AH568" s="53">
        <v>150.36636678200691</v>
      </c>
      <c r="AI568" s="53">
        <v>110.19375000000001</v>
      </c>
      <c r="AJ568" s="53">
        <v>161.27833333333334</v>
      </c>
      <c r="AK568" s="53" t="str">
        <f>_xlfn.XLOOKUP(Master[[#This Row],[cu_id]],'[1]Customer Revenue'!$Q:$Q,'[1]Customer Revenue'!$I:$I, "None")</f>
        <v>None</v>
      </c>
      <c r="AL568" s="53">
        <v>108.51058823529411</v>
      </c>
      <c r="AM568" s="61">
        <v>0.375</v>
      </c>
      <c r="AN568" s="60">
        <v>0.625</v>
      </c>
      <c r="AO568" s="60" t="s">
        <v>36</v>
      </c>
      <c r="AP568" s="60" t="s">
        <v>36</v>
      </c>
      <c r="AQ568" s="58" t="s">
        <v>0</v>
      </c>
      <c r="AR568" s="58"/>
      <c r="AS568" s="58"/>
      <c r="AT568" s="52">
        <v>0</v>
      </c>
      <c r="AU568" s="52">
        <f>IF(Master[[#This Row],[RSP StopTime override]] &lt;&gt; "",Master[[#This Row],[RSP StopTime override]],IF(Master[[#This Row],[Avg stop time helper]] &lt;&gt; 0, Master[[#This Row],[Avg stop time helper]],Average_Stop_Time))</f>
        <v>7</v>
      </c>
      <c r="AV568" s="21">
        <v>7</v>
      </c>
      <c r="AW568" s="20">
        <f>Master[[#This Row],[RSP StopTime override]]-Master[[#This Row],[Avg stop time helper]]</f>
        <v>7</v>
      </c>
    </row>
    <row r="569" spans="1:49" x14ac:dyDescent="0.3">
      <c r="A569" s="66" t="s">
        <v>4640</v>
      </c>
      <c r="B569" s="58">
        <v>50</v>
      </c>
      <c r="C569" s="58" t="s">
        <v>35</v>
      </c>
      <c r="D569" s="65">
        <v>532114</v>
      </c>
      <c r="E569" s="65" t="s">
        <v>42</v>
      </c>
      <c r="F569" s="65" t="s">
        <v>2407</v>
      </c>
      <c r="G569" s="65" t="s">
        <v>2406</v>
      </c>
      <c r="H569" s="65" t="s">
        <v>7</v>
      </c>
      <c r="I569" s="65" t="s">
        <v>12</v>
      </c>
      <c r="J569" s="65" t="s">
        <v>5</v>
      </c>
      <c r="K569" s="65" t="s">
        <v>61</v>
      </c>
      <c r="L569" s="64" t="s">
        <v>91</v>
      </c>
      <c r="M569" s="58" t="s">
        <v>90</v>
      </c>
      <c r="N569" s="58" t="s">
        <v>2</v>
      </c>
      <c r="O569" s="58">
        <v>5</v>
      </c>
      <c r="P569" s="58">
        <v>0</v>
      </c>
      <c r="Q569" s="58">
        <v>5</v>
      </c>
      <c r="R569" s="58">
        <v>0</v>
      </c>
      <c r="S569" s="58">
        <v>0</v>
      </c>
      <c r="T569" s="58">
        <v>0</v>
      </c>
      <c r="U569" s="58">
        <v>27</v>
      </c>
      <c r="V569" s="62"/>
      <c r="W569" s="62"/>
      <c r="X569" s="63">
        <f>IFERROR(1 -(Master[[#This Row],[Avg Garment Scans per Delivery]]/Master[[#This Row],[Garment Inventory]]), 0)</f>
        <v>0</v>
      </c>
      <c r="Y569" s="62"/>
      <c r="Z569" s="62"/>
      <c r="AA569" s="53">
        <v>20.1565306122449</v>
      </c>
      <c r="AB569" s="53">
        <v>29.012040816326532</v>
      </c>
      <c r="AC569" s="53">
        <v>18.833333333333332</v>
      </c>
      <c r="AD569" s="53">
        <v>24.666666666666668</v>
      </c>
      <c r="AE569" s="53" t="str">
        <f>_xlfn.XLOOKUP(Master[[#This Row],[cu_id]],'[1]Customer Revenue'!$Q:$Q,'[1]Customer Revenue'!$K:$K, "None")</f>
        <v>None</v>
      </c>
      <c r="AF569" s="53" t="str">
        <f>_xlfn.XLOOKUP(Master[[#This Row],[cu_id]],'[1]Customer Revenue'!$Q:$Q,'[1]Customer Revenue'!$L:$L, "None")</f>
        <v>None</v>
      </c>
      <c r="AG569" s="53">
        <v>19.586686390532545</v>
      </c>
      <c r="AH569" s="53">
        <v>26.005621301775154</v>
      </c>
      <c r="AI569" s="53">
        <v>24.584285714285716</v>
      </c>
      <c r="AJ569" s="53">
        <v>21.75</v>
      </c>
      <c r="AK569" s="53" t="str">
        <f>_xlfn.XLOOKUP(Master[[#This Row],[cu_id]],'[1]Customer Revenue'!$Q:$Q,'[1]Customer Revenue'!$I:$I, "None")</f>
        <v>None</v>
      </c>
      <c r="AL569" s="53">
        <v>22.79615384615385</v>
      </c>
      <c r="AM569" s="61">
        <v>0.375</v>
      </c>
      <c r="AN569" s="60">
        <v>0.625</v>
      </c>
      <c r="AO569" s="60" t="s">
        <v>36</v>
      </c>
      <c r="AP569" s="60" t="s">
        <v>36</v>
      </c>
      <c r="AQ569" s="58" t="s">
        <v>0</v>
      </c>
      <c r="AR569" s="58"/>
      <c r="AS569" s="58"/>
      <c r="AT569" s="52">
        <v>0</v>
      </c>
      <c r="AU569" s="52">
        <f>IF(Master[[#This Row],[RSP StopTime override]] &lt;&gt; "",Master[[#This Row],[RSP StopTime override]],IF(Master[[#This Row],[Avg stop time helper]] &lt;&gt; 0, Master[[#This Row],[Avg stop time helper]],Average_Stop_Time))</f>
        <v>3</v>
      </c>
      <c r="AV569" s="21">
        <v>3</v>
      </c>
      <c r="AW569" s="20">
        <f>Master[[#This Row],[RSP StopTime override]]-Master[[#This Row],[Avg stop time helper]]</f>
        <v>3</v>
      </c>
    </row>
    <row r="570" spans="1:49" x14ac:dyDescent="0.3">
      <c r="A570" s="66" t="s">
        <v>4641</v>
      </c>
      <c r="B570" s="58">
        <v>50</v>
      </c>
      <c r="C570" s="58" t="s">
        <v>35</v>
      </c>
      <c r="D570" s="65">
        <v>532514</v>
      </c>
      <c r="E570" s="65" t="s">
        <v>42</v>
      </c>
      <c r="F570" s="65" t="s">
        <v>2405</v>
      </c>
      <c r="G570" s="65" t="s">
        <v>2404</v>
      </c>
      <c r="H570" s="65" t="s">
        <v>7</v>
      </c>
      <c r="I570" s="65" t="s">
        <v>12</v>
      </c>
      <c r="J570" s="65" t="s">
        <v>5</v>
      </c>
      <c r="K570" s="65" t="s">
        <v>1215</v>
      </c>
      <c r="L570" s="64" t="s">
        <v>67</v>
      </c>
      <c r="M570" s="58" t="s">
        <v>3</v>
      </c>
      <c r="N570" s="58" t="s">
        <v>2</v>
      </c>
      <c r="O570" s="58">
        <v>85</v>
      </c>
      <c r="P570" s="58">
        <v>0</v>
      </c>
      <c r="Q570" s="58">
        <v>85</v>
      </c>
      <c r="R570" s="58">
        <v>0</v>
      </c>
      <c r="S570" s="58">
        <v>0</v>
      </c>
      <c r="T570" s="58">
        <v>0</v>
      </c>
      <c r="U570" s="58">
        <v>31</v>
      </c>
      <c r="V570" s="62"/>
      <c r="W570" s="62"/>
      <c r="X570" s="63">
        <f>IFERROR(1 -(Master[[#This Row],[Avg Garment Scans per Delivery]]/Master[[#This Row],[Garment Inventory]]), 0)</f>
        <v>0</v>
      </c>
      <c r="Y570" s="62"/>
      <c r="Z570" s="62"/>
      <c r="AA570" s="53">
        <v>54.57040816326532</v>
      </c>
      <c r="AB570" s="53">
        <v>70.22673469387756</v>
      </c>
      <c r="AC570" s="53">
        <v>50.10199999999999</v>
      </c>
      <c r="AD570" s="53">
        <v>66.757999999999996</v>
      </c>
      <c r="AE570" s="53" t="str">
        <f>_xlfn.XLOOKUP(Master[[#This Row],[cu_id]],'[1]Customer Revenue'!$Q:$Q,'[1]Customer Revenue'!$K:$K, "None")</f>
        <v>None</v>
      </c>
      <c r="AF570" s="53" t="str">
        <f>_xlfn.XLOOKUP(Master[[#This Row],[cu_id]],'[1]Customer Revenue'!$Q:$Q,'[1]Customer Revenue'!$L:$L, "None")</f>
        <v>None</v>
      </c>
      <c r="AG570" s="53">
        <v>57.76698224852074</v>
      </c>
      <c r="AH570" s="53">
        <v>68.737633136094686</v>
      </c>
      <c r="AI570" s="53">
        <v>62.398571428571437</v>
      </c>
      <c r="AJ570" s="53">
        <v>58.429999999999993</v>
      </c>
      <c r="AK570" s="53" t="str">
        <f>_xlfn.XLOOKUP(Master[[#This Row],[cu_id]],'[1]Customer Revenue'!$Q:$Q,'[1]Customer Revenue'!$I:$I, "None")</f>
        <v>None</v>
      </c>
      <c r="AL570" s="53">
        <v>63.25230769230771</v>
      </c>
      <c r="AM570" s="61">
        <v>0.41666666666666669</v>
      </c>
      <c r="AN570" s="60">
        <v>0.625</v>
      </c>
      <c r="AO570" s="60" t="s">
        <v>36</v>
      </c>
      <c r="AP570" s="60" t="s">
        <v>36</v>
      </c>
      <c r="AQ570" s="58" t="s">
        <v>0</v>
      </c>
      <c r="AR570" s="58"/>
      <c r="AS570" s="58"/>
      <c r="AT570" s="52">
        <v>0</v>
      </c>
      <c r="AU570" s="52">
        <f>IF(Master[[#This Row],[RSP StopTime override]] &lt;&gt; "",Master[[#This Row],[RSP StopTime override]],IF(Master[[#This Row],[Avg stop time helper]] &lt;&gt; 0, Master[[#This Row],[Avg stop time helper]],Average_Stop_Time))</f>
        <v>5</v>
      </c>
      <c r="AV570" s="21">
        <v>5</v>
      </c>
      <c r="AW570" s="20">
        <f>Master[[#This Row],[RSP StopTime override]]-Master[[#This Row],[Avg stop time helper]]</f>
        <v>5</v>
      </c>
    </row>
    <row r="571" spans="1:49" x14ac:dyDescent="0.3">
      <c r="A571" s="66" t="s">
        <v>4642</v>
      </c>
      <c r="B571" s="58">
        <v>50</v>
      </c>
      <c r="C571" s="58" t="s">
        <v>35</v>
      </c>
      <c r="D571" s="65">
        <v>532741</v>
      </c>
      <c r="E571" s="65" t="s">
        <v>42</v>
      </c>
      <c r="F571" s="65" t="s">
        <v>2403</v>
      </c>
      <c r="G571" s="65" t="s">
        <v>2402</v>
      </c>
      <c r="H571" s="65" t="s">
        <v>7</v>
      </c>
      <c r="I571" s="65" t="s">
        <v>2401</v>
      </c>
      <c r="J571" s="65" t="s">
        <v>5</v>
      </c>
      <c r="K571" s="65" t="s">
        <v>1215</v>
      </c>
      <c r="L571" s="64" t="s">
        <v>124</v>
      </c>
      <c r="M571" s="58" t="s">
        <v>123</v>
      </c>
      <c r="N571" s="58" t="s">
        <v>2</v>
      </c>
      <c r="O571" s="58">
        <v>163</v>
      </c>
      <c r="P571" s="58">
        <v>0</v>
      </c>
      <c r="Q571" s="58">
        <v>163</v>
      </c>
      <c r="R571" s="58">
        <v>0</v>
      </c>
      <c r="S571" s="58">
        <v>0</v>
      </c>
      <c r="T571" s="58">
        <v>0</v>
      </c>
      <c r="U571" s="58">
        <v>12</v>
      </c>
      <c r="V571" s="62"/>
      <c r="W571" s="62"/>
      <c r="X571" s="63">
        <f>IFERROR(1 -(Master[[#This Row],[Avg Garment Scans per Delivery]]/Master[[#This Row],[Garment Inventory]]), 0)</f>
        <v>0</v>
      </c>
      <c r="Y571" s="62"/>
      <c r="Z571" s="62"/>
      <c r="AA571" s="53">
        <v>61.35</v>
      </c>
      <c r="AB571" s="53">
        <v>63.35</v>
      </c>
      <c r="AC571" s="53">
        <v>63.583333333333329</v>
      </c>
      <c r="AD571" s="53">
        <v>65.716666666666654</v>
      </c>
      <c r="AE571" s="53" t="str">
        <f>_xlfn.XLOOKUP(Master[[#This Row],[cu_id]],'[1]Customer Revenue'!$Q:$Q,'[1]Customer Revenue'!$K:$K, "None")</f>
        <v>None</v>
      </c>
      <c r="AF571" s="53" t="str">
        <f>_xlfn.XLOOKUP(Master[[#This Row],[cu_id]],'[1]Customer Revenue'!$Q:$Q,'[1]Customer Revenue'!$L:$L, "None")</f>
        <v>None</v>
      </c>
      <c r="AG571" s="53">
        <v>61.35</v>
      </c>
      <c r="AH571" s="53">
        <v>62.6</v>
      </c>
      <c r="AI571" s="53">
        <v>62.35</v>
      </c>
      <c r="AJ571" s="53">
        <v>64.649999999999991</v>
      </c>
      <c r="AK571" s="53" t="str">
        <f>_xlfn.XLOOKUP(Master[[#This Row],[cu_id]],'[1]Customer Revenue'!$Q:$Q,'[1]Customer Revenue'!$I:$I, "None")</f>
        <v>None</v>
      </c>
      <c r="AL571" s="53">
        <v>61.975000000000001</v>
      </c>
      <c r="AM571" s="61">
        <v>0.41666666666666669</v>
      </c>
      <c r="AN571" s="60">
        <v>0.66666666666666663</v>
      </c>
      <c r="AO571" s="60" t="s">
        <v>36</v>
      </c>
      <c r="AP571" s="60" t="s">
        <v>36</v>
      </c>
      <c r="AQ571" s="58" t="s">
        <v>0</v>
      </c>
      <c r="AR571" s="58"/>
      <c r="AS571" s="58"/>
      <c r="AT571" s="52">
        <v>0</v>
      </c>
      <c r="AU571" s="52">
        <f>IF(Master[[#This Row],[RSP StopTime override]] &lt;&gt; "",Master[[#This Row],[RSP StopTime override]],IF(Master[[#This Row],[Avg stop time helper]] &lt;&gt; 0, Master[[#This Row],[Avg stop time helper]],Average_Stop_Time))</f>
        <v>3</v>
      </c>
      <c r="AV571" s="21">
        <v>3</v>
      </c>
      <c r="AW571" s="20">
        <f>Master[[#This Row],[RSP StopTime override]]-Master[[#This Row],[Avg stop time helper]]</f>
        <v>3</v>
      </c>
    </row>
    <row r="572" spans="1:49" x14ac:dyDescent="0.3">
      <c r="A572" s="66" t="s">
        <v>4643</v>
      </c>
      <c r="B572" s="58">
        <v>50</v>
      </c>
      <c r="C572" s="58" t="s">
        <v>35</v>
      </c>
      <c r="D572" s="65">
        <v>532903</v>
      </c>
      <c r="E572" s="65" t="s">
        <v>42</v>
      </c>
      <c r="F572" s="65" t="s">
        <v>2400</v>
      </c>
      <c r="G572" s="65" t="s">
        <v>2399</v>
      </c>
      <c r="H572" s="65" t="s">
        <v>7</v>
      </c>
      <c r="I572" s="65" t="s">
        <v>2382</v>
      </c>
      <c r="J572" s="65" t="s">
        <v>5</v>
      </c>
      <c r="K572" s="65" t="s">
        <v>1211</v>
      </c>
      <c r="L572" s="64" t="s">
        <v>67</v>
      </c>
      <c r="M572" s="58" t="s">
        <v>3</v>
      </c>
      <c r="N572" s="58" t="s">
        <v>2</v>
      </c>
      <c r="O572" s="58">
        <v>30</v>
      </c>
      <c r="P572" s="58">
        <v>0</v>
      </c>
      <c r="Q572" s="58">
        <v>30</v>
      </c>
      <c r="R572" s="58">
        <v>0</v>
      </c>
      <c r="S572" s="58">
        <v>0</v>
      </c>
      <c r="T572" s="58">
        <v>0</v>
      </c>
      <c r="U572" s="58">
        <v>68</v>
      </c>
      <c r="V572" s="62"/>
      <c r="W572" s="62"/>
      <c r="X572" s="63">
        <f>IFERROR(1 -(Master[[#This Row],[Avg Garment Scans per Delivery]]/Master[[#This Row],[Garment Inventory]]), 0)</f>
        <v>0</v>
      </c>
      <c r="Y572" s="62"/>
      <c r="Z572" s="62"/>
      <c r="AA572" s="53">
        <v>72.393652681660896</v>
      </c>
      <c r="AB572" s="53">
        <v>132.13759731833909</v>
      </c>
      <c r="AC572" s="53">
        <v>66.10573675213675</v>
      </c>
      <c r="AD572" s="53">
        <v>150.46964786324784</v>
      </c>
      <c r="AE572" s="53" t="str">
        <f>_xlfn.XLOOKUP(Master[[#This Row],[cu_id]],'[1]Customer Revenue'!$Q:$Q,'[1]Customer Revenue'!$K:$K, "None")</f>
        <v>None</v>
      </c>
      <c r="AF572" s="53" t="str">
        <f>_xlfn.XLOOKUP(Master[[#This Row],[cu_id]],'[1]Customer Revenue'!$Q:$Q,'[1]Customer Revenue'!$L:$L, "None")</f>
        <v>None</v>
      </c>
      <c r="AG572" s="53">
        <v>64.465132052821119</v>
      </c>
      <c r="AH572" s="53">
        <v>138.10839735894359</v>
      </c>
      <c r="AI572" s="53">
        <v>102.265625</v>
      </c>
      <c r="AJ572" s="53">
        <v>108.2876923076923</v>
      </c>
      <c r="AK572" s="53" t="str">
        <f>_xlfn.XLOOKUP(Master[[#This Row],[cu_id]],'[1]Customer Revenue'!$Q:$Q,'[1]Customer Revenue'!$I:$I, "None")</f>
        <v>None</v>
      </c>
      <c r="AL572" s="53">
        <v>101.28676470588235</v>
      </c>
      <c r="AM572" s="61">
        <v>0.375</v>
      </c>
      <c r="AN572" s="60">
        <v>0.66666666666666663</v>
      </c>
      <c r="AO572" s="60" t="s">
        <v>36</v>
      </c>
      <c r="AP572" s="60" t="s">
        <v>36</v>
      </c>
      <c r="AQ572" s="58" t="s">
        <v>0</v>
      </c>
      <c r="AR572" s="58"/>
      <c r="AS572" s="58"/>
      <c r="AT572" s="52">
        <v>0</v>
      </c>
      <c r="AU572" s="52">
        <f>IF(Master[[#This Row],[RSP StopTime override]] &lt;&gt; "",Master[[#This Row],[RSP StopTime override]],IF(Master[[#This Row],[Avg stop time helper]] &lt;&gt; 0, Master[[#This Row],[Avg stop time helper]],Average_Stop_Time))</f>
        <v>9</v>
      </c>
      <c r="AV572" s="21">
        <v>9</v>
      </c>
      <c r="AW572" s="20">
        <f>Master[[#This Row],[RSP StopTime override]]-Master[[#This Row],[Avg stop time helper]]</f>
        <v>9</v>
      </c>
    </row>
    <row r="573" spans="1:49" x14ac:dyDescent="0.3">
      <c r="A573" s="66" t="s">
        <v>4644</v>
      </c>
      <c r="B573" s="58">
        <v>50</v>
      </c>
      <c r="C573" s="58" t="s">
        <v>35</v>
      </c>
      <c r="D573" s="65">
        <v>532960</v>
      </c>
      <c r="E573" s="65" t="s">
        <v>42</v>
      </c>
      <c r="F573" s="65" t="s">
        <v>2398</v>
      </c>
      <c r="G573" s="65" t="s">
        <v>2397</v>
      </c>
      <c r="H573" s="65" t="s">
        <v>7</v>
      </c>
      <c r="I573" s="65" t="s">
        <v>12</v>
      </c>
      <c r="J573" s="65" t="s">
        <v>5</v>
      </c>
      <c r="K573" s="65" t="s">
        <v>1215</v>
      </c>
      <c r="L573" s="64" t="s">
        <v>67</v>
      </c>
      <c r="M573" s="58" t="s">
        <v>3</v>
      </c>
      <c r="N573" s="58" t="s">
        <v>2</v>
      </c>
      <c r="O573" s="58">
        <v>115</v>
      </c>
      <c r="P573" s="58">
        <v>0</v>
      </c>
      <c r="Q573" s="58">
        <v>115</v>
      </c>
      <c r="R573" s="58">
        <v>0</v>
      </c>
      <c r="S573" s="58">
        <v>0</v>
      </c>
      <c r="T573" s="58">
        <v>0</v>
      </c>
      <c r="U573" s="58">
        <v>54</v>
      </c>
      <c r="V573" s="62">
        <v>160</v>
      </c>
      <c r="W573" s="62">
        <v>29</v>
      </c>
      <c r="X573" s="63">
        <f>IFERROR(1 -(Master[[#This Row],[Avg Garment Scans per Delivery]]/Master[[#This Row],[Garment Inventory]]), 0)</f>
        <v>0.81874999999999998</v>
      </c>
      <c r="Y573" s="62">
        <v>9</v>
      </c>
      <c r="Z573" s="62">
        <v>159</v>
      </c>
      <c r="AA573" s="53">
        <v>278.58869822485207</v>
      </c>
      <c r="AB573" s="53">
        <v>306.29899408284024</v>
      </c>
      <c r="AC573" s="53">
        <v>350.580650887574</v>
      </c>
      <c r="AD573" s="53">
        <v>426.48242603550301</v>
      </c>
      <c r="AE573" s="53" t="str">
        <f>_xlfn.XLOOKUP(Master[[#This Row],[cu_id]],'[1]Customer Revenue'!$Q:$Q,'[1]Customer Revenue'!$K:$K, "None")</f>
        <v>None</v>
      </c>
      <c r="AF573" s="53" t="str">
        <f>_xlfn.XLOOKUP(Master[[#This Row],[cu_id]],'[1]Customer Revenue'!$Q:$Q,'[1]Customer Revenue'!$L:$L, "None")</f>
        <v>None</v>
      </c>
      <c r="AG573" s="53">
        <v>271.96112426035506</v>
      </c>
      <c r="AH573" s="53">
        <v>296.78041420118348</v>
      </c>
      <c r="AI573" s="53">
        <v>292.44384615384615</v>
      </c>
      <c r="AJ573" s="53">
        <v>388.5315384615385</v>
      </c>
      <c r="AK573" s="53" t="str">
        <f>_xlfn.XLOOKUP(Master[[#This Row],[cu_id]],'[1]Customer Revenue'!$Q:$Q,'[1]Customer Revenue'!$I:$I, "None")</f>
        <v>None</v>
      </c>
      <c r="AL573" s="53">
        <v>284.37076923076927</v>
      </c>
      <c r="AM573" s="61">
        <v>0.375</v>
      </c>
      <c r="AN573" s="60">
        <v>0.66666666666666663</v>
      </c>
      <c r="AO573" s="60" t="s">
        <v>36</v>
      </c>
      <c r="AP573" s="60" t="s">
        <v>36</v>
      </c>
      <c r="AQ573" s="58" t="s">
        <v>0</v>
      </c>
      <c r="AR573" s="58"/>
      <c r="AS573" s="58"/>
      <c r="AT573" s="52">
        <v>0</v>
      </c>
      <c r="AU573" s="52">
        <f>IF(Master[[#This Row],[RSP StopTime override]] &lt;&gt; "",Master[[#This Row],[RSP StopTime override]],IF(Master[[#This Row],[Avg stop time helper]] &lt;&gt; 0, Master[[#This Row],[Avg stop time helper]],Average_Stop_Time))</f>
        <v>18</v>
      </c>
      <c r="AV573" s="21">
        <v>18</v>
      </c>
      <c r="AW573" s="20">
        <f>Master[[#This Row],[RSP StopTime override]]-Master[[#This Row],[Avg stop time helper]]</f>
        <v>18</v>
      </c>
    </row>
    <row r="574" spans="1:49" x14ac:dyDescent="0.3">
      <c r="A574" s="66" t="s">
        <v>4645</v>
      </c>
      <c r="B574" s="58">
        <v>50</v>
      </c>
      <c r="C574" s="58" t="s">
        <v>35</v>
      </c>
      <c r="D574" s="65">
        <v>533002</v>
      </c>
      <c r="E574" s="65" t="s">
        <v>42</v>
      </c>
      <c r="F574" s="65" t="s">
        <v>2396</v>
      </c>
      <c r="G574" s="65" t="s">
        <v>2395</v>
      </c>
      <c r="H574" s="65" t="s">
        <v>7</v>
      </c>
      <c r="I574" s="65" t="s">
        <v>2394</v>
      </c>
      <c r="J574" s="65" t="s">
        <v>5</v>
      </c>
      <c r="K574" s="65" t="s">
        <v>2393</v>
      </c>
      <c r="L574" s="64">
        <v>5</v>
      </c>
      <c r="M574" s="58" t="s">
        <v>29</v>
      </c>
      <c r="N574" s="58" t="s">
        <v>2</v>
      </c>
      <c r="O574" s="58">
        <v>61</v>
      </c>
      <c r="P574" s="58">
        <v>0</v>
      </c>
      <c r="Q574" s="58">
        <v>61</v>
      </c>
      <c r="R574" s="58">
        <v>0</v>
      </c>
      <c r="S574" s="58">
        <v>0</v>
      </c>
      <c r="T574" s="58">
        <v>0</v>
      </c>
      <c r="U574" s="58">
        <v>25</v>
      </c>
      <c r="V574" s="62"/>
      <c r="W574" s="62"/>
      <c r="X574" s="63">
        <f>IFERROR(1 -(Master[[#This Row],[Avg Garment Scans per Delivery]]/Master[[#This Row],[Garment Inventory]]), 0)</f>
        <v>0</v>
      </c>
      <c r="Y574" s="62"/>
      <c r="Z574" s="62"/>
      <c r="AA574" s="53">
        <v>25.37</v>
      </c>
      <c r="AB574" s="53">
        <v>58.61</v>
      </c>
      <c r="AC574" s="53">
        <v>36.42</v>
      </c>
      <c r="AD574" s="53">
        <v>36.42</v>
      </c>
      <c r="AE574" s="53" t="str">
        <f>_xlfn.XLOOKUP(Master[[#This Row],[cu_id]],'[1]Customer Revenue'!$Q:$Q,'[1]Customer Revenue'!$K:$K, "None")</f>
        <v>None</v>
      </c>
      <c r="AF574" s="53" t="str">
        <f>_xlfn.XLOOKUP(Master[[#This Row],[cu_id]],'[1]Customer Revenue'!$Q:$Q,'[1]Customer Revenue'!$L:$L, "None")</f>
        <v>None</v>
      </c>
      <c r="AG574" s="53">
        <v>29.019999999999996</v>
      </c>
      <c r="AH574" s="53">
        <v>47.97</v>
      </c>
      <c r="AI574" s="53">
        <v>41.99</v>
      </c>
      <c r="AJ574" s="53">
        <v>36.42</v>
      </c>
      <c r="AK574" s="53" t="str">
        <f>_xlfn.XLOOKUP(Master[[#This Row],[cu_id]],'[1]Customer Revenue'!$Q:$Q,'[1]Customer Revenue'!$I:$I, "None")</f>
        <v>None</v>
      </c>
      <c r="AL574" s="53">
        <v>38.494999999999997</v>
      </c>
      <c r="AM574" s="61">
        <v>0.45833333333333331</v>
      </c>
      <c r="AN574" s="60">
        <v>0.75</v>
      </c>
      <c r="AO574" s="60" t="s">
        <v>36</v>
      </c>
      <c r="AP574" s="60" t="s">
        <v>36</v>
      </c>
      <c r="AQ574" s="58" t="s">
        <v>0</v>
      </c>
      <c r="AR574" s="58"/>
      <c r="AS574" s="58"/>
      <c r="AT574" s="52">
        <v>0</v>
      </c>
      <c r="AU574" s="52">
        <f>IF(Master[[#This Row],[RSP StopTime override]] &lt;&gt; "",Master[[#This Row],[RSP StopTime override]],IF(Master[[#This Row],[Avg stop time helper]] &lt;&gt; 0, Master[[#This Row],[Avg stop time helper]],Average_Stop_Time))</f>
        <v>3</v>
      </c>
      <c r="AV574" s="21">
        <v>3</v>
      </c>
      <c r="AW574" s="20">
        <f>Master[[#This Row],[RSP StopTime override]]-Master[[#This Row],[Avg stop time helper]]</f>
        <v>3</v>
      </c>
    </row>
    <row r="575" spans="1:49" x14ac:dyDescent="0.3">
      <c r="A575" s="66" t="s">
        <v>4646</v>
      </c>
      <c r="B575" s="58">
        <v>50</v>
      </c>
      <c r="C575" s="58" t="s">
        <v>35</v>
      </c>
      <c r="D575" s="65">
        <v>533206</v>
      </c>
      <c r="E575" s="65" t="s">
        <v>42</v>
      </c>
      <c r="F575" s="65" t="s">
        <v>2392</v>
      </c>
      <c r="G575" s="65" t="s">
        <v>2391</v>
      </c>
      <c r="H575" s="65" t="s">
        <v>7</v>
      </c>
      <c r="I575" s="65" t="s">
        <v>12</v>
      </c>
      <c r="J575" s="65" t="s">
        <v>5</v>
      </c>
      <c r="K575" s="65" t="s">
        <v>1215</v>
      </c>
      <c r="L575" s="64" t="s">
        <v>67</v>
      </c>
      <c r="M575" s="58" t="s">
        <v>3</v>
      </c>
      <c r="N575" s="58" t="s">
        <v>2</v>
      </c>
      <c r="O575" s="58">
        <v>120</v>
      </c>
      <c r="P575" s="58">
        <v>0</v>
      </c>
      <c r="Q575" s="58">
        <v>120</v>
      </c>
      <c r="R575" s="58">
        <v>0</v>
      </c>
      <c r="S575" s="58">
        <v>0</v>
      </c>
      <c r="T575" s="58">
        <v>0</v>
      </c>
      <c r="U575" s="58">
        <v>52</v>
      </c>
      <c r="V575" s="62">
        <v>76</v>
      </c>
      <c r="W575" s="62">
        <v>16</v>
      </c>
      <c r="X575" s="63">
        <f>IFERROR(1 -(Master[[#This Row],[Avg Garment Scans per Delivery]]/Master[[#This Row],[Garment Inventory]]), 0)</f>
        <v>0.78947368421052633</v>
      </c>
      <c r="Y575" s="62">
        <v>4</v>
      </c>
      <c r="Z575" s="62">
        <v>78</v>
      </c>
      <c r="AA575" s="53">
        <v>62.3787573964497</v>
      </c>
      <c r="AB575" s="53">
        <v>223.47508875739646</v>
      </c>
      <c r="AC575" s="53">
        <v>15.494595660749482</v>
      </c>
      <c r="AD575" s="53">
        <v>171.59873767258381</v>
      </c>
      <c r="AE575" s="53" t="str">
        <f>_xlfn.XLOOKUP(Master[[#This Row],[cu_id]],'[1]Customer Revenue'!$Q:$Q,'[1]Customer Revenue'!$K:$K, "None")</f>
        <v>None</v>
      </c>
      <c r="AF575" s="53" t="str">
        <f>_xlfn.XLOOKUP(Master[[#This Row],[cu_id]],'[1]Customer Revenue'!$Q:$Q,'[1]Customer Revenue'!$L:$L, "None")</f>
        <v>None</v>
      </c>
      <c r="AG575" s="53">
        <v>82.646169387755094</v>
      </c>
      <c r="AH575" s="53">
        <v>165.28423061224495</v>
      </c>
      <c r="AI575" s="53">
        <v>142.92692307692309</v>
      </c>
      <c r="AJ575" s="53">
        <v>93.546666666666638</v>
      </c>
      <c r="AK575" s="53" t="str">
        <f>_xlfn.XLOOKUP(Master[[#This Row],[cu_id]],'[1]Customer Revenue'!$Q:$Q,'[1]Customer Revenue'!$I:$I, "None")</f>
        <v>None</v>
      </c>
      <c r="AL575" s="53">
        <v>123.96520000000002</v>
      </c>
      <c r="AM575" s="61">
        <v>0.25</v>
      </c>
      <c r="AN575" s="60">
        <v>0.625</v>
      </c>
      <c r="AO575" s="60" t="s">
        <v>36</v>
      </c>
      <c r="AP575" s="60" t="s">
        <v>36</v>
      </c>
      <c r="AQ575" s="58" t="s">
        <v>0</v>
      </c>
      <c r="AR575" s="58"/>
      <c r="AS575" s="58"/>
      <c r="AT575" s="52">
        <v>0</v>
      </c>
      <c r="AU575" s="52">
        <f>IF(Master[[#This Row],[RSP StopTime override]] &lt;&gt; "",Master[[#This Row],[RSP StopTime override]],IF(Master[[#This Row],[Avg stop time helper]] &lt;&gt; 0, Master[[#This Row],[Avg stop time helper]],Average_Stop_Time))</f>
        <v>5</v>
      </c>
      <c r="AV575" s="21">
        <v>5</v>
      </c>
      <c r="AW575" s="20">
        <f>Master[[#This Row],[RSP StopTime override]]-Master[[#This Row],[Avg stop time helper]]</f>
        <v>5</v>
      </c>
    </row>
    <row r="576" spans="1:49" x14ac:dyDescent="0.3">
      <c r="A576" s="66" t="s">
        <v>4647</v>
      </c>
      <c r="B576" s="58">
        <v>50</v>
      </c>
      <c r="C576" s="58" t="s">
        <v>35</v>
      </c>
      <c r="D576" s="65">
        <v>533261</v>
      </c>
      <c r="E576" s="65" t="s">
        <v>42</v>
      </c>
      <c r="F576" s="65" t="s">
        <v>2390</v>
      </c>
      <c r="G576" s="65" t="s">
        <v>2389</v>
      </c>
      <c r="H576" s="65" t="s">
        <v>7</v>
      </c>
      <c r="I576" s="65" t="s">
        <v>1216</v>
      </c>
      <c r="J576" s="65" t="s">
        <v>5</v>
      </c>
      <c r="K576" s="65" t="s">
        <v>1215</v>
      </c>
      <c r="L576" s="64" t="s">
        <v>91</v>
      </c>
      <c r="M576" s="58" t="s">
        <v>90</v>
      </c>
      <c r="N576" s="58" t="s">
        <v>2</v>
      </c>
      <c r="O576" s="58">
        <v>155</v>
      </c>
      <c r="P576" s="58">
        <v>0</v>
      </c>
      <c r="Q576" s="58">
        <v>155</v>
      </c>
      <c r="R576" s="58">
        <v>0</v>
      </c>
      <c r="S576" s="58">
        <v>0</v>
      </c>
      <c r="T576" s="58">
        <v>0</v>
      </c>
      <c r="U576" s="58">
        <v>10</v>
      </c>
      <c r="V576" s="62"/>
      <c r="W576" s="62"/>
      <c r="X576" s="63">
        <f>IFERROR(1 -(Master[[#This Row],[Avg Garment Scans per Delivery]]/Master[[#This Row],[Garment Inventory]]), 0)</f>
        <v>0</v>
      </c>
      <c r="Y576" s="62"/>
      <c r="Z576" s="62"/>
      <c r="AA576" s="53">
        <v>21.887959183673473</v>
      </c>
      <c r="AB576" s="53">
        <v>31.680612244897958</v>
      </c>
      <c r="AC576" s="53">
        <v>15.674444444444447</v>
      </c>
      <c r="AD576" s="53">
        <v>102.52222222222223</v>
      </c>
      <c r="AE576" s="53" t="str">
        <f>_xlfn.XLOOKUP(Master[[#This Row],[cu_id]],'[1]Customer Revenue'!$Q:$Q,'[1]Customer Revenue'!$K:$K, "None")</f>
        <v>None</v>
      </c>
      <c r="AF576" s="53" t="str">
        <f>_xlfn.XLOOKUP(Master[[#This Row],[cu_id]],'[1]Customer Revenue'!$Q:$Q,'[1]Customer Revenue'!$L:$L, "None")</f>
        <v>None</v>
      </c>
      <c r="AG576" s="53">
        <v>17.911311728395052</v>
      </c>
      <c r="AH576" s="53">
        <v>63.961188271604939</v>
      </c>
      <c r="AI576" s="53">
        <v>26.784285714285716</v>
      </c>
      <c r="AJ576" s="53">
        <v>59.098333333333336</v>
      </c>
      <c r="AK576" s="53" t="str">
        <f>_xlfn.XLOOKUP(Master[[#This Row],[cu_id]],'[1]Customer Revenue'!$Q:$Q,'[1]Customer Revenue'!$I:$I, "None")</f>
        <v>None</v>
      </c>
      <c r="AL576" s="53">
        <v>40.936249999999994</v>
      </c>
      <c r="AM576" s="61">
        <v>0.41666666666666669</v>
      </c>
      <c r="AN576" s="60">
        <v>0.75</v>
      </c>
      <c r="AO576" s="60" t="s">
        <v>36</v>
      </c>
      <c r="AP576" s="60" t="s">
        <v>36</v>
      </c>
      <c r="AQ576" s="58" t="s">
        <v>0</v>
      </c>
      <c r="AR576" s="58"/>
      <c r="AS576" s="58"/>
      <c r="AT576" s="52">
        <v>0</v>
      </c>
      <c r="AU576" s="52">
        <f>IF(Master[[#This Row],[RSP StopTime override]] &lt;&gt; "",Master[[#This Row],[RSP StopTime override]],IF(Master[[#This Row],[Avg stop time helper]] &lt;&gt; 0, Master[[#This Row],[Avg stop time helper]],Average_Stop_Time))</f>
        <v>5</v>
      </c>
      <c r="AV576" s="21">
        <v>5</v>
      </c>
      <c r="AW576" s="20">
        <f>Master[[#This Row],[RSP StopTime override]]-Master[[#This Row],[Avg stop time helper]]</f>
        <v>5</v>
      </c>
    </row>
    <row r="577" spans="1:49" x14ac:dyDescent="0.3">
      <c r="A577" s="66" t="s">
        <v>4648</v>
      </c>
      <c r="B577" s="58">
        <v>50</v>
      </c>
      <c r="C577" s="58" t="s">
        <v>35</v>
      </c>
      <c r="D577" s="65">
        <v>533472</v>
      </c>
      <c r="E577" s="65" t="s">
        <v>42</v>
      </c>
      <c r="F577" s="65" t="s">
        <v>2388</v>
      </c>
      <c r="G577" s="65" t="s">
        <v>2387</v>
      </c>
      <c r="H577" s="65" t="s">
        <v>7</v>
      </c>
      <c r="I577" s="65" t="s">
        <v>1216</v>
      </c>
      <c r="J577" s="65" t="s">
        <v>5</v>
      </c>
      <c r="K577" s="65" t="s">
        <v>1215</v>
      </c>
      <c r="L577" s="64" t="s">
        <v>67</v>
      </c>
      <c r="M577" s="58" t="s">
        <v>3</v>
      </c>
      <c r="N577" s="58" t="s">
        <v>2</v>
      </c>
      <c r="O577" s="58">
        <v>95</v>
      </c>
      <c r="P577" s="58">
        <v>0</v>
      </c>
      <c r="Q577" s="58">
        <v>95</v>
      </c>
      <c r="R577" s="58">
        <v>0</v>
      </c>
      <c r="S577" s="58">
        <v>0</v>
      </c>
      <c r="T577" s="58">
        <v>0</v>
      </c>
      <c r="U577" s="58">
        <v>29</v>
      </c>
      <c r="V577" s="62"/>
      <c r="W577" s="62"/>
      <c r="X577" s="63">
        <f>IFERROR(1 -(Master[[#This Row],[Avg Garment Scans per Delivery]]/Master[[#This Row],[Garment Inventory]]), 0)</f>
        <v>0</v>
      </c>
      <c r="Y577" s="62"/>
      <c r="Z577" s="62"/>
      <c r="AA577" s="53">
        <v>62.668047337278111</v>
      </c>
      <c r="AB577" s="53">
        <v>69.27349112426036</v>
      </c>
      <c r="AC577" s="53">
        <v>73.245680473372786</v>
      </c>
      <c r="AD577" s="53">
        <v>76.262011834319523</v>
      </c>
      <c r="AE577" s="53" t="str">
        <f>_xlfn.XLOOKUP(Master[[#This Row],[cu_id]],'[1]Customer Revenue'!$Q:$Q,'[1]Customer Revenue'!$K:$K, "None")</f>
        <v>None</v>
      </c>
      <c r="AF577" s="53" t="str">
        <f>_xlfn.XLOOKUP(Master[[#This Row],[cu_id]],'[1]Customer Revenue'!$Q:$Q,'[1]Customer Revenue'!$L:$L, "None")</f>
        <v>None</v>
      </c>
      <c r="AG577" s="53">
        <v>57.285119999999999</v>
      </c>
      <c r="AH577" s="53">
        <v>70.226879999999994</v>
      </c>
      <c r="AI577" s="53">
        <v>65.970769230769235</v>
      </c>
      <c r="AJ577" s="53">
        <v>74.753846153846155</v>
      </c>
      <c r="AK577" s="53" t="str">
        <f>_xlfn.XLOOKUP(Master[[#This Row],[cu_id]],'[1]Customer Revenue'!$Q:$Q,'[1]Customer Revenue'!$I:$I, "None")</f>
        <v>None</v>
      </c>
      <c r="AL577" s="53">
        <v>63.756</v>
      </c>
      <c r="AM577" s="61">
        <v>0.33333333333333331</v>
      </c>
      <c r="AN577" s="60">
        <v>0.5</v>
      </c>
      <c r="AO577" s="60">
        <v>0.54166666666666663</v>
      </c>
      <c r="AP577" s="60">
        <v>0.75</v>
      </c>
      <c r="AQ577" s="58" t="s">
        <v>0</v>
      </c>
      <c r="AR577" s="58"/>
      <c r="AS577" s="58"/>
      <c r="AT577" s="52">
        <v>0</v>
      </c>
      <c r="AU577" s="52">
        <f>IF(Master[[#This Row],[RSP StopTime override]] &lt;&gt; "",Master[[#This Row],[RSP StopTime override]],IF(Master[[#This Row],[Avg stop time helper]] &lt;&gt; 0, Master[[#This Row],[Avg stop time helper]],Average_Stop_Time))</f>
        <v>16</v>
      </c>
      <c r="AV577" s="21">
        <v>16</v>
      </c>
      <c r="AW577" s="20">
        <f>Master[[#This Row],[RSP StopTime override]]-Master[[#This Row],[Avg stop time helper]]</f>
        <v>16</v>
      </c>
    </row>
    <row r="578" spans="1:49" x14ac:dyDescent="0.3">
      <c r="A578" s="66" t="s">
        <v>4649</v>
      </c>
      <c r="B578" s="58">
        <v>50</v>
      </c>
      <c r="C578" s="58" t="s">
        <v>35</v>
      </c>
      <c r="D578" s="65">
        <v>599000</v>
      </c>
      <c r="E578" s="65" t="s">
        <v>1590</v>
      </c>
      <c r="F578" s="65" t="s">
        <v>2386</v>
      </c>
      <c r="G578" s="65" t="s">
        <v>2385</v>
      </c>
      <c r="H578" s="65" t="s">
        <v>32</v>
      </c>
      <c r="I578" s="65" t="s">
        <v>2384</v>
      </c>
      <c r="J578" s="65" t="s">
        <v>5</v>
      </c>
      <c r="K578" s="65" t="s">
        <v>1215</v>
      </c>
      <c r="L578" s="64" t="s">
        <v>67</v>
      </c>
      <c r="M578" s="58" t="s">
        <v>3</v>
      </c>
      <c r="N578" s="58" t="s">
        <v>2</v>
      </c>
      <c r="O578" s="58">
        <v>20</v>
      </c>
      <c r="P578" s="58">
        <v>0</v>
      </c>
      <c r="Q578" s="58">
        <v>20</v>
      </c>
      <c r="R578" s="58">
        <v>0</v>
      </c>
      <c r="S578" s="58">
        <v>0</v>
      </c>
      <c r="T578" s="58">
        <v>0</v>
      </c>
      <c r="U578" s="58">
        <v>52</v>
      </c>
      <c r="V578" s="62">
        <v>30</v>
      </c>
      <c r="W578" s="62">
        <v>16</v>
      </c>
      <c r="X578" s="63">
        <f>IFERROR(1 -(Master[[#This Row],[Avg Garment Scans per Delivery]]/Master[[#This Row],[Garment Inventory]]), 0)</f>
        <v>0.46666666666666667</v>
      </c>
      <c r="Y578" s="62">
        <v>1</v>
      </c>
      <c r="Z578" s="62">
        <v>54</v>
      </c>
      <c r="AA578" s="53">
        <v>41.840167521367547</v>
      </c>
      <c r="AB578" s="53">
        <v>68.053678632478636</v>
      </c>
      <c r="AC578" s="53">
        <v>50.021301775147926</v>
      </c>
      <c r="AD578" s="53">
        <v>52.034082840236671</v>
      </c>
      <c r="AE578" s="53" t="str">
        <f>_xlfn.XLOOKUP(Master[[#This Row],[cu_id]],'[1]Customer Revenue'!$Q:$Q,'[1]Customer Revenue'!$K:$K, "None")</f>
        <v>None</v>
      </c>
      <c r="AF578" s="53" t="str">
        <f>_xlfn.XLOOKUP(Master[[#This Row],[cu_id]],'[1]Customer Revenue'!$Q:$Q,'[1]Customer Revenue'!$L:$L, "None")</f>
        <v>None</v>
      </c>
      <c r="AG578" s="53">
        <v>44.54216774901672</v>
      </c>
      <c r="AH578" s="53">
        <v>66.43629378944479</v>
      </c>
      <c r="AI578" s="53">
        <v>54.946923076923092</v>
      </c>
      <c r="AJ578" s="53">
        <v>51.027692307692298</v>
      </c>
      <c r="AK578" s="53" t="str">
        <f>_xlfn.XLOOKUP(Master[[#This Row],[cu_id]],'[1]Customer Revenue'!$Q:$Q,'[1]Customer Revenue'!$I:$I, "None")</f>
        <v>None</v>
      </c>
      <c r="AL578" s="53">
        <v>55.489230769230758</v>
      </c>
      <c r="AM578" s="61">
        <v>0.375</v>
      </c>
      <c r="AN578" s="60">
        <v>0.58333333333333337</v>
      </c>
      <c r="AO578" s="60" t="s">
        <v>36</v>
      </c>
      <c r="AP578" s="60" t="s">
        <v>36</v>
      </c>
      <c r="AQ578" s="58" t="s">
        <v>0</v>
      </c>
      <c r="AR578" s="58"/>
      <c r="AS578" s="58"/>
      <c r="AT578" s="52">
        <v>0</v>
      </c>
      <c r="AU578" s="52">
        <f>IF(Master[[#This Row],[RSP StopTime override]] &lt;&gt; "",Master[[#This Row],[RSP StopTime override]],IF(Master[[#This Row],[Avg stop time helper]] &lt;&gt; 0, Master[[#This Row],[Avg stop time helper]],Average_Stop_Time))</f>
        <v>10</v>
      </c>
      <c r="AV578" s="21">
        <v>10</v>
      </c>
      <c r="AW578" s="20">
        <f>Master[[#This Row],[RSP StopTime override]]-Master[[#This Row],[Avg stop time helper]]</f>
        <v>10</v>
      </c>
    </row>
    <row r="579" spans="1:49" x14ac:dyDescent="0.3">
      <c r="A579" s="66" t="s">
        <v>4650</v>
      </c>
      <c r="B579" s="58">
        <v>50</v>
      </c>
      <c r="C579" s="58" t="s">
        <v>35</v>
      </c>
      <c r="D579" s="65">
        <v>801043</v>
      </c>
      <c r="E579" s="65" t="s">
        <v>42</v>
      </c>
      <c r="F579" s="65" t="s">
        <v>3656</v>
      </c>
      <c r="G579" s="65" t="s">
        <v>2383</v>
      </c>
      <c r="H579" s="65" t="s">
        <v>7</v>
      </c>
      <c r="I579" s="65" t="s">
        <v>2382</v>
      </c>
      <c r="J579" s="65" t="s">
        <v>5</v>
      </c>
      <c r="K579" s="65" t="s">
        <v>1211</v>
      </c>
      <c r="L579" s="64" t="s">
        <v>67</v>
      </c>
      <c r="M579" s="58" t="s">
        <v>3</v>
      </c>
      <c r="N579" s="58" t="s">
        <v>2</v>
      </c>
      <c r="O579" s="58">
        <v>75</v>
      </c>
      <c r="P579" s="58">
        <v>0</v>
      </c>
      <c r="Q579" s="58">
        <v>75</v>
      </c>
      <c r="R579" s="58">
        <v>0</v>
      </c>
      <c r="S579" s="58">
        <v>0</v>
      </c>
      <c r="T579" s="58">
        <v>0</v>
      </c>
      <c r="U579" s="58">
        <v>31</v>
      </c>
      <c r="V579" s="62"/>
      <c r="W579" s="62"/>
      <c r="X579" s="63">
        <f>IFERROR(1 -(Master[[#This Row],[Avg Garment Scans per Delivery]]/Master[[#This Row],[Garment Inventory]]), 0)</f>
        <v>0</v>
      </c>
      <c r="Y579" s="62"/>
      <c r="Z579" s="62"/>
      <c r="AA579" s="53">
        <v>40.290236686390536</v>
      </c>
      <c r="AB579" s="53">
        <v>42.917455621301777</v>
      </c>
      <c r="AC579" s="53">
        <v>44.267751479289942</v>
      </c>
      <c r="AD579" s="53">
        <v>45.579940828402371</v>
      </c>
      <c r="AE579" s="53" t="str">
        <f>_xlfn.XLOOKUP(Master[[#This Row],[cu_id]],'[1]Customer Revenue'!$Q:$Q,'[1]Customer Revenue'!$K:$K, "None")</f>
        <v>None</v>
      </c>
      <c r="AF579" s="53" t="str">
        <f>_xlfn.XLOOKUP(Master[[#This Row],[cu_id]],'[1]Customer Revenue'!$Q:$Q,'[1]Customer Revenue'!$L:$L, "None")</f>
        <v>None</v>
      </c>
      <c r="AG579" s="53">
        <v>40.185857988165679</v>
      </c>
      <c r="AH579" s="53">
        <v>41.784911242603556</v>
      </c>
      <c r="AI579" s="53">
        <v>41.603846153846156</v>
      </c>
      <c r="AJ579" s="53">
        <v>44.923846153846156</v>
      </c>
      <c r="AK579" s="53" t="str">
        <f>_xlfn.XLOOKUP(Master[[#This Row],[cu_id]],'[1]Customer Revenue'!$Q:$Q,'[1]Customer Revenue'!$I:$I, "None")</f>
        <v>None</v>
      </c>
      <c r="AL579" s="53">
        <v>40.985384615384618</v>
      </c>
      <c r="AM579" s="61">
        <v>0.375</v>
      </c>
      <c r="AN579" s="60">
        <v>0.75</v>
      </c>
      <c r="AO579" s="60" t="s">
        <v>36</v>
      </c>
      <c r="AP579" s="60" t="s">
        <v>36</v>
      </c>
      <c r="AQ579" s="58" t="s">
        <v>0</v>
      </c>
      <c r="AR579" s="58"/>
      <c r="AS579" s="58"/>
      <c r="AT579" s="52">
        <v>0</v>
      </c>
      <c r="AU579" s="52">
        <f>IF(Master[[#This Row],[RSP StopTime override]] &lt;&gt; "",Master[[#This Row],[RSP StopTime override]],IF(Master[[#This Row],[Avg stop time helper]] &lt;&gt; 0, Master[[#This Row],[Avg stop time helper]],Average_Stop_Time))</f>
        <v>7</v>
      </c>
      <c r="AV579" s="21">
        <v>7</v>
      </c>
      <c r="AW579" s="20">
        <f>Master[[#This Row],[RSP StopTime override]]-Master[[#This Row],[Avg stop time helper]]</f>
        <v>7</v>
      </c>
    </row>
    <row r="580" spans="1:49" x14ac:dyDescent="0.3">
      <c r="A580" s="66" t="s">
        <v>4651</v>
      </c>
      <c r="B580" s="58">
        <v>50</v>
      </c>
      <c r="C580" s="58" t="s">
        <v>35</v>
      </c>
      <c r="D580" s="65">
        <v>885361</v>
      </c>
      <c r="E580" s="65" t="s">
        <v>2381</v>
      </c>
      <c r="F580" s="65" t="s">
        <v>2380</v>
      </c>
      <c r="G580" s="65" t="s">
        <v>2379</v>
      </c>
      <c r="H580" s="65" t="s">
        <v>7</v>
      </c>
      <c r="I580" s="65" t="s">
        <v>2378</v>
      </c>
      <c r="J580" s="65" t="s">
        <v>5</v>
      </c>
      <c r="K580" s="65" t="s">
        <v>2377</v>
      </c>
      <c r="L580" s="64" t="s">
        <v>194</v>
      </c>
      <c r="M580" s="58" t="s">
        <v>193</v>
      </c>
      <c r="N580" s="58" t="s">
        <v>2</v>
      </c>
      <c r="O580" s="58">
        <v>55</v>
      </c>
      <c r="P580" s="58">
        <v>0</v>
      </c>
      <c r="Q580" s="58">
        <v>55</v>
      </c>
      <c r="R580" s="58">
        <v>0</v>
      </c>
      <c r="S580" s="58">
        <v>0</v>
      </c>
      <c r="T580" s="58">
        <v>0</v>
      </c>
      <c r="U580" s="58">
        <v>7</v>
      </c>
      <c r="V580" s="62"/>
      <c r="W580" s="62"/>
      <c r="X580" s="63">
        <f>IFERROR(1 -(Master[[#This Row],[Avg Garment Scans per Delivery]]/Master[[#This Row],[Garment Inventory]]), 0)</f>
        <v>0</v>
      </c>
      <c r="Y580" s="62"/>
      <c r="Z580" s="62"/>
      <c r="AA580" s="53">
        <v>63.69</v>
      </c>
      <c r="AB580" s="53">
        <v>63.69</v>
      </c>
      <c r="AC580" s="53">
        <v>55.190000000000005</v>
      </c>
      <c r="AD580" s="53">
        <v>61.99</v>
      </c>
      <c r="AE580" s="53" t="str">
        <f>_xlfn.XLOOKUP(Master[[#This Row],[cu_id]],'[1]Customer Revenue'!$Q:$Q,'[1]Customer Revenue'!$K:$K, "None")</f>
        <v>None</v>
      </c>
      <c r="AF580" s="53" t="str">
        <f>_xlfn.XLOOKUP(Master[[#This Row],[cu_id]],'[1]Customer Revenue'!$Q:$Q,'[1]Customer Revenue'!$L:$L, "None")</f>
        <v>None</v>
      </c>
      <c r="AG580" s="53">
        <v>58.539999999999992</v>
      </c>
      <c r="AH580" s="53">
        <v>64.72</v>
      </c>
      <c r="AI580" s="53">
        <v>63.69</v>
      </c>
      <c r="AJ580" s="53">
        <v>58.59</v>
      </c>
      <c r="AK580" s="53" t="str">
        <f>_xlfn.XLOOKUP(Master[[#This Row],[cu_id]],'[1]Customer Revenue'!$Q:$Q,'[1]Customer Revenue'!$I:$I, "None")</f>
        <v>None</v>
      </c>
      <c r="AL580" s="53">
        <v>61.629999999999995</v>
      </c>
      <c r="AM580" s="61">
        <v>0.375</v>
      </c>
      <c r="AN580" s="60">
        <v>0.58333333333333337</v>
      </c>
      <c r="AO580" s="60" t="s">
        <v>36</v>
      </c>
      <c r="AP580" s="60" t="s">
        <v>36</v>
      </c>
      <c r="AQ580" s="58" t="s">
        <v>0</v>
      </c>
      <c r="AR580" s="58"/>
      <c r="AS580" s="58"/>
      <c r="AT580" s="52">
        <v>0</v>
      </c>
      <c r="AU580" s="52">
        <f>IF(Master[[#This Row],[RSP StopTime override]] &lt;&gt; "",Master[[#This Row],[RSP StopTime override]],IF(Master[[#This Row],[Avg stop time helper]] &lt;&gt; 0, Master[[#This Row],[Avg stop time helper]],Average_Stop_Time))</f>
        <v>7</v>
      </c>
      <c r="AV580" s="21">
        <v>7</v>
      </c>
      <c r="AW580" s="20">
        <f>Master[[#This Row],[RSP StopTime override]]-Master[[#This Row],[Avg stop time helper]]</f>
        <v>7</v>
      </c>
    </row>
    <row r="581" spans="1:49" x14ac:dyDescent="0.3">
      <c r="A581" s="66" t="s">
        <v>4652</v>
      </c>
      <c r="B581" s="58">
        <v>50</v>
      </c>
      <c r="C581" s="58" t="s">
        <v>10</v>
      </c>
      <c r="D581" s="65">
        <v>27828</v>
      </c>
      <c r="E581" s="65" t="s">
        <v>1158</v>
      </c>
      <c r="F581" s="65" t="s">
        <v>2376</v>
      </c>
      <c r="G581" s="65" t="s">
        <v>2375</v>
      </c>
      <c r="H581" s="65" t="s">
        <v>7</v>
      </c>
      <c r="I581" s="65" t="s">
        <v>2374</v>
      </c>
      <c r="J581" s="65" t="s">
        <v>5</v>
      </c>
      <c r="K581" s="65" t="s">
        <v>1954</v>
      </c>
      <c r="L581" s="64" t="s">
        <v>67</v>
      </c>
      <c r="M581" s="58" t="s">
        <v>3</v>
      </c>
      <c r="N581" s="58" t="s">
        <v>2</v>
      </c>
      <c r="O581" s="58">
        <v>35</v>
      </c>
      <c r="P581" s="58">
        <v>0</v>
      </c>
      <c r="Q581" s="58">
        <v>0</v>
      </c>
      <c r="R581" s="58">
        <v>35</v>
      </c>
      <c r="S581" s="58">
        <v>0</v>
      </c>
      <c r="T581" s="58">
        <v>0</v>
      </c>
      <c r="U581" s="58">
        <v>53</v>
      </c>
      <c r="V581" s="62"/>
      <c r="W581" s="62"/>
      <c r="X581" s="63">
        <f>IFERROR(1 -(Master[[#This Row],[Avg Garment Scans per Delivery]]/Master[[#This Row],[Garment Inventory]]), 0)</f>
        <v>0</v>
      </c>
      <c r="Y581" s="62"/>
      <c r="Z581" s="62"/>
      <c r="AA581" s="53">
        <v>44.196745562130175</v>
      </c>
      <c r="AB581" s="53">
        <v>54.918639053254438</v>
      </c>
      <c r="AC581" s="53">
        <v>51.997573964497043</v>
      </c>
      <c r="AD581" s="53">
        <v>71.939349112426044</v>
      </c>
      <c r="AE581" s="53" t="str">
        <f>_xlfn.XLOOKUP(Master[[#This Row],[cu_id]],'[1]Customer Revenue'!$Q:$Q,'[1]Customer Revenue'!$K:$K, "None")</f>
        <v>None</v>
      </c>
      <c r="AF581" s="53" t="str">
        <f>_xlfn.XLOOKUP(Master[[#This Row],[cu_id]],'[1]Customer Revenue'!$Q:$Q,'[1]Customer Revenue'!$L:$L, "None")</f>
        <v>None</v>
      </c>
      <c r="AG581" s="53">
        <v>42.562869822485204</v>
      </c>
      <c r="AH581" s="53">
        <v>54.571745562130182</v>
      </c>
      <c r="AI581" s="53">
        <v>49.557692307692307</v>
      </c>
      <c r="AJ581" s="53">
        <v>61.96846153846154</v>
      </c>
      <c r="AK581" s="53" t="str">
        <f>_xlfn.XLOOKUP(Master[[#This Row],[cu_id]],'[1]Customer Revenue'!$Q:$Q,'[1]Customer Revenue'!$I:$I, "None")</f>
        <v>None</v>
      </c>
      <c r="AL581" s="53">
        <v>48.567307692307693</v>
      </c>
      <c r="AM581" s="61">
        <v>0.4375</v>
      </c>
      <c r="AN581" s="60">
        <v>0.66666666666666663</v>
      </c>
      <c r="AO581" s="60" t="s">
        <v>36</v>
      </c>
      <c r="AP581" s="60" t="s">
        <v>36</v>
      </c>
      <c r="AQ581" s="58" t="s">
        <v>0</v>
      </c>
      <c r="AR581" s="58"/>
      <c r="AS581" s="58"/>
      <c r="AT581" s="52">
        <v>0</v>
      </c>
      <c r="AU581" s="52">
        <f>IF(Master[[#This Row],[RSP StopTime override]] &lt;&gt; "",Master[[#This Row],[RSP StopTime override]],IF(Master[[#This Row],[Avg stop time helper]] &lt;&gt; 0, Master[[#This Row],[Avg stop time helper]],Average_Stop_Time))</f>
        <v>6</v>
      </c>
      <c r="AV581" s="21">
        <v>6</v>
      </c>
      <c r="AW581" s="20">
        <f>Master[[#This Row],[RSP StopTime override]]-Master[[#This Row],[Avg stop time helper]]</f>
        <v>6</v>
      </c>
    </row>
    <row r="582" spans="1:49" x14ac:dyDescent="0.3">
      <c r="A582" s="66" t="s">
        <v>4653</v>
      </c>
      <c r="B582" s="58">
        <v>50</v>
      </c>
      <c r="C582" s="58" t="s">
        <v>10</v>
      </c>
      <c r="D582" s="65">
        <v>99045</v>
      </c>
      <c r="E582" s="65" t="s">
        <v>1590</v>
      </c>
      <c r="F582" s="65" t="s">
        <v>1464</v>
      </c>
      <c r="G582" s="65" t="s">
        <v>2373</v>
      </c>
      <c r="H582" s="65" t="s">
        <v>7</v>
      </c>
      <c r="I582" s="65" t="s">
        <v>12</v>
      </c>
      <c r="J582" s="65" t="s">
        <v>5</v>
      </c>
      <c r="K582" s="65" t="s">
        <v>1919</v>
      </c>
      <c r="L582" s="64" t="s">
        <v>77</v>
      </c>
      <c r="M582" s="58" t="s">
        <v>29</v>
      </c>
      <c r="N582" s="58" t="s">
        <v>2</v>
      </c>
      <c r="O582" s="58">
        <v>105</v>
      </c>
      <c r="P582" s="58">
        <v>0</v>
      </c>
      <c r="Q582" s="58">
        <v>0</v>
      </c>
      <c r="R582" s="58">
        <v>105</v>
      </c>
      <c r="S582" s="58">
        <v>0</v>
      </c>
      <c r="T582" s="58">
        <v>0</v>
      </c>
      <c r="U582" s="58">
        <v>26</v>
      </c>
      <c r="V582" s="62"/>
      <c r="W582" s="62"/>
      <c r="X582" s="63">
        <f>IFERROR(1 -(Master[[#This Row],[Avg Garment Scans per Delivery]]/Master[[#This Row],[Garment Inventory]]), 0)</f>
        <v>0</v>
      </c>
      <c r="Y582" s="62"/>
      <c r="Z582" s="62"/>
      <c r="AA582" s="53">
        <v>36.5</v>
      </c>
      <c r="AB582" s="53">
        <v>37.75</v>
      </c>
      <c r="AC582" s="53">
        <v>17.078571428571429</v>
      </c>
      <c r="AD582" s="53">
        <v>40.46142857142857</v>
      </c>
      <c r="AE582" s="53" t="str">
        <f>_xlfn.XLOOKUP(Master[[#This Row],[cu_id]],'[1]Customer Revenue'!$Q:$Q,'[1]Customer Revenue'!$K:$K, "None")</f>
        <v>None</v>
      </c>
      <c r="AF582" s="53" t="str">
        <f>_xlfn.XLOOKUP(Master[[#This Row],[cu_id]],'[1]Customer Revenue'!$Q:$Q,'[1]Customer Revenue'!$L:$L, "None")</f>
        <v>None</v>
      </c>
      <c r="AG582" s="53">
        <v>36.603550295857985</v>
      </c>
      <c r="AH582" s="53">
        <v>37.242603550295854</v>
      </c>
      <c r="AI582" s="53">
        <v>37.125</v>
      </c>
      <c r="AJ582" s="53">
        <v>28.77</v>
      </c>
      <c r="AK582" s="53" t="str">
        <f>_xlfn.XLOOKUP(Master[[#This Row],[cu_id]],'[1]Customer Revenue'!$Q:$Q,'[1]Customer Revenue'!$I:$I, "None")</f>
        <v>None</v>
      </c>
      <c r="AL582" s="53">
        <v>36.92307692307692</v>
      </c>
      <c r="AM582" s="61">
        <v>0.375</v>
      </c>
      <c r="AN582" s="60">
        <v>0.625</v>
      </c>
      <c r="AO582" s="60" t="s">
        <v>36</v>
      </c>
      <c r="AP582" s="60" t="s">
        <v>36</v>
      </c>
      <c r="AQ582" s="58" t="s">
        <v>0</v>
      </c>
      <c r="AR582" s="58"/>
      <c r="AS582" s="58"/>
      <c r="AT582" s="52">
        <v>0</v>
      </c>
      <c r="AU582" s="52">
        <f>IF(Master[[#This Row],[RSP StopTime override]] &lt;&gt; "",Master[[#This Row],[RSP StopTime override]],IF(Master[[#This Row],[Avg stop time helper]] &lt;&gt; 0, Master[[#This Row],[Avg stop time helper]],Average_Stop_Time))</f>
        <v>4</v>
      </c>
      <c r="AV582" s="21">
        <v>4</v>
      </c>
      <c r="AW582" s="20">
        <f>Master[[#This Row],[RSP StopTime override]]-Master[[#This Row],[Avg stop time helper]]</f>
        <v>4</v>
      </c>
    </row>
    <row r="583" spans="1:49" x14ac:dyDescent="0.3">
      <c r="A583" s="66" t="s">
        <v>4654</v>
      </c>
      <c r="B583" s="58">
        <v>50</v>
      </c>
      <c r="C583" s="58" t="s">
        <v>10</v>
      </c>
      <c r="D583" s="65">
        <v>99056</v>
      </c>
      <c r="E583" s="65" t="s">
        <v>1996</v>
      </c>
      <c r="F583" s="65" t="s">
        <v>2372</v>
      </c>
      <c r="G583" s="65" t="s">
        <v>2371</v>
      </c>
      <c r="H583" s="65" t="s">
        <v>7</v>
      </c>
      <c r="I583" s="65" t="s">
        <v>1955</v>
      </c>
      <c r="J583" s="65" t="s">
        <v>5</v>
      </c>
      <c r="K583" s="65" t="s">
        <v>1954</v>
      </c>
      <c r="L583" s="64" t="s">
        <v>67</v>
      </c>
      <c r="M583" s="58" t="s">
        <v>3</v>
      </c>
      <c r="N583" s="58" t="s">
        <v>2</v>
      </c>
      <c r="O583" s="58">
        <v>5</v>
      </c>
      <c r="P583" s="58">
        <v>0</v>
      </c>
      <c r="Q583" s="58">
        <v>0</v>
      </c>
      <c r="R583" s="58">
        <v>5</v>
      </c>
      <c r="S583" s="58">
        <v>0</v>
      </c>
      <c r="T583" s="58">
        <v>0</v>
      </c>
      <c r="U583" s="58">
        <v>53</v>
      </c>
      <c r="V583" s="62">
        <v>308</v>
      </c>
      <c r="W583" s="62">
        <v>43</v>
      </c>
      <c r="X583" s="63">
        <f>IFERROR(1 -(Master[[#This Row],[Avg Garment Scans per Delivery]]/Master[[#This Row],[Garment Inventory]]), 0)</f>
        <v>0.86038961038961037</v>
      </c>
      <c r="Y583" s="62">
        <v>15</v>
      </c>
      <c r="Z583" s="62">
        <v>319</v>
      </c>
      <c r="AA583" s="53">
        <v>205.83911242603546</v>
      </c>
      <c r="AB583" s="53">
        <v>252.73781065088752</v>
      </c>
      <c r="AC583" s="53">
        <v>193.09077708006274</v>
      </c>
      <c r="AD583" s="53">
        <v>271.03383830455255</v>
      </c>
      <c r="AE583" s="53" t="str">
        <f>_xlfn.XLOOKUP(Master[[#This Row],[cu_id]],'[1]Customer Revenue'!$Q:$Q,'[1]Customer Revenue'!$K:$K, "None")</f>
        <v>None</v>
      </c>
      <c r="AF583" s="53" t="str">
        <f>_xlfn.XLOOKUP(Master[[#This Row],[cu_id]],'[1]Customer Revenue'!$Q:$Q,'[1]Customer Revenue'!$L:$L, "None")</f>
        <v>None</v>
      </c>
      <c r="AG583" s="53">
        <v>193.05617441421006</v>
      </c>
      <c r="AH583" s="53">
        <v>266.68530706727131</v>
      </c>
      <c r="AI583" s="53">
        <v>229.28846153846149</v>
      </c>
      <c r="AJ583" s="53">
        <v>232.06230769230766</v>
      </c>
      <c r="AK583" s="53" t="str">
        <f>_xlfn.XLOOKUP(Master[[#This Row],[cu_id]],'[1]Customer Revenue'!$Q:$Q,'[1]Customer Revenue'!$I:$I, "None")</f>
        <v>None</v>
      </c>
      <c r="AL583" s="53">
        <v>229.87074074074067</v>
      </c>
      <c r="AM583" s="61">
        <v>0.29166666666666669</v>
      </c>
      <c r="AN583" s="60">
        <v>0.66666666666666663</v>
      </c>
      <c r="AO583" s="60" t="s">
        <v>36</v>
      </c>
      <c r="AP583" s="60" t="s">
        <v>36</v>
      </c>
      <c r="AQ583" s="58" t="s">
        <v>0</v>
      </c>
      <c r="AR583" s="58"/>
      <c r="AS583" s="58"/>
      <c r="AT583" s="52">
        <v>0</v>
      </c>
      <c r="AU583" s="52">
        <f>IF(Master[[#This Row],[RSP StopTime override]] &lt;&gt; "",Master[[#This Row],[RSP StopTime override]],IF(Master[[#This Row],[Avg stop time helper]] &lt;&gt; 0, Master[[#This Row],[Avg stop time helper]],Average_Stop_Time))</f>
        <v>9</v>
      </c>
      <c r="AV583" s="21">
        <v>9</v>
      </c>
      <c r="AW583" s="20">
        <f>Master[[#This Row],[RSP StopTime override]]-Master[[#This Row],[Avg stop time helper]]</f>
        <v>9</v>
      </c>
    </row>
    <row r="584" spans="1:49" x14ac:dyDescent="0.3">
      <c r="A584" s="66" t="s">
        <v>3935</v>
      </c>
      <c r="B584" s="58">
        <v>50</v>
      </c>
      <c r="C584" s="58" t="s">
        <v>10</v>
      </c>
      <c r="D584" s="65">
        <v>99061</v>
      </c>
      <c r="E584" s="65" t="s">
        <v>967</v>
      </c>
      <c r="F584" s="65" t="s">
        <v>3657</v>
      </c>
      <c r="G584" s="65" t="s">
        <v>2338</v>
      </c>
      <c r="H584" s="65" t="s">
        <v>32</v>
      </c>
      <c r="I584" s="65" t="s">
        <v>1955</v>
      </c>
      <c r="J584" s="65" t="s">
        <v>5</v>
      </c>
      <c r="K584" s="65" t="s">
        <v>1954</v>
      </c>
      <c r="L584" s="64" t="s">
        <v>67</v>
      </c>
      <c r="M584" s="58" t="s">
        <v>3</v>
      </c>
      <c r="N584" s="58" t="s">
        <v>2</v>
      </c>
      <c r="O584" s="58">
        <v>17</v>
      </c>
      <c r="P584" s="58">
        <v>0</v>
      </c>
      <c r="Q584" s="58">
        <v>0</v>
      </c>
      <c r="R584" s="58">
        <v>17</v>
      </c>
      <c r="S584" s="58">
        <v>0</v>
      </c>
      <c r="T584" s="58">
        <v>0</v>
      </c>
      <c r="U584" s="58">
        <v>53</v>
      </c>
      <c r="V584" s="62"/>
      <c r="W584" s="62"/>
      <c r="X584" s="63">
        <f>IFERROR(1 -(Master[[#This Row],[Avg Garment Scans per Delivery]]/Master[[#This Row],[Garment Inventory]]), 0)</f>
        <v>0</v>
      </c>
      <c r="Y584" s="62"/>
      <c r="Z584" s="62"/>
      <c r="AA584" s="53">
        <v>13.353076923076923</v>
      </c>
      <c r="AB584" s="53">
        <v>13.906923076923075</v>
      </c>
      <c r="AC584" s="53">
        <v>18.03976331360947</v>
      </c>
      <c r="AD584" s="53">
        <v>19.058698224852073</v>
      </c>
      <c r="AE584" s="53" t="str">
        <f>_xlfn.XLOOKUP(Master[[#This Row],[cu_id]],'[1]Customer Revenue'!$Q:$Q,'[1]Customer Revenue'!$K:$K, "None")</f>
        <v>None</v>
      </c>
      <c r="AF584" s="53" t="str">
        <f>_xlfn.XLOOKUP(Master[[#This Row],[cu_id]],'[1]Customer Revenue'!$Q:$Q,'[1]Customer Revenue'!$L:$L, "None")</f>
        <v>None</v>
      </c>
      <c r="AG584" s="53">
        <v>13.029467455621303</v>
      </c>
      <c r="AH584" s="53">
        <v>14.749763313609469</v>
      </c>
      <c r="AI584" s="53">
        <v>13.629999999999999</v>
      </c>
      <c r="AJ584" s="53">
        <v>18.549230769230771</v>
      </c>
      <c r="AK584" s="53" t="str">
        <f>_xlfn.XLOOKUP(Master[[#This Row],[cu_id]],'[1]Customer Revenue'!$Q:$Q,'[1]Customer Revenue'!$I:$I, "None")</f>
        <v>None</v>
      </c>
      <c r="AL584" s="53">
        <v>13.889615384615386</v>
      </c>
      <c r="AM584" s="61">
        <v>0.25</v>
      </c>
      <c r="AN584" s="60">
        <v>0.5</v>
      </c>
      <c r="AO584" s="60" t="s">
        <v>36</v>
      </c>
      <c r="AP584" s="60" t="s">
        <v>36</v>
      </c>
      <c r="AQ584" s="58" t="s">
        <v>0</v>
      </c>
      <c r="AR584" s="58"/>
      <c r="AS584" s="58"/>
      <c r="AT584" s="52">
        <v>0</v>
      </c>
      <c r="AU584" s="52">
        <f>IF(Master[[#This Row],[RSP StopTime override]] &lt;&gt; "",Master[[#This Row],[RSP StopTime override]],IF(Master[[#This Row],[Avg stop time helper]] &lt;&gt; 0, Master[[#This Row],[Avg stop time helper]],Average_Stop_Time))</f>
        <v>5</v>
      </c>
      <c r="AV584" s="21">
        <v>5</v>
      </c>
      <c r="AW584" s="20">
        <f>Master[[#This Row],[RSP StopTime override]]-Master[[#This Row],[Avg stop time helper]]</f>
        <v>5</v>
      </c>
    </row>
    <row r="585" spans="1:49" x14ac:dyDescent="0.3">
      <c r="A585" s="66" t="s">
        <v>3937</v>
      </c>
      <c r="B585" s="58">
        <v>50</v>
      </c>
      <c r="C585" s="58" t="s">
        <v>10</v>
      </c>
      <c r="D585" s="65">
        <v>99061</v>
      </c>
      <c r="E585" s="65" t="s">
        <v>2370</v>
      </c>
      <c r="F585" s="65" t="s">
        <v>3658</v>
      </c>
      <c r="G585" s="65" t="s">
        <v>2338</v>
      </c>
      <c r="H585" s="65" t="s">
        <v>32</v>
      </c>
      <c r="I585" s="65" t="s">
        <v>1955</v>
      </c>
      <c r="J585" s="65" t="s">
        <v>5</v>
      </c>
      <c r="K585" s="65" t="s">
        <v>1954</v>
      </c>
      <c r="L585" s="64" t="s">
        <v>67</v>
      </c>
      <c r="M585" s="58" t="s">
        <v>3</v>
      </c>
      <c r="N585" s="58" t="s">
        <v>2</v>
      </c>
      <c r="O585" s="58">
        <v>19</v>
      </c>
      <c r="P585" s="58">
        <v>0</v>
      </c>
      <c r="Q585" s="58">
        <v>0</v>
      </c>
      <c r="R585" s="58">
        <v>19</v>
      </c>
      <c r="S585" s="58">
        <v>0</v>
      </c>
      <c r="T585" s="58">
        <v>0</v>
      </c>
      <c r="U585" s="58">
        <v>53</v>
      </c>
      <c r="V585" s="62"/>
      <c r="W585" s="62"/>
      <c r="X585" s="63">
        <f>IFERROR(1 -(Master[[#This Row],[Avg Garment Scans per Delivery]]/Master[[#This Row],[Garment Inventory]]), 0)</f>
        <v>0</v>
      </c>
      <c r="Y585" s="62"/>
      <c r="Z585" s="62"/>
      <c r="AA585" s="53">
        <v>9.12526627218935</v>
      </c>
      <c r="AB585" s="53">
        <v>10.242426035502959</v>
      </c>
      <c r="AC585" s="53">
        <v>3.0175739644970427</v>
      </c>
      <c r="AD585" s="53">
        <v>19.519349112426035</v>
      </c>
      <c r="AE585" s="53" t="str">
        <f>_xlfn.XLOOKUP(Master[[#This Row],[cu_id]],'[1]Customer Revenue'!$Q:$Q,'[1]Customer Revenue'!$K:$K, "None")</f>
        <v>None</v>
      </c>
      <c r="AF585" s="53" t="str">
        <f>_xlfn.XLOOKUP(Master[[#This Row],[cu_id]],'[1]Customer Revenue'!$Q:$Q,'[1]Customer Revenue'!$L:$L, "None")</f>
        <v>None</v>
      </c>
      <c r="AG585" s="53">
        <v>8.0616272189349107</v>
      </c>
      <c r="AH585" s="53">
        <v>13.769911242603547</v>
      </c>
      <c r="AI585" s="53">
        <v>9.6838461538461544</v>
      </c>
      <c r="AJ585" s="53">
        <v>11.268461538461539</v>
      </c>
      <c r="AK585" s="53" t="str">
        <f>_xlfn.XLOOKUP(Master[[#This Row],[cu_id]],'[1]Customer Revenue'!$Q:$Q,'[1]Customer Revenue'!$I:$I, "None")</f>
        <v>None</v>
      </c>
      <c r="AL585" s="53">
        <v>10.915769230769229</v>
      </c>
      <c r="AM585" s="61">
        <v>0.25</v>
      </c>
      <c r="AN585" s="60">
        <v>0.5</v>
      </c>
      <c r="AO585" s="60" t="s">
        <v>36</v>
      </c>
      <c r="AP585" s="60" t="s">
        <v>36</v>
      </c>
      <c r="AQ585" s="58" t="s">
        <v>0</v>
      </c>
      <c r="AR585" s="58"/>
      <c r="AS585" s="58"/>
      <c r="AT585" s="52">
        <v>0</v>
      </c>
      <c r="AU585" s="52">
        <f>IF(Master[[#This Row],[RSP StopTime override]] &lt;&gt; "",Master[[#This Row],[RSP StopTime override]],IF(Master[[#This Row],[Avg stop time helper]] &lt;&gt; 0, Master[[#This Row],[Avg stop time helper]],Average_Stop_Time))</f>
        <v>7</v>
      </c>
      <c r="AV585" s="21">
        <v>7</v>
      </c>
      <c r="AW585" s="20">
        <f>Master[[#This Row],[RSP StopTime override]]-Master[[#This Row],[Avg stop time helper]]</f>
        <v>7</v>
      </c>
    </row>
    <row r="586" spans="1:49" x14ac:dyDescent="0.3">
      <c r="A586" s="66" t="s">
        <v>3939</v>
      </c>
      <c r="B586" s="58">
        <v>50</v>
      </c>
      <c r="C586" s="58" t="s">
        <v>10</v>
      </c>
      <c r="D586" s="65">
        <v>99061</v>
      </c>
      <c r="E586" s="65" t="s">
        <v>2369</v>
      </c>
      <c r="F586" s="65" t="s">
        <v>3659</v>
      </c>
      <c r="G586" s="65" t="s">
        <v>2338</v>
      </c>
      <c r="H586" s="65" t="s">
        <v>32</v>
      </c>
      <c r="I586" s="65" t="s">
        <v>1955</v>
      </c>
      <c r="J586" s="65" t="s">
        <v>5</v>
      </c>
      <c r="K586" s="65" t="s">
        <v>1954</v>
      </c>
      <c r="L586" s="64" t="s">
        <v>67</v>
      </c>
      <c r="M586" s="58" t="s">
        <v>3</v>
      </c>
      <c r="N586" s="58" t="s">
        <v>2</v>
      </c>
      <c r="O586" s="58">
        <v>18</v>
      </c>
      <c r="P586" s="58">
        <v>0</v>
      </c>
      <c r="Q586" s="58">
        <v>0</v>
      </c>
      <c r="R586" s="58">
        <v>18</v>
      </c>
      <c r="S586" s="58">
        <v>0</v>
      </c>
      <c r="T586" s="58">
        <v>0</v>
      </c>
      <c r="U586" s="58">
        <v>53</v>
      </c>
      <c r="V586" s="62">
        <v>29</v>
      </c>
      <c r="W586" s="62">
        <v>3</v>
      </c>
      <c r="X586" s="63">
        <f>IFERROR(1 -(Master[[#This Row],[Avg Garment Scans per Delivery]]/Master[[#This Row],[Garment Inventory]]), 0)</f>
        <v>0.89655172413793105</v>
      </c>
      <c r="Y586" s="62">
        <v>2</v>
      </c>
      <c r="Z586" s="62">
        <v>29</v>
      </c>
      <c r="AA586" s="53">
        <v>13.64023668639053</v>
      </c>
      <c r="AB586" s="53">
        <v>25.005917159763314</v>
      </c>
      <c r="AC586" s="53">
        <v>13.646094674556212</v>
      </c>
      <c r="AD586" s="53">
        <v>16.807751479289937</v>
      </c>
      <c r="AE586" s="53" t="str">
        <f>_xlfn.XLOOKUP(Master[[#This Row],[cu_id]],'[1]Customer Revenue'!$Q:$Q,'[1]Customer Revenue'!$K:$K, "None")</f>
        <v>None</v>
      </c>
      <c r="AF586" s="53" t="str">
        <f>_xlfn.XLOOKUP(Master[[#This Row],[cu_id]],'[1]Customer Revenue'!$Q:$Q,'[1]Customer Revenue'!$L:$L, "None")</f>
        <v>None</v>
      </c>
      <c r="AG586" s="53">
        <v>14.4669526627219</v>
      </c>
      <c r="AH586" s="53">
        <v>29.059970414201189</v>
      </c>
      <c r="AI586" s="53">
        <v>19.323076923076922</v>
      </c>
      <c r="AJ586" s="53">
        <v>15.226923076923075</v>
      </c>
      <c r="AK586" s="53" t="str">
        <f>_xlfn.XLOOKUP(Master[[#This Row],[cu_id]],'[1]Customer Revenue'!$Q:$Q,'[1]Customer Revenue'!$I:$I, "None")</f>
        <v>None</v>
      </c>
      <c r="AL586" s="53">
        <v>21.763461538461545</v>
      </c>
      <c r="AM586" s="61">
        <v>0.25</v>
      </c>
      <c r="AN586" s="60">
        <v>0.5</v>
      </c>
      <c r="AO586" s="60" t="s">
        <v>36</v>
      </c>
      <c r="AP586" s="60" t="s">
        <v>36</v>
      </c>
      <c r="AQ586" s="58" t="s">
        <v>0</v>
      </c>
      <c r="AR586" s="58"/>
      <c r="AS586" s="58"/>
      <c r="AT586" s="52">
        <v>0</v>
      </c>
      <c r="AU586" s="52">
        <f>IF(Master[[#This Row],[RSP StopTime override]] &lt;&gt; "",Master[[#This Row],[RSP StopTime override]],IF(Master[[#This Row],[Avg stop time helper]] &lt;&gt; 0, Master[[#This Row],[Avg stop time helper]],Average_Stop_Time))</f>
        <v>3</v>
      </c>
      <c r="AV586" s="21">
        <v>3</v>
      </c>
      <c r="AW586" s="20">
        <f>Master[[#This Row],[RSP StopTime override]]-Master[[#This Row],[Avg stop time helper]]</f>
        <v>3</v>
      </c>
    </row>
    <row r="587" spans="1:49" x14ac:dyDescent="0.3">
      <c r="A587" s="66" t="s">
        <v>3941</v>
      </c>
      <c r="B587" s="58">
        <v>50</v>
      </c>
      <c r="C587" s="58" t="s">
        <v>10</v>
      </c>
      <c r="D587" s="65">
        <v>99061</v>
      </c>
      <c r="E587" s="65" t="s">
        <v>2368</v>
      </c>
      <c r="F587" s="65" t="s">
        <v>3660</v>
      </c>
      <c r="G587" s="65" t="s">
        <v>2338</v>
      </c>
      <c r="H587" s="65" t="s">
        <v>32</v>
      </c>
      <c r="I587" s="65" t="s">
        <v>1955</v>
      </c>
      <c r="J587" s="65" t="s">
        <v>5</v>
      </c>
      <c r="K587" s="65" t="s">
        <v>1954</v>
      </c>
      <c r="L587" s="64" t="s">
        <v>67</v>
      </c>
      <c r="M587" s="58" t="s">
        <v>3</v>
      </c>
      <c r="N587" s="58" t="s">
        <v>2</v>
      </c>
      <c r="O587" s="58">
        <v>16</v>
      </c>
      <c r="P587" s="58">
        <v>0</v>
      </c>
      <c r="Q587" s="58">
        <v>0</v>
      </c>
      <c r="R587" s="58">
        <v>16</v>
      </c>
      <c r="S587" s="58">
        <v>0</v>
      </c>
      <c r="T587" s="58">
        <v>0</v>
      </c>
      <c r="U587" s="58">
        <v>53</v>
      </c>
      <c r="V587" s="62"/>
      <c r="W587" s="62"/>
      <c r="X587" s="63">
        <f>IFERROR(1 -(Master[[#This Row],[Avg Garment Scans per Delivery]]/Master[[#This Row],[Garment Inventory]]), 0)</f>
        <v>0</v>
      </c>
      <c r="Y587" s="62"/>
      <c r="Z587" s="62"/>
      <c r="AA587" s="53">
        <v>12.23</v>
      </c>
      <c r="AB587" s="53">
        <v>12.23</v>
      </c>
      <c r="AC587" s="53">
        <v>13.264615384615386</v>
      </c>
      <c r="AD587" s="53">
        <v>16.455384615384617</v>
      </c>
      <c r="AE587" s="53" t="str">
        <f>_xlfn.XLOOKUP(Master[[#This Row],[cu_id]],'[1]Customer Revenue'!$Q:$Q,'[1]Customer Revenue'!$K:$K, "None")</f>
        <v>None</v>
      </c>
      <c r="AF587" s="53" t="str">
        <f>_xlfn.XLOOKUP(Master[[#This Row],[cu_id]],'[1]Customer Revenue'!$Q:$Q,'[1]Customer Revenue'!$L:$L, "None")</f>
        <v>None</v>
      </c>
      <c r="AG587" s="53">
        <v>11.740414201183432</v>
      </c>
      <c r="AH587" s="53">
        <v>13.627278106508873</v>
      </c>
      <c r="AI587" s="53">
        <v>12.23</v>
      </c>
      <c r="AJ587" s="53">
        <v>14.860000000000001</v>
      </c>
      <c r="AK587" s="53" t="str">
        <f>_xlfn.XLOOKUP(Master[[#This Row],[cu_id]],'[1]Customer Revenue'!$Q:$Q,'[1]Customer Revenue'!$I:$I, "None")</f>
        <v>None</v>
      </c>
      <c r="AL587" s="53">
        <v>12.683846153846153</v>
      </c>
      <c r="AM587" s="61">
        <v>0.25</v>
      </c>
      <c r="AN587" s="60">
        <v>0.5</v>
      </c>
      <c r="AO587" s="60" t="s">
        <v>36</v>
      </c>
      <c r="AP587" s="60" t="s">
        <v>36</v>
      </c>
      <c r="AQ587" s="58" t="s">
        <v>0</v>
      </c>
      <c r="AR587" s="58"/>
      <c r="AS587" s="58"/>
      <c r="AT587" s="52">
        <v>0</v>
      </c>
      <c r="AU587" s="52">
        <f>IF(Master[[#This Row],[RSP StopTime override]] &lt;&gt; "",Master[[#This Row],[RSP StopTime override]],IF(Master[[#This Row],[Avg stop time helper]] &lt;&gt; 0, Master[[#This Row],[Avg stop time helper]],Average_Stop_Time))</f>
        <v>4</v>
      </c>
      <c r="AV587" s="21">
        <v>4</v>
      </c>
      <c r="AW587" s="20">
        <f>Master[[#This Row],[RSP StopTime override]]-Master[[#This Row],[Avg stop time helper]]</f>
        <v>4</v>
      </c>
    </row>
    <row r="588" spans="1:49" x14ac:dyDescent="0.3">
      <c r="A588" s="66" t="s">
        <v>3943</v>
      </c>
      <c r="B588" s="58">
        <v>50</v>
      </c>
      <c r="C588" s="58" t="s">
        <v>10</v>
      </c>
      <c r="D588" s="65">
        <v>99061</v>
      </c>
      <c r="E588" s="65" t="s">
        <v>2367</v>
      </c>
      <c r="F588" s="65" t="s">
        <v>3661</v>
      </c>
      <c r="G588" s="65" t="s">
        <v>2338</v>
      </c>
      <c r="H588" s="65" t="s">
        <v>32</v>
      </c>
      <c r="I588" s="65" t="s">
        <v>1955</v>
      </c>
      <c r="J588" s="65" t="s">
        <v>5</v>
      </c>
      <c r="K588" s="65" t="s">
        <v>1954</v>
      </c>
      <c r="L588" s="64" t="s">
        <v>67</v>
      </c>
      <c r="M588" s="58" t="s">
        <v>3</v>
      </c>
      <c r="N588" s="58" t="s">
        <v>2</v>
      </c>
      <c r="O588" s="58">
        <v>15</v>
      </c>
      <c r="P588" s="58">
        <v>0</v>
      </c>
      <c r="Q588" s="58">
        <v>0</v>
      </c>
      <c r="R588" s="58">
        <v>15</v>
      </c>
      <c r="S588" s="58">
        <v>0</v>
      </c>
      <c r="T588" s="58">
        <v>0</v>
      </c>
      <c r="U588" s="58">
        <v>53</v>
      </c>
      <c r="V588" s="62"/>
      <c r="W588" s="62"/>
      <c r="X588" s="63">
        <f>IFERROR(1 -(Master[[#This Row],[Avg Garment Scans per Delivery]]/Master[[#This Row],[Garment Inventory]]), 0)</f>
        <v>0</v>
      </c>
      <c r="Y588" s="62"/>
      <c r="Z588" s="62"/>
      <c r="AA588" s="53">
        <v>10.639999999999997</v>
      </c>
      <c r="AB588" s="53">
        <v>10.64</v>
      </c>
      <c r="AC588" s="53">
        <v>11.456686390532546</v>
      </c>
      <c r="AD588" s="53">
        <v>13.327928994082843</v>
      </c>
      <c r="AE588" s="53" t="str">
        <f>_xlfn.XLOOKUP(Master[[#This Row],[cu_id]],'[1]Customer Revenue'!$Q:$Q,'[1]Customer Revenue'!$K:$K, "None")</f>
        <v>None</v>
      </c>
      <c r="AF588" s="53" t="str">
        <f>_xlfn.XLOOKUP(Master[[#This Row],[cu_id]],'[1]Customer Revenue'!$Q:$Q,'[1]Customer Revenue'!$L:$L, "None")</f>
        <v>None</v>
      </c>
      <c r="AG588" s="53">
        <v>10.179437869822484</v>
      </c>
      <c r="AH588" s="53">
        <v>12.004408284023652</v>
      </c>
      <c r="AI588" s="53">
        <v>10.639999999999999</v>
      </c>
      <c r="AJ588" s="53">
        <v>12.392307692307694</v>
      </c>
      <c r="AK588" s="53" t="str">
        <f>_xlfn.XLOOKUP(Master[[#This Row],[cu_id]],'[1]Customer Revenue'!$Q:$Q,'[1]Customer Revenue'!$I:$I, "None")</f>
        <v>None</v>
      </c>
      <c r="AL588" s="53">
        <v>11.091923076923068</v>
      </c>
      <c r="AM588" s="61">
        <v>0.25</v>
      </c>
      <c r="AN588" s="60">
        <v>0.5</v>
      </c>
      <c r="AO588" s="60" t="s">
        <v>36</v>
      </c>
      <c r="AP588" s="60" t="s">
        <v>36</v>
      </c>
      <c r="AQ588" s="58" t="s">
        <v>0</v>
      </c>
      <c r="AR588" s="58"/>
      <c r="AS588" s="58"/>
      <c r="AT588" s="52">
        <v>0</v>
      </c>
      <c r="AU588" s="52">
        <f>IF(Master[[#This Row],[RSP StopTime override]] &lt;&gt; "",Master[[#This Row],[RSP StopTime override]],IF(Master[[#This Row],[Avg stop time helper]] &lt;&gt; 0, Master[[#This Row],[Avg stop time helper]],Average_Stop_Time))</f>
        <v>2</v>
      </c>
      <c r="AV588" s="21">
        <v>2</v>
      </c>
      <c r="AW588" s="20">
        <f>Master[[#This Row],[RSP StopTime override]]-Master[[#This Row],[Avg stop time helper]]</f>
        <v>2</v>
      </c>
    </row>
    <row r="589" spans="1:49" x14ac:dyDescent="0.3">
      <c r="A589" s="66" t="s">
        <v>4655</v>
      </c>
      <c r="B589" s="58">
        <v>50</v>
      </c>
      <c r="C589" s="58" t="s">
        <v>10</v>
      </c>
      <c r="D589" s="65">
        <v>99061</v>
      </c>
      <c r="E589" s="65" t="s">
        <v>2340</v>
      </c>
      <c r="F589" s="65" t="s">
        <v>2366</v>
      </c>
      <c r="G589" s="65" t="s">
        <v>2338</v>
      </c>
      <c r="H589" s="65" t="s">
        <v>32</v>
      </c>
      <c r="I589" s="65" t="s">
        <v>1955</v>
      </c>
      <c r="J589" s="65" t="s">
        <v>5</v>
      </c>
      <c r="K589" s="65" t="s">
        <v>1954</v>
      </c>
      <c r="L589" s="64" t="s">
        <v>67</v>
      </c>
      <c r="M589" s="58" t="s">
        <v>3</v>
      </c>
      <c r="N589" s="58" t="s">
        <v>2</v>
      </c>
      <c r="O589" s="58">
        <v>10</v>
      </c>
      <c r="P589" s="58">
        <v>0</v>
      </c>
      <c r="Q589" s="58">
        <v>0</v>
      </c>
      <c r="R589" s="58">
        <v>10</v>
      </c>
      <c r="S589" s="58">
        <v>0</v>
      </c>
      <c r="T589" s="58">
        <v>0</v>
      </c>
      <c r="U589" s="58">
        <v>53</v>
      </c>
      <c r="V589" s="62"/>
      <c r="W589" s="62"/>
      <c r="X589" s="63">
        <f>IFERROR(1 -(Master[[#This Row],[Avg Garment Scans per Delivery]]/Master[[#This Row],[Garment Inventory]]), 0)</f>
        <v>0</v>
      </c>
      <c r="Y589" s="62"/>
      <c r="Z589" s="62"/>
      <c r="AA589" s="53">
        <v>14.951834319526627</v>
      </c>
      <c r="AB589" s="53">
        <v>15.162011834319527</v>
      </c>
      <c r="AC589" s="53">
        <v>15.632958579881658</v>
      </c>
      <c r="AD589" s="53">
        <v>16.156272189349114</v>
      </c>
      <c r="AE589" s="53" t="str">
        <f>_xlfn.XLOOKUP(Master[[#This Row],[cu_id]],'[1]Customer Revenue'!$Q:$Q,'[1]Customer Revenue'!$K:$K, "None")</f>
        <v>None</v>
      </c>
      <c r="AF589" s="53" t="str">
        <f>_xlfn.XLOOKUP(Master[[#This Row],[cu_id]],'[1]Customer Revenue'!$Q:$Q,'[1]Customer Revenue'!$L:$L, "None")</f>
        <v>None</v>
      </c>
      <c r="AG589" s="53">
        <v>14.822130177514794</v>
      </c>
      <c r="AH589" s="53">
        <v>15.691715976331359</v>
      </c>
      <c r="AI589" s="53">
        <v>15.056923076923077</v>
      </c>
      <c r="AJ589" s="53">
        <v>15.894615384615385</v>
      </c>
      <c r="AK589" s="53" t="str">
        <f>_xlfn.XLOOKUP(Master[[#This Row],[cu_id]],'[1]Customer Revenue'!$Q:$Q,'[1]Customer Revenue'!$I:$I, "None")</f>
        <v>None</v>
      </c>
      <c r="AL589" s="53">
        <v>15.256923076923076</v>
      </c>
      <c r="AM589" s="61">
        <v>0.25</v>
      </c>
      <c r="AN589" s="60">
        <v>0.5</v>
      </c>
      <c r="AO589" s="60" t="s">
        <v>36</v>
      </c>
      <c r="AP589" s="60" t="s">
        <v>36</v>
      </c>
      <c r="AQ589" s="58" t="s">
        <v>0</v>
      </c>
      <c r="AR589" s="58"/>
      <c r="AS589" s="58"/>
      <c r="AT589" s="52">
        <v>0</v>
      </c>
      <c r="AU589" s="52">
        <f>IF(Master[[#This Row],[RSP StopTime override]] &lt;&gt; "",Master[[#This Row],[RSP StopTime override]],IF(Master[[#This Row],[Avg stop time helper]] &lt;&gt; 0, Master[[#This Row],[Avg stop time helper]],Average_Stop_Time))</f>
        <v>2</v>
      </c>
      <c r="AV589" s="21">
        <v>2</v>
      </c>
      <c r="AW589" s="20">
        <f>Master[[#This Row],[RSP StopTime override]]-Master[[#This Row],[Avg stop time helper]]</f>
        <v>2</v>
      </c>
    </row>
    <row r="590" spans="1:49" x14ac:dyDescent="0.3">
      <c r="A590" s="66" t="s">
        <v>3914</v>
      </c>
      <c r="B590" s="58">
        <v>50</v>
      </c>
      <c r="C590" s="58" t="s">
        <v>10</v>
      </c>
      <c r="D590" s="65">
        <v>99061</v>
      </c>
      <c r="E590" s="65" t="s">
        <v>2343</v>
      </c>
      <c r="F590" s="65" t="s">
        <v>3662</v>
      </c>
      <c r="G590" s="65" t="s">
        <v>2342</v>
      </c>
      <c r="H590" s="65" t="s">
        <v>7</v>
      </c>
      <c r="I590" s="65" t="s">
        <v>2341</v>
      </c>
      <c r="J590" s="65" t="s">
        <v>5</v>
      </c>
      <c r="K590" s="65" t="s">
        <v>1624</v>
      </c>
      <c r="L590" s="64" t="s">
        <v>67</v>
      </c>
      <c r="M590" s="58" t="s">
        <v>3</v>
      </c>
      <c r="N590" s="58" t="s">
        <v>2</v>
      </c>
      <c r="O590" s="58">
        <v>40</v>
      </c>
      <c r="P590" s="58">
        <v>0</v>
      </c>
      <c r="Q590" s="58">
        <v>0</v>
      </c>
      <c r="R590" s="58">
        <v>40</v>
      </c>
      <c r="S590" s="58">
        <v>0</v>
      </c>
      <c r="T590" s="58">
        <v>0</v>
      </c>
      <c r="U590" s="58">
        <v>53</v>
      </c>
      <c r="V590" s="62"/>
      <c r="W590" s="62"/>
      <c r="X590" s="63">
        <f>IFERROR(1 -(Master[[#This Row],[Avg Garment Scans per Delivery]]/Master[[#This Row],[Garment Inventory]]), 0)</f>
        <v>0</v>
      </c>
      <c r="Y590" s="62"/>
      <c r="Z590" s="62"/>
      <c r="AA590" s="53">
        <v>20.029822485207102</v>
      </c>
      <c r="AB590" s="53">
        <v>21.204023668639056</v>
      </c>
      <c r="AC590" s="53">
        <v>21.523431952662722</v>
      </c>
      <c r="AD590" s="53">
        <v>32.341183431952658</v>
      </c>
      <c r="AE590" s="53" t="str">
        <f>_xlfn.XLOOKUP(Master[[#This Row],[cu_id]],'[1]Customer Revenue'!$Q:$Q,'[1]Customer Revenue'!$K:$K, "None")</f>
        <v>None</v>
      </c>
      <c r="AF590" s="53" t="str">
        <f>_xlfn.XLOOKUP(Master[[#This Row],[cu_id]],'[1]Customer Revenue'!$Q:$Q,'[1]Customer Revenue'!$L:$L, "None")</f>
        <v>None</v>
      </c>
      <c r="AG590" s="53">
        <v>17.633195266272182</v>
      </c>
      <c r="AH590" s="53">
        <v>21.092958579881653</v>
      </c>
      <c r="AI590" s="53">
        <v>20.616923076923079</v>
      </c>
      <c r="AJ590" s="53">
        <v>26.932307692307692</v>
      </c>
      <c r="AK590" s="53" t="str">
        <f>_xlfn.XLOOKUP(Master[[#This Row],[cu_id]],'[1]Customer Revenue'!$Q:$Q,'[1]Customer Revenue'!$I:$I, "None")</f>
        <v>None</v>
      </c>
      <c r="AL590" s="53">
        <v>19.363076923076918</v>
      </c>
      <c r="AM590" s="61">
        <v>0.25</v>
      </c>
      <c r="AN590" s="60">
        <v>0.5</v>
      </c>
      <c r="AO590" s="60" t="s">
        <v>36</v>
      </c>
      <c r="AP590" s="60" t="s">
        <v>36</v>
      </c>
      <c r="AQ590" s="58" t="s">
        <v>0</v>
      </c>
      <c r="AR590" s="58"/>
      <c r="AS590" s="58"/>
      <c r="AT590" s="52">
        <v>0</v>
      </c>
      <c r="AU590" s="52">
        <f>IF(Master[[#This Row],[RSP StopTime override]] &lt;&gt; "",Master[[#This Row],[RSP StopTime override]],IF(Master[[#This Row],[Avg stop time helper]] &lt;&gt; 0, Master[[#This Row],[Avg stop time helper]],Average_Stop_Time))</f>
        <v>15</v>
      </c>
      <c r="AV590" s="21">
        <v>15</v>
      </c>
      <c r="AW590" s="20">
        <f>Master[[#This Row],[RSP StopTime override]]-Master[[#This Row],[Avg stop time helper]]</f>
        <v>15</v>
      </c>
    </row>
    <row r="591" spans="1:49" x14ac:dyDescent="0.3">
      <c r="A591" s="66" t="s">
        <v>3967</v>
      </c>
      <c r="B591" s="58">
        <v>50</v>
      </c>
      <c r="C591" s="58" t="s">
        <v>10</v>
      </c>
      <c r="D591" s="65">
        <v>99061</v>
      </c>
      <c r="E591" s="65" t="s">
        <v>2345</v>
      </c>
      <c r="F591" s="65" t="s">
        <v>3663</v>
      </c>
      <c r="G591" s="65" t="s">
        <v>2344</v>
      </c>
      <c r="H591" s="65" t="s">
        <v>7</v>
      </c>
      <c r="I591" s="65" t="s">
        <v>1600</v>
      </c>
      <c r="J591" s="65" t="s">
        <v>5</v>
      </c>
      <c r="K591" s="65" t="s">
        <v>1624</v>
      </c>
      <c r="L591" s="64" t="s">
        <v>67</v>
      </c>
      <c r="M591" s="58" t="s">
        <v>3</v>
      </c>
      <c r="N591" s="58" t="s">
        <v>2</v>
      </c>
      <c r="O591" s="58">
        <v>45</v>
      </c>
      <c r="P591" s="58">
        <v>0</v>
      </c>
      <c r="Q591" s="58">
        <v>0</v>
      </c>
      <c r="R591" s="58">
        <v>45</v>
      </c>
      <c r="S591" s="58">
        <v>0</v>
      </c>
      <c r="T591" s="58">
        <v>0</v>
      </c>
      <c r="U591" s="58">
        <v>54</v>
      </c>
      <c r="V591" s="62"/>
      <c r="W591" s="62"/>
      <c r="X591" s="63">
        <f>IFERROR(1 -(Master[[#This Row],[Avg Garment Scans per Delivery]]/Master[[#This Row],[Garment Inventory]]), 0)</f>
        <v>0</v>
      </c>
      <c r="Y591" s="62"/>
      <c r="Z591" s="62"/>
      <c r="AA591" s="53">
        <v>38.543491124260356</v>
      </c>
      <c r="AB591" s="53">
        <v>40.384201183431969</v>
      </c>
      <c r="AC591" s="53">
        <v>23.715562130177503</v>
      </c>
      <c r="AD591" s="53">
        <v>57.969053254437867</v>
      </c>
      <c r="AE591" s="53" t="str">
        <f>_xlfn.XLOOKUP(Master[[#This Row],[cu_id]],'[1]Customer Revenue'!$Q:$Q,'[1]Customer Revenue'!$K:$K, "None")</f>
        <v>None</v>
      </c>
      <c r="AF591" s="53" t="str">
        <f>_xlfn.XLOOKUP(Master[[#This Row],[cu_id]],'[1]Customer Revenue'!$Q:$Q,'[1]Customer Revenue'!$L:$L, "None")</f>
        <v>None</v>
      </c>
      <c r="AG591" s="53">
        <v>29.081597633136074</v>
      </c>
      <c r="AH591" s="53">
        <v>40.835325443786985</v>
      </c>
      <c r="AI591" s="53">
        <v>39.463846153846163</v>
      </c>
      <c r="AJ591" s="53">
        <v>40.842307692307685</v>
      </c>
      <c r="AK591" s="53" t="str">
        <f>_xlfn.XLOOKUP(Master[[#This Row],[cu_id]],'[1]Customer Revenue'!$Q:$Q,'[1]Customer Revenue'!$I:$I, "None")</f>
        <v>None</v>
      </c>
      <c r="AL591" s="53">
        <v>34.958461538461528</v>
      </c>
      <c r="AM591" s="61">
        <v>0.25</v>
      </c>
      <c r="AN591" s="60">
        <v>0.5</v>
      </c>
      <c r="AO591" s="60" t="s">
        <v>36</v>
      </c>
      <c r="AP591" s="60" t="s">
        <v>36</v>
      </c>
      <c r="AQ591" s="58" t="s">
        <v>0</v>
      </c>
      <c r="AR591" s="58"/>
      <c r="AS591" s="58"/>
      <c r="AT591" s="52">
        <v>0</v>
      </c>
      <c r="AU591" s="52">
        <f>IF(Master[[#This Row],[RSP StopTime override]] &lt;&gt; "",Master[[#This Row],[RSP StopTime override]],IF(Master[[#This Row],[Avg stop time helper]] &lt;&gt; 0, Master[[#This Row],[Avg stop time helper]],Average_Stop_Time))</f>
        <v>24</v>
      </c>
      <c r="AV591" s="21">
        <v>24</v>
      </c>
      <c r="AW591" s="20">
        <f>Master[[#This Row],[RSP StopTime override]]-Master[[#This Row],[Avg stop time helper]]</f>
        <v>24</v>
      </c>
    </row>
    <row r="592" spans="1:49" x14ac:dyDescent="0.3">
      <c r="A592" s="66" t="s">
        <v>3975</v>
      </c>
      <c r="B592" s="58">
        <v>50</v>
      </c>
      <c r="C592" s="58" t="s">
        <v>10</v>
      </c>
      <c r="D592" s="65">
        <v>99061</v>
      </c>
      <c r="E592" s="65" t="s">
        <v>2365</v>
      </c>
      <c r="F592" s="65" t="s">
        <v>3664</v>
      </c>
      <c r="G592" s="65" t="s">
        <v>2344</v>
      </c>
      <c r="H592" s="65" t="s">
        <v>7</v>
      </c>
      <c r="I592" s="65" t="s">
        <v>1617</v>
      </c>
      <c r="J592" s="65" t="s">
        <v>5</v>
      </c>
      <c r="K592" s="65" t="s">
        <v>1624</v>
      </c>
      <c r="L592" s="64" t="s">
        <v>67</v>
      </c>
      <c r="M592" s="58" t="s">
        <v>3</v>
      </c>
      <c r="N592" s="58" t="s">
        <v>2</v>
      </c>
      <c r="O592" s="58">
        <v>47</v>
      </c>
      <c r="P592" s="58">
        <v>0</v>
      </c>
      <c r="Q592" s="58">
        <v>0</v>
      </c>
      <c r="R592" s="58">
        <v>47</v>
      </c>
      <c r="S592" s="58">
        <v>0</v>
      </c>
      <c r="T592" s="58">
        <v>0</v>
      </c>
      <c r="U592" s="58">
        <v>20</v>
      </c>
      <c r="V592" s="62"/>
      <c r="W592" s="62"/>
      <c r="X592" s="63">
        <f>IFERROR(1 -(Master[[#This Row],[Avg Garment Scans per Delivery]]/Master[[#This Row],[Garment Inventory]]), 0)</f>
        <v>0</v>
      </c>
      <c r="Y592" s="62"/>
      <c r="Z592" s="62"/>
      <c r="AA592" s="53"/>
      <c r="AB592" s="53"/>
      <c r="AC592" s="53"/>
      <c r="AD592" s="53"/>
      <c r="AE592" s="53" t="str">
        <f>_xlfn.XLOOKUP(Master[[#This Row],[cu_id]],'[1]Customer Revenue'!$Q:$Q,'[1]Customer Revenue'!$K:$K, "None")</f>
        <v>None</v>
      </c>
      <c r="AF592" s="53" t="str">
        <f>_xlfn.XLOOKUP(Master[[#This Row],[cu_id]],'[1]Customer Revenue'!$Q:$Q,'[1]Customer Revenue'!$L:$L, "None")</f>
        <v>None</v>
      </c>
      <c r="AG592" s="53"/>
      <c r="AH592" s="53"/>
      <c r="AI592" s="53"/>
      <c r="AJ592" s="53"/>
      <c r="AK592" s="53" t="str">
        <f>_xlfn.XLOOKUP(Master[[#This Row],[cu_id]],'[1]Customer Revenue'!$Q:$Q,'[1]Customer Revenue'!$I:$I, "None")</f>
        <v>None</v>
      </c>
      <c r="AL592" s="53"/>
      <c r="AM592" s="61">
        <v>0.25</v>
      </c>
      <c r="AN592" s="60">
        <v>0.5</v>
      </c>
      <c r="AO592" s="60" t="s">
        <v>36</v>
      </c>
      <c r="AP592" s="60" t="s">
        <v>36</v>
      </c>
      <c r="AQ592" s="58" t="s">
        <v>0</v>
      </c>
      <c r="AR592" s="58"/>
      <c r="AS592" s="58"/>
      <c r="AT592" s="52">
        <v>0</v>
      </c>
      <c r="AU592" s="52">
        <f>IF(Master[[#This Row],[RSP StopTime override]] &lt;&gt; "",Master[[#This Row],[RSP StopTime override]],IF(Master[[#This Row],[Avg stop time helper]] &lt;&gt; 0, Master[[#This Row],[Avg stop time helper]],Average_Stop_Time))</f>
        <v>3</v>
      </c>
      <c r="AV592" s="21">
        <v>3</v>
      </c>
      <c r="AW592" s="20">
        <f>Master[[#This Row],[RSP StopTime override]]-Master[[#This Row],[Avg stop time helper]]</f>
        <v>3</v>
      </c>
    </row>
    <row r="593" spans="1:49" x14ac:dyDescent="0.3">
      <c r="A593" s="66" t="s">
        <v>3973</v>
      </c>
      <c r="B593" s="58">
        <v>50</v>
      </c>
      <c r="C593" s="58" t="s">
        <v>10</v>
      </c>
      <c r="D593" s="65">
        <v>99061</v>
      </c>
      <c r="E593" s="65" t="s">
        <v>2364</v>
      </c>
      <c r="F593" s="65" t="s">
        <v>3665</v>
      </c>
      <c r="G593" s="65" t="s">
        <v>2344</v>
      </c>
      <c r="H593" s="65" t="s">
        <v>7</v>
      </c>
      <c r="I593" s="65" t="s">
        <v>1617</v>
      </c>
      <c r="J593" s="65" t="s">
        <v>5</v>
      </c>
      <c r="K593" s="65" t="s">
        <v>1624</v>
      </c>
      <c r="L593" s="64" t="s">
        <v>67</v>
      </c>
      <c r="M593" s="58" t="s">
        <v>3</v>
      </c>
      <c r="N593" s="58" t="s">
        <v>2</v>
      </c>
      <c r="O593" s="58">
        <v>48</v>
      </c>
      <c r="P593" s="58">
        <v>0</v>
      </c>
      <c r="Q593" s="58">
        <v>0</v>
      </c>
      <c r="R593" s="58">
        <v>48</v>
      </c>
      <c r="S593" s="58">
        <v>0</v>
      </c>
      <c r="T593" s="58">
        <v>0</v>
      </c>
      <c r="U593" s="58">
        <v>53</v>
      </c>
      <c r="V593" s="62"/>
      <c r="W593" s="62"/>
      <c r="X593" s="63">
        <f>IFERROR(1 -(Master[[#This Row],[Avg Garment Scans per Delivery]]/Master[[#This Row],[Garment Inventory]]), 0)</f>
        <v>0</v>
      </c>
      <c r="Y593" s="62"/>
      <c r="Z593" s="62"/>
      <c r="AA593" s="53">
        <v>17.740650887573967</v>
      </c>
      <c r="AB593" s="53">
        <v>22.427041420118346</v>
      </c>
      <c r="AC593" s="53">
        <v>21.079704142011828</v>
      </c>
      <c r="AD593" s="53">
        <v>23.657218934911242</v>
      </c>
      <c r="AE593" s="53" t="str">
        <f>_xlfn.XLOOKUP(Master[[#This Row],[cu_id]],'[1]Customer Revenue'!$Q:$Q,'[1]Customer Revenue'!$K:$K, "None")</f>
        <v>None</v>
      </c>
      <c r="AF593" s="53" t="str">
        <f>_xlfn.XLOOKUP(Master[[#This Row],[cu_id]],'[1]Customer Revenue'!$Q:$Q,'[1]Customer Revenue'!$L:$L, "None")</f>
        <v>None</v>
      </c>
      <c r="AG593" s="53">
        <v>17.28</v>
      </c>
      <c r="AH593" s="53">
        <v>20.53</v>
      </c>
      <c r="AI593" s="53">
        <v>20.083846153846157</v>
      </c>
      <c r="AJ593" s="53">
        <v>22.368461538461535</v>
      </c>
      <c r="AK593" s="53" t="str">
        <f>_xlfn.XLOOKUP(Master[[#This Row],[cu_id]],'[1]Customer Revenue'!$Q:$Q,'[1]Customer Revenue'!$I:$I, "None")</f>
        <v>None</v>
      </c>
      <c r="AL593" s="53">
        <v>18.905000000000001</v>
      </c>
      <c r="AM593" s="61">
        <v>0.25</v>
      </c>
      <c r="AN593" s="60">
        <v>0.5</v>
      </c>
      <c r="AO593" s="60" t="s">
        <v>36</v>
      </c>
      <c r="AP593" s="60" t="s">
        <v>36</v>
      </c>
      <c r="AQ593" s="58" t="s">
        <v>0</v>
      </c>
      <c r="AR593" s="58"/>
      <c r="AS593" s="58"/>
      <c r="AT593" s="52">
        <v>0</v>
      </c>
      <c r="AU593" s="52">
        <f>IF(Master[[#This Row],[RSP StopTime override]] &lt;&gt; "",Master[[#This Row],[RSP StopTime override]],IF(Master[[#This Row],[Avg stop time helper]] &lt;&gt; 0, Master[[#This Row],[Avg stop time helper]],Average_Stop_Time))</f>
        <v>3</v>
      </c>
      <c r="AV593" s="21">
        <v>3</v>
      </c>
      <c r="AW593" s="20">
        <f>Master[[#This Row],[RSP StopTime override]]-Master[[#This Row],[Avg stop time helper]]</f>
        <v>3</v>
      </c>
    </row>
    <row r="594" spans="1:49" x14ac:dyDescent="0.3">
      <c r="A594" s="66" t="s">
        <v>3977</v>
      </c>
      <c r="B594" s="58">
        <v>50</v>
      </c>
      <c r="C594" s="58" t="s">
        <v>10</v>
      </c>
      <c r="D594" s="65">
        <v>99061</v>
      </c>
      <c r="E594" s="65" t="s">
        <v>2363</v>
      </c>
      <c r="F594" s="65" t="s">
        <v>3666</v>
      </c>
      <c r="G594" s="65" t="s">
        <v>2344</v>
      </c>
      <c r="H594" s="65" t="s">
        <v>7</v>
      </c>
      <c r="I594" s="65" t="s">
        <v>1617</v>
      </c>
      <c r="J594" s="65" t="s">
        <v>5</v>
      </c>
      <c r="K594" s="65" t="s">
        <v>1624</v>
      </c>
      <c r="L594" s="64" t="s">
        <v>67</v>
      </c>
      <c r="M594" s="58" t="s">
        <v>3</v>
      </c>
      <c r="N594" s="58" t="s">
        <v>2</v>
      </c>
      <c r="O594" s="58">
        <v>50</v>
      </c>
      <c r="P594" s="58">
        <v>0</v>
      </c>
      <c r="Q594" s="58">
        <v>0</v>
      </c>
      <c r="R594" s="58">
        <v>50</v>
      </c>
      <c r="S594" s="58">
        <v>0</v>
      </c>
      <c r="T594" s="58">
        <v>0</v>
      </c>
      <c r="U594" s="58">
        <v>53</v>
      </c>
      <c r="V594" s="62"/>
      <c r="W594" s="62"/>
      <c r="X594" s="63">
        <f>IFERROR(1 -(Master[[#This Row],[Avg Garment Scans per Delivery]]/Master[[#This Row],[Garment Inventory]]), 0)</f>
        <v>0</v>
      </c>
      <c r="Y594" s="62"/>
      <c r="Z594" s="62"/>
      <c r="AA594" s="53">
        <v>33.979999999999997</v>
      </c>
      <c r="AB594" s="53">
        <v>33.980000000000011</v>
      </c>
      <c r="AC594" s="53">
        <v>28.369230769230761</v>
      </c>
      <c r="AD594" s="53">
        <v>40.550769230769227</v>
      </c>
      <c r="AE594" s="53" t="str">
        <f>_xlfn.XLOOKUP(Master[[#This Row],[cu_id]],'[1]Customer Revenue'!$Q:$Q,'[1]Customer Revenue'!$K:$K, "None")</f>
        <v>None</v>
      </c>
      <c r="AF594" s="53" t="str">
        <f>_xlfn.XLOOKUP(Master[[#This Row],[cu_id]],'[1]Customer Revenue'!$Q:$Q,'[1]Customer Revenue'!$L:$L, "None")</f>
        <v>None</v>
      </c>
      <c r="AG594" s="53">
        <v>32.691360946745561</v>
      </c>
      <c r="AH594" s="53">
        <v>35.667100591715993</v>
      </c>
      <c r="AI594" s="53">
        <v>33.980000000000004</v>
      </c>
      <c r="AJ594" s="53">
        <v>34.459999999999994</v>
      </c>
      <c r="AK594" s="53" t="str">
        <f>_xlfn.XLOOKUP(Master[[#This Row],[cu_id]],'[1]Customer Revenue'!$Q:$Q,'[1]Customer Revenue'!$I:$I, "None")</f>
        <v>None</v>
      </c>
      <c r="AL594" s="53">
        <v>34.179230769230777</v>
      </c>
      <c r="AM594" s="61">
        <v>0.25</v>
      </c>
      <c r="AN594" s="60">
        <v>0.5</v>
      </c>
      <c r="AO594" s="60" t="s">
        <v>36</v>
      </c>
      <c r="AP594" s="60" t="s">
        <v>36</v>
      </c>
      <c r="AQ594" s="58" t="s">
        <v>0</v>
      </c>
      <c r="AR594" s="58"/>
      <c r="AS594" s="58"/>
      <c r="AT594" s="52">
        <v>0</v>
      </c>
      <c r="AU594" s="52">
        <f>IF(Master[[#This Row],[RSP StopTime override]] &lt;&gt; "",Master[[#This Row],[RSP StopTime override]],IF(Master[[#This Row],[Avg stop time helper]] &lt;&gt; 0, Master[[#This Row],[Avg stop time helper]],Average_Stop_Time))</f>
        <v>3</v>
      </c>
      <c r="AV594" s="21">
        <v>3</v>
      </c>
      <c r="AW594" s="20">
        <f>Master[[#This Row],[RSP StopTime override]]-Master[[#This Row],[Avg stop time helper]]</f>
        <v>3</v>
      </c>
    </row>
    <row r="595" spans="1:49" x14ac:dyDescent="0.3">
      <c r="A595" s="66" t="s">
        <v>3969</v>
      </c>
      <c r="B595" s="58">
        <v>50</v>
      </c>
      <c r="C595" s="58" t="s">
        <v>10</v>
      </c>
      <c r="D595" s="65">
        <v>99061</v>
      </c>
      <c r="E595" s="65" t="s">
        <v>2362</v>
      </c>
      <c r="F595" s="65" t="s">
        <v>3667</v>
      </c>
      <c r="G595" s="65" t="s">
        <v>2344</v>
      </c>
      <c r="H595" s="65" t="s">
        <v>7</v>
      </c>
      <c r="I595" s="65" t="s">
        <v>1617</v>
      </c>
      <c r="J595" s="65" t="s">
        <v>5</v>
      </c>
      <c r="K595" s="65" t="s">
        <v>1624</v>
      </c>
      <c r="L595" s="64" t="s">
        <v>67</v>
      </c>
      <c r="M595" s="58" t="s">
        <v>3</v>
      </c>
      <c r="N595" s="58" t="s">
        <v>2</v>
      </c>
      <c r="O595" s="58">
        <v>51</v>
      </c>
      <c r="P595" s="58">
        <v>0</v>
      </c>
      <c r="Q595" s="58">
        <v>0</v>
      </c>
      <c r="R595" s="58">
        <v>51</v>
      </c>
      <c r="S595" s="58">
        <v>0</v>
      </c>
      <c r="T595" s="58">
        <v>0</v>
      </c>
      <c r="U595" s="58">
        <v>53</v>
      </c>
      <c r="V595" s="62"/>
      <c r="W595" s="62"/>
      <c r="X595" s="63">
        <f>IFERROR(1 -(Master[[#This Row],[Avg Garment Scans per Delivery]]/Master[[#This Row],[Garment Inventory]]), 0)</f>
        <v>0</v>
      </c>
      <c r="Y595" s="62"/>
      <c r="Z595" s="62"/>
      <c r="AA595" s="53">
        <v>6.7099999999999964</v>
      </c>
      <c r="AB595" s="53">
        <v>6.71</v>
      </c>
      <c r="AC595" s="53">
        <v>7.2015976331360925</v>
      </c>
      <c r="AD595" s="53">
        <v>8.6922485207100593</v>
      </c>
      <c r="AE595" s="53" t="str">
        <f>_xlfn.XLOOKUP(Master[[#This Row],[cu_id]],'[1]Customer Revenue'!$Q:$Q,'[1]Customer Revenue'!$K:$K, "None")</f>
        <v>None</v>
      </c>
      <c r="AF595" s="53" t="str">
        <f>_xlfn.XLOOKUP(Master[[#This Row],[cu_id]],'[1]Customer Revenue'!$Q:$Q,'[1]Customer Revenue'!$L:$L, "None")</f>
        <v>None</v>
      </c>
      <c r="AG595" s="53">
        <v>6.4266863905325442</v>
      </c>
      <c r="AH595" s="53">
        <v>7.5317751479289941</v>
      </c>
      <c r="AI595" s="53">
        <v>6.7099999999999982</v>
      </c>
      <c r="AJ595" s="53">
        <v>7.9469230769230759</v>
      </c>
      <c r="AK595" s="53" t="str">
        <f>_xlfn.XLOOKUP(Master[[#This Row],[cu_id]],'[1]Customer Revenue'!$Q:$Q,'[1]Customer Revenue'!$I:$I, "None")</f>
        <v>None</v>
      </c>
      <c r="AL595" s="53">
        <v>6.9792307692307691</v>
      </c>
      <c r="AM595" s="61">
        <v>0.25</v>
      </c>
      <c r="AN595" s="60">
        <v>0.5</v>
      </c>
      <c r="AO595" s="60" t="s">
        <v>36</v>
      </c>
      <c r="AP595" s="60" t="s">
        <v>36</v>
      </c>
      <c r="AQ595" s="58" t="s">
        <v>0</v>
      </c>
      <c r="AR595" s="58"/>
      <c r="AS595" s="58"/>
      <c r="AT595" s="52">
        <v>0</v>
      </c>
      <c r="AU595" s="52">
        <f>IF(Master[[#This Row],[RSP StopTime override]] &lt;&gt; "",Master[[#This Row],[RSP StopTime override]],IF(Master[[#This Row],[Avg stop time helper]] &lt;&gt; 0, Master[[#This Row],[Avg stop time helper]],Average_Stop_Time))</f>
        <v>3</v>
      </c>
      <c r="AV595" s="21">
        <v>3</v>
      </c>
      <c r="AW595" s="20">
        <f>Master[[#This Row],[RSP StopTime override]]-Master[[#This Row],[Avg stop time helper]]</f>
        <v>3</v>
      </c>
    </row>
    <row r="596" spans="1:49" x14ac:dyDescent="0.3">
      <c r="A596" s="66" t="s">
        <v>3971</v>
      </c>
      <c r="B596" s="58">
        <v>50</v>
      </c>
      <c r="C596" s="58" t="s">
        <v>10</v>
      </c>
      <c r="D596" s="65">
        <v>99061</v>
      </c>
      <c r="E596" s="65" t="s">
        <v>2361</v>
      </c>
      <c r="F596" s="65" t="s">
        <v>3668</v>
      </c>
      <c r="G596" s="65" t="s">
        <v>2344</v>
      </c>
      <c r="H596" s="65" t="s">
        <v>7</v>
      </c>
      <c r="I596" s="65" t="s">
        <v>1617</v>
      </c>
      <c r="J596" s="65" t="s">
        <v>5</v>
      </c>
      <c r="K596" s="65" t="s">
        <v>1624</v>
      </c>
      <c r="L596" s="64" t="s">
        <v>67</v>
      </c>
      <c r="M596" s="58" t="s">
        <v>3</v>
      </c>
      <c r="N596" s="58" t="s">
        <v>2</v>
      </c>
      <c r="O596" s="58">
        <v>49</v>
      </c>
      <c r="P596" s="58">
        <v>0</v>
      </c>
      <c r="Q596" s="58">
        <v>0</v>
      </c>
      <c r="R596" s="58">
        <v>49</v>
      </c>
      <c r="S596" s="58">
        <v>0</v>
      </c>
      <c r="T596" s="58">
        <v>0</v>
      </c>
      <c r="U596" s="58">
        <v>53</v>
      </c>
      <c r="V596" s="62">
        <v>69</v>
      </c>
      <c r="W596" s="62">
        <v>6</v>
      </c>
      <c r="X596" s="63">
        <f>IFERROR(1 -(Master[[#This Row],[Avg Garment Scans per Delivery]]/Master[[#This Row],[Garment Inventory]]), 0)</f>
        <v>0.91304347826086962</v>
      </c>
      <c r="Y596" s="62">
        <v>3</v>
      </c>
      <c r="Z596" s="62">
        <v>72</v>
      </c>
      <c r="AA596" s="53">
        <v>8.0108875739644958</v>
      </c>
      <c r="AB596" s="53">
        <v>56.130650887573964</v>
      </c>
      <c r="AC596" s="53">
        <v>16.851538461538464</v>
      </c>
      <c r="AD596" s="53">
        <v>32.60846153846154</v>
      </c>
      <c r="AE596" s="53" t="str">
        <f>_xlfn.XLOOKUP(Master[[#This Row],[cu_id]],'[1]Customer Revenue'!$Q:$Q,'[1]Customer Revenue'!$K:$K, "None")</f>
        <v>None</v>
      </c>
      <c r="AF596" s="53" t="str">
        <f>_xlfn.XLOOKUP(Master[[#This Row],[cu_id]],'[1]Customer Revenue'!$Q:$Q,'[1]Customer Revenue'!$L:$L, "None")</f>
        <v>None</v>
      </c>
      <c r="AG596" s="53">
        <v>11.954674556213016</v>
      </c>
      <c r="AH596" s="53">
        <v>37.356094674556211</v>
      </c>
      <c r="AI596" s="53">
        <v>32.07076923076923</v>
      </c>
      <c r="AJ596" s="53">
        <v>24.73</v>
      </c>
      <c r="AK596" s="53" t="str">
        <f>_xlfn.XLOOKUP(Master[[#This Row],[cu_id]],'[1]Customer Revenue'!$Q:$Q,'[1]Customer Revenue'!$I:$I, "None")</f>
        <v>None</v>
      </c>
      <c r="AL596" s="53">
        <v>24.655384615384612</v>
      </c>
      <c r="AM596" s="61">
        <v>0.25</v>
      </c>
      <c r="AN596" s="60">
        <v>0.5</v>
      </c>
      <c r="AO596" s="60" t="s">
        <v>36</v>
      </c>
      <c r="AP596" s="60" t="s">
        <v>36</v>
      </c>
      <c r="AQ596" s="58" t="s">
        <v>0</v>
      </c>
      <c r="AR596" s="58"/>
      <c r="AS596" s="58"/>
      <c r="AT596" s="52">
        <v>0</v>
      </c>
      <c r="AU596" s="52">
        <f>IF(Master[[#This Row],[RSP StopTime override]] &lt;&gt; "",Master[[#This Row],[RSP StopTime override]],IF(Master[[#This Row],[Avg stop time helper]] &lt;&gt; 0, Master[[#This Row],[Avg stop time helper]],Average_Stop_Time))</f>
        <v>3</v>
      </c>
      <c r="AV596" s="21">
        <v>3</v>
      </c>
      <c r="AW596" s="20">
        <f>Master[[#This Row],[RSP StopTime override]]-Master[[#This Row],[Avg stop time helper]]</f>
        <v>3</v>
      </c>
    </row>
    <row r="597" spans="1:49" x14ac:dyDescent="0.3">
      <c r="A597" s="66" t="s">
        <v>3979</v>
      </c>
      <c r="B597" s="58">
        <v>50</v>
      </c>
      <c r="C597" s="58" t="s">
        <v>10</v>
      </c>
      <c r="D597" s="65">
        <v>99061</v>
      </c>
      <c r="E597" s="65" t="s">
        <v>2360</v>
      </c>
      <c r="F597" s="65" t="s">
        <v>3669</v>
      </c>
      <c r="G597" s="65" t="s">
        <v>2344</v>
      </c>
      <c r="H597" s="65" t="s">
        <v>7</v>
      </c>
      <c r="I597" s="65" t="s">
        <v>1617</v>
      </c>
      <c r="J597" s="65" t="s">
        <v>5</v>
      </c>
      <c r="K597" s="65" t="s">
        <v>1624</v>
      </c>
      <c r="L597" s="64" t="s">
        <v>67</v>
      </c>
      <c r="M597" s="58" t="s">
        <v>3</v>
      </c>
      <c r="N597" s="58" t="s">
        <v>2</v>
      </c>
      <c r="O597" s="58">
        <v>46</v>
      </c>
      <c r="P597" s="58">
        <v>0</v>
      </c>
      <c r="Q597" s="58">
        <v>0</v>
      </c>
      <c r="R597" s="58">
        <v>46</v>
      </c>
      <c r="S597" s="58">
        <v>0</v>
      </c>
      <c r="T597" s="58">
        <v>0</v>
      </c>
      <c r="U597" s="58">
        <v>53</v>
      </c>
      <c r="V597" s="62"/>
      <c r="W597" s="62"/>
      <c r="X597" s="63">
        <f>IFERROR(1 -(Master[[#This Row],[Avg Garment Scans per Delivery]]/Master[[#This Row],[Garment Inventory]]), 0)</f>
        <v>0</v>
      </c>
      <c r="Y597" s="62"/>
      <c r="Z597" s="62"/>
      <c r="AA597" s="53">
        <v>39.599881656804733</v>
      </c>
      <c r="AB597" s="53">
        <v>40.298579881656799</v>
      </c>
      <c r="AC597" s="53">
        <v>48.246213017751472</v>
      </c>
      <c r="AD597" s="53">
        <v>65.386094674556205</v>
      </c>
      <c r="AE597" s="53" t="str">
        <f>_xlfn.XLOOKUP(Master[[#This Row],[cu_id]],'[1]Customer Revenue'!$Q:$Q,'[1]Customer Revenue'!$K:$K, "None")</f>
        <v>None</v>
      </c>
      <c r="AF597" s="53" t="str">
        <f>_xlfn.XLOOKUP(Master[[#This Row],[cu_id]],'[1]Customer Revenue'!$Q:$Q,'[1]Customer Revenue'!$L:$L, "None")</f>
        <v>None</v>
      </c>
      <c r="AG597" s="53">
        <v>38.849585798816562</v>
      </c>
      <c r="AH597" s="53">
        <v>41.844260355029576</v>
      </c>
      <c r="AI597" s="53">
        <v>39.949230769230766</v>
      </c>
      <c r="AJ597" s="53">
        <v>56.816153846153838</v>
      </c>
      <c r="AK597" s="53" t="str">
        <f>_xlfn.XLOOKUP(Master[[#This Row],[cu_id]],'[1]Customer Revenue'!$Q:$Q,'[1]Customer Revenue'!$I:$I, "None")</f>
        <v>None</v>
      </c>
      <c r="AL597" s="53">
        <v>40.346923076923069</v>
      </c>
      <c r="AM597" s="61">
        <v>0.25</v>
      </c>
      <c r="AN597" s="60">
        <v>0.5</v>
      </c>
      <c r="AO597" s="60" t="s">
        <v>36</v>
      </c>
      <c r="AP597" s="60" t="s">
        <v>36</v>
      </c>
      <c r="AQ597" s="58" t="s">
        <v>0</v>
      </c>
      <c r="AR597" s="58"/>
      <c r="AS597" s="58"/>
      <c r="AT597" s="52">
        <v>0</v>
      </c>
      <c r="AU597" s="52">
        <f>IF(Master[[#This Row],[RSP StopTime override]] &lt;&gt; "",Master[[#This Row],[RSP StopTime override]],IF(Master[[#This Row],[Avg stop time helper]] &lt;&gt; 0, Master[[#This Row],[Avg stop time helper]],Average_Stop_Time))</f>
        <v>3</v>
      </c>
      <c r="AV597" s="21">
        <v>3</v>
      </c>
      <c r="AW597" s="20">
        <f>Master[[#This Row],[RSP StopTime override]]-Master[[#This Row],[Avg stop time helper]]</f>
        <v>3</v>
      </c>
    </row>
    <row r="598" spans="1:49" x14ac:dyDescent="0.3">
      <c r="A598" s="66" t="s">
        <v>4656</v>
      </c>
      <c r="B598" s="58">
        <v>50</v>
      </c>
      <c r="C598" s="58" t="s">
        <v>10</v>
      </c>
      <c r="D598" s="65">
        <v>99061</v>
      </c>
      <c r="E598" s="65" t="s">
        <v>2348</v>
      </c>
      <c r="F598" s="65" t="s">
        <v>2359</v>
      </c>
      <c r="G598" s="65" t="s">
        <v>2346</v>
      </c>
      <c r="H598" s="65" t="s">
        <v>2358</v>
      </c>
      <c r="I598" s="65" t="s">
        <v>1600</v>
      </c>
      <c r="J598" s="65" t="s">
        <v>5</v>
      </c>
      <c r="K598" s="65" t="s">
        <v>1624</v>
      </c>
      <c r="L598" s="64" t="s">
        <v>91</v>
      </c>
      <c r="M598" s="58" t="s">
        <v>90</v>
      </c>
      <c r="N598" s="58" t="s">
        <v>2</v>
      </c>
      <c r="O598" s="58">
        <v>70</v>
      </c>
      <c r="P598" s="58">
        <v>0</v>
      </c>
      <c r="Q598" s="58">
        <v>0</v>
      </c>
      <c r="R598" s="58">
        <v>70</v>
      </c>
      <c r="S598" s="58">
        <v>0</v>
      </c>
      <c r="T598" s="58">
        <v>0</v>
      </c>
      <c r="U598" s="58">
        <v>26</v>
      </c>
      <c r="V598" s="62"/>
      <c r="W598" s="62"/>
      <c r="X598" s="63">
        <f>IFERROR(1 -(Master[[#This Row],[Avg Garment Scans per Delivery]]/Master[[#This Row],[Garment Inventory]]), 0)</f>
        <v>0</v>
      </c>
      <c r="Y598" s="62"/>
      <c r="Z598" s="62"/>
      <c r="AA598" s="53">
        <v>5.661875000000002</v>
      </c>
      <c r="AB598" s="53">
        <v>38.508125000000007</v>
      </c>
      <c r="AC598" s="53">
        <v>23.96</v>
      </c>
      <c r="AD598" s="53">
        <v>23.960000000000008</v>
      </c>
      <c r="AE598" s="53" t="str">
        <f>_xlfn.XLOOKUP(Master[[#This Row],[cu_id]],'[1]Customer Revenue'!$Q:$Q,'[1]Customer Revenue'!$K:$K, "None")</f>
        <v>None</v>
      </c>
      <c r="AF598" s="53" t="str">
        <f>_xlfn.XLOOKUP(Master[[#This Row],[cu_id]],'[1]Customer Revenue'!$Q:$Q,'[1]Customer Revenue'!$L:$L, "None")</f>
        <v>None</v>
      </c>
      <c r="AG598" s="53">
        <v>10.887755102040822</v>
      </c>
      <c r="AH598" s="53">
        <v>32.032244897959188</v>
      </c>
      <c r="AI598" s="53">
        <v>22.085000000000004</v>
      </c>
      <c r="AJ598" s="53">
        <v>23.960000000000004</v>
      </c>
      <c r="AK598" s="53" t="str">
        <f>_xlfn.XLOOKUP(Master[[#This Row],[cu_id]],'[1]Customer Revenue'!$Q:$Q,'[1]Customer Revenue'!$I:$I, "None")</f>
        <v>None</v>
      </c>
      <c r="AL598" s="53">
        <v>21.460000000000004</v>
      </c>
      <c r="AM598" s="61">
        <v>0.375</v>
      </c>
      <c r="AN598" s="60">
        <v>0.66666666666666663</v>
      </c>
      <c r="AO598" s="60" t="s">
        <v>36</v>
      </c>
      <c r="AP598" s="60" t="s">
        <v>36</v>
      </c>
      <c r="AQ598" s="58" t="s">
        <v>0</v>
      </c>
      <c r="AR598" s="58"/>
      <c r="AS598" s="58"/>
      <c r="AT598" s="52">
        <v>0</v>
      </c>
      <c r="AU598" s="52">
        <f>IF(Master[[#This Row],[RSP StopTime override]] &lt;&gt; "",Master[[#This Row],[RSP StopTime override]],IF(Master[[#This Row],[Avg stop time helper]] &lt;&gt; 0, Master[[#This Row],[Avg stop time helper]],Average_Stop_Time))</f>
        <v>9</v>
      </c>
      <c r="AV598" s="21">
        <v>9</v>
      </c>
      <c r="AW598" s="20">
        <f>Master[[#This Row],[RSP StopTime override]]-Master[[#This Row],[Avg stop time helper]]</f>
        <v>9</v>
      </c>
    </row>
    <row r="599" spans="1:49" x14ac:dyDescent="0.3">
      <c r="A599" s="66" t="s">
        <v>4657</v>
      </c>
      <c r="B599" s="58">
        <v>50</v>
      </c>
      <c r="C599" s="58" t="s">
        <v>10</v>
      </c>
      <c r="D599" s="65">
        <v>99094</v>
      </c>
      <c r="E599" s="65" t="s">
        <v>1517</v>
      </c>
      <c r="F599" s="65" t="s">
        <v>2357</v>
      </c>
      <c r="G599" s="65" t="s">
        <v>2356</v>
      </c>
      <c r="H599" s="65" t="s">
        <v>7</v>
      </c>
      <c r="I599" s="65" t="s">
        <v>1600</v>
      </c>
      <c r="J599" s="65" t="s">
        <v>5</v>
      </c>
      <c r="K599" s="65" t="s">
        <v>1605</v>
      </c>
      <c r="L599" s="64" t="s">
        <v>91</v>
      </c>
      <c r="M599" s="58" t="s">
        <v>90</v>
      </c>
      <c r="N599" s="58" t="s">
        <v>2</v>
      </c>
      <c r="O599" s="58">
        <v>65</v>
      </c>
      <c r="P599" s="58">
        <v>0</v>
      </c>
      <c r="Q599" s="58">
        <v>0</v>
      </c>
      <c r="R599" s="58">
        <v>65</v>
      </c>
      <c r="S599" s="58">
        <v>0</v>
      </c>
      <c r="T599" s="58">
        <v>0</v>
      </c>
      <c r="U599" s="58">
        <v>38</v>
      </c>
      <c r="V599" s="62"/>
      <c r="W599" s="62"/>
      <c r="X599" s="63">
        <f>IFERROR(1 -(Master[[#This Row],[Avg Garment Scans per Delivery]]/Master[[#This Row],[Garment Inventory]]), 0)</f>
        <v>0</v>
      </c>
      <c r="Y599" s="62"/>
      <c r="Z599" s="62"/>
      <c r="AA599" s="53">
        <v>20.570833333333336</v>
      </c>
      <c r="AB599" s="53">
        <v>30.194166666666671</v>
      </c>
      <c r="AC599" s="53">
        <v>14.988888888888891</v>
      </c>
      <c r="AD599" s="53">
        <v>38.971111111111114</v>
      </c>
      <c r="AE599" s="53" t="str">
        <f>_xlfn.XLOOKUP(Master[[#This Row],[cu_id]],'[1]Customer Revenue'!$Q:$Q,'[1]Customer Revenue'!$K:$K, "None")</f>
        <v>None</v>
      </c>
      <c r="AF599" s="53" t="str">
        <f>_xlfn.XLOOKUP(Master[[#This Row],[cu_id]],'[1]Customer Revenue'!$Q:$Q,'[1]Customer Revenue'!$L:$L, "None")</f>
        <v>None</v>
      </c>
      <c r="AG599" s="53">
        <v>18.901115311909265</v>
      </c>
      <c r="AH599" s="53">
        <v>26.715406427221176</v>
      </c>
      <c r="AI599" s="53">
        <v>25.382500000000004</v>
      </c>
      <c r="AJ599" s="53">
        <v>26.98</v>
      </c>
      <c r="AK599" s="53" t="str">
        <f>_xlfn.XLOOKUP(Master[[#This Row],[cu_id]],'[1]Customer Revenue'!$Q:$Q,'[1]Customer Revenue'!$I:$I, "None")</f>
        <v>None</v>
      </c>
      <c r="AL599" s="53">
        <v>22.80826086956522</v>
      </c>
      <c r="AM599" s="61">
        <v>0.375</v>
      </c>
      <c r="AN599" s="60">
        <v>0.5</v>
      </c>
      <c r="AO599" s="60" t="s">
        <v>36</v>
      </c>
      <c r="AP599" s="60" t="s">
        <v>36</v>
      </c>
      <c r="AQ599" s="58" t="s">
        <v>0</v>
      </c>
      <c r="AR599" s="58"/>
      <c r="AS599" s="58"/>
      <c r="AT599" s="52">
        <v>0</v>
      </c>
      <c r="AU599" s="52">
        <f>IF(Master[[#This Row],[RSP StopTime override]] &lt;&gt; "",Master[[#This Row],[RSP StopTime override]],IF(Master[[#This Row],[Avg stop time helper]] &lt;&gt; 0, Master[[#This Row],[Avg stop time helper]],Average_Stop_Time))</f>
        <v>7</v>
      </c>
      <c r="AV599" s="21">
        <v>7</v>
      </c>
      <c r="AW599" s="20">
        <f>Master[[#This Row],[RSP StopTime override]]-Master[[#This Row],[Avg stop time helper]]</f>
        <v>7</v>
      </c>
    </row>
    <row r="600" spans="1:49" x14ac:dyDescent="0.3">
      <c r="A600" s="66" t="s">
        <v>4658</v>
      </c>
      <c r="B600" s="58">
        <v>50</v>
      </c>
      <c r="C600" s="58" t="s">
        <v>10</v>
      </c>
      <c r="D600" s="65">
        <v>99094</v>
      </c>
      <c r="E600" s="65" t="s">
        <v>1343</v>
      </c>
      <c r="F600" s="65" t="s">
        <v>2355</v>
      </c>
      <c r="G600" s="65" t="s">
        <v>2354</v>
      </c>
      <c r="H600" s="65" t="s">
        <v>7</v>
      </c>
      <c r="I600" s="65" t="s">
        <v>1955</v>
      </c>
      <c r="J600" s="65" t="s">
        <v>5</v>
      </c>
      <c r="K600" s="65" t="s">
        <v>1954</v>
      </c>
      <c r="L600" s="64" t="s">
        <v>91</v>
      </c>
      <c r="M600" s="58" t="s">
        <v>90</v>
      </c>
      <c r="N600" s="58" t="s">
        <v>2</v>
      </c>
      <c r="O600" s="58">
        <v>75</v>
      </c>
      <c r="P600" s="58">
        <v>0</v>
      </c>
      <c r="Q600" s="58">
        <v>0</v>
      </c>
      <c r="R600" s="58">
        <v>75</v>
      </c>
      <c r="S600" s="58">
        <v>0</v>
      </c>
      <c r="T600" s="58">
        <v>0</v>
      </c>
      <c r="U600" s="58">
        <v>37</v>
      </c>
      <c r="V600" s="62"/>
      <c r="W600" s="62"/>
      <c r="X600" s="63">
        <f>IFERROR(1 -(Master[[#This Row],[Avg Garment Scans per Delivery]]/Master[[#This Row],[Garment Inventory]]), 0)</f>
        <v>0</v>
      </c>
      <c r="Y600" s="62"/>
      <c r="Z600" s="62"/>
      <c r="AA600" s="53">
        <v>22.743254437869819</v>
      </c>
      <c r="AB600" s="53">
        <v>25.452130177514793</v>
      </c>
      <c r="AC600" s="53">
        <v>14.827777777777778</v>
      </c>
      <c r="AD600" s="53">
        <v>38.552222222222227</v>
      </c>
      <c r="AE600" s="53" t="str">
        <f>_xlfn.XLOOKUP(Master[[#This Row],[cu_id]],'[1]Customer Revenue'!$Q:$Q,'[1]Customer Revenue'!$K:$K, "None")</f>
        <v>None</v>
      </c>
      <c r="AF600" s="53" t="str">
        <f>_xlfn.XLOOKUP(Master[[#This Row],[cu_id]],'[1]Customer Revenue'!$Q:$Q,'[1]Customer Revenue'!$L:$L, "None")</f>
        <v>None</v>
      </c>
      <c r="AG600" s="53">
        <v>22.144374999999997</v>
      </c>
      <c r="AH600" s="53">
        <v>24.424791666666664</v>
      </c>
      <c r="AI600" s="53">
        <v>24.097692307692306</v>
      </c>
      <c r="AJ600" s="53">
        <v>26.69</v>
      </c>
      <c r="AK600" s="53" t="str">
        <f>_xlfn.XLOOKUP(Master[[#This Row],[cu_id]],'[1]Customer Revenue'!$Q:$Q,'[1]Customer Revenue'!$I:$I, "None")</f>
        <v>None</v>
      </c>
      <c r="AL600" s="53">
        <v>23.28458333333333</v>
      </c>
      <c r="AM600" s="61">
        <v>0.375</v>
      </c>
      <c r="AN600" s="60">
        <v>0.66666666666666663</v>
      </c>
      <c r="AO600" s="60" t="s">
        <v>36</v>
      </c>
      <c r="AP600" s="60" t="s">
        <v>36</v>
      </c>
      <c r="AQ600" s="58" t="s">
        <v>0</v>
      </c>
      <c r="AR600" s="58"/>
      <c r="AS600" s="58"/>
      <c r="AT600" s="52">
        <v>0</v>
      </c>
      <c r="AU600" s="52">
        <f>IF(Master[[#This Row],[RSP StopTime override]] &lt;&gt; "",Master[[#This Row],[RSP StopTime override]],IF(Master[[#This Row],[Avg stop time helper]] &lt;&gt; 0, Master[[#This Row],[Avg stop time helper]],Average_Stop_Time))</f>
        <v>7</v>
      </c>
      <c r="AV600" s="21">
        <v>7</v>
      </c>
      <c r="AW600" s="20">
        <f>Master[[#This Row],[RSP StopTime override]]-Master[[#This Row],[Avg stop time helper]]</f>
        <v>7</v>
      </c>
    </row>
    <row r="601" spans="1:49" x14ac:dyDescent="0.3">
      <c r="A601" s="66" t="s">
        <v>4659</v>
      </c>
      <c r="B601" s="58">
        <v>50</v>
      </c>
      <c r="C601" s="58" t="s">
        <v>10</v>
      </c>
      <c r="D601" s="65">
        <v>99097</v>
      </c>
      <c r="E601" s="65" t="s">
        <v>2353</v>
      </c>
      <c r="F601" s="65" t="s">
        <v>3670</v>
      </c>
      <c r="G601" s="65" t="s">
        <v>2352</v>
      </c>
      <c r="H601" s="65" t="s">
        <v>7</v>
      </c>
      <c r="I601" s="65" t="s">
        <v>1920</v>
      </c>
      <c r="J601" s="65" t="s">
        <v>5</v>
      </c>
      <c r="K601" s="65" t="s">
        <v>1919</v>
      </c>
      <c r="L601" s="64" t="s">
        <v>67</v>
      </c>
      <c r="M601" s="58" t="s">
        <v>3</v>
      </c>
      <c r="N601" s="58" t="s">
        <v>2</v>
      </c>
      <c r="O601" s="58">
        <v>115</v>
      </c>
      <c r="P601" s="58">
        <v>0</v>
      </c>
      <c r="Q601" s="58">
        <v>0</v>
      </c>
      <c r="R601" s="58">
        <v>115</v>
      </c>
      <c r="S601" s="58">
        <v>0</v>
      </c>
      <c r="T601" s="58">
        <v>0</v>
      </c>
      <c r="U601" s="58">
        <v>52</v>
      </c>
      <c r="V601" s="62">
        <v>30</v>
      </c>
      <c r="W601" s="62">
        <v>1</v>
      </c>
      <c r="X601" s="63">
        <f>IFERROR(1 -(Master[[#This Row],[Avg Garment Scans per Delivery]]/Master[[#This Row],[Garment Inventory]]), 0)</f>
        <v>0.96666666666666667</v>
      </c>
      <c r="Y601" s="62">
        <v>1</v>
      </c>
      <c r="Z601" s="62">
        <v>31</v>
      </c>
      <c r="AA601" s="53">
        <v>92.378461538461508</v>
      </c>
      <c r="AB601" s="53">
        <v>97.501538461538459</v>
      </c>
      <c r="AC601" s="53">
        <v>92.294556213017756</v>
      </c>
      <c r="AD601" s="53">
        <v>93.099289940828413</v>
      </c>
      <c r="AE601" s="53" t="str">
        <f>_xlfn.XLOOKUP(Master[[#This Row],[cu_id]],'[1]Customer Revenue'!$Q:$Q,'[1]Customer Revenue'!$K:$K, "None")</f>
        <v>None</v>
      </c>
      <c r="AF601" s="53" t="str">
        <f>_xlfn.XLOOKUP(Master[[#This Row],[cu_id]],'[1]Customer Revenue'!$Q:$Q,'[1]Customer Revenue'!$L:$L, "None")</f>
        <v>None</v>
      </c>
      <c r="AG601" s="53">
        <v>89.183846153846119</v>
      </c>
      <c r="AH601" s="53">
        <v>96.789999999999978</v>
      </c>
      <c r="AI601" s="53">
        <v>94.939999999999984</v>
      </c>
      <c r="AJ601" s="53">
        <v>92.696923076923085</v>
      </c>
      <c r="AK601" s="53" t="str">
        <f>_xlfn.XLOOKUP(Master[[#This Row],[cu_id]],'[1]Customer Revenue'!$Q:$Q,'[1]Customer Revenue'!$I:$I, "None")</f>
        <v>None</v>
      </c>
      <c r="AL601" s="53">
        <v>92.986923076923048</v>
      </c>
      <c r="AM601" s="61">
        <v>0.375</v>
      </c>
      <c r="AN601" s="60">
        <v>0.66666666666666663</v>
      </c>
      <c r="AO601" s="60" t="s">
        <v>36</v>
      </c>
      <c r="AP601" s="60" t="s">
        <v>36</v>
      </c>
      <c r="AQ601" s="58" t="s">
        <v>0</v>
      </c>
      <c r="AR601" s="58"/>
      <c r="AS601" s="58"/>
      <c r="AT601" s="52">
        <v>0</v>
      </c>
      <c r="AU601" s="52">
        <f>IF(Master[[#This Row],[RSP StopTime override]] &lt;&gt; "",Master[[#This Row],[RSP StopTime override]],IF(Master[[#This Row],[Avg stop time helper]] &lt;&gt; 0, Master[[#This Row],[Avg stop time helper]],Average_Stop_Time))</f>
        <v>14</v>
      </c>
      <c r="AV601" s="21">
        <v>14</v>
      </c>
      <c r="AW601" s="20">
        <f>Master[[#This Row],[RSP StopTime override]]-Master[[#This Row],[Avg stop time helper]]</f>
        <v>14</v>
      </c>
    </row>
    <row r="602" spans="1:49" x14ac:dyDescent="0.3">
      <c r="A602" s="66" t="s">
        <v>4660</v>
      </c>
      <c r="B602" s="58">
        <v>50</v>
      </c>
      <c r="C602" s="58" t="s">
        <v>10</v>
      </c>
      <c r="D602" s="65">
        <v>99104</v>
      </c>
      <c r="E602" s="65" t="s">
        <v>1529</v>
      </c>
      <c r="F602" s="65" t="s">
        <v>2351</v>
      </c>
      <c r="G602" s="65" t="s">
        <v>2350</v>
      </c>
      <c r="H602" s="65" t="s">
        <v>7</v>
      </c>
      <c r="I602" s="65" t="s">
        <v>12</v>
      </c>
      <c r="J602" s="65" t="s">
        <v>5</v>
      </c>
      <c r="K602" s="65" t="s">
        <v>2031</v>
      </c>
      <c r="L602" s="64" t="s">
        <v>141</v>
      </c>
      <c r="M602" s="58" t="s">
        <v>140</v>
      </c>
      <c r="N602" s="58" t="s">
        <v>2</v>
      </c>
      <c r="O602" s="58">
        <v>95</v>
      </c>
      <c r="P602" s="58">
        <v>0</v>
      </c>
      <c r="Q602" s="58">
        <v>0</v>
      </c>
      <c r="R602" s="58">
        <v>95</v>
      </c>
      <c r="S602" s="58">
        <v>0</v>
      </c>
      <c r="T602" s="58">
        <v>0</v>
      </c>
      <c r="U602" s="58">
        <v>12</v>
      </c>
      <c r="V602" s="62"/>
      <c r="W602" s="62"/>
      <c r="X602" s="63">
        <f>IFERROR(1 -(Master[[#This Row],[Avg Garment Scans per Delivery]]/Master[[#This Row],[Garment Inventory]]), 0)</f>
        <v>0</v>
      </c>
      <c r="Y602" s="62"/>
      <c r="Z602" s="62"/>
      <c r="AA602" s="53">
        <v>45.056666666666686</v>
      </c>
      <c r="AB602" s="53">
        <v>93.203333333333333</v>
      </c>
      <c r="AC602" s="53">
        <v>43.636666666666656</v>
      </c>
      <c r="AD602" s="53">
        <v>180.39666666666668</v>
      </c>
      <c r="AE602" s="53" t="str">
        <f>_xlfn.XLOOKUP(Master[[#This Row],[cu_id]],'[1]Customer Revenue'!$Q:$Q,'[1]Customer Revenue'!$K:$K, "None")</f>
        <v>None</v>
      </c>
      <c r="AF602" s="53" t="str">
        <f>_xlfn.XLOOKUP(Master[[#This Row],[cu_id]],'[1]Customer Revenue'!$Q:$Q,'[1]Customer Revenue'!$L:$L, "None")</f>
        <v>None</v>
      </c>
      <c r="AG602" s="53">
        <v>29.472312925170069</v>
      </c>
      <c r="AH602" s="53">
        <v>85.134353741496597</v>
      </c>
      <c r="AI602" s="53">
        <v>69.13000000000001</v>
      </c>
      <c r="AJ602" s="53">
        <v>112.01666666666667</v>
      </c>
      <c r="AK602" s="53" t="str">
        <f>_xlfn.XLOOKUP(Master[[#This Row],[cu_id]],'[1]Customer Revenue'!$Q:$Q,'[1]Customer Revenue'!$I:$I, "None")</f>
        <v>None</v>
      </c>
      <c r="AL602" s="53">
        <v>57.303333333333335</v>
      </c>
      <c r="AM602" s="61">
        <v>0.25</v>
      </c>
      <c r="AN602" s="60">
        <v>0.625</v>
      </c>
      <c r="AO602" s="60" t="s">
        <v>36</v>
      </c>
      <c r="AP602" s="60" t="s">
        <v>36</v>
      </c>
      <c r="AQ602" s="58" t="s">
        <v>0</v>
      </c>
      <c r="AR602" s="58"/>
      <c r="AS602" s="58"/>
      <c r="AT602" s="52">
        <v>0</v>
      </c>
      <c r="AU602" s="52">
        <f>IF(Master[[#This Row],[RSP StopTime override]] &lt;&gt; "",Master[[#This Row],[RSP StopTime override]],IF(Master[[#This Row],[Avg stop time helper]] &lt;&gt; 0, Master[[#This Row],[Avg stop time helper]],Average_Stop_Time))</f>
        <v>7</v>
      </c>
      <c r="AV602" s="21">
        <v>7</v>
      </c>
      <c r="AW602" s="20">
        <f>Master[[#This Row],[RSP StopTime override]]-Master[[#This Row],[Avg stop time helper]]</f>
        <v>7</v>
      </c>
    </row>
    <row r="603" spans="1:49" x14ac:dyDescent="0.3">
      <c r="A603" s="66" t="s">
        <v>4661</v>
      </c>
      <c r="B603" s="58">
        <v>50</v>
      </c>
      <c r="C603" s="58" t="s">
        <v>10</v>
      </c>
      <c r="D603" s="65">
        <v>99133</v>
      </c>
      <c r="E603" s="65" t="s">
        <v>1416</v>
      </c>
      <c r="F603" s="65" t="s">
        <v>1623</v>
      </c>
      <c r="G603" s="65" t="s">
        <v>2349</v>
      </c>
      <c r="H603" s="65" t="s">
        <v>7</v>
      </c>
      <c r="I603" s="65" t="s">
        <v>1920</v>
      </c>
      <c r="J603" s="65" t="s">
        <v>5</v>
      </c>
      <c r="K603" s="65" t="s">
        <v>1919</v>
      </c>
      <c r="L603" s="64" t="s">
        <v>67</v>
      </c>
      <c r="M603" s="58" t="s">
        <v>3</v>
      </c>
      <c r="N603" s="58" t="s">
        <v>2</v>
      </c>
      <c r="O603" s="58">
        <v>120</v>
      </c>
      <c r="P603" s="58">
        <v>0</v>
      </c>
      <c r="Q603" s="58">
        <v>0</v>
      </c>
      <c r="R603" s="58">
        <v>120</v>
      </c>
      <c r="S603" s="58">
        <v>0</v>
      </c>
      <c r="T603" s="58">
        <v>0</v>
      </c>
      <c r="U603" s="58">
        <v>53</v>
      </c>
      <c r="V603" s="62"/>
      <c r="W603" s="62"/>
      <c r="X603" s="63">
        <f>IFERROR(1 -(Master[[#This Row],[Avg Garment Scans per Delivery]]/Master[[#This Row],[Garment Inventory]]), 0)</f>
        <v>0</v>
      </c>
      <c r="Y603" s="62"/>
      <c r="Z603" s="62"/>
      <c r="AA603" s="53">
        <v>115.53999999999995</v>
      </c>
      <c r="AB603" s="53">
        <v>115.54</v>
      </c>
      <c r="AC603" s="53">
        <v>113.40053254437871</v>
      </c>
      <c r="AD603" s="53">
        <v>122.73639053254436</v>
      </c>
      <c r="AE603" s="53" t="str">
        <f>_xlfn.XLOOKUP(Master[[#This Row],[cu_id]],'[1]Customer Revenue'!$Q:$Q,'[1]Customer Revenue'!$K:$K, "None")</f>
        <v>None</v>
      </c>
      <c r="AF603" s="53" t="str">
        <f>_xlfn.XLOOKUP(Master[[#This Row],[cu_id]],'[1]Customer Revenue'!$Q:$Q,'[1]Customer Revenue'!$L:$L, "None")</f>
        <v>None</v>
      </c>
      <c r="AG603" s="53">
        <v>115.53999999999995</v>
      </c>
      <c r="AH603" s="53">
        <v>115.54</v>
      </c>
      <c r="AI603" s="53">
        <v>115.53999999999998</v>
      </c>
      <c r="AJ603" s="53">
        <v>118.06846153846153</v>
      </c>
      <c r="AK603" s="53" t="str">
        <f>_xlfn.XLOOKUP(Master[[#This Row],[cu_id]],'[1]Customer Revenue'!$Q:$Q,'[1]Customer Revenue'!$I:$I, "None")</f>
        <v>None</v>
      </c>
      <c r="AL603" s="53">
        <v>115.53999999999998</v>
      </c>
      <c r="AM603" s="61">
        <v>0.41666666666666669</v>
      </c>
      <c r="AN603" s="60">
        <v>0.66666666666666663</v>
      </c>
      <c r="AO603" s="60" t="s">
        <v>36</v>
      </c>
      <c r="AP603" s="60" t="s">
        <v>36</v>
      </c>
      <c r="AQ603" s="58" t="s">
        <v>0</v>
      </c>
      <c r="AR603" s="58"/>
      <c r="AS603" s="58"/>
      <c r="AT603" s="52">
        <v>0</v>
      </c>
      <c r="AU603" s="52">
        <f>IF(Master[[#This Row],[RSP StopTime override]] &lt;&gt; "",Master[[#This Row],[RSP StopTime override]],IF(Master[[#This Row],[Avg stop time helper]] &lt;&gt; 0, Master[[#This Row],[Avg stop time helper]],Average_Stop_Time))</f>
        <v>6</v>
      </c>
      <c r="AV603" s="21">
        <v>6</v>
      </c>
      <c r="AW603" s="20">
        <f>Master[[#This Row],[RSP StopTime override]]-Master[[#This Row],[Avg stop time helper]]</f>
        <v>6</v>
      </c>
    </row>
    <row r="604" spans="1:49" x14ac:dyDescent="0.3">
      <c r="A604" s="66" t="s">
        <v>2955</v>
      </c>
      <c r="B604" s="58">
        <v>12</v>
      </c>
      <c r="C604" s="58" t="s">
        <v>24</v>
      </c>
      <c r="D604" s="65">
        <v>524081</v>
      </c>
      <c r="E604" s="65" t="s">
        <v>42</v>
      </c>
      <c r="F604" s="65" t="s">
        <v>56</v>
      </c>
      <c r="G604" s="65" t="s">
        <v>55</v>
      </c>
      <c r="H604" s="65" t="s">
        <v>32</v>
      </c>
      <c r="I604" s="65" t="s">
        <v>54</v>
      </c>
      <c r="J604" s="65" t="s">
        <v>5</v>
      </c>
      <c r="K604" s="65" t="s">
        <v>53</v>
      </c>
      <c r="L604" s="64" t="s">
        <v>37</v>
      </c>
      <c r="M604" s="58" t="s">
        <v>3</v>
      </c>
      <c r="N604" s="58" t="s">
        <v>2</v>
      </c>
      <c r="O604" s="58">
        <v>23</v>
      </c>
      <c r="P604" s="58">
        <v>23</v>
      </c>
      <c r="Q604" s="58">
        <v>0</v>
      </c>
      <c r="R604" s="58">
        <v>23</v>
      </c>
      <c r="S604" s="58">
        <v>0</v>
      </c>
      <c r="T604" s="58">
        <v>20</v>
      </c>
      <c r="U604" s="58">
        <v>231</v>
      </c>
      <c r="V604" s="62"/>
      <c r="W604" s="62"/>
      <c r="X604" s="63">
        <f>IFERROR(1 -(Master[[#This Row],[Avg Garment Scans per Delivery]]/Master[[#This Row],[Garment Inventory]]), 0)</f>
        <v>0</v>
      </c>
      <c r="Y604" s="62"/>
      <c r="Z604" s="62"/>
      <c r="AA604" s="53"/>
      <c r="AB604" s="53"/>
      <c r="AC604" s="53"/>
      <c r="AD604" s="53"/>
      <c r="AE604" s="53"/>
      <c r="AF604" s="53"/>
      <c r="AG604" s="53"/>
      <c r="AH604" s="53"/>
      <c r="AI604" s="53"/>
      <c r="AJ604" s="53">
        <v>1052.5336363636363</v>
      </c>
      <c r="AK604" s="53">
        <v>1127</v>
      </c>
      <c r="AL604" s="53">
        <v>660.38</v>
      </c>
      <c r="AM604" s="61">
        <v>0.29166666666666669</v>
      </c>
      <c r="AN604" s="60">
        <v>0.70833333333333337</v>
      </c>
      <c r="AO604" s="60" t="s">
        <v>36</v>
      </c>
      <c r="AP604" s="60" t="s">
        <v>36</v>
      </c>
      <c r="AQ604" s="58" t="s">
        <v>0</v>
      </c>
      <c r="AR604" s="58"/>
      <c r="AS604" s="58"/>
      <c r="AT604" s="52">
        <v>0</v>
      </c>
      <c r="AU604" s="52" t="e">
        <f>IF(Master[[#This Row],[RSP StopTime override]] &lt;&gt; "",Master[[#This Row],[RSP StopTime override]],IF(Master[[#This Row],[Avg stop time helper]] &lt;&gt; 0, Master[[#This Row],[Avg stop time helper]],Average_Stop_Time))</f>
        <v>#DIV/0!</v>
      </c>
      <c r="AV604" s="21"/>
      <c r="AW604" s="20">
        <f>Master[[#This Row],[RSP StopTime override]]-Master[[#This Row],[Avg stop time helper]]</f>
        <v>0</v>
      </c>
    </row>
    <row r="605" spans="1:49" x14ac:dyDescent="0.3">
      <c r="A605" s="66" t="s">
        <v>4060</v>
      </c>
      <c r="B605" s="58">
        <v>50</v>
      </c>
      <c r="C605" s="58" t="s">
        <v>10</v>
      </c>
      <c r="D605" s="65">
        <v>99161</v>
      </c>
      <c r="E605" s="65" t="s">
        <v>2345</v>
      </c>
      <c r="F605" s="65" t="s">
        <v>3671</v>
      </c>
      <c r="G605" s="65" t="s">
        <v>2344</v>
      </c>
      <c r="H605" s="65" t="s">
        <v>7</v>
      </c>
      <c r="I605" s="65" t="s">
        <v>1617</v>
      </c>
      <c r="J605" s="65" t="s">
        <v>5</v>
      </c>
      <c r="K605" s="65" t="s">
        <v>1624</v>
      </c>
      <c r="L605" s="64" t="s">
        <v>67</v>
      </c>
      <c r="M605" s="58" t="s">
        <v>3</v>
      </c>
      <c r="N605" s="58" t="s">
        <v>2</v>
      </c>
      <c r="O605" s="58">
        <v>47</v>
      </c>
      <c r="P605" s="58">
        <v>0</v>
      </c>
      <c r="Q605" s="58">
        <v>0</v>
      </c>
      <c r="R605" s="58">
        <v>47</v>
      </c>
      <c r="S605" s="58">
        <v>0</v>
      </c>
      <c r="T605" s="58">
        <v>0</v>
      </c>
      <c r="U605" s="58">
        <v>1</v>
      </c>
      <c r="V605" s="62"/>
      <c r="W605" s="62"/>
      <c r="X605" s="63">
        <f>IFERROR(1 -(Master[[#This Row],[Avg Garment Scans per Delivery]]/Master[[#This Row],[Garment Inventory]]), 0)</f>
        <v>0</v>
      </c>
      <c r="Y605" s="62"/>
      <c r="Z605" s="62"/>
      <c r="AA605" s="53"/>
      <c r="AB605" s="53"/>
      <c r="AC605" s="53"/>
      <c r="AD605" s="53"/>
      <c r="AE605" s="53" t="str">
        <f>_xlfn.XLOOKUP(Master[[#This Row],[cu_id]],'[1]Customer Revenue'!$Q:$Q,'[1]Customer Revenue'!$K:$K, "None")</f>
        <v>None</v>
      </c>
      <c r="AF605" s="53" t="str">
        <f>_xlfn.XLOOKUP(Master[[#This Row],[cu_id]],'[1]Customer Revenue'!$Q:$Q,'[1]Customer Revenue'!$L:$L, "None")</f>
        <v>None</v>
      </c>
      <c r="AG605" s="53">
        <v>122.77</v>
      </c>
      <c r="AH605" s="53">
        <v>122.77</v>
      </c>
      <c r="AI605" s="53"/>
      <c r="AJ605" s="53"/>
      <c r="AK605" s="53" t="str">
        <f>_xlfn.XLOOKUP(Master[[#This Row],[cu_id]],'[1]Customer Revenue'!$Q:$Q,'[1]Customer Revenue'!$I:$I, "None")</f>
        <v>None</v>
      </c>
      <c r="AL605" s="53">
        <v>122.77</v>
      </c>
      <c r="AM605" s="61">
        <v>0.25</v>
      </c>
      <c r="AN605" s="60">
        <v>0.5</v>
      </c>
      <c r="AO605" s="60" t="s">
        <v>36</v>
      </c>
      <c r="AP605" s="60" t="s">
        <v>36</v>
      </c>
      <c r="AQ605" s="58" t="s">
        <v>0</v>
      </c>
      <c r="AR605" s="58"/>
      <c r="AS605" s="58"/>
      <c r="AT605" s="52">
        <v>0</v>
      </c>
      <c r="AU605" s="52">
        <f>IF(Master[[#This Row],[RSP StopTime override]] &lt;&gt; "",Master[[#This Row],[RSP StopTime override]],IF(Master[[#This Row],[Avg stop time helper]] &lt;&gt; 0, Master[[#This Row],[Avg stop time helper]],Average_Stop_Time))</f>
        <v>3</v>
      </c>
      <c r="AV605" s="21">
        <v>3</v>
      </c>
      <c r="AW605" s="20">
        <f>Master[[#This Row],[RSP StopTime override]]-Master[[#This Row],[Avg stop time helper]]</f>
        <v>3</v>
      </c>
    </row>
    <row r="606" spans="1:49" x14ac:dyDescent="0.3">
      <c r="A606" s="66" t="s">
        <v>4044</v>
      </c>
      <c r="B606" s="58">
        <v>50</v>
      </c>
      <c r="C606" s="58" t="s">
        <v>10</v>
      </c>
      <c r="D606" s="65">
        <v>99161</v>
      </c>
      <c r="E606" s="65" t="s">
        <v>2343</v>
      </c>
      <c r="F606" s="65" t="s">
        <v>3672</v>
      </c>
      <c r="G606" s="65" t="s">
        <v>2342</v>
      </c>
      <c r="H606" s="65" t="s">
        <v>7</v>
      </c>
      <c r="I606" s="65" t="s">
        <v>2341</v>
      </c>
      <c r="J606" s="65" t="s">
        <v>5</v>
      </c>
      <c r="K606" s="65" t="s">
        <v>1624</v>
      </c>
      <c r="L606" s="64" t="s">
        <v>67</v>
      </c>
      <c r="M606" s="58" t="s">
        <v>3</v>
      </c>
      <c r="N606" s="58" t="s">
        <v>2</v>
      </c>
      <c r="O606" s="58">
        <v>1</v>
      </c>
      <c r="P606" s="58">
        <v>0</v>
      </c>
      <c r="Q606" s="58">
        <v>0</v>
      </c>
      <c r="R606" s="58">
        <v>1</v>
      </c>
      <c r="S606" s="58">
        <v>0</v>
      </c>
      <c r="T606" s="58">
        <v>0</v>
      </c>
      <c r="U606" s="58">
        <v>1</v>
      </c>
      <c r="V606" s="62"/>
      <c r="W606" s="62"/>
      <c r="X606" s="63">
        <f>IFERROR(1 -(Master[[#This Row],[Avg Garment Scans per Delivery]]/Master[[#This Row],[Garment Inventory]]), 0)</f>
        <v>0</v>
      </c>
      <c r="Y606" s="62"/>
      <c r="Z606" s="62"/>
      <c r="AA606" s="53">
        <v>32.272222222222226</v>
      </c>
      <c r="AB606" s="53">
        <v>83.907777777777781</v>
      </c>
      <c r="AC606" s="53">
        <v>20.92</v>
      </c>
      <c r="AD606" s="53">
        <v>62.760000000000005</v>
      </c>
      <c r="AE606" s="53" t="str">
        <f>_xlfn.XLOOKUP(Master[[#This Row],[cu_id]],'[1]Customer Revenue'!$Q:$Q,'[1]Customer Revenue'!$K:$K, "None")</f>
        <v>None</v>
      </c>
      <c r="AF606" s="53" t="str">
        <f>_xlfn.XLOOKUP(Master[[#This Row],[cu_id]],'[1]Customer Revenue'!$Q:$Q,'[1]Customer Revenue'!$L:$L, "None")</f>
        <v>None</v>
      </c>
      <c r="AG606" s="53">
        <v>32.272222222222226</v>
      </c>
      <c r="AH606" s="53">
        <v>83.907777777777781</v>
      </c>
      <c r="AI606" s="53">
        <v>58.09</v>
      </c>
      <c r="AJ606" s="53">
        <v>41.84</v>
      </c>
      <c r="AK606" s="53" t="str">
        <f>_xlfn.XLOOKUP(Master[[#This Row],[cu_id]],'[1]Customer Revenue'!$Q:$Q,'[1]Customer Revenue'!$I:$I, "None")</f>
        <v>None</v>
      </c>
      <c r="AL606" s="53">
        <v>58.09</v>
      </c>
      <c r="AM606" s="61">
        <v>0.25</v>
      </c>
      <c r="AN606" s="60">
        <v>0.5</v>
      </c>
      <c r="AO606" s="60" t="s">
        <v>36</v>
      </c>
      <c r="AP606" s="60" t="s">
        <v>36</v>
      </c>
      <c r="AQ606" s="58" t="s">
        <v>0</v>
      </c>
      <c r="AR606" s="58"/>
      <c r="AS606" s="58"/>
      <c r="AT606" s="52">
        <v>0</v>
      </c>
      <c r="AU606" s="52">
        <f>IF(Master[[#This Row],[RSP StopTime override]] &lt;&gt; "",Master[[#This Row],[RSP StopTime override]],IF(Master[[#This Row],[Avg stop time helper]] &lt;&gt; 0, Master[[#This Row],[Avg stop time helper]],Average_Stop_Time))</f>
        <v>7</v>
      </c>
      <c r="AV606" s="21">
        <v>7</v>
      </c>
      <c r="AW606" s="20">
        <f>Master[[#This Row],[RSP StopTime override]]-Master[[#This Row],[Avg stop time helper]]</f>
        <v>7</v>
      </c>
    </row>
    <row r="607" spans="1:49" x14ac:dyDescent="0.3">
      <c r="A607" s="66" t="s">
        <v>4662</v>
      </c>
      <c r="B607" s="58">
        <v>50</v>
      </c>
      <c r="C607" s="58" t="s">
        <v>10</v>
      </c>
      <c r="D607" s="65">
        <v>99161</v>
      </c>
      <c r="E607" s="65" t="s">
        <v>2340</v>
      </c>
      <c r="F607" s="65" t="s">
        <v>2339</v>
      </c>
      <c r="G607" s="65" t="s">
        <v>2338</v>
      </c>
      <c r="H607" s="65" t="s">
        <v>7</v>
      </c>
      <c r="I607" s="65" t="s">
        <v>1955</v>
      </c>
      <c r="J607" s="65" t="s">
        <v>5</v>
      </c>
      <c r="K607" s="65" t="s">
        <v>1954</v>
      </c>
      <c r="L607" s="64" t="s">
        <v>67</v>
      </c>
      <c r="M607" s="58" t="s">
        <v>3</v>
      </c>
      <c r="N607" s="58" t="s">
        <v>2</v>
      </c>
      <c r="O607" s="58">
        <v>25</v>
      </c>
      <c r="P607" s="58">
        <v>0</v>
      </c>
      <c r="Q607" s="58">
        <v>0</v>
      </c>
      <c r="R607" s="58">
        <v>25</v>
      </c>
      <c r="S607" s="58">
        <v>0</v>
      </c>
      <c r="T607" s="58">
        <v>0</v>
      </c>
      <c r="U607" s="58">
        <v>3</v>
      </c>
      <c r="V607" s="62"/>
      <c r="W607" s="62"/>
      <c r="X607" s="63">
        <f>IFERROR(1 -(Master[[#This Row],[Avg Garment Scans per Delivery]]/Master[[#This Row],[Garment Inventory]]), 0)</f>
        <v>0</v>
      </c>
      <c r="Y607" s="62"/>
      <c r="Z607" s="62"/>
      <c r="AA607" s="53">
        <v>119.98</v>
      </c>
      <c r="AB607" s="53">
        <v>119.98</v>
      </c>
      <c r="AC607" s="53">
        <v>59.43</v>
      </c>
      <c r="AD607" s="53">
        <v>59.43</v>
      </c>
      <c r="AE607" s="53" t="str">
        <f>_xlfn.XLOOKUP(Master[[#This Row],[cu_id]],'[1]Customer Revenue'!$Q:$Q,'[1]Customer Revenue'!$K:$K, "None")</f>
        <v>None</v>
      </c>
      <c r="AF607" s="53" t="str">
        <f>_xlfn.XLOOKUP(Master[[#This Row],[cu_id]],'[1]Customer Revenue'!$Q:$Q,'[1]Customer Revenue'!$L:$L, "None")</f>
        <v>None</v>
      </c>
      <c r="AG607" s="53">
        <v>119.98</v>
      </c>
      <c r="AH607" s="53">
        <v>119.98</v>
      </c>
      <c r="AI607" s="53">
        <v>119.98</v>
      </c>
      <c r="AJ607" s="53">
        <v>59.43</v>
      </c>
      <c r="AK607" s="53" t="str">
        <f>_xlfn.XLOOKUP(Master[[#This Row],[cu_id]],'[1]Customer Revenue'!$Q:$Q,'[1]Customer Revenue'!$I:$I, "None")</f>
        <v>None</v>
      </c>
      <c r="AL607" s="53">
        <v>119.98</v>
      </c>
      <c r="AM607" s="61">
        <v>0.25</v>
      </c>
      <c r="AN607" s="60">
        <v>0.5</v>
      </c>
      <c r="AO607" s="60" t="s">
        <v>36</v>
      </c>
      <c r="AP607" s="60" t="s">
        <v>36</v>
      </c>
      <c r="AQ607" s="58" t="s">
        <v>0</v>
      </c>
      <c r="AR607" s="58"/>
      <c r="AS607" s="58"/>
      <c r="AT607" s="52">
        <v>0</v>
      </c>
      <c r="AU607" s="52">
        <f>IF(Master[[#This Row],[RSP StopTime override]] &lt;&gt; "",Master[[#This Row],[RSP StopTime override]],IF(Master[[#This Row],[Avg stop time helper]] &lt;&gt; 0, Master[[#This Row],[Avg stop time helper]],Average_Stop_Time))</f>
        <v>7</v>
      </c>
      <c r="AV607" s="21">
        <v>7</v>
      </c>
      <c r="AW607" s="20">
        <f>Master[[#This Row],[RSP StopTime override]]-Master[[#This Row],[Avg stop time helper]]</f>
        <v>7</v>
      </c>
    </row>
    <row r="608" spans="1:49" x14ac:dyDescent="0.3">
      <c r="A608" s="66" t="s">
        <v>4663</v>
      </c>
      <c r="B608" s="58">
        <v>50</v>
      </c>
      <c r="C608" s="58" t="s">
        <v>10</v>
      </c>
      <c r="D608" s="65">
        <v>528096</v>
      </c>
      <c r="E608" s="65" t="s">
        <v>42</v>
      </c>
      <c r="F608" s="65" t="s">
        <v>2337</v>
      </c>
      <c r="G608" s="65" t="s">
        <v>2336</v>
      </c>
      <c r="H608" s="65" t="s">
        <v>32</v>
      </c>
      <c r="I608" s="65" t="s">
        <v>1637</v>
      </c>
      <c r="J608" s="65" t="s">
        <v>5</v>
      </c>
      <c r="K608" s="65" t="s">
        <v>1599</v>
      </c>
      <c r="L608" s="64" t="s">
        <v>67</v>
      </c>
      <c r="M608" s="58" t="s">
        <v>3</v>
      </c>
      <c r="N608" s="58" t="s">
        <v>2</v>
      </c>
      <c r="O608" s="58">
        <v>60</v>
      </c>
      <c r="P608" s="58">
        <v>0</v>
      </c>
      <c r="Q608" s="58">
        <v>0</v>
      </c>
      <c r="R608" s="58">
        <v>60</v>
      </c>
      <c r="S608" s="58">
        <v>0</v>
      </c>
      <c r="T608" s="58">
        <v>0</v>
      </c>
      <c r="U608" s="58">
        <v>53</v>
      </c>
      <c r="V608" s="62"/>
      <c r="W608" s="62"/>
      <c r="X608" s="63">
        <f>IFERROR(1 -(Master[[#This Row],[Avg Garment Scans per Delivery]]/Master[[#This Row],[Garment Inventory]]), 0)</f>
        <v>0</v>
      </c>
      <c r="Y608" s="62"/>
      <c r="Z608" s="62"/>
      <c r="AA608" s="53">
        <v>114.52313609467453</v>
      </c>
      <c r="AB608" s="53">
        <v>121.44147928994082</v>
      </c>
      <c r="AC608" s="53">
        <v>120.76792899408282</v>
      </c>
      <c r="AD608" s="53">
        <v>123.45668639053251</v>
      </c>
      <c r="AE608" s="53" t="str">
        <f>_xlfn.XLOOKUP(Master[[#This Row],[cu_id]],'[1]Customer Revenue'!$Q:$Q,'[1]Customer Revenue'!$K:$K, "None")</f>
        <v>None</v>
      </c>
      <c r="AF608" s="53" t="str">
        <f>_xlfn.XLOOKUP(Master[[#This Row],[cu_id]],'[1]Customer Revenue'!$Q:$Q,'[1]Customer Revenue'!$L:$L, "None")</f>
        <v>None</v>
      </c>
      <c r="AG608" s="53">
        <v>116.07724852071007</v>
      </c>
      <c r="AH608" s="53">
        <v>121.26813609467456</v>
      </c>
      <c r="AI608" s="53">
        <v>117.98230769230767</v>
      </c>
      <c r="AJ608" s="53">
        <v>122.11230769230767</v>
      </c>
      <c r="AK608" s="53" t="str">
        <f>_xlfn.XLOOKUP(Master[[#This Row],[cu_id]],'[1]Customer Revenue'!$Q:$Q,'[1]Customer Revenue'!$I:$I, "None")</f>
        <v>None</v>
      </c>
      <c r="AL608" s="53">
        <v>118.67269230769232</v>
      </c>
      <c r="AM608" s="61">
        <v>0.33333333333333331</v>
      </c>
      <c r="AN608" s="60">
        <v>0.75</v>
      </c>
      <c r="AO608" s="60" t="s">
        <v>36</v>
      </c>
      <c r="AP608" s="60" t="s">
        <v>36</v>
      </c>
      <c r="AQ608" s="58" t="s">
        <v>0</v>
      </c>
      <c r="AR608" s="58"/>
      <c r="AS608" s="58"/>
      <c r="AT608" s="52">
        <v>0</v>
      </c>
      <c r="AU608" s="52">
        <f>IF(Master[[#This Row],[RSP StopTime override]] &lt;&gt; "",Master[[#This Row],[RSP StopTime override]],IF(Master[[#This Row],[Avg stop time helper]] &lt;&gt; 0, Master[[#This Row],[Avg stop time helper]],Average_Stop_Time))</f>
        <v>12</v>
      </c>
      <c r="AV608" s="21">
        <v>12</v>
      </c>
      <c r="AW608" s="20">
        <f>Master[[#This Row],[RSP StopTime override]]-Master[[#This Row],[Avg stop time helper]]</f>
        <v>12</v>
      </c>
    </row>
    <row r="609" spans="1:49" x14ac:dyDescent="0.3">
      <c r="A609" s="66" t="s">
        <v>4664</v>
      </c>
      <c r="B609" s="58">
        <v>50</v>
      </c>
      <c r="C609" s="58" t="s">
        <v>10</v>
      </c>
      <c r="D609" s="65">
        <v>529644</v>
      </c>
      <c r="E609" s="65" t="s">
        <v>42</v>
      </c>
      <c r="F609" s="65" t="s">
        <v>2095</v>
      </c>
      <c r="G609" s="65" t="s">
        <v>2335</v>
      </c>
      <c r="H609" s="65" t="s">
        <v>347</v>
      </c>
      <c r="I609" s="65" t="s">
        <v>12</v>
      </c>
      <c r="J609" s="65" t="s">
        <v>5</v>
      </c>
      <c r="K609" s="65" t="s">
        <v>1972</v>
      </c>
      <c r="L609" s="64" t="s">
        <v>67</v>
      </c>
      <c r="M609" s="58" t="s">
        <v>3</v>
      </c>
      <c r="N609" s="58" t="s">
        <v>2</v>
      </c>
      <c r="O609" s="58">
        <v>100</v>
      </c>
      <c r="P609" s="58">
        <v>0</v>
      </c>
      <c r="Q609" s="58">
        <v>0</v>
      </c>
      <c r="R609" s="58">
        <v>100</v>
      </c>
      <c r="S609" s="58">
        <v>0</v>
      </c>
      <c r="T609" s="58">
        <v>0</v>
      </c>
      <c r="U609" s="58">
        <v>53</v>
      </c>
      <c r="V609" s="62"/>
      <c r="W609" s="62"/>
      <c r="X609" s="63">
        <f>IFERROR(1 -(Master[[#This Row],[Avg Garment Scans per Delivery]]/Master[[#This Row],[Garment Inventory]]), 0)</f>
        <v>0</v>
      </c>
      <c r="Y609" s="62"/>
      <c r="Z609" s="62"/>
      <c r="AA609" s="53">
        <v>261.98633136094679</v>
      </c>
      <c r="AB609" s="53">
        <v>292.03674556213014</v>
      </c>
      <c r="AC609" s="53">
        <v>297.84644970414212</v>
      </c>
      <c r="AD609" s="53">
        <v>316.98893491124267</v>
      </c>
      <c r="AE609" s="53" t="str">
        <f>_xlfn.XLOOKUP(Master[[#This Row],[cu_id]],'[1]Customer Revenue'!$Q:$Q,'[1]Customer Revenue'!$K:$K, "None")</f>
        <v>None</v>
      </c>
      <c r="AF609" s="53" t="str">
        <f>_xlfn.XLOOKUP(Master[[#This Row],[cu_id]],'[1]Customer Revenue'!$Q:$Q,'[1]Customer Revenue'!$L:$L, "None")</f>
        <v>None</v>
      </c>
      <c r="AG609" s="53">
        <v>257.12526627218938</v>
      </c>
      <c r="AH609" s="53">
        <v>286.61857988165673</v>
      </c>
      <c r="AI609" s="53">
        <v>277.01153846153846</v>
      </c>
      <c r="AJ609" s="53">
        <v>307.41769230769239</v>
      </c>
      <c r="AK609" s="53" t="str">
        <f>_xlfn.XLOOKUP(Master[[#This Row],[cu_id]],'[1]Customer Revenue'!$Q:$Q,'[1]Customer Revenue'!$I:$I, "None")</f>
        <v>None</v>
      </c>
      <c r="AL609" s="53">
        <v>271.87192307692305</v>
      </c>
      <c r="AM609" s="61">
        <v>0.375</v>
      </c>
      <c r="AN609" s="60">
        <v>0.75</v>
      </c>
      <c r="AO609" s="60" t="s">
        <v>36</v>
      </c>
      <c r="AP609" s="60" t="s">
        <v>36</v>
      </c>
      <c r="AQ609" s="58" t="s">
        <v>0</v>
      </c>
      <c r="AR609" s="58"/>
      <c r="AS609" s="58"/>
      <c r="AT609" s="52">
        <v>0</v>
      </c>
      <c r="AU609" s="52">
        <f>IF(Master[[#This Row],[RSP StopTime override]] &lt;&gt; "",Master[[#This Row],[RSP StopTime override]],IF(Master[[#This Row],[Avg stop time helper]] &lt;&gt; 0, Master[[#This Row],[Avg stop time helper]],Average_Stop_Time))</f>
        <v>9</v>
      </c>
      <c r="AV609" s="21">
        <v>9</v>
      </c>
      <c r="AW609" s="20">
        <f>Master[[#This Row],[RSP StopTime override]]-Master[[#This Row],[Avg stop time helper]]</f>
        <v>9</v>
      </c>
    </row>
    <row r="610" spans="1:49" x14ac:dyDescent="0.3">
      <c r="A610" s="66" t="s">
        <v>4665</v>
      </c>
      <c r="B610" s="58">
        <v>50</v>
      </c>
      <c r="C610" s="58" t="s">
        <v>10</v>
      </c>
      <c r="D610" s="65">
        <v>531293</v>
      </c>
      <c r="E610" s="65" t="s">
        <v>42</v>
      </c>
      <c r="F610" s="65" t="s">
        <v>2334</v>
      </c>
      <c r="G610" s="65" t="s">
        <v>2333</v>
      </c>
      <c r="H610" s="65" t="s">
        <v>7</v>
      </c>
      <c r="I610" s="65" t="s">
        <v>1600</v>
      </c>
      <c r="J610" s="65" t="s">
        <v>5</v>
      </c>
      <c r="K610" s="65" t="s">
        <v>1624</v>
      </c>
      <c r="L610" s="64" t="s">
        <v>91</v>
      </c>
      <c r="M610" s="58" t="s">
        <v>90</v>
      </c>
      <c r="N610" s="58" t="s">
        <v>2</v>
      </c>
      <c r="O610" s="58">
        <v>70</v>
      </c>
      <c r="P610" s="58">
        <v>0</v>
      </c>
      <c r="Q610" s="58">
        <v>0</v>
      </c>
      <c r="R610" s="58">
        <v>70</v>
      </c>
      <c r="S610" s="58">
        <v>0</v>
      </c>
      <c r="T610" s="58">
        <v>0</v>
      </c>
      <c r="U610" s="58">
        <v>27</v>
      </c>
      <c r="V610" s="62"/>
      <c r="W610" s="62"/>
      <c r="X610" s="63">
        <f>IFERROR(1 -(Master[[#This Row],[Avg Garment Scans per Delivery]]/Master[[#This Row],[Garment Inventory]]), 0)</f>
        <v>0</v>
      </c>
      <c r="Y610" s="62"/>
      <c r="Z610" s="62"/>
      <c r="AA610" s="53">
        <v>29.010044642857139</v>
      </c>
      <c r="AB610" s="53">
        <v>45.255669642857143</v>
      </c>
      <c r="AC610" s="53">
        <v>38.74</v>
      </c>
      <c r="AD610" s="53">
        <v>38.74</v>
      </c>
      <c r="AE610" s="53" t="str">
        <f>_xlfn.XLOOKUP(Master[[#This Row],[cu_id]],'[1]Customer Revenue'!$Q:$Q,'[1]Customer Revenue'!$K:$K, "None")</f>
        <v>None</v>
      </c>
      <c r="AF610" s="53" t="str">
        <f>_xlfn.XLOOKUP(Master[[#This Row],[cu_id]],'[1]Customer Revenue'!$Q:$Q,'[1]Customer Revenue'!$L:$L, "None")</f>
        <v>None</v>
      </c>
      <c r="AG610" s="53">
        <v>32.230450793650796</v>
      </c>
      <c r="AH610" s="53">
        <v>41.392406349206347</v>
      </c>
      <c r="AI610" s="53">
        <v>37.132857142857141</v>
      </c>
      <c r="AJ610" s="53">
        <v>38.74</v>
      </c>
      <c r="AK610" s="53" t="str">
        <f>_xlfn.XLOOKUP(Master[[#This Row],[cu_id]],'[1]Customer Revenue'!$Q:$Q,'[1]Customer Revenue'!$I:$I, "None")</f>
        <v>None</v>
      </c>
      <c r="AL610" s="53">
        <v>36.811428571428571</v>
      </c>
      <c r="AM610" s="61">
        <v>0.45833333333333331</v>
      </c>
      <c r="AN610" s="60">
        <v>0.75</v>
      </c>
      <c r="AO610" s="60" t="s">
        <v>36</v>
      </c>
      <c r="AP610" s="60" t="s">
        <v>36</v>
      </c>
      <c r="AQ610" s="58" t="s">
        <v>0</v>
      </c>
      <c r="AR610" s="58"/>
      <c r="AS610" s="58"/>
      <c r="AT610" s="52">
        <v>0</v>
      </c>
      <c r="AU610" s="52">
        <f>IF(Master[[#This Row],[RSP StopTime override]] &lt;&gt; "",Master[[#This Row],[RSP StopTime override]],IF(Master[[#This Row],[Avg stop time helper]] &lt;&gt; 0, Master[[#This Row],[Avg stop time helper]],Average_Stop_Time))</f>
        <v>4</v>
      </c>
      <c r="AV610" s="21">
        <v>4</v>
      </c>
      <c r="AW610" s="20">
        <f>Master[[#This Row],[RSP StopTime override]]-Master[[#This Row],[Avg stop time helper]]</f>
        <v>4</v>
      </c>
    </row>
    <row r="611" spans="1:49" x14ac:dyDescent="0.3">
      <c r="A611" s="66" t="s">
        <v>4666</v>
      </c>
      <c r="B611" s="58">
        <v>50</v>
      </c>
      <c r="C611" s="58" t="s">
        <v>10</v>
      </c>
      <c r="D611" s="65">
        <v>531455</v>
      </c>
      <c r="E611" s="65" t="s">
        <v>42</v>
      </c>
      <c r="F611" s="65" t="s">
        <v>2332</v>
      </c>
      <c r="G611" s="65" t="s">
        <v>2331</v>
      </c>
      <c r="H611" s="65" t="s">
        <v>7</v>
      </c>
      <c r="I611" s="65" t="s">
        <v>1920</v>
      </c>
      <c r="J611" s="65" t="s">
        <v>5</v>
      </c>
      <c r="K611" s="65" t="s">
        <v>2330</v>
      </c>
      <c r="L611" s="64" t="s">
        <v>67</v>
      </c>
      <c r="M611" s="58" t="s">
        <v>3</v>
      </c>
      <c r="N611" s="58" t="s">
        <v>2</v>
      </c>
      <c r="O611" s="58">
        <v>110</v>
      </c>
      <c r="P611" s="58">
        <v>0</v>
      </c>
      <c r="Q611" s="58">
        <v>0</v>
      </c>
      <c r="R611" s="58">
        <v>110</v>
      </c>
      <c r="S611" s="58">
        <v>0</v>
      </c>
      <c r="T611" s="58">
        <v>0</v>
      </c>
      <c r="U611" s="58">
        <v>52</v>
      </c>
      <c r="V611" s="62"/>
      <c r="W611" s="62"/>
      <c r="X611" s="63">
        <f>IFERROR(1 -(Master[[#This Row],[Avg Garment Scans per Delivery]]/Master[[#This Row],[Garment Inventory]]), 0)</f>
        <v>0</v>
      </c>
      <c r="Y611" s="62"/>
      <c r="Z611" s="62"/>
      <c r="AA611" s="53">
        <v>92.481124260355017</v>
      </c>
      <c r="AB611" s="53">
        <v>134.61579881656803</v>
      </c>
      <c r="AC611" s="53">
        <v>113.54757396449705</v>
      </c>
      <c r="AD611" s="53">
        <v>145.58781065088758</v>
      </c>
      <c r="AE611" s="53" t="str">
        <f>_xlfn.XLOOKUP(Master[[#This Row],[cu_id]],'[1]Customer Revenue'!$Q:$Q,'[1]Customer Revenue'!$K:$K, "None")</f>
        <v>None</v>
      </c>
      <c r="AF611" s="53" t="str">
        <f>_xlfn.XLOOKUP(Master[[#This Row],[cu_id]],'[1]Customer Revenue'!$Q:$Q,'[1]Customer Revenue'!$L:$L, "None")</f>
        <v>None</v>
      </c>
      <c r="AG611" s="53">
        <v>91.641863905325465</v>
      </c>
      <c r="AH611" s="53">
        <v>133.92198224852072</v>
      </c>
      <c r="AI611" s="53">
        <v>113.54846153846152</v>
      </c>
      <c r="AJ611" s="53">
        <v>129.56769230769231</v>
      </c>
      <c r="AK611" s="53" t="str">
        <f>_xlfn.XLOOKUP(Master[[#This Row],[cu_id]],'[1]Customer Revenue'!$Q:$Q,'[1]Customer Revenue'!$I:$I, "None")</f>
        <v>None</v>
      </c>
      <c r="AL611" s="53">
        <v>112.78192307692309</v>
      </c>
      <c r="AM611" s="61">
        <v>0.47916666666666669</v>
      </c>
      <c r="AN611" s="60">
        <v>0.66666666666666663</v>
      </c>
      <c r="AO611" s="60" t="s">
        <v>36</v>
      </c>
      <c r="AP611" s="60" t="s">
        <v>36</v>
      </c>
      <c r="AQ611" s="58" t="s">
        <v>0</v>
      </c>
      <c r="AR611" s="58"/>
      <c r="AS611" s="58"/>
      <c r="AT611" s="52">
        <v>0</v>
      </c>
      <c r="AU611" s="52">
        <f>IF(Master[[#This Row],[RSP StopTime override]] &lt;&gt; "",Master[[#This Row],[RSP StopTime override]],IF(Master[[#This Row],[Avg stop time helper]] &lt;&gt; 0, Master[[#This Row],[Avg stop time helper]],Average_Stop_Time))</f>
        <v>5</v>
      </c>
      <c r="AV611" s="21">
        <v>5</v>
      </c>
      <c r="AW611" s="20">
        <f>Master[[#This Row],[RSP StopTime override]]-Master[[#This Row],[Avg stop time helper]]</f>
        <v>5</v>
      </c>
    </row>
    <row r="612" spans="1:49" x14ac:dyDescent="0.3">
      <c r="A612" s="66" t="s">
        <v>4667</v>
      </c>
      <c r="B612" s="58">
        <v>50</v>
      </c>
      <c r="C612" s="58" t="s">
        <v>10</v>
      </c>
      <c r="D612" s="65">
        <v>532568</v>
      </c>
      <c r="E612" s="65" t="s">
        <v>42</v>
      </c>
      <c r="F612" s="65" t="s">
        <v>2329</v>
      </c>
      <c r="G612" s="65" t="s">
        <v>2328</v>
      </c>
      <c r="H612" s="65" t="s">
        <v>2327</v>
      </c>
      <c r="I612" s="65" t="s">
        <v>1600</v>
      </c>
      <c r="J612" s="65" t="s">
        <v>5</v>
      </c>
      <c r="K612" s="65" t="s">
        <v>1624</v>
      </c>
      <c r="L612" s="64" t="s">
        <v>67</v>
      </c>
      <c r="M612" s="58" t="s">
        <v>3</v>
      </c>
      <c r="N612" s="58" t="s">
        <v>2</v>
      </c>
      <c r="O612" s="58">
        <v>55</v>
      </c>
      <c r="P612" s="58">
        <v>0</v>
      </c>
      <c r="Q612" s="58">
        <v>0</v>
      </c>
      <c r="R612" s="58">
        <v>55</v>
      </c>
      <c r="S612" s="58">
        <v>0</v>
      </c>
      <c r="T612" s="58">
        <v>0</v>
      </c>
      <c r="U612" s="58">
        <v>45</v>
      </c>
      <c r="V612" s="62"/>
      <c r="W612" s="62"/>
      <c r="X612" s="63">
        <f>IFERROR(1 -(Master[[#This Row],[Avg Garment Scans per Delivery]]/Master[[#This Row],[Garment Inventory]]), 0)</f>
        <v>0</v>
      </c>
      <c r="Y612" s="62"/>
      <c r="Z612" s="62"/>
      <c r="AA612" s="53">
        <v>24.76765151515152</v>
      </c>
      <c r="AB612" s="53">
        <v>129.15598484848485</v>
      </c>
      <c r="AC612" s="53">
        <v>8.2012672176308428</v>
      </c>
      <c r="AD612" s="53">
        <v>89.905399449035826</v>
      </c>
      <c r="AE612" s="53" t="str">
        <f>_xlfn.XLOOKUP(Master[[#This Row],[cu_id]],'[1]Customer Revenue'!$Q:$Q,'[1]Customer Revenue'!$K:$K, "None")</f>
        <v>None</v>
      </c>
      <c r="AF612" s="53" t="str">
        <f>_xlfn.XLOOKUP(Master[[#This Row],[cu_id]],'[1]Customer Revenue'!$Q:$Q,'[1]Customer Revenue'!$L:$L, "None")</f>
        <v>None</v>
      </c>
      <c r="AG612" s="53">
        <v>17.187519723865861</v>
      </c>
      <c r="AH612" s="53">
        <v>120.41414694280077</v>
      </c>
      <c r="AI612" s="53">
        <v>76.961818181818188</v>
      </c>
      <c r="AJ612" s="53">
        <v>49.053333333333335</v>
      </c>
      <c r="AK612" s="53" t="str">
        <f>_xlfn.XLOOKUP(Master[[#This Row],[cu_id]],'[1]Customer Revenue'!$Q:$Q,'[1]Customer Revenue'!$I:$I, "None")</f>
        <v>None</v>
      </c>
      <c r="AL612" s="53">
        <v>68.800833333333316</v>
      </c>
      <c r="AM612" s="61">
        <v>0.375</v>
      </c>
      <c r="AN612" s="60">
        <v>0.66666666666666663</v>
      </c>
      <c r="AO612" s="60" t="s">
        <v>36</v>
      </c>
      <c r="AP612" s="60" t="s">
        <v>36</v>
      </c>
      <c r="AQ612" s="58" t="s">
        <v>0</v>
      </c>
      <c r="AR612" s="58"/>
      <c r="AS612" s="58"/>
      <c r="AT612" s="52">
        <v>0</v>
      </c>
      <c r="AU612" s="52">
        <f>IF(Master[[#This Row],[RSP StopTime override]] &lt;&gt; "",Master[[#This Row],[RSP StopTime override]],IF(Master[[#This Row],[Avg stop time helper]] &lt;&gt; 0, Master[[#This Row],[Avg stop time helper]],Average_Stop_Time))</f>
        <v>7</v>
      </c>
      <c r="AV612" s="21">
        <v>7</v>
      </c>
      <c r="AW612" s="20">
        <f>Master[[#This Row],[RSP StopTime override]]-Master[[#This Row],[Avg stop time helper]]</f>
        <v>7</v>
      </c>
    </row>
    <row r="613" spans="1:49" x14ac:dyDescent="0.3">
      <c r="A613" s="66" t="s">
        <v>4668</v>
      </c>
      <c r="B613" s="58">
        <v>50</v>
      </c>
      <c r="C613" s="58" t="s">
        <v>10</v>
      </c>
      <c r="D613" s="65">
        <v>533211</v>
      </c>
      <c r="E613" s="65" t="s">
        <v>42</v>
      </c>
      <c r="F613" s="65" t="s">
        <v>2326</v>
      </c>
      <c r="G613" s="65" t="s">
        <v>2325</v>
      </c>
      <c r="H613" s="65" t="s">
        <v>7</v>
      </c>
      <c r="I613" s="65" t="s">
        <v>1955</v>
      </c>
      <c r="J613" s="65" t="s">
        <v>5</v>
      </c>
      <c r="K613" s="65" t="s">
        <v>1954</v>
      </c>
      <c r="L613" s="64" t="s">
        <v>91</v>
      </c>
      <c r="M613" s="58" t="s">
        <v>90</v>
      </c>
      <c r="N613" s="58" t="s">
        <v>2</v>
      </c>
      <c r="O613" s="58">
        <v>30</v>
      </c>
      <c r="P613" s="58">
        <v>0</v>
      </c>
      <c r="Q613" s="58">
        <v>0</v>
      </c>
      <c r="R613" s="58">
        <v>30</v>
      </c>
      <c r="S613" s="58">
        <v>0</v>
      </c>
      <c r="T613" s="58">
        <v>0</v>
      </c>
      <c r="U613" s="58">
        <v>28</v>
      </c>
      <c r="V613" s="62"/>
      <c r="W613" s="62"/>
      <c r="X613" s="63">
        <f>IFERROR(1 -(Master[[#This Row],[Avg Garment Scans per Delivery]]/Master[[#This Row],[Garment Inventory]]), 0)</f>
        <v>0</v>
      </c>
      <c r="Y613" s="62"/>
      <c r="Z613" s="62"/>
      <c r="AA613" s="53">
        <v>68.566122448979598</v>
      </c>
      <c r="AB613" s="53">
        <v>74.388163265306133</v>
      </c>
      <c r="AC613" s="53">
        <v>75.171111111111117</v>
      </c>
      <c r="AD613" s="53">
        <v>77.322222222222223</v>
      </c>
      <c r="AE613" s="53" t="str">
        <f>_xlfn.XLOOKUP(Master[[#This Row],[cu_id]],'[1]Customer Revenue'!$Q:$Q,'[1]Customer Revenue'!$K:$K, "None")</f>
        <v>None</v>
      </c>
      <c r="AF613" s="53" t="str">
        <f>_xlfn.XLOOKUP(Master[[#This Row],[cu_id]],'[1]Customer Revenue'!$Q:$Q,'[1]Customer Revenue'!$L:$L, "None")</f>
        <v>None</v>
      </c>
      <c r="AG613" s="53">
        <v>58.689795918367359</v>
      </c>
      <c r="AH613" s="53">
        <v>84.710204081632682</v>
      </c>
      <c r="AI613" s="53">
        <v>71.477142857142866</v>
      </c>
      <c r="AJ613" s="53">
        <v>76.24666666666667</v>
      </c>
      <c r="AK613" s="53" t="str">
        <f>_xlfn.XLOOKUP(Master[[#This Row],[cu_id]],'[1]Customer Revenue'!$Q:$Q,'[1]Customer Revenue'!$I:$I, "None")</f>
        <v>None</v>
      </c>
      <c r="AL613" s="53">
        <v>71.700000000000017</v>
      </c>
      <c r="AM613" s="61">
        <v>0.41666666666666669</v>
      </c>
      <c r="AN613" s="60">
        <v>0.625</v>
      </c>
      <c r="AO613" s="60" t="s">
        <v>36</v>
      </c>
      <c r="AP613" s="60" t="s">
        <v>36</v>
      </c>
      <c r="AQ613" s="58" t="s">
        <v>0</v>
      </c>
      <c r="AR613" s="58"/>
      <c r="AS613" s="58"/>
      <c r="AT613" s="52">
        <v>0</v>
      </c>
      <c r="AU613" s="52">
        <f>IF(Master[[#This Row],[RSP StopTime override]] &lt;&gt; "",Master[[#This Row],[RSP StopTime override]],IF(Master[[#This Row],[Avg stop time helper]] &lt;&gt; 0, Master[[#This Row],[Avg stop time helper]],Average_Stop_Time))</f>
        <v>8</v>
      </c>
      <c r="AV613" s="21">
        <v>8</v>
      </c>
      <c r="AW613" s="20">
        <f>Master[[#This Row],[RSP StopTime override]]-Master[[#This Row],[Avg stop time helper]]</f>
        <v>8</v>
      </c>
    </row>
    <row r="614" spans="1:49" x14ac:dyDescent="0.3">
      <c r="A614" s="66" t="s">
        <v>4669</v>
      </c>
      <c r="B614" s="58">
        <v>50</v>
      </c>
      <c r="C614" s="58" t="s">
        <v>10</v>
      </c>
      <c r="D614" s="65">
        <v>533458</v>
      </c>
      <c r="E614" s="65" t="s">
        <v>42</v>
      </c>
      <c r="F614" s="65" t="s">
        <v>2324</v>
      </c>
      <c r="G614" s="65" t="s">
        <v>2323</v>
      </c>
      <c r="H614" s="65" t="s">
        <v>7</v>
      </c>
      <c r="I614" s="65" t="s">
        <v>12</v>
      </c>
      <c r="J614" s="65" t="s">
        <v>5</v>
      </c>
      <c r="K614" s="65" t="s">
        <v>2031</v>
      </c>
      <c r="L614" s="64" t="s">
        <v>67</v>
      </c>
      <c r="M614" s="58" t="s">
        <v>3</v>
      </c>
      <c r="N614" s="58" t="s">
        <v>2</v>
      </c>
      <c r="O614" s="58">
        <v>80</v>
      </c>
      <c r="P614" s="58">
        <v>0</v>
      </c>
      <c r="Q614" s="58">
        <v>0</v>
      </c>
      <c r="R614" s="58">
        <v>80</v>
      </c>
      <c r="S614" s="58">
        <v>0</v>
      </c>
      <c r="T614" s="58">
        <v>0</v>
      </c>
      <c r="U614" s="58">
        <v>28</v>
      </c>
      <c r="V614" s="62">
        <v>22</v>
      </c>
      <c r="W614" s="62">
        <v>4</v>
      </c>
      <c r="X614" s="63">
        <f>IFERROR(1 -(Master[[#This Row],[Avg Garment Scans per Delivery]]/Master[[#This Row],[Garment Inventory]]), 0)</f>
        <v>0.81818181818181812</v>
      </c>
      <c r="Y614" s="62">
        <v>2</v>
      </c>
      <c r="Z614" s="62">
        <v>22</v>
      </c>
      <c r="AA614" s="53">
        <v>34.720414201183431</v>
      </c>
      <c r="AB614" s="53">
        <v>36.318047337278102</v>
      </c>
      <c r="AC614" s="53">
        <v>37.04763313609466</v>
      </c>
      <c r="AD614" s="53">
        <v>39.206213017751466</v>
      </c>
      <c r="AE614" s="53" t="str">
        <f>_xlfn.XLOOKUP(Master[[#This Row],[cu_id]],'[1]Customer Revenue'!$Q:$Q,'[1]Customer Revenue'!$K:$K, "None")</f>
        <v>None</v>
      </c>
      <c r="AF614" s="53" t="str">
        <f>_xlfn.XLOOKUP(Master[[#This Row],[cu_id]],'[1]Customer Revenue'!$Q:$Q,'[1]Customer Revenue'!$L:$L, "None")</f>
        <v>None</v>
      </c>
      <c r="AG614" s="53">
        <v>34.533950617283949</v>
      </c>
      <c r="AH614" s="53">
        <v>35.521604938271608</v>
      </c>
      <c r="AI614" s="53">
        <v>35.519230769230766</v>
      </c>
      <c r="AJ614" s="53">
        <v>38.126923076923063</v>
      </c>
      <c r="AK614" s="53" t="str">
        <f>_xlfn.XLOOKUP(Master[[#This Row],[cu_id]],'[1]Customer Revenue'!$Q:$Q,'[1]Customer Revenue'!$I:$I, "None")</f>
        <v>None</v>
      </c>
      <c r="AL614" s="53">
        <v>35.027777777777779</v>
      </c>
      <c r="AM614" s="61">
        <v>0.375</v>
      </c>
      <c r="AN614" s="60">
        <v>0.625</v>
      </c>
      <c r="AO614" s="60" t="s">
        <v>36</v>
      </c>
      <c r="AP614" s="60" t="s">
        <v>36</v>
      </c>
      <c r="AQ614" s="58" t="s">
        <v>0</v>
      </c>
      <c r="AR614" s="58"/>
      <c r="AS614" s="58"/>
      <c r="AT614" s="52">
        <v>0</v>
      </c>
      <c r="AU614" s="52">
        <f>IF(Master[[#This Row],[RSP StopTime override]] &lt;&gt; "",Master[[#This Row],[RSP StopTime override]],IF(Master[[#This Row],[Avg stop time helper]] &lt;&gt; 0, Master[[#This Row],[Avg stop time helper]],Average_Stop_Time))</f>
        <v>6</v>
      </c>
      <c r="AV614" s="21">
        <v>6</v>
      </c>
      <c r="AW614" s="20">
        <f>Master[[#This Row],[RSP StopTime override]]-Master[[#This Row],[Avg stop time helper]]</f>
        <v>6</v>
      </c>
    </row>
    <row r="615" spans="1:49" x14ac:dyDescent="0.3">
      <c r="A615" s="66" t="s">
        <v>4670</v>
      </c>
      <c r="B615" s="58">
        <v>50</v>
      </c>
      <c r="C615" s="58" t="s">
        <v>10</v>
      </c>
      <c r="D615" s="65">
        <v>533489</v>
      </c>
      <c r="E615" s="65" t="s">
        <v>42</v>
      </c>
      <c r="F615" s="65" t="s">
        <v>2322</v>
      </c>
      <c r="G615" s="65" t="s">
        <v>2321</v>
      </c>
      <c r="H615" s="65" t="s">
        <v>2320</v>
      </c>
      <c r="I615" s="65" t="s">
        <v>1955</v>
      </c>
      <c r="J615" s="65" t="s">
        <v>5</v>
      </c>
      <c r="K615" s="65" t="s">
        <v>1954</v>
      </c>
      <c r="L615" s="64" t="s">
        <v>67</v>
      </c>
      <c r="M615" s="58" t="s">
        <v>3</v>
      </c>
      <c r="N615" s="58" t="s">
        <v>2</v>
      </c>
      <c r="O615" s="58">
        <v>25</v>
      </c>
      <c r="P615" s="58">
        <v>0</v>
      </c>
      <c r="Q615" s="58">
        <v>0</v>
      </c>
      <c r="R615" s="58">
        <v>25</v>
      </c>
      <c r="S615" s="58">
        <v>0</v>
      </c>
      <c r="T615" s="58">
        <v>0</v>
      </c>
      <c r="U615" s="58">
        <v>28</v>
      </c>
      <c r="V615" s="62"/>
      <c r="W615" s="62"/>
      <c r="X615" s="63">
        <f>IFERROR(1 -(Master[[#This Row],[Avg Garment Scans per Delivery]]/Master[[#This Row],[Garment Inventory]]), 0)</f>
        <v>0</v>
      </c>
      <c r="Y615" s="62"/>
      <c r="Z615" s="62"/>
      <c r="AA615" s="53">
        <v>149.78917159763316</v>
      </c>
      <c r="AB615" s="53">
        <v>163.19390532544381</v>
      </c>
      <c r="AC615" s="53">
        <v>147.02806122448979</v>
      </c>
      <c r="AD615" s="53">
        <v>226.23193877551014</v>
      </c>
      <c r="AE615" s="53" t="str">
        <f>_xlfn.XLOOKUP(Master[[#This Row],[cu_id]],'[1]Customer Revenue'!$Q:$Q,'[1]Customer Revenue'!$K:$K, "None")</f>
        <v>None</v>
      </c>
      <c r="AF615" s="53" t="str">
        <f>_xlfn.XLOOKUP(Master[[#This Row],[cu_id]],'[1]Customer Revenue'!$Q:$Q,'[1]Customer Revenue'!$L:$L, "None")</f>
        <v>None</v>
      </c>
      <c r="AG615" s="53">
        <v>77.893125000000026</v>
      </c>
      <c r="AH615" s="53">
        <v>172.33937500000002</v>
      </c>
      <c r="AI615" s="53">
        <v>156.49153846153848</v>
      </c>
      <c r="AJ615" s="53">
        <v>186.62999999999997</v>
      </c>
      <c r="AK615" s="53" t="str">
        <f>_xlfn.XLOOKUP(Master[[#This Row],[cu_id]],'[1]Customer Revenue'!$Q:$Q,'[1]Customer Revenue'!$I:$I, "None")</f>
        <v>None</v>
      </c>
      <c r="AL615" s="53">
        <v>125.11625000000002</v>
      </c>
      <c r="AM615" s="61">
        <v>0.375</v>
      </c>
      <c r="AN615" s="60">
        <v>0.66666666666666663</v>
      </c>
      <c r="AO615" s="60" t="s">
        <v>36</v>
      </c>
      <c r="AP615" s="60" t="s">
        <v>36</v>
      </c>
      <c r="AQ615" s="58" t="s">
        <v>0</v>
      </c>
      <c r="AR615" s="58"/>
      <c r="AS615" s="58"/>
      <c r="AT615" s="52">
        <v>0</v>
      </c>
      <c r="AU615" s="52">
        <f>IF(Master[[#This Row],[RSP StopTime override]] &lt;&gt; "",Master[[#This Row],[RSP StopTime override]],IF(Master[[#This Row],[Avg stop time helper]] &lt;&gt; 0, Master[[#This Row],[Avg stop time helper]],Average_Stop_Time))</f>
        <v>2</v>
      </c>
      <c r="AV615" s="21">
        <v>2</v>
      </c>
      <c r="AW615" s="20">
        <f>Master[[#This Row],[RSP StopTime override]]-Master[[#This Row],[Avg stop time helper]]</f>
        <v>2</v>
      </c>
    </row>
    <row r="616" spans="1:49" x14ac:dyDescent="0.3">
      <c r="A616" s="66" t="s">
        <v>2941</v>
      </c>
      <c r="B616" s="58">
        <v>12</v>
      </c>
      <c r="C616" s="58" t="s">
        <v>10</v>
      </c>
      <c r="D616" s="65">
        <v>524081</v>
      </c>
      <c r="E616" s="65" t="s">
        <v>42</v>
      </c>
      <c r="F616" s="65" t="s">
        <v>56</v>
      </c>
      <c r="G616" s="65" t="s">
        <v>55</v>
      </c>
      <c r="H616" s="65" t="s">
        <v>32</v>
      </c>
      <c r="I616" s="65" t="s">
        <v>54</v>
      </c>
      <c r="J616" s="65" t="s">
        <v>5</v>
      </c>
      <c r="K616" s="65" t="s">
        <v>53</v>
      </c>
      <c r="L616" s="64" t="s">
        <v>37</v>
      </c>
      <c r="M616" s="58" t="s">
        <v>3</v>
      </c>
      <c r="N616" s="58" t="s">
        <v>2</v>
      </c>
      <c r="O616" s="58">
        <v>23</v>
      </c>
      <c r="P616" s="58">
        <v>23</v>
      </c>
      <c r="Q616" s="58">
        <v>0</v>
      </c>
      <c r="R616" s="58">
        <v>23</v>
      </c>
      <c r="S616" s="58">
        <v>0</v>
      </c>
      <c r="T616" s="58">
        <v>20</v>
      </c>
      <c r="U616" s="58">
        <v>231</v>
      </c>
      <c r="V616" s="62"/>
      <c r="W616" s="62"/>
      <c r="X616" s="63">
        <f>IFERROR(1 -(Master[[#This Row],[Avg Garment Scans per Delivery]]/Master[[#This Row],[Garment Inventory]]), 0)</f>
        <v>0</v>
      </c>
      <c r="Y616" s="62"/>
      <c r="Z616" s="62"/>
      <c r="AA616" s="53"/>
      <c r="AB616" s="53"/>
      <c r="AC616" s="53"/>
      <c r="AD616" s="53"/>
      <c r="AE616" s="53"/>
      <c r="AF616" s="53"/>
      <c r="AG616" s="53"/>
      <c r="AH616" s="53"/>
      <c r="AI616" s="53"/>
      <c r="AJ616" s="53">
        <v>1108.616153846154</v>
      </c>
      <c r="AK616" s="53">
        <v>1127</v>
      </c>
      <c r="AL616" s="53">
        <v>515.93000000000006</v>
      </c>
      <c r="AM616" s="61">
        <v>0.29166666666666669</v>
      </c>
      <c r="AN616" s="60">
        <v>0.70833333333333337</v>
      </c>
      <c r="AO616" s="60" t="s">
        <v>36</v>
      </c>
      <c r="AP616" s="60" t="s">
        <v>36</v>
      </c>
      <c r="AQ616" s="58" t="s">
        <v>0</v>
      </c>
      <c r="AR616" s="58"/>
      <c r="AS616" s="58"/>
      <c r="AT616" s="52">
        <v>0</v>
      </c>
      <c r="AU616" s="52" t="e">
        <f>IF(Master[[#This Row],[RSP StopTime override]] &lt;&gt; "",Master[[#This Row],[RSP StopTime override]],IF(Master[[#This Row],[Avg stop time helper]] &lt;&gt; 0, Master[[#This Row],[Avg stop time helper]],Average_Stop_Time))</f>
        <v>#DIV/0!</v>
      </c>
      <c r="AV616" s="21"/>
      <c r="AW616" s="20">
        <f>Master[[#This Row],[RSP StopTime override]]-Master[[#This Row],[Avg stop time helper]]</f>
        <v>0</v>
      </c>
    </row>
    <row r="617" spans="1:49" x14ac:dyDescent="0.3">
      <c r="A617" s="66" t="s">
        <v>4671</v>
      </c>
      <c r="B617" s="58">
        <v>50</v>
      </c>
      <c r="C617" s="58" t="s">
        <v>43</v>
      </c>
      <c r="D617" s="65">
        <v>532686</v>
      </c>
      <c r="E617" s="65" t="s">
        <v>42</v>
      </c>
      <c r="F617" s="65" t="s">
        <v>2262</v>
      </c>
      <c r="G617" s="65" t="s">
        <v>2261</v>
      </c>
      <c r="H617" s="65" t="s">
        <v>2260</v>
      </c>
      <c r="I617" s="65" t="s">
        <v>2252</v>
      </c>
      <c r="J617" s="65" t="s">
        <v>5</v>
      </c>
      <c r="K617" s="65" t="s">
        <v>2251</v>
      </c>
      <c r="L617" s="64" t="s">
        <v>67</v>
      </c>
      <c r="M617" s="58" t="s">
        <v>3</v>
      </c>
      <c r="N617" s="58" t="s">
        <v>2</v>
      </c>
      <c r="O617" s="58">
        <v>35</v>
      </c>
      <c r="P617" s="58">
        <v>0</v>
      </c>
      <c r="Q617" s="58">
        <v>0</v>
      </c>
      <c r="R617" s="58">
        <v>0</v>
      </c>
      <c r="S617" s="58">
        <v>35</v>
      </c>
      <c r="T617" s="58">
        <v>0</v>
      </c>
      <c r="U617" s="58">
        <v>51</v>
      </c>
      <c r="V617" s="62">
        <v>33</v>
      </c>
      <c r="W617" s="62"/>
      <c r="X617" s="63">
        <f>IFERROR(1 -(Master[[#This Row],[Avg Garment Scans per Delivery]]/Master[[#This Row],[Garment Inventory]]), 0)</f>
        <v>1</v>
      </c>
      <c r="Y617" s="62">
        <v>2</v>
      </c>
      <c r="Z617" s="62">
        <v>33</v>
      </c>
      <c r="AA617" s="53">
        <v>46.531420118343199</v>
      </c>
      <c r="AB617" s="53">
        <v>56.113195266272207</v>
      </c>
      <c r="AC617" s="53">
        <v>54.157988165680472</v>
      </c>
      <c r="AD617" s="53">
        <v>64.275857988165683</v>
      </c>
      <c r="AE617" s="53" t="str">
        <f>_xlfn.XLOOKUP(Master[[#This Row],[cu_id]],'[1]Customer Revenue'!$Q:$Q,'[1]Customer Revenue'!$K:$K, "None")</f>
        <v>None</v>
      </c>
      <c r="AF617" s="53" t="str">
        <f>_xlfn.XLOOKUP(Master[[#This Row],[cu_id]],'[1]Customer Revenue'!$Q:$Q,'[1]Customer Revenue'!$L:$L, "None")</f>
        <v>None</v>
      </c>
      <c r="AG617" s="53">
        <v>47.09504801097394</v>
      </c>
      <c r="AH617" s="53">
        <v>55.984211248285348</v>
      </c>
      <c r="AI617" s="53">
        <v>51.322307692307703</v>
      </c>
      <c r="AJ617" s="53">
        <v>59.216923076923081</v>
      </c>
      <c r="AK617" s="53" t="str">
        <f>_xlfn.XLOOKUP(Master[[#This Row],[cu_id]],'[1]Customer Revenue'!$Q:$Q,'[1]Customer Revenue'!$I:$I, "None")</f>
        <v>None</v>
      </c>
      <c r="AL617" s="53">
        <v>51.539629629629644</v>
      </c>
      <c r="AM617" s="61">
        <v>0.375</v>
      </c>
      <c r="AN617" s="60">
        <v>0.66666666666666663</v>
      </c>
      <c r="AO617" s="60" t="s">
        <v>36</v>
      </c>
      <c r="AP617" s="60" t="s">
        <v>36</v>
      </c>
      <c r="AQ617" s="58" t="s">
        <v>0</v>
      </c>
      <c r="AR617" s="58"/>
      <c r="AS617" s="58"/>
      <c r="AT617" s="52">
        <v>0</v>
      </c>
      <c r="AU617" s="52">
        <f>IF(Master[[#This Row],[RSP StopTime override]] &lt;&gt; "",Master[[#This Row],[RSP StopTime override]],IF(Master[[#This Row],[Avg stop time helper]] &lt;&gt; 0, Master[[#This Row],[Avg stop time helper]],Average_Stop_Time))</f>
        <v>7</v>
      </c>
      <c r="AV617" s="21">
        <v>7</v>
      </c>
      <c r="AW617" s="20">
        <f>Master[[#This Row],[RSP StopTime override]]-Master[[#This Row],[Avg stop time helper]]</f>
        <v>7</v>
      </c>
    </row>
    <row r="618" spans="1:49" x14ac:dyDescent="0.3">
      <c r="A618" s="66" t="s">
        <v>4672</v>
      </c>
      <c r="B618" s="58">
        <v>50</v>
      </c>
      <c r="C618" s="58" t="s">
        <v>15</v>
      </c>
      <c r="D618" s="65">
        <v>528860</v>
      </c>
      <c r="E618" s="65" t="s">
        <v>42</v>
      </c>
      <c r="F618" s="65" t="s">
        <v>2217</v>
      </c>
      <c r="G618" s="65" t="s">
        <v>2216</v>
      </c>
      <c r="H618" s="65" t="s">
        <v>32</v>
      </c>
      <c r="I618" s="65" t="s">
        <v>12</v>
      </c>
      <c r="J618" s="65" t="s">
        <v>5</v>
      </c>
      <c r="K618" s="65" t="s">
        <v>2215</v>
      </c>
      <c r="L618" s="64" t="s">
        <v>67</v>
      </c>
      <c r="M618" s="58" t="s">
        <v>3</v>
      </c>
      <c r="N618" s="58" t="s">
        <v>2</v>
      </c>
      <c r="O618" s="58">
        <v>123</v>
      </c>
      <c r="P618" s="58">
        <v>0</v>
      </c>
      <c r="Q618" s="58">
        <v>0</v>
      </c>
      <c r="R618" s="58">
        <v>0</v>
      </c>
      <c r="S618" s="58">
        <v>0</v>
      </c>
      <c r="T618" s="58">
        <v>123</v>
      </c>
      <c r="U618" s="58">
        <v>52</v>
      </c>
      <c r="V618" s="62">
        <v>81</v>
      </c>
      <c r="W618" s="62">
        <v>21</v>
      </c>
      <c r="X618" s="63">
        <f>IFERROR(1 -(Master[[#This Row],[Avg Garment Scans per Delivery]]/Master[[#This Row],[Garment Inventory]]), 0)</f>
        <v>0.7407407407407407</v>
      </c>
      <c r="Y618" s="62">
        <v>3</v>
      </c>
      <c r="Z618" s="62">
        <v>82</v>
      </c>
      <c r="AA618" s="53">
        <v>69.694999999999993</v>
      </c>
      <c r="AB618" s="53">
        <v>191.78166666666664</v>
      </c>
      <c r="AC618" s="53">
        <v>60.926860282574566</v>
      </c>
      <c r="AD618" s="53">
        <v>198.50237048665616</v>
      </c>
      <c r="AE618" s="53" t="str">
        <f>_xlfn.XLOOKUP(Master[[#This Row],[cu_id]],'[1]Customer Revenue'!$Q:$Q,'[1]Customer Revenue'!$K:$K, "None")</f>
        <v>None</v>
      </c>
      <c r="AF618" s="53" t="str">
        <f>_xlfn.XLOOKUP(Master[[#This Row],[cu_id]],'[1]Customer Revenue'!$Q:$Q,'[1]Customer Revenue'!$L:$L, "None")</f>
        <v>None</v>
      </c>
      <c r="AG618" s="53">
        <v>67.896568047337297</v>
      </c>
      <c r="AH618" s="53">
        <v>179.23420118343196</v>
      </c>
      <c r="AI618" s="53">
        <v>130.73833333333332</v>
      </c>
      <c r="AJ618" s="53">
        <v>129.71461538461537</v>
      </c>
      <c r="AK618" s="53" t="str">
        <f>_xlfn.XLOOKUP(Master[[#This Row],[cu_id]],'[1]Customer Revenue'!$Q:$Q,'[1]Customer Revenue'!$I:$I, "None")</f>
        <v>None</v>
      </c>
      <c r="AL618" s="53">
        <v>123.56538461538463</v>
      </c>
      <c r="AM618" s="61">
        <v>0.375</v>
      </c>
      <c r="AN618" s="60">
        <v>0.875</v>
      </c>
      <c r="AO618" s="60" t="s">
        <v>36</v>
      </c>
      <c r="AP618" s="60" t="s">
        <v>36</v>
      </c>
      <c r="AQ618" s="58" t="s">
        <v>0</v>
      </c>
      <c r="AR618" s="58"/>
      <c r="AS618" s="58"/>
      <c r="AT618" s="52">
        <v>0</v>
      </c>
      <c r="AU618" s="52">
        <f>IF(Master[[#This Row],[RSP StopTime override]] &lt;&gt; "",Master[[#This Row],[RSP StopTime override]],IF(Master[[#This Row],[Avg stop time helper]] &lt;&gt; 0, Master[[#This Row],[Avg stop time helper]],Average_Stop_Time))</f>
        <v>15</v>
      </c>
      <c r="AV618" s="21">
        <v>15</v>
      </c>
      <c r="AW618" s="20">
        <f>Master[[#This Row],[RSP StopTime override]]-Master[[#This Row],[Avg stop time helper]]</f>
        <v>15</v>
      </c>
    </row>
    <row r="619" spans="1:49" x14ac:dyDescent="0.3">
      <c r="A619" s="66" t="s">
        <v>4673</v>
      </c>
      <c r="B619" s="58">
        <v>50</v>
      </c>
      <c r="C619" s="58" t="s">
        <v>15</v>
      </c>
      <c r="D619" s="65">
        <v>532991</v>
      </c>
      <c r="E619" s="65" t="s">
        <v>42</v>
      </c>
      <c r="F619" s="65" t="s">
        <v>2195</v>
      </c>
      <c r="G619" s="65" t="s">
        <v>2194</v>
      </c>
      <c r="H619" s="65" t="s">
        <v>7</v>
      </c>
      <c r="I619" s="65" t="s">
        <v>1920</v>
      </c>
      <c r="J619" s="65" t="s">
        <v>5</v>
      </c>
      <c r="K619" s="65" t="s">
        <v>1919</v>
      </c>
      <c r="L619" s="64" t="s">
        <v>77</v>
      </c>
      <c r="M619" s="58" t="s">
        <v>29</v>
      </c>
      <c r="N619" s="58" t="s">
        <v>2</v>
      </c>
      <c r="O619" s="58">
        <v>120</v>
      </c>
      <c r="P619" s="58">
        <v>0</v>
      </c>
      <c r="Q619" s="58">
        <v>0</v>
      </c>
      <c r="R619" s="58">
        <v>0</v>
      </c>
      <c r="S619" s="58">
        <v>0</v>
      </c>
      <c r="T619" s="58">
        <v>120</v>
      </c>
      <c r="U619" s="58">
        <v>22</v>
      </c>
      <c r="V619" s="62"/>
      <c r="W619" s="62"/>
      <c r="X619" s="63">
        <f>IFERROR(1 -(Master[[#This Row],[Avg Garment Scans per Delivery]]/Master[[#This Row],[Garment Inventory]]), 0)</f>
        <v>0</v>
      </c>
      <c r="Y619" s="62"/>
      <c r="Z619" s="62"/>
      <c r="AA619" s="53">
        <v>34.637222222222221</v>
      </c>
      <c r="AB619" s="53">
        <v>64.279444444444451</v>
      </c>
      <c r="AC619" s="53">
        <v>42.143333333333331</v>
      </c>
      <c r="AD619" s="53">
        <v>77.069999999999993</v>
      </c>
      <c r="AE619" s="53" t="str">
        <f>_xlfn.XLOOKUP(Master[[#This Row],[cu_id]],'[1]Customer Revenue'!$Q:$Q,'[1]Customer Revenue'!$K:$K, "None")</f>
        <v>None</v>
      </c>
      <c r="AF619" s="53" t="str">
        <f>_xlfn.XLOOKUP(Master[[#This Row],[cu_id]],'[1]Customer Revenue'!$Q:$Q,'[1]Customer Revenue'!$L:$L, "None")</f>
        <v>None</v>
      </c>
      <c r="AG619" s="53">
        <v>36.577654320987662</v>
      </c>
      <c r="AH619" s="53">
        <v>69.624567901234585</v>
      </c>
      <c r="AI619" s="53">
        <v>49.458333333333336</v>
      </c>
      <c r="AJ619" s="53">
        <v>59.606666666666662</v>
      </c>
      <c r="AK619" s="53" t="str">
        <f>_xlfn.XLOOKUP(Master[[#This Row],[cu_id]],'[1]Customer Revenue'!$Q:$Q,'[1]Customer Revenue'!$I:$I, "None")</f>
        <v>None</v>
      </c>
      <c r="AL619" s="53">
        <v>53.101111111111123</v>
      </c>
      <c r="AM619" s="61">
        <v>0.375</v>
      </c>
      <c r="AN619" s="60">
        <v>0.75</v>
      </c>
      <c r="AO619" s="60" t="s">
        <v>36</v>
      </c>
      <c r="AP619" s="60" t="s">
        <v>36</v>
      </c>
      <c r="AQ619" s="58" t="s">
        <v>0</v>
      </c>
      <c r="AR619" s="58"/>
      <c r="AS619" s="58"/>
      <c r="AT619" s="52">
        <v>0</v>
      </c>
      <c r="AU619" s="52">
        <f>IF(Master[[#This Row],[RSP StopTime override]] &lt;&gt; "",Master[[#This Row],[RSP StopTime override]],IF(Master[[#This Row],[Avg stop time helper]] &lt;&gt; 0, Master[[#This Row],[Avg stop time helper]],Average_Stop_Time))</f>
        <v>5</v>
      </c>
      <c r="AV619" s="21">
        <v>5</v>
      </c>
      <c r="AW619" s="20">
        <f>Master[[#This Row],[RSP StopTime override]]-Master[[#This Row],[Avg stop time helper]]</f>
        <v>5</v>
      </c>
    </row>
    <row r="620" spans="1:49" x14ac:dyDescent="0.3">
      <c r="A620" s="73" t="s">
        <v>4674</v>
      </c>
      <c r="B620" s="64">
        <v>50</v>
      </c>
      <c r="C620" s="64" t="s">
        <v>15</v>
      </c>
      <c r="D620" s="65">
        <v>533601</v>
      </c>
      <c r="E620" s="65" t="s">
        <v>42</v>
      </c>
      <c r="F620" s="65" t="s">
        <v>2186</v>
      </c>
      <c r="G620" s="65" t="s">
        <v>2185</v>
      </c>
      <c r="H620" s="65" t="s">
        <v>7</v>
      </c>
      <c r="I620" s="65" t="s">
        <v>2184</v>
      </c>
      <c r="J620" s="65" t="s">
        <v>5</v>
      </c>
      <c r="K620" s="65" t="s">
        <v>53</v>
      </c>
      <c r="L620" s="64" t="s">
        <v>91</v>
      </c>
      <c r="M620" s="65" t="s">
        <v>90</v>
      </c>
      <c r="N620" s="65" t="s">
        <v>2</v>
      </c>
      <c r="O620" s="65">
        <v>1</v>
      </c>
      <c r="P620" s="65">
        <v>0</v>
      </c>
      <c r="Q620" s="65">
        <v>0</v>
      </c>
      <c r="R620" s="65">
        <v>0</v>
      </c>
      <c r="S620" s="65">
        <v>0</v>
      </c>
      <c r="T620" s="65">
        <v>1</v>
      </c>
      <c r="U620" s="65">
        <v>5</v>
      </c>
      <c r="V620" s="65"/>
      <c r="W620" s="65"/>
      <c r="X620" s="72">
        <f>IFERROR(1 -(Master[[#This Row],[Avg Garment Scans per Delivery]]/Master[[#This Row],[Garment Inventory]]), 0)</f>
        <v>0</v>
      </c>
      <c r="Y620" s="65"/>
      <c r="Z620" s="65"/>
      <c r="AA620" s="53">
        <v>60</v>
      </c>
      <c r="AB620" s="53">
        <v>94</v>
      </c>
      <c r="AC620" s="53">
        <v>60</v>
      </c>
      <c r="AD620" s="53">
        <v>94</v>
      </c>
      <c r="AE620" s="53" t="str">
        <f>_xlfn.XLOOKUP(Master[[#This Row],[cu_id]],'[1]Customer Revenue'!$Q:$Q,'[1]Customer Revenue'!$K:$K, "None")</f>
        <v>None</v>
      </c>
      <c r="AF620" s="53" t="str">
        <f>_xlfn.XLOOKUP(Master[[#This Row],[cu_id]],'[1]Customer Revenue'!$Q:$Q,'[1]Customer Revenue'!$L:$L, "None")</f>
        <v>None</v>
      </c>
      <c r="AG620" s="53">
        <v>60</v>
      </c>
      <c r="AH620" s="53">
        <v>94</v>
      </c>
      <c r="AI620" s="53">
        <v>70</v>
      </c>
      <c r="AJ620" s="53">
        <v>70</v>
      </c>
      <c r="AK620" s="53" t="str">
        <f>_xlfn.XLOOKUP(Master[[#This Row],[cu_id]],'[1]Customer Revenue'!$Q:$Q,'[1]Customer Revenue'!$I:$I, "None")</f>
        <v>None</v>
      </c>
      <c r="AL620" s="53">
        <v>70</v>
      </c>
      <c r="AM620" s="71" t="s">
        <v>1</v>
      </c>
      <c r="AN620" s="71" t="s">
        <v>1</v>
      </c>
      <c r="AO620" s="71" t="s">
        <v>36</v>
      </c>
      <c r="AP620" s="71" t="s">
        <v>36</v>
      </c>
      <c r="AQ620" s="64" t="s">
        <v>0</v>
      </c>
      <c r="AR620" s="64"/>
      <c r="AS620" s="65"/>
      <c r="AT620" s="52">
        <v>0</v>
      </c>
      <c r="AU620" s="52">
        <f>IF(Master[[#This Row],[RSP StopTime override]] &lt;&gt; "",Master[[#This Row],[RSP StopTime override]],IF(Master[[#This Row],[Avg stop time helper]] &lt;&gt; 0, Master[[#This Row],[Avg stop time helper]],Average_Stop_Time))</f>
        <v>5</v>
      </c>
      <c r="AV620" s="21">
        <v>5</v>
      </c>
      <c r="AW620" s="20">
        <f>Master[[#This Row],[RSP StopTime override]]-Master[[#This Row],[Avg stop time helper]]</f>
        <v>5</v>
      </c>
    </row>
    <row r="621" spans="1:49" x14ac:dyDescent="0.3">
      <c r="A621" s="66" t="s">
        <v>4675</v>
      </c>
      <c r="B621" s="58">
        <v>50</v>
      </c>
      <c r="C621" s="58" t="s">
        <v>15</v>
      </c>
      <c r="D621" s="65">
        <v>519572</v>
      </c>
      <c r="E621" s="65" t="s">
        <v>42</v>
      </c>
      <c r="F621" s="65" t="s">
        <v>2223</v>
      </c>
      <c r="G621" s="65" t="s">
        <v>2222</v>
      </c>
      <c r="H621" s="65" t="s">
        <v>32</v>
      </c>
      <c r="I621" s="65" t="s">
        <v>2221</v>
      </c>
      <c r="J621" s="65" t="s">
        <v>5</v>
      </c>
      <c r="K621" s="65" t="s">
        <v>1919</v>
      </c>
      <c r="L621" s="64" t="s">
        <v>67</v>
      </c>
      <c r="M621" s="58" t="s">
        <v>3</v>
      </c>
      <c r="N621" s="58" t="s">
        <v>2</v>
      </c>
      <c r="O621" s="58">
        <v>115</v>
      </c>
      <c r="P621" s="58">
        <v>0</v>
      </c>
      <c r="Q621" s="58">
        <v>0</v>
      </c>
      <c r="R621" s="58">
        <v>0</v>
      </c>
      <c r="S621" s="58">
        <v>0</v>
      </c>
      <c r="T621" s="58">
        <v>115</v>
      </c>
      <c r="U621" s="58">
        <v>46</v>
      </c>
      <c r="V621" s="62">
        <v>11</v>
      </c>
      <c r="W621" s="62">
        <v>1</v>
      </c>
      <c r="X621" s="63">
        <f>IFERROR(1 -(Master[[#This Row],[Avg Garment Scans per Delivery]]/Master[[#This Row],[Garment Inventory]]), 0)</f>
        <v>0.90909090909090906</v>
      </c>
      <c r="Y621" s="62">
        <v>1</v>
      </c>
      <c r="Z621" s="62">
        <v>11</v>
      </c>
      <c r="AA621" s="53">
        <v>38.138390532544378</v>
      </c>
      <c r="AB621" s="53">
        <v>80.125609467455632</v>
      </c>
      <c r="AC621" s="53">
        <v>30.439367346938774</v>
      </c>
      <c r="AD621" s="53">
        <v>77.662632653061223</v>
      </c>
      <c r="AE621" s="53" t="str">
        <f>_xlfn.XLOOKUP(Master[[#This Row],[cu_id]],'[1]Customer Revenue'!$Q:$Q,'[1]Customer Revenue'!$K:$K, "None")</f>
        <v>None</v>
      </c>
      <c r="AF621" s="53" t="str">
        <f>_xlfn.XLOOKUP(Master[[#This Row],[cu_id]],'[1]Customer Revenue'!$Q:$Q,'[1]Customer Revenue'!$L:$L, "None")</f>
        <v>None</v>
      </c>
      <c r="AG621" s="53">
        <v>40.363031839954907</v>
      </c>
      <c r="AH621" s="53">
        <v>76.741730064807001</v>
      </c>
      <c r="AI621" s="53">
        <v>59.132000000000005</v>
      </c>
      <c r="AJ621" s="53">
        <v>54.051000000000002</v>
      </c>
      <c r="AK621" s="53" t="str">
        <f>_xlfn.XLOOKUP(Master[[#This Row],[cu_id]],'[1]Customer Revenue'!$Q:$Q,'[1]Customer Revenue'!$I:$I, "None")</f>
        <v>None</v>
      </c>
      <c r="AL621" s="53">
        <v>58.55238095238095</v>
      </c>
      <c r="AM621" s="61">
        <v>0.4375</v>
      </c>
      <c r="AN621" s="60">
        <v>0.9375</v>
      </c>
      <c r="AO621" s="60" t="s">
        <v>36</v>
      </c>
      <c r="AP621" s="60" t="s">
        <v>36</v>
      </c>
      <c r="AQ621" s="58" t="s">
        <v>0</v>
      </c>
      <c r="AR621" s="58"/>
      <c r="AS621" s="58"/>
      <c r="AT621" s="52">
        <v>0</v>
      </c>
      <c r="AU621" s="52">
        <f>IF(Master[[#This Row],[RSP StopTime override]] &lt;&gt; "",Master[[#This Row],[RSP StopTime override]],IF(Master[[#This Row],[Avg stop time helper]] &lt;&gt; 0, Master[[#This Row],[Avg stop time helper]],Average_Stop_Time))</f>
        <v>7</v>
      </c>
      <c r="AV621" s="21">
        <v>7</v>
      </c>
      <c r="AW621" s="20">
        <f>Master[[#This Row],[RSP StopTime override]]-Master[[#This Row],[Avg stop time helper]]</f>
        <v>7</v>
      </c>
    </row>
    <row r="622" spans="1:49" x14ac:dyDescent="0.3">
      <c r="A622" s="66" t="s">
        <v>4676</v>
      </c>
      <c r="B622" s="58">
        <v>50</v>
      </c>
      <c r="C622" s="58" t="s">
        <v>15</v>
      </c>
      <c r="D622" s="65">
        <v>532124</v>
      </c>
      <c r="E622" s="65" t="s">
        <v>42</v>
      </c>
      <c r="F622" s="65" t="s">
        <v>2206</v>
      </c>
      <c r="G622" s="65" t="s">
        <v>2205</v>
      </c>
      <c r="H622" s="65" t="s">
        <v>7</v>
      </c>
      <c r="I622" s="65" t="s">
        <v>2204</v>
      </c>
      <c r="J622" s="65" t="s">
        <v>5</v>
      </c>
      <c r="K622" s="65" t="s">
        <v>2203</v>
      </c>
      <c r="L622" s="64" t="s">
        <v>67</v>
      </c>
      <c r="M622" s="58" t="s">
        <v>3</v>
      </c>
      <c r="N622" s="58" t="s">
        <v>2</v>
      </c>
      <c r="O622" s="58">
        <v>75</v>
      </c>
      <c r="P622" s="58">
        <v>0</v>
      </c>
      <c r="Q622" s="58">
        <v>0</v>
      </c>
      <c r="R622" s="58">
        <v>0</v>
      </c>
      <c r="S622" s="58">
        <v>0</v>
      </c>
      <c r="T622" s="58">
        <v>75</v>
      </c>
      <c r="U622" s="58">
        <v>50</v>
      </c>
      <c r="V622" s="62"/>
      <c r="W622" s="62"/>
      <c r="X622" s="63">
        <f>IFERROR(1 -(Master[[#This Row],[Avg Garment Scans per Delivery]]/Master[[#This Row],[Garment Inventory]]), 0)</f>
        <v>0</v>
      </c>
      <c r="Y622" s="62"/>
      <c r="Z622" s="62"/>
      <c r="AA622" s="53">
        <v>91.009393939393931</v>
      </c>
      <c r="AB622" s="53">
        <v>143.25606060606063</v>
      </c>
      <c r="AC622" s="53">
        <v>104.31059171597634</v>
      </c>
      <c r="AD622" s="53">
        <v>107.93094674556214</v>
      </c>
      <c r="AE622" s="53" t="str">
        <f>_xlfn.XLOOKUP(Master[[#This Row],[cu_id]],'[1]Customer Revenue'!$Q:$Q,'[1]Customer Revenue'!$K:$K, "None")</f>
        <v>None</v>
      </c>
      <c r="AF622" s="53" t="str">
        <f>_xlfn.XLOOKUP(Master[[#This Row],[cu_id]],'[1]Customer Revenue'!$Q:$Q,'[1]Customer Revenue'!$L:$L, "None")</f>
        <v>None</v>
      </c>
      <c r="AG622" s="53">
        <v>100.6960366666667</v>
      </c>
      <c r="AH622" s="53">
        <v>128.14979666666667</v>
      </c>
      <c r="AI622" s="53">
        <v>117.13272727272728</v>
      </c>
      <c r="AJ622" s="53">
        <v>106.12076923076924</v>
      </c>
      <c r="AK622" s="53" t="str">
        <f>_xlfn.XLOOKUP(Master[[#This Row],[cu_id]],'[1]Customer Revenue'!$Q:$Q,'[1]Customer Revenue'!$I:$I, "None")</f>
        <v>None</v>
      </c>
      <c r="AL622" s="53">
        <v>114.42291666666669</v>
      </c>
      <c r="AM622" s="61">
        <v>0.3125</v>
      </c>
      <c r="AN622" s="60">
        <v>0.58333333333333337</v>
      </c>
      <c r="AO622" s="60" t="s">
        <v>36</v>
      </c>
      <c r="AP622" s="60" t="s">
        <v>36</v>
      </c>
      <c r="AQ622" s="58" t="s">
        <v>0</v>
      </c>
      <c r="AR622" s="58"/>
      <c r="AS622" s="58"/>
      <c r="AT622" s="52">
        <v>0</v>
      </c>
      <c r="AU622" s="52">
        <f>IF(Master[[#This Row],[RSP StopTime override]] &lt;&gt; "",Master[[#This Row],[RSP StopTime override]],IF(Master[[#This Row],[Avg stop time helper]] &lt;&gt; 0, Master[[#This Row],[Avg stop time helper]],Average_Stop_Time))</f>
        <v>15</v>
      </c>
      <c r="AV622" s="21">
        <v>15</v>
      </c>
      <c r="AW622" s="20">
        <f>Master[[#This Row],[RSP StopTime override]]-Master[[#This Row],[Avg stop time helper]]</f>
        <v>15</v>
      </c>
    </row>
    <row r="623" spans="1:49" x14ac:dyDescent="0.3">
      <c r="A623" s="66" t="s">
        <v>4677</v>
      </c>
      <c r="B623" s="58">
        <v>50</v>
      </c>
      <c r="C623" s="58" t="s">
        <v>43</v>
      </c>
      <c r="D623" s="65">
        <v>518970</v>
      </c>
      <c r="E623" s="65" t="s">
        <v>42</v>
      </c>
      <c r="F623" s="65" t="s">
        <v>2289</v>
      </c>
      <c r="G623" s="65" t="s">
        <v>2288</v>
      </c>
      <c r="H623" s="65" t="s">
        <v>32</v>
      </c>
      <c r="I623" s="65" t="s">
        <v>2284</v>
      </c>
      <c r="J623" s="65" t="s">
        <v>5</v>
      </c>
      <c r="K623" s="65" t="s">
        <v>2287</v>
      </c>
      <c r="L623" s="64" t="s">
        <v>67</v>
      </c>
      <c r="M623" s="58" t="s">
        <v>3</v>
      </c>
      <c r="N623" s="58" t="s">
        <v>2</v>
      </c>
      <c r="O623" s="58">
        <v>5</v>
      </c>
      <c r="P623" s="58">
        <v>0</v>
      </c>
      <c r="Q623" s="58">
        <v>0</v>
      </c>
      <c r="R623" s="58">
        <v>0</v>
      </c>
      <c r="S623" s="58">
        <v>5</v>
      </c>
      <c r="T623" s="58">
        <v>0</v>
      </c>
      <c r="U623" s="58">
        <v>53</v>
      </c>
      <c r="V623" s="62"/>
      <c r="W623" s="62"/>
      <c r="X623" s="63">
        <f>IFERROR(1 -(Master[[#This Row],[Avg Garment Scans per Delivery]]/Master[[#This Row],[Garment Inventory]]), 0)</f>
        <v>0</v>
      </c>
      <c r="Y623" s="62"/>
      <c r="Z623" s="62"/>
      <c r="AA623" s="53">
        <v>179.94792899408282</v>
      </c>
      <c r="AB623" s="53">
        <v>232.15976331360946</v>
      </c>
      <c r="AC623" s="53">
        <v>190.4228402366864</v>
      </c>
      <c r="AD623" s="53">
        <v>210.93408284023673</v>
      </c>
      <c r="AE623" s="53" t="str">
        <f>_xlfn.XLOOKUP(Master[[#This Row],[cu_id]],'[1]Customer Revenue'!$Q:$Q,'[1]Customer Revenue'!$K:$K, "None")</f>
        <v>None</v>
      </c>
      <c r="AF623" s="53" t="str">
        <f>_xlfn.XLOOKUP(Master[[#This Row],[cu_id]],'[1]Customer Revenue'!$Q:$Q,'[1]Customer Revenue'!$L:$L, "None")</f>
        <v>None</v>
      </c>
      <c r="AG623" s="53">
        <v>180.31999999999988</v>
      </c>
      <c r="AH623" s="53">
        <v>296.59999999999991</v>
      </c>
      <c r="AI623" s="53">
        <v>206.05384615384614</v>
      </c>
      <c r="AJ623" s="53">
        <v>200.67846153846156</v>
      </c>
      <c r="AK623" s="53" t="str">
        <f>_xlfn.XLOOKUP(Master[[#This Row],[cu_id]],'[1]Customer Revenue'!$Q:$Q,'[1]Customer Revenue'!$I:$I, "None")</f>
        <v>None</v>
      </c>
      <c r="AL623" s="53">
        <v>238.45999999999989</v>
      </c>
      <c r="AM623" s="61">
        <v>0.29166666666666669</v>
      </c>
      <c r="AN623" s="60">
        <v>0.70833333333333337</v>
      </c>
      <c r="AO623" s="60" t="s">
        <v>36</v>
      </c>
      <c r="AP623" s="60" t="s">
        <v>36</v>
      </c>
      <c r="AQ623" s="58" t="s">
        <v>0</v>
      </c>
      <c r="AR623" s="58"/>
      <c r="AS623" s="58"/>
      <c r="AT623" s="52">
        <v>0</v>
      </c>
      <c r="AU623" s="52">
        <f>IF(Master[[#This Row],[RSP StopTime override]] &lt;&gt; "",Master[[#This Row],[RSP StopTime override]],IF(Master[[#This Row],[Avg stop time helper]] &lt;&gt; 0, Master[[#This Row],[Avg stop time helper]],Average_Stop_Time))</f>
        <v>20</v>
      </c>
      <c r="AV623" s="21">
        <v>20</v>
      </c>
      <c r="AW623" s="20">
        <f>Master[[#This Row],[RSP StopTime override]]-Master[[#This Row],[Avg stop time helper]]</f>
        <v>20</v>
      </c>
    </row>
    <row r="624" spans="1:49" x14ac:dyDescent="0.3">
      <c r="A624" s="66" t="s">
        <v>4678</v>
      </c>
      <c r="B624" s="58">
        <v>50</v>
      </c>
      <c r="C624" s="58" t="s">
        <v>43</v>
      </c>
      <c r="D624" s="65">
        <v>99084</v>
      </c>
      <c r="E624" s="65" t="s">
        <v>42</v>
      </c>
      <c r="F624" s="65" t="s">
        <v>1266</v>
      </c>
      <c r="G624" s="65" t="s">
        <v>2306</v>
      </c>
      <c r="H624" s="65" t="s">
        <v>7</v>
      </c>
      <c r="I624" s="65" t="s">
        <v>2264</v>
      </c>
      <c r="J624" s="65" t="s">
        <v>5</v>
      </c>
      <c r="K624" s="65" t="s">
        <v>2263</v>
      </c>
      <c r="L624" s="64" t="s">
        <v>67</v>
      </c>
      <c r="M624" s="58" t="s">
        <v>3</v>
      </c>
      <c r="N624" s="58" t="s">
        <v>2</v>
      </c>
      <c r="O624" s="58">
        <v>15</v>
      </c>
      <c r="P624" s="58">
        <v>0</v>
      </c>
      <c r="Q624" s="58">
        <v>0</v>
      </c>
      <c r="R624" s="58">
        <v>0</v>
      </c>
      <c r="S624" s="58">
        <v>15</v>
      </c>
      <c r="T624" s="58">
        <v>0</v>
      </c>
      <c r="U624" s="58">
        <v>53</v>
      </c>
      <c r="V624" s="62">
        <v>295</v>
      </c>
      <c r="W624" s="62">
        <v>48</v>
      </c>
      <c r="X624" s="63">
        <f>IFERROR(1 -(Master[[#This Row],[Avg Garment Scans per Delivery]]/Master[[#This Row],[Garment Inventory]]), 0)</f>
        <v>0.83728813559322035</v>
      </c>
      <c r="Y624" s="62">
        <v>13</v>
      </c>
      <c r="Z624" s="62">
        <v>278</v>
      </c>
      <c r="AA624" s="53">
        <v>164.93346153846156</v>
      </c>
      <c r="AB624" s="53">
        <v>267.64346153846151</v>
      </c>
      <c r="AC624" s="53">
        <v>152.67177514792903</v>
      </c>
      <c r="AD624" s="53">
        <v>302.77591715976337</v>
      </c>
      <c r="AE624" s="53" t="str">
        <f>_xlfn.XLOOKUP(Master[[#This Row],[cu_id]],'[1]Customer Revenue'!$Q:$Q,'[1]Customer Revenue'!$K:$K, "None")</f>
        <v>None</v>
      </c>
      <c r="AF624" s="53" t="str">
        <f>_xlfn.XLOOKUP(Master[[#This Row],[cu_id]],'[1]Customer Revenue'!$Q:$Q,'[1]Customer Revenue'!$L:$L, "None")</f>
        <v>None</v>
      </c>
      <c r="AG624" s="53">
        <v>159.52446712018138</v>
      </c>
      <c r="AH624" s="53">
        <v>249.43997732426294</v>
      </c>
      <c r="AI624" s="53">
        <v>216.28846153846155</v>
      </c>
      <c r="AJ624" s="53">
        <v>227.72384615384621</v>
      </c>
      <c r="AK624" s="53" t="str">
        <f>_xlfn.XLOOKUP(Master[[#This Row],[cu_id]],'[1]Customer Revenue'!$Q:$Q,'[1]Customer Revenue'!$I:$I, "None")</f>
        <v>None</v>
      </c>
      <c r="AL624" s="53">
        <v>204.48222222222216</v>
      </c>
      <c r="AM624" s="61">
        <v>0.33333333333333331</v>
      </c>
      <c r="AN624" s="60">
        <v>0.75</v>
      </c>
      <c r="AO624" s="60" t="s">
        <v>36</v>
      </c>
      <c r="AP624" s="60" t="s">
        <v>36</v>
      </c>
      <c r="AQ624" s="58" t="s">
        <v>0</v>
      </c>
      <c r="AR624" s="58"/>
      <c r="AS624" s="58"/>
      <c r="AT624" s="52">
        <v>0</v>
      </c>
      <c r="AU624" s="52">
        <f>IF(Master[[#This Row],[RSP StopTime override]] &lt;&gt; "",Master[[#This Row],[RSP StopTime override]],IF(Master[[#This Row],[Avg stop time helper]] &lt;&gt; 0, Master[[#This Row],[Avg stop time helper]],Average_Stop_Time))</f>
        <v>15</v>
      </c>
      <c r="AV624" s="21">
        <v>15</v>
      </c>
      <c r="AW624" s="20">
        <f>Master[[#This Row],[RSP StopTime override]]-Master[[#This Row],[Avg stop time helper]]</f>
        <v>15</v>
      </c>
    </row>
    <row r="625" spans="1:49" x14ac:dyDescent="0.3">
      <c r="A625" s="66" t="s">
        <v>4679</v>
      </c>
      <c r="B625" s="58">
        <v>50</v>
      </c>
      <c r="C625" s="58" t="s">
        <v>15</v>
      </c>
      <c r="D625" s="65">
        <v>99084</v>
      </c>
      <c r="E625" s="65" t="s">
        <v>1569</v>
      </c>
      <c r="F625" s="65" t="s">
        <v>2240</v>
      </c>
      <c r="G625" s="65" t="s">
        <v>2239</v>
      </c>
      <c r="H625" s="65" t="s">
        <v>7</v>
      </c>
      <c r="I625" s="65" t="s">
        <v>2237</v>
      </c>
      <c r="J625" s="65" t="s">
        <v>5</v>
      </c>
      <c r="K625" s="65" t="s">
        <v>2236</v>
      </c>
      <c r="L625" s="64" t="s">
        <v>67</v>
      </c>
      <c r="M625" s="58" t="s">
        <v>3</v>
      </c>
      <c r="N625" s="58" t="s">
        <v>2</v>
      </c>
      <c r="O625" s="58">
        <v>70</v>
      </c>
      <c r="P625" s="58">
        <v>0</v>
      </c>
      <c r="Q625" s="58">
        <v>0</v>
      </c>
      <c r="R625" s="58">
        <v>0</v>
      </c>
      <c r="S625" s="58">
        <v>0</v>
      </c>
      <c r="T625" s="58">
        <v>70</v>
      </c>
      <c r="U625" s="58">
        <v>51</v>
      </c>
      <c r="V625" s="62">
        <v>92</v>
      </c>
      <c r="W625" s="62">
        <v>13</v>
      </c>
      <c r="X625" s="63">
        <f>IFERROR(1 -(Master[[#This Row],[Avg Garment Scans per Delivery]]/Master[[#This Row],[Garment Inventory]]), 0)</f>
        <v>0.85869565217391308</v>
      </c>
      <c r="Y625" s="62">
        <v>4</v>
      </c>
      <c r="Z625" s="62">
        <v>92</v>
      </c>
      <c r="AA625" s="53">
        <v>95.862777777777751</v>
      </c>
      <c r="AB625" s="53">
        <v>102.70388888888888</v>
      </c>
      <c r="AC625" s="53">
        <v>83.349644970414204</v>
      </c>
      <c r="AD625" s="53">
        <v>97.418047337278097</v>
      </c>
      <c r="AE625" s="53" t="str">
        <f>_xlfn.XLOOKUP(Master[[#This Row],[cu_id]],'[1]Customer Revenue'!$Q:$Q,'[1]Customer Revenue'!$K:$K, "None")</f>
        <v>None</v>
      </c>
      <c r="AF625" s="53" t="str">
        <f>_xlfn.XLOOKUP(Master[[#This Row],[cu_id]],'[1]Customer Revenue'!$Q:$Q,'[1]Customer Revenue'!$L:$L, "None")</f>
        <v>None</v>
      </c>
      <c r="AG625" s="53">
        <v>87.282755999999964</v>
      </c>
      <c r="AH625" s="53">
        <v>109.08224399999996</v>
      </c>
      <c r="AI625" s="53">
        <v>99.283333333333317</v>
      </c>
      <c r="AJ625" s="53">
        <v>90.38384615384615</v>
      </c>
      <c r="AK625" s="53" t="str">
        <f>_xlfn.XLOOKUP(Master[[#This Row],[cu_id]],'[1]Customer Revenue'!$Q:$Q,'[1]Customer Revenue'!$I:$I, "None")</f>
        <v>None</v>
      </c>
      <c r="AL625" s="53">
        <v>98.182499999999962</v>
      </c>
      <c r="AM625" s="61">
        <v>0.33333333333333331</v>
      </c>
      <c r="AN625" s="60">
        <v>0.58333333333333337</v>
      </c>
      <c r="AO625" s="60" t="s">
        <v>36</v>
      </c>
      <c r="AP625" s="60" t="s">
        <v>36</v>
      </c>
      <c r="AQ625" s="58" t="s">
        <v>0</v>
      </c>
      <c r="AR625" s="58"/>
      <c r="AS625" s="58"/>
      <c r="AT625" s="52">
        <v>0</v>
      </c>
      <c r="AU625" s="52">
        <f>IF(Master[[#This Row],[RSP StopTime override]] &lt;&gt; "",Master[[#This Row],[RSP StopTime override]],IF(Master[[#This Row],[Avg stop time helper]] &lt;&gt; 0, Master[[#This Row],[Avg stop time helper]],Average_Stop_Time))</f>
        <v>12</v>
      </c>
      <c r="AV625" s="21">
        <v>12</v>
      </c>
      <c r="AW625" s="20">
        <f>Master[[#This Row],[RSP StopTime override]]-Master[[#This Row],[Avg stop time helper]]</f>
        <v>12</v>
      </c>
    </row>
    <row r="626" spans="1:49" x14ac:dyDescent="0.3">
      <c r="A626" s="66" t="s">
        <v>4680</v>
      </c>
      <c r="B626" s="58">
        <v>50</v>
      </c>
      <c r="C626" s="58" t="s">
        <v>43</v>
      </c>
      <c r="D626" s="65">
        <v>518970</v>
      </c>
      <c r="E626" s="65" t="s">
        <v>686</v>
      </c>
      <c r="F626" s="65" t="s">
        <v>2286</v>
      </c>
      <c r="G626" s="65" t="s">
        <v>2285</v>
      </c>
      <c r="H626" s="65" t="s">
        <v>32</v>
      </c>
      <c r="I626" s="65" t="s">
        <v>2284</v>
      </c>
      <c r="J626" s="65" t="s">
        <v>5</v>
      </c>
      <c r="K626" s="65" t="s">
        <v>2263</v>
      </c>
      <c r="L626" s="64" t="s">
        <v>67</v>
      </c>
      <c r="M626" s="58" t="s">
        <v>3</v>
      </c>
      <c r="N626" s="58" t="s">
        <v>2</v>
      </c>
      <c r="O626" s="58">
        <v>10</v>
      </c>
      <c r="P626" s="58">
        <v>0</v>
      </c>
      <c r="Q626" s="58">
        <v>0</v>
      </c>
      <c r="R626" s="58">
        <v>0</v>
      </c>
      <c r="S626" s="58">
        <v>10</v>
      </c>
      <c r="T626" s="58">
        <v>0</v>
      </c>
      <c r="U626" s="58">
        <v>53</v>
      </c>
      <c r="V626" s="62"/>
      <c r="W626" s="62"/>
      <c r="X626" s="63">
        <f>IFERROR(1 -(Master[[#This Row],[Avg Garment Scans per Delivery]]/Master[[#This Row],[Garment Inventory]]), 0)</f>
        <v>0</v>
      </c>
      <c r="Y626" s="62"/>
      <c r="Z626" s="62"/>
      <c r="AA626" s="53">
        <v>91.468520710059181</v>
      </c>
      <c r="AB626" s="53">
        <v>126.64840236686391</v>
      </c>
      <c r="AC626" s="53">
        <v>95.253668639053259</v>
      </c>
      <c r="AD626" s="53">
        <v>136.98786982248521</v>
      </c>
      <c r="AE626" s="53" t="str">
        <f>_xlfn.XLOOKUP(Master[[#This Row],[cu_id]],'[1]Customer Revenue'!$Q:$Q,'[1]Customer Revenue'!$K:$K, "None")</f>
        <v>None</v>
      </c>
      <c r="AF626" s="53" t="str">
        <f>_xlfn.XLOOKUP(Master[[#This Row],[cu_id]],'[1]Customer Revenue'!$Q:$Q,'[1]Customer Revenue'!$L:$L, "None")</f>
        <v>None</v>
      </c>
      <c r="AG626" s="53">
        <v>91.069794238683102</v>
      </c>
      <c r="AH626" s="53">
        <v>131.88576131687236</v>
      </c>
      <c r="AI626" s="53">
        <v>109.05846153846154</v>
      </c>
      <c r="AJ626" s="53">
        <v>116.12076923076924</v>
      </c>
      <c r="AK626" s="53" t="str">
        <f>_xlfn.XLOOKUP(Master[[#This Row],[cu_id]],'[1]Customer Revenue'!$Q:$Q,'[1]Customer Revenue'!$I:$I, "None")</f>
        <v>None</v>
      </c>
      <c r="AL626" s="53">
        <v>111.47777777777773</v>
      </c>
      <c r="AM626" s="61">
        <v>0.29166666666666669</v>
      </c>
      <c r="AN626" s="60">
        <v>0.70833333333333337</v>
      </c>
      <c r="AO626" s="60" t="s">
        <v>36</v>
      </c>
      <c r="AP626" s="60" t="s">
        <v>36</v>
      </c>
      <c r="AQ626" s="58" t="s">
        <v>0</v>
      </c>
      <c r="AR626" s="58"/>
      <c r="AS626" s="58"/>
      <c r="AT626" s="52">
        <v>0</v>
      </c>
      <c r="AU626" s="52">
        <f>IF(Master[[#This Row],[RSP StopTime override]] &lt;&gt; "",Master[[#This Row],[RSP StopTime override]],IF(Master[[#This Row],[Avg stop time helper]] &lt;&gt; 0, Master[[#This Row],[Avg stop time helper]],Average_Stop_Time))</f>
        <v>15</v>
      </c>
      <c r="AV626" s="21">
        <v>15</v>
      </c>
      <c r="AW626" s="20">
        <f>Master[[#This Row],[RSP StopTime override]]-Master[[#This Row],[Avg stop time helper]]</f>
        <v>15</v>
      </c>
    </row>
    <row r="627" spans="1:49" x14ac:dyDescent="0.3">
      <c r="A627" s="66" t="s">
        <v>4681</v>
      </c>
      <c r="B627" s="58">
        <v>50</v>
      </c>
      <c r="C627" s="58" t="s">
        <v>15</v>
      </c>
      <c r="D627" s="65">
        <v>528135</v>
      </c>
      <c r="E627" s="65" t="s">
        <v>42</v>
      </c>
      <c r="F627" s="65" t="s">
        <v>2220</v>
      </c>
      <c r="G627" s="65" t="s">
        <v>2219</v>
      </c>
      <c r="H627" s="65" t="s">
        <v>32</v>
      </c>
      <c r="I627" s="65" t="s">
        <v>2218</v>
      </c>
      <c r="J627" s="65" t="s">
        <v>5</v>
      </c>
      <c r="K627" s="65" t="s">
        <v>1919</v>
      </c>
      <c r="L627" s="64" t="s">
        <v>194</v>
      </c>
      <c r="M627" s="58" t="s">
        <v>193</v>
      </c>
      <c r="N627" s="58" t="s">
        <v>2</v>
      </c>
      <c r="O627" s="58">
        <v>55</v>
      </c>
      <c r="P627" s="58">
        <v>0</v>
      </c>
      <c r="Q627" s="58">
        <v>0</v>
      </c>
      <c r="R627" s="58">
        <v>0</v>
      </c>
      <c r="S627" s="58">
        <v>0</v>
      </c>
      <c r="T627" s="58">
        <v>55</v>
      </c>
      <c r="U627" s="58">
        <v>12</v>
      </c>
      <c r="V627" s="62"/>
      <c r="W627" s="62"/>
      <c r="X627" s="63">
        <f>IFERROR(1 -(Master[[#This Row],[Avg Garment Scans per Delivery]]/Master[[#This Row],[Garment Inventory]]), 0)</f>
        <v>0</v>
      </c>
      <c r="Y627" s="62"/>
      <c r="Z627" s="62"/>
      <c r="AA627" s="53">
        <v>23.111111111111111</v>
      </c>
      <c r="AB627" s="53">
        <v>60.088888888888889</v>
      </c>
      <c r="AC627" s="53">
        <v>43.5</v>
      </c>
      <c r="AD627" s="53">
        <v>45.600000000000009</v>
      </c>
      <c r="AE627" s="53" t="str">
        <f>_xlfn.XLOOKUP(Master[[#This Row],[cu_id]],'[1]Customer Revenue'!$Q:$Q,'[1]Customer Revenue'!$K:$K, "None")</f>
        <v>None</v>
      </c>
      <c r="AF627" s="53" t="str">
        <f>_xlfn.XLOOKUP(Master[[#This Row],[cu_id]],'[1]Customer Revenue'!$Q:$Q,'[1]Customer Revenue'!$L:$L, "None")</f>
        <v>None</v>
      </c>
      <c r="AG627" s="53">
        <v>29.811888888888888</v>
      </c>
      <c r="AH627" s="53">
        <v>52.74411111111111</v>
      </c>
      <c r="AI627" s="53">
        <v>41.6</v>
      </c>
      <c r="AJ627" s="53">
        <v>44.550000000000004</v>
      </c>
      <c r="AK627" s="53" t="str">
        <f>_xlfn.XLOOKUP(Master[[#This Row],[cu_id]],'[1]Customer Revenue'!$Q:$Q,'[1]Customer Revenue'!$I:$I, "None")</f>
        <v>None</v>
      </c>
      <c r="AL627" s="53">
        <v>41.277999999999999</v>
      </c>
      <c r="AM627" s="61">
        <v>0.375</v>
      </c>
      <c r="AN627" s="60">
        <v>0.875</v>
      </c>
      <c r="AO627" s="60" t="s">
        <v>36</v>
      </c>
      <c r="AP627" s="60" t="s">
        <v>36</v>
      </c>
      <c r="AQ627" s="58" t="s">
        <v>0</v>
      </c>
      <c r="AR627" s="58"/>
      <c r="AS627" s="58"/>
      <c r="AT627" s="52">
        <v>0</v>
      </c>
      <c r="AU627" s="52">
        <f>IF(Master[[#This Row],[RSP StopTime override]] &lt;&gt; "",Master[[#This Row],[RSP StopTime override]],IF(Master[[#This Row],[Avg stop time helper]] &lt;&gt; 0, Master[[#This Row],[Avg stop time helper]],Average_Stop_Time))</f>
        <v>3</v>
      </c>
      <c r="AV627" s="21">
        <v>3</v>
      </c>
      <c r="AW627" s="20">
        <f>Master[[#This Row],[RSP StopTime override]]-Master[[#This Row],[Avg stop time helper]]</f>
        <v>3</v>
      </c>
    </row>
    <row r="628" spans="1:49" x14ac:dyDescent="0.3">
      <c r="A628" s="66" t="s">
        <v>4682</v>
      </c>
      <c r="B628" s="58">
        <v>50</v>
      </c>
      <c r="C628" s="58" t="s">
        <v>43</v>
      </c>
      <c r="D628" s="65">
        <v>527633</v>
      </c>
      <c r="E628" s="65" t="s">
        <v>42</v>
      </c>
      <c r="F628" s="65" t="s">
        <v>2278</v>
      </c>
      <c r="G628" s="65" t="s">
        <v>2277</v>
      </c>
      <c r="H628" s="65" t="s">
        <v>32</v>
      </c>
      <c r="I628" s="65" t="s">
        <v>2276</v>
      </c>
      <c r="J628" s="65" t="s">
        <v>5</v>
      </c>
      <c r="K628" s="65" t="s">
        <v>2251</v>
      </c>
      <c r="L628" s="64" t="s">
        <v>67</v>
      </c>
      <c r="M628" s="58" t="s">
        <v>3</v>
      </c>
      <c r="N628" s="58" t="s">
        <v>2</v>
      </c>
      <c r="O628" s="58">
        <v>45</v>
      </c>
      <c r="P628" s="58">
        <v>0</v>
      </c>
      <c r="Q628" s="58">
        <v>0</v>
      </c>
      <c r="R628" s="58">
        <v>0</v>
      </c>
      <c r="S628" s="58">
        <v>45</v>
      </c>
      <c r="T628" s="58">
        <v>0</v>
      </c>
      <c r="U628" s="58">
        <v>54</v>
      </c>
      <c r="V628" s="62">
        <v>546</v>
      </c>
      <c r="W628" s="62">
        <v>94</v>
      </c>
      <c r="X628" s="63">
        <f>IFERROR(1 -(Master[[#This Row],[Avg Garment Scans per Delivery]]/Master[[#This Row],[Garment Inventory]]), 0)</f>
        <v>0.82783882783882778</v>
      </c>
      <c r="Y628" s="62">
        <v>19</v>
      </c>
      <c r="Z628" s="62">
        <v>494</v>
      </c>
      <c r="AA628" s="53">
        <v>204.61005917159761</v>
      </c>
      <c r="AB628" s="53">
        <v>234.89763313609464</v>
      </c>
      <c r="AC628" s="53">
        <v>222.26792899408284</v>
      </c>
      <c r="AD628" s="53">
        <v>255.20284023668634</v>
      </c>
      <c r="AE628" s="53" t="str">
        <f>_xlfn.XLOOKUP(Master[[#This Row],[cu_id]],'[1]Customer Revenue'!$Q:$Q,'[1]Customer Revenue'!$K:$K, "None")</f>
        <v>None</v>
      </c>
      <c r="AF628" s="53" t="str">
        <f>_xlfn.XLOOKUP(Master[[#This Row],[cu_id]],'[1]Customer Revenue'!$Q:$Q,'[1]Customer Revenue'!$L:$L, "None")</f>
        <v>None</v>
      </c>
      <c r="AG628" s="53">
        <v>202.06227709190676</v>
      </c>
      <c r="AH628" s="53">
        <v>228.78513031550074</v>
      </c>
      <c r="AI628" s="53">
        <v>219.75384615384613</v>
      </c>
      <c r="AJ628" s="53">
        <v>238.73538461538459</v>
      </c>
      <c r="AK628" s="53" t="str">
        <f>_xlfn.XLOOKUP(Master[[#This Row],[cu_id]],'[1]Customer Revenue'!$Q:$Q,'[1]Customer Revenue'!$I:$I, "None")</f>
        <v>None</v>
      </c>
      <c r="AL628" s="53">
        <v>215.42370370370375</v>
      </c>
      <c r="AM628" s="61">
        <v>0.375</v>
      </c>
      <c r="AN628" s="60">
        <v>0.66666666666666663</v>
      </c>
      <c r="AO628" s="60" t="s">
        <v>36</v>
      </c>
      <c r="AP628" s="60" t="s">
        <v>36</v>
      </c>
      <c r="AQ628" s="58" t="s">
        <v>0</v>
      </c>
      <c r="AR628" s="58"/>
      <c r="AS628" s="58"/>
      <c r="AT628" s="52">
        <v>0</v>
      </c>
      <c r="AU628" s="52">
        <f>IF(Master[[#This Row],[RSP StopTime override]] &lt;&gt; "",Master[[#This Row],[RSP StopTime override]],IF(Master[[#This Row],[Avg stop time helper]] &lt;&gt; 0, Master[[#This Row],[Avg stop time helper]],Average_Stop_Time))</f>
        <v>15</v>
      </c>
      <c r="AV628" s="21">
        <v>15</v>
      </c>
      <c r="AW628" s="20">
        <f>Master[[#This Row],[RSP StopTime override]]-Master[[#This Row],[Avg stop time helper]]</f>
        <v>15</v>
      </c>
    </row>
    <row r="629" spans="1:49" x14ac:dyDescent="0.3">
      <c r="A629" s="66" t="s">
        <v>4683</v>
      </c>
      <c r="B629" s="58">
        <v>50</v>
      </c>
      <c r="C629" s="58" t="s">
        <v>43</v>
      </c>
      <c r="D629" s="65">
        <v>528986</v>
      </c>
      <c r="E629" s="65" t="s">
        <v>42</v>
      </c>
      <c r="F629" s="65" t="s">
        <v>2278</v>
      </c>
      <c r="G629" s="65" t="s">
        <v>2277</v>
      </c>
      <c r="H629" s="65" t="s">
        <v>32</v>
      </c>
      <c r="I629" s="65" t="s">
        <v>2276</v>
      </c>
      <c r="J629" s="65" t="s">
        <v>5</v>
      </c>
      <c r="K629" s="65" t="s">
        <v>2251</v>
      </c>
      <c r="L629" s="64" t="s">
        <v>145</v>
      </c>
      <c r="M629" s="58" t="s">
        <v>123</v>
      </c>
      <c r="N629" s="58" t="s">
        <v>144</v>
      </c>
      <c r="O629" s="58">
        <v>45</v>
      </c>
      <c r="P629" s="58">
        <v>0</v>
      </c>
      <c r="Q629" s="58">
        <v>0</v>
      </c>
      <c r="R629" s="58">
        <v>0</v>
      </c>
      <c r="S629" s="58">
        <v>45</v>
      </c>
      <c r="T629" s="58">
        <v>0</v>
      </c>
      <c r="U629" s="58">
        <v>1</v>
      </c>
      <c r="V629" s="62"/>
      <c r="W629" s="62"/>
      <c r="X629" s="63">
        <f>IFERROR(1 -(Master[[#This Row],[Avg Garment Scans per Delivery]]/Master[[#This Row],[Garment Inventory]]), 0)</f>
        <v>0</v>
      </c>
      <c r="Y629" s="62"/>
      <c r="Z629" s="62"/>
      <c r="AA629" s="53">
        <v>117</v>
      </c>
      <c r="AB629" s="53">
        <v>117</v>
      </c>
      <c r="AC629" s="53"/>
      <c r="AD629" s="53"/>
      <c r="AE629" s="53" t="str">
        <f>_xlfn.XLOOKUP(Master[[#This Row],[cu_id]],'[1]Customer Revenue'!$Q:$Q,'[1]Customer Revenue'!$K:$K, "None")</f>
        <v>None</v>
      </c>
      <c r="AF629" s="53" t="str">
        <f>_xlfn.XLOOKUP(Master[[#This Row],[cu_id]],'[1]Customer Revenue'!$Q:$Q,'[1]Customer Revenue'!$L:$L, "None")</f>
        <v>None</v>
      </c>
      <c r="AG629" s="53">
        <v>117</v>
      </c>
      <c r="AH629" s="53">
        <v>117</v>
      </c>
      <c r="AI629" s="53">
        <v>117</v>
      </c>
      <c r="AJ629" s="53"/>
      <c r="AK629" s="53" t="str">
        <f>_xlfn.XLOOKUP(Master[[#This Row],[cu_id]],'[1]Customer Revenue'!$Q:$Q,'[1]Customer Revenue'!$I:$I, "None")</f>
        <v>None</v>
      </c>
      <c r="AL629" s="53">
        <v>117</v>
      </c>
      <c r="AM629" s="61">
        <v>0.375</v>
      </c>
      <c r="AN629" s="60">
        <v>0.66666666666666663</v>
      </c>
      <c r="AO629" s="60" t="s">
        <v>36</v>
      </c>
      <c r="AP629" s="60" t="s">
        <v>36</v>
      </c>
      <c r="AQ629" s="58" t="s">
        <v>0</v>
      </c>
      <c r="AR629" s="58"/>
      <c r="AS629" s="58"/>
      <c r="AT629" s="52">
        <v>0</v>
      </c>
      <c r="AU629" s="52">
        <f>IF(Master[[#This Row],[RSP StopTime override]] &lt;&gt; "",Master[[#This Row],[RSP StopTime override]],IF(Master[[#This Row],[Avg stop time helper]] &lt;&gt; 0, Master[[#This Row],[Avg stop time helper]],Average_Stop_Time))</f>
        <v>0</v>
      </c>
      <c r="AV629" s="21">
        <v>0</v>
      </c>
      <c r="AW629" s="20">
        <f>Master[[#This Row],[RSP StopTime override]]-Master[[#This Row],[Avg stop time helper]]</f>
        <v>0</v>
      </c>
    </row>
    <row r="630" spans="1:49" x14ac:dyDescent="0.3">
      <c r="A630" s="66" t="s">
        <v>4684</v>
      </c>
      <c r="B630" s="58">
        <v>50</v>
      </c>
      <c r="C630" s="58" t="s">
        <v>15</v>
      </c>
      <c r="D630" s="65">
        <v>99061</v>
      </c>
      <c r="E630" s="65" t="s">
        <v>2248</v>
      </c>
      <c r="F630" s="65" t="s">
        <v>2247</v>
      </c>
      <c r="G630" s="65" t="s">
        <v>2231</v>
      </c>
      <c r="H630" s="65" t="s">
        <v>32</v>
      </c>
      <c r="I630" s="65" t="s">
        <v>1920</v>
      </c>
      <c r="J630" s="65" t="s">
        <v>5</v>
      </c>
      <c r="K630" s="65" t="s">
        <v>1919</v>
      </c>
      <c r="L630" s="64" t="s">
        <v>67</v>
      </c>
      <c r="M630" s="58" t="s">
        <v>3</v>
      </c>
      <c r="N630" s="58" t="s">
        <v>2</v>
      </c>
      <c r="O630" s="58">
        <v>15</v>
      </c>
      <c r="P630" s="58">
        <v>0</v>
      </c>
      <c r="Q630" s="58">
        <v>0</v>
      </c>
      <c r="R630" s="58">
        <v>0</v>
      </c>
      <c r="S630" s="58">
        <v>0</v>
      </c>
      <c r="T630" s="58">
        <v>15</v>
      </c>
      <c r="U630" s="58">
        <v>53</v>
      </c>
      <c r="V630" s="62"/>
      <c r="W630" s="62"/>
      <c r="X630" s="63">
        <f>IFERROR(1 -(Master[[#This Row],[Avg Garment Scans per Delivery]]/Master[[#This Row],[Garment Inventory]]), 0)</f>
        <v>0</v>
      </c>
      <c r="Y630" s="62"/>
      <c r="Z630" s="62"/>
      <c r="AA630" s="53">
        <v>31.641666666666669</v>
      </c>
      <c r="AB630" s="53">
        <v>32.558333333333337</v>
      </c>
      <c r="AC630" s="53">
        <v>35.555680473372774</v>
      </c>
      <c r="AD630" s="53">
        <v>39.092011834319521</v>
      </c>
      <c r="AE630" s="53" t="str">
        <f>_xlfn.XLOOKUP(Master[[#This Row],[cu_id]],'[1]Customer Revenue'!$Q:$Q,'[1]Customer Revenue'!$K:$K, "None")</f>
        <v>None</v>
      </c>
      <c r="AF630" s="53" t="str">
        <f>_xlfn.XLOOKUP(Master[[#This Row],[cu_id]],'[1]Customer Revenue'!$Q:$Q,'[1]Customer Revenue'!$L:$L, "None")</f>
        <v>None</v>
      </c>
      <c r="AG630" s="53">
        <v>31.018639053254457</v>
      </c>
      <c r="AH630" s="53">
        <v>32.142899408284038</v>
      </c>
      <c r="AI630" s="53">
        <v>32.1</v>
      </c>
      <c r="AJ630" s="53">
        <v>37.323846153846148</v>
      </c>
      <c r="AK630" s="53" t="str">
        <f>_xlfn.XLOOKUP(Master[[#This Row],[cu_id]],'[1]Customer Revenue'!$Q:$Q,'[1]Customer Revenue'!$I:$I, "None")</f>
        <v>None</v>
      </c>
      <c r="AL630" s="53">
        <v>31.580769230769246</v>
      </c>
      <c r="AM630" s="61">
        <v>0.25</v>
      </c>
      <c r="AN630" s="60">
        <v>0.5</v>
      </c>
      <c r="AO630" s="60" t="s">
        <v>36</v>
      </c>
      <c r="AP630" s="60" t="s">
        <v>36</v>
      </c>
      <c r="AQ630" s="58" t="s">
        <v>0</v>
      </c>
      <c r="AR630" s="58"/>
      <c r="AS630" s="58"/>
      <c r="AT630" s="52">
        <v>0</v>
      </c>
      <c r="AU630" s="52">
        <f>IF(Master[[#This Row],[RSP StopTime override]] &lt;&gt; "",Master[[#This Row],[RSP StopTime override]],IF(Master[[#This Row],[Avg stop time helper]] &lt;&gt; 0, Master[[#This Row],[Avg stop time helper]],Average_Stop_Time))</f>
        <v>10</v>
      </c>
      <c r="AV630" s="21">
        <v>10</v>
      </c>
      <c r="AW630" s="20">
        <f>Master[[#This Row],[RSP StopTime override]]-Master[[#This Row],[Avg stop time helper]]</f>
        <v>10</v>
      </c>
    </row>
    <row r="631" spans="1:49" x14ac:dyDescent="0.3">
      <c r="A631" s="66" t="s">
        <v>4685</v>
      </c>
      <c r="B631" s="58">
        <v>50</v>
      </c>
      <c r="C631" s="58" t="s">
        <v>15</v>
      </c>
      <c r="D631" s="65">
        <v>99061</v>
      </c>
      <c r="E631" s="65" t="s">
        <v>2246</v>
      </c>
      <c r="F631" s="65" t="s">
        <v>2245</v>
      </c>
      <c r="G631" s="65" t="s">
        <v>2231</v>
      </c>
      <c r="H631" s="65" t="s">
        <v>32</v>
      </c>
      <c r="I631" s="65" t="s">
        <v>1920</v>
      </c>
      <c r="J631" s="65" t="s">
        <v>5</v>
      </c>
      <c r="K631" s="65" t="s">
        <v>1919</v>
      </c>
      <c r="L631" s="64" t="s">
        <v>67</v>
      </c>
      <c r="M631" s="58" t="s">
        <v>3</v>
      </c>
      <c r="N631" s="58" t="s">
        <v>2</v>
      </c>
      <c r="O631" s="58">
        <v>20</v>
      </c>
      <c r="P631" s="58">
        <v>0</v>
      </c>
      <c r="Q631" s="58">
        <v>0</v>
      </c>
      <c r="R631" s="58">
        <v>0</v>
      </c>
      <c r="S631" s="58">
        <v>0</v>
      </c>
      <c r="T631" s="58">
        <v>20</v>
      </c>
      <c r="U631" s="58">
        <v>52</v>
      </c>
      <c r="V631" s="62"/>
      <c r="W631" s="62"/>
      <c r="X631" s="63">
        <f>IFERROR(1 -(Master[[#This Row],[Avg Garment Scans per Delivery]]/Master[[#This Row],[Garment Inventory]]), 0)</f>
        <v>0</v>
      </c>
      <c r="Y631" s="62"/>
      <c r="Z631" s="62"/>
      <c r="AA631" s="53">
        <v>41.06</v>
      </c>
      <c r="AB631" s="53">
        <v>41.06</v>
      </c>
      <c r="AC631" s="53">
        <v>41.578994082840239</v>
      </c>
      <c r="AD631" s="53">
        <v>50.336390532544385</v>
      </c>
      <c r="AE631" s="53" t="str">
        <f>_xlfn.XLOOKUP(Master[[#This Row],[cu_id]],'[1]Customer Revenue'!$Q:$Q,'[1]Customer Revenue'!$K:$K, "None")</f>
        <v>None</v>
      </c>
      <c r="AF631" s="53" t="str">
        <f>_xlfn.XLOOKUP(Master[[#This Row],[cu_id]],'[1]Customer Revenue'!$Q:$Q,'[1]Customer Revenue'!$L:$L, "None")</f>
        <v>None</v>
      </c>
      <c r="AG631" s="53">
        <v>39.944615384615354</v>
      </c>
      <c r="AH631" s="53">
        <v>41.175384615384594</v>
      </c>
      <c r="AI631" s="53">
        <v>41.06</v>
      </c>
      <c r="AJ631" s="53">
        <v>45.957692307692312</v>
      </c>
      <c r="AK631" s="53" t="str">
        <f>_xlfn.XLOOKUP(Master[[#This Row],[cu_id]],'[1]Customer Revenue'!$Q:$Q,'[1]Customer Revenue'!$I:$I, "None")</f>
        <v>None</v>
      </c>
      <c r="AL631" s="53">
        <v>40.559999999999974</v>
      </c>
      <c r="AM631" s="61">
        <v>0.25</v>
      </c>
      <c r="AN631" s="60">
        <v>0.5</v>
      </c>
      <c r="AO631" s="60" t="s">
        <v>36</v>
      </c>
      <c r="AP631" s="60" t="s">
        <v>36</v>
      </c>
      <c r="AQ631" s="58" t="s">
        <v>0</v>
      </c>
      <c r="AR631" s="58"/>
      <c r="AS631" s="58"/>
      <c r="AT631" s="52">
        <v>0</v>
      </c>
      <c r="AU631" s="52">
        <f>IF(Master[[#This Row],[RSP StopTime override]] &lt;&gt; "",Master[[#This Row],[RSP StopTime override]],IF(Master[[#This Row],[Avg stop time helper]] &lt;&gt; 0, Master[[#This Row],[Avg stop time helper]],Average_Stop_Time))</f>
        <v>10</v>
      </c>
      <c r="AV631" s="21">
        <v>10</v>
      </c>
      <c r="AW631" s="20">
        <f>Master[[#This Row],[RSP StopTime override]]-Master[[#This Row],[Avg stop time helper]]</f>
        <v>10</v>
      </c>
    </row>
    <row r="632" spans="1:49" x14ac:dyDescent="0.3">
      <c r="A632" s="73" t="s">
        <v>4686</v>
      </c>
      <c r="B632" s="64">
        <v>51</v>
      </c>
      <c r="C632" s="64" t="s">
        <v>15</v>
      </c>
      <c r="D632" s="65">
        <v>99161</v>
      </c>
      <c r="E632" s="65" t="s">
        <v>1958</v>
      </c>
      <c r="F632" s="65" t="s">
        <v>1957</v>
      </c>
      <c r="G632" s="65" t="s">
        <v>1956</v>
      </c>
      <c r="H632" s="65" t="s">
        <v>7</v>
      </c>
      <c r="I632" s="65" t="s">
        <v>1955</v>
      </c>
      <c r="J632" s="65" t="s">
        <v>5</v>
      </c>
      <c r="K632" s="65" t="s">
        <v>1954</v>
      </c>
      <c r="L632" s="64" t="s">
        <v>67</v>
      </c>
      <c r="M632" s="65" t="s">
        <v>3</v>
      </c>
      <c r="N632" s="65" t="s">
        <v>2</v>
      </c>
      <c r="O632" s="65">
        <v>1</v>
      </c>
      <c r="P632" s="65">
        <v>0</v>
      </c>
      <c r="Q632" s="65">
        <v>0</v>
      </c>
      <c r="R632" s="65">
        <v>0</v>
      </c>
      <c r="S632" s="65">
        <v>0</v>
      </c>
      <c r="T632" s="65">
        <v>1</v>
      </c>
      <c r="U632" s="65"/>
      <c r="V632" s="65"/>
      <c r="W632" s="65"/>
      <c r="X632" s="72">
        <f>IFERROR(1 -(Master[[#This Row],[Avg Garment Scans per Delivery]]/Master[[#This Row],[Garment Inventory]]), 0)</f>
        <v>0</v>
      </c>
      <c r="Y632" s="65"/>
      <c r="Z632" s="65"/>
      <c r="AA632" s="53"/>
      <c r="AB632" s="53"/>
      <c r="AC632" s="53"/>
      <c r="AD632" s="53"/>
      <c r="AE632" s="53" t="str">
        <f>_xlfn.XLOOKUP(Master[[#This Row],[cu_id]],'[1]Customer Revenue'!$Q:$Q,'[1]Customer Revenue'!$K:$K, "0")</f>
        <v>0</v>
      </c>
      <c r="AF632" s="53" t="str">
        <f>_xlfn.XLOOKUP(Master[[#This Row],[cu_id]],'[1]Customer Revenue'!$Q:$Q,'[1]Customer Revenue'!$L:$L, "0")</f>
        <v>0</v>
      </c>
      <c r="AG632" s="53"/>
      <c r="AH632" s="53"/>
      <c r="AI632" s="53"/>
      <c r="AJ632" s="53"/>
      <c r="AK632" s="53" t="str">
        <f>_xlfn.XLOOKUP(Master[[#This Row],[cu_id]],'[1]Customer Revenue'!$Q:$Q,'[1]Customer Revenue'!$I:$I, "0")</f>
        <v>0</v>
      </c>
      <c r="AL632" s="53"/>
      <c r="AM632" s="71" t="s">
        <v>1</v>
      </c>
      <c r="AN632" s="71" t="s">
        <v>1</v>
      </c>
      <c r="AO632" s="71" t="s">
        <v>36</v>
      </c>
      <c r="AP632" s="71" t="s">
        <v>36</v>
      </c>
      <c r="AQ632" s="64" t="s">
        <v>0</v>
      </c>
      <c r="AR632" s="64"/>
      <c r="AS632" s="65"/>
      <c r="AT632" s="52">
        <v>0</v>
      </c>
      <c r="AU632" s="52" t="e">
        <f>IF(Master[[#This Row],[RSP StopTime override]] &lt;&gt; "",Master[[#This Row],[RSP StopTime override]],IF(Master[[#This Row],[Avg stop time helper]] &lt;&gt; 0, Master[[#This Row],[Avg stop time helper]],Average_Stop_Time))</f>
        <v>#DIV/0!</v>
      </c>
      <c r="AV632" s="21"/>
      <c r="AW632" s="20">
        <f>Master[[#This Row],[RSP StopTime override]]-Master[[#This Row],[Avg stop time helper]]</f>
        <v>0</v>
      </c>
    </row>
    <row r="633" spans="1:49" x14ac:dyDescent="0.3">
      <c r="A633" s="66" t="s">
        <v>4687</v>
      </c>
      <c r="B633" s="58">
        <v>50</v>
      </c>
      <c r="C633" s="58" t="s">
        <v>15</v>
      </c>
      <c r="D633" s="65">
        <v>99061</v>
      </c>
      <c r="E633" s="65" t="s">
        <v>1334</v>
      </c>
      <c r="F633" s="65" t="s">
        <v>2249</v>
      </c>
      <c r="G633" s="65" t="s">
        <v>2231</v>
      </c>
      <c r="H633" s="65" t="s">
        <v>32</v>
      </c>
      <c r="I633" s="65" t="s">
        <v>1920</v>
      </c>
      <c r="J633" s="65" t="s">
        <v>5</v>
      </c>
      <c r="K633" s="65" t="s">
        <v>1919</v>
      </c>
      <c r="L633" s="64" t="s">
        <v>67</v>
      </c>
      <c r="M633" s="58" t="s">
        <v>3</v>
      </c>
      <c r="N633" s="58" t="s">
        <v>2</v>
      </c>
      <c r="O633" s="58">
        <v>30</v>
      </c>
      <c r="P633" s="58">
        <v>0</v>
      </c>
      <c r="Q633" s="58">
        <v>0</v>
      </c>
      <c r="R633" s="58">
        <v>0</v>
      </c>
      <c r="S633" s="58">
        <v>0</v>
      </c>
      <c r="T633" s="58">
        <v>30</v>
      </c>
      <c r="U633" s="58">
        <v>54</v>
      </c>
      <c r="V633" s="62"/>
      <c r="W633" s="62"/>
      <c r="X633" s="63">
        <f>IFERROR(1 -(Master[[#This Row],[Avg Garment Scans per Delivery]]/Master[[#This Row],[Garment Inventory]]), 0)</f>
        <v>0</v>
      </c>
      <c r="Y633" s="62"/>
      <c r="Z633" s="62"/>
      <c r="AA633" s="53">
        <v>25.492603550295854</v>
      </c>
      <c r="AB633" s="53">
        <v>100.59201183431952</v>
      </c>
      <c r="AC633" s="53">
        <v>142.14207100591716</v>
      </c>
      <c r="AD633" s="53">
        <v>153.04408284023668</v>
      </c>
      <c r="AE633" s="53" t="str">
        <f>_xlfn.XLOOKUP(Master[[#This Row],[cu_id]],'[1]Customer Revenue'!$Q:$Q,'[1]Customer Revenue'!$K:$K, "None")</f>
        <v>None</v>
      </c>
      <c r="AF633" s="53" t="str">
        <f>_xlfn.XLOOKUP(Master[[#This Row],[cu_id]],'[1]Customer Revenue'!$Q:$Q,'[1]Customer Revenue'!$L:$L, "None")</f>
        <v>None</v>
      </c>
      <c r="AG633" s="53">
        <v>27.224622770919073</v>
      </c>
      <c r="AH633" s="53">
        <v>69.859080932784622</v>
      </c>
      <c r="AI633" s="53">
        <v>63.042307692307688</v>
      </c>
      <c r="AJ633" s="53">
        <v>147.59307692307692</v>
      </c>
      <c r="AK633" s="53" t="str">
        <f>_xlfn.XLOOKUP(Master[[#This Row],[cu_id]],'[1]Customer Revenue'!$Q:$Q,'[1]Customer Revenue'!$I:$I, "None")</f>
        <v>None</v>
      </c>
      <c r="AL633" s="53">
        <v>48.541851851851845</v>
      </c>
      <c r="AM633" s="61">
        <v>0.25</v>
      </c>
      <c r="AN633" s="60">
        <v>0.5</v>
      </c>
      <c r="AO633" s="60" t="s">
        <v>36</v>
      </c>
      <c r="AP633" s="60" t="s">
        <v>36</v>
      </c>
      <c r="AQ633" s="58" t="s">
        <v>0</v>
      </c>
      <c r="AR633" s="58"/>
      <c r="AS633" s="58"/>
      <c r="AT633" s="52">
        <v>0</v>
      </c>
      <c r="AU633" s="52">
        <f>IF(Master[[#This Row],[RSP StopTime override]] &lt;&gt; "",Master[[#This Row],[RSP StopTime override]],IF(Master[[#This Row],[Avg stop time helper]] &lt;&gt; 0, Master[[#This Row],[Avg stop time helper]],Average_Stop_Time))</f>
        <v>10</v>
      </c>
      <c r="AV633" s="21">
        <v>10</v>
      </c>
      <c r="AW633" s="20">
        <f>Master[[#This Row],[RSP StopTime override]]-Master[[#This Row],[Avg stop time helper]]</f>
        <v>10</v>
      </c>
    </row>
    <row r="634" spans="1:49" x14ac:dyDescent="0.3">
      <c r="A634" s="66" t="s">
        <v>4688</v>
      </c>
      <c r="B634" s="58">
        <v>50</v>
      </c>
      <c r="C634" s="58" t="s">
        <v>15</v>
      </c>
      <c r="D634" s="65">
        <v>99061</v>
      </c>
      <c r="E634" s="65" t="s">
        <v>1336</v>
      </c>
      <c r="F634" s="65" t="s">
        <v>2250</v>
      </c>
      <c r="G634" s="65" t="s">
        <v>2231</v>
      </c>
      <c r="H634" s="65" t="s">
        <v>32</v>
      </c>
      <c r="I634" s="65" t="s">
        <v>1920</v>
      </c>
      <c r="J634" s="65" t="s">
        <v>5</v>
      </c>
      <c r="K634" s="65" t="s">
        <v>1919</v>
      </c>
      <c r="L634" s="64" t="s">
        <v>67</v>
      </c>
      <c r="M634" s="58" t="s">
        <v>3</v>
      </c>
      <c r="N634" s="58" t="s">
        <v>2</v>
      </c>
      <c r="O634" s="58">
        <v>35</v>
      </c>
      <c r="P634" s="58">
        <v>0</v>
      </c>
      <c r="Q634" s="58">
        <v>0</v>
      </c>
      <c r="R634" s="58">
        <v>0</v>
      </c>
      <c r="S634" s="58">
        <v>0</v>
      </c>
      <c r="T634" s="58">
        <v>35</v>
      </c>
      <c r="U634" s="58">
        <v>52</v>
      </c>
      <c r="V634" s="62">
        <v>28</v>
      </c>
      <c r="W634" s="62">
        <v>2</v>
      </c>
      <c r="X634" s="63">
        <f>IFERROR(1 -(Master[[#This Row],[Avg Garment Scans per Delivery]]/Master[[#This Row],[Garment Inventory]]), 0)</f>
        <v>0.9285714285714286</v>
      </c>
      <c r="Y634" s="62">
        <v>2</v>
      </c>
      <c r="Z634" s="62">
        <v>28</v>
      </c>
      <c r="AA634" s="53">
        <v>10.917879684418139</v>
      </c>
      <c r="AB634" s="53">
        <v>131.16545364891516</v>
      </c>
      <c r="AC634" s="53">
        <v>48.774556213017753</v>
      </c>
      <c r="AD634" s="53">
        <v>82.04698224852072</v>
      </c>
      <c r="AE634" s="53" t="str">
        <f>_xlfn.XLOOKUP(Master[[#This Row],[cu_id]],'[1]Customer Revenue'!$Q:$Q,'[1]Customer Revenue'!$K:$K, "None")</f>
        <v>None</v>
      </c>
      <c r="AF634" s="53" t="str">
        <f>_xlfn.XLOOKUP(Master[[#This Row],[cu_id]],'[1]Customer Revenue'!$Q:$Q,'[1]Customer Revenue'!$L:$L, "None")</f>
        <v>None</v>
      </c>
      <c r="AG634" s="53">
        <v>21.898067426400765</v>
      </c>
      <c r="AH634" s="53">
        <v>97.924240265906917</v>
      </c>
      <c r="AI634" s="53">
        <v>71.041666666666643</v>
      </c>
      <c r="AJ634" s="53">
        <v>65.410769230769233</v>
      </c>
      <c r="AK634" s="53" t="str">
        <f>_xlfn.XLOOKUP(Master[[#This Row],[cu_id]],'[1]Customer Revenue'!$Q:$Q,'[1]Customer Revenue'!$I:$I, "None")</f>
        <v>None</v>
      </c>
      <c r="AL634" s="53">
        <v>59.911153846153837</v>
      </c>
      <c r="AM634" s="61">
        <v>0.25</v>
      </c>
      <c r="AN634" s="60">
        <v>0.5</v>
      </c>
      <c r="AO634" s="60" t="s">
        <v>36</v>
      </c>
      <c r="AP634" s="60" t="s">
        <v>36</v>
      </c>
      <c r="AQ634" s="58" t="s">
        <v>0</v>
      </c>
      <c r="AR634" s="58"/>
      <c r="AS634" s="58"/>
      <c r="AT634" s="52">
        <v>0</v>
      </c>
      <c r="AU634" s="52">
        <f>IF(Master[[#This Row],[RSP StopTime override]] &lt;&gt; "",Master[[#This Row],[RSP StopTime override]],IF(Master[[#This Row],[Avg stop time helper]] &lt;&gt; 0, Master[[#This Row],[Avg stop time helper]],Average_Stop_Time))</f>
        <v>5</v>
      </c>
      <c r="AV634" s="21">
        <v>5</v>
      </c>
      <c r="AW634" s="20">
        <f>Master[[#This Row],[RSP StopTime override]]-Master[[#This Row],[Avg stop time helper]]</f>
        <v>5</v>
      </c>
    </row>
    <row r="635" spans="1:49" x14ac:dyDescent="0.3">
      <c r="A635" s="66" t="s">
        <v>4689</v>
      </c>
      <c r="B635" s="58">
        <v>50</v>
      </c>
      <c r="C635" s="58" t="s">
        <v>15</v>
      </c>
      <c r="D635" s="65">
        <v>99061</v>
      </c>
      <c r="E635" s="65" t="s">
        <v>2244</v>
      </c>
      <c r="F635" s="65" t="s">
        <v>2243</v>
      </c>
      <c r="G635" s="65" t="s">
        <v>2231</v>
      </c>
      <c r="H635" s="65" t="s">
        <v>32</v>
      </c>
      <c r="I635" s="65" t="s">
        <v>1920</v>
      </c>
      <c r="J635" s="65" t="s">
        <v>5</v>
      </c>
      <c r="K635" s="65" t="s">
        <v>1919</v>
      </c>
      <c r="L635" s="64" t="s">
        <v>67</v>
      </c>
      <c r="M635" s="58" t="s">
        <v>3</v>
      </c>
      <c r="N635" s="58" t="s">
        <v>2</v>
      </c>
      <c r="O635" s="58">
        <v>40</v>
      </c>
      <c r="P635" s="58">
        <v>0</v>
      </c>
      <c r="Q635" s="58">
        <v>0</v>
      </c>
      <c r="R635" s="58">
        <v>0</v>
      </c>
      <c r="S635" s="58">
        <v>0</v>
      </c>
      <c r="T635" s="58">
        <v>40</v>
      </c>
      <c r="U635" s="58">
        <v>52</v>
      </c>
      <c r="V635" s="62"/>
      <c r="W635" s="62"/>
      <c r="X635" s="63">
        <f>IFERROR(1 -(Master[[#This Row],[Avg Garment Scans per Delivery]]/Master[[#This Row],[Garment Inventory]]), 0)</f>
        <v>0</v>
      </c>
      <c r="Y635" s="62"/>
      <c r="Z635" s="62"/>
      <c r="AA635" s="53">
        <v>15.25</v>
      </c>
      <c r="AB635" s="53">
        <v>15.25</v>
      </c>
      <c r="AC635" s="53">
        <v>15.07076923076923</v>
      </c>
      <c r="AD635" s="53">
        <v>20.649230769230769</v>
      </c>
      <c r="AE635" s="53" t="str">
        <f>_xlfn.XLOOKUP(Master[[#This Row],[cu_id]],'[1]Customer Revenue'!$Q:$Q,'[1]Customer Revenue'!$K:$K, "None")</f>
        <v>None</v>
      </c>
      <c r="AF635" s="53" t="str">
        <f>_xlfn.XLOOKUP(Master[[#This Row],[cu_id]],'[1]Customer Revenue'!$Q:$Q,'[1]Customer Revenue'!$L:$L, "None")</f>
        <v>None</v>
      </c>
      <c r="AG635" s="53">
        <v>14.846745562130176</v>
      </c>
      <c r="AH635" s="53">
        <v>15.291715976331359</v>
      </c>
      <c r="AI635" s="53">
        <v>15.25</v>
      </c>
      <c r="AJ635" s="53">
        <v>17.86</v>
      </c>
      <c r="AK635" s="53" t="str">
        <f>_xlfn.XLOOKUP(Master[[#This Row],[cu_id]],'[1]Customer Revenue'!$Q:$Q,'[1]Customer Revenue'!$I:$I, "None")</f>
        <v>None</v>
      </c>
      <c r="AL635" s="53">
        <v>15.069230769230767</v>
      </c>
      <c r="AM635" s="61">
        <v>0.25</v>
      </c>
      <c r="AN635" s="60">
        <v>0.5</v>
      </c>
      <c r="AO635" s="60" t="s">
        <v>36</v>
      </c>
      <c r="AP635" s="60" t="s">
        <v>36</v>
      </c>
      <c r="AQ635" s="58" t="s">
        <v>0</v>
      </c>
      <c r="AR635" s="58"/>
      <c r="AS635" s="58"/>
      <c r="AT635" s="52">
        <v>0</v>
      </c>
      <c r="AU635" s="52">
        <f>IF(Master[[#This Row],[RSP StopTime override]] &lt;&gt; "",Master[[#This Row],[RSP StopTime override]],IF(Master[[#This Row],[Avg stop time helper]] &lt;&gt; 0, Master[[#This Row],[Avg stop time helper]],Average_Stop_Time))</f>
        <v>5</v>
      </c>
      <c r="AV635" s="21">
        <v>5</v>
      </c>
      <c r="AW635" s="20">
        <f>Master[[#This Row],[RSP StopTime override]]-Master[[#This Row],[Avg stop time helper]]</f>
        <v>5</v>
      </c>
    </row>
    <row r="636" spans="1:49" x14ac:dyDescent="0.3">
      <c r="A636" s="66" t="s">
        <v>4690</v>
      </c>
      <c r="B636" s="58">
        <v>50</v>
      </c>
      <c r="C636" s="58" t="s">
        <v>15</v>
      </c>
      <c r="D636" s="65">
        <v>99061</v>
      </c>
      <c r="E636" s="65" t="s">
        <v>2242</v>
      </c>
      <c r="F636" s="65" t="s">
        <v>2241</v>
      </c>
      <c r="G636" s="65" t="s">
        <v>2231</v>
      </c>
      <c r="H636" s="65" t="s">
        <v>32</v>
      </c>
      <c r="I636" s="65" t="s">
        <v>1920</v>
      </c>
      <c r="J636" s="65" t="s">
        <v>5</v>
      </c>
      <c r="K636" s="65" t="s">
        <v>1919</v>
      </c>
      <c r="L636" s="64" t="s">
        <v>67</v>
      </c>
      <c r="M636" s="58" t="s">
        <v>3</v>
      </c>
      <c r="N636" s="58" t="s">
        <v>2</v>
      </c>
      <c r="O636" s="58">
        <v>45</v>
      </c>
      <c r="P636" s="58">
        <v>0</v>
      </c>
      <c r="Q636" s="58">
        <v>0</v>
      </c>
      <c r="R636" s="58">
        <v>0</v>
      </c>
      <c r="S636" s="58">
        <v>0</v>
      </c>
      <c r="T636" s="58">
        <v>45</v>
      </c>
      <c r="U636" s="58">
        <v>52</v>
      </c>
      <c r="V636" s="62"/>
      <c r="W636" s="62"/>
      <c r="X636" s="63">
        <f>IFERROR(1 -(Master[[#This Row],[Avg Garment Scans per Delivery]]/Master[[#This Row],[Garment Inventory]]), 0)</f>
        <v>0</v>
      </c>
      <c r="Y636" s="62"/>
      <c r="Z636" s="62"/>
      <c r="AA636" s="53">
        <v>14.03</v>
      </c>
      <c r="AB636" s="53">
        <v>14.03</v>
      </c>
      <c r="AC636" s="53">
        <v>13.942781065088758</v>
      </c>
      <c r="AD636" s="53">
        <v>14.323372781065087</v>
      </c>
      <c r="AE636" s="53" t="str">
        <f>_xlfn.XLOOKUP(Master[[#This Row],[cu_id]],'[1]Customer Revenue'!$Q:$Q,'[1]Customer Revenue'!$K:$K, "None")</f>
        <v>None</v>
      </c>
      <c r="AF636" s="53" t="str">
        <f>_xlfn.XLOOKUP(Master[[#This Row],[cu_id]],'[1]Customer Revenue'!$Q:$Q,'[1]Customer Revenue'!$L:$L, "None")</f>
        <v>None</v>
      </c>
      <c r="AG636" s="53">
        <v>11.528224852071</v>
      </c>
      <c r="AH636" s="53">
        <v>14.208698224852066</v>
      </c>
      <c r="AI636" s="53">
        <v>14.03</v>
      </c>
      <c r="AJ636" s="53">
        <v>14.133076923076922</v>
      </c>
      <c r="AK636" s="53" t="str">
        <f>_xlfn.XLOOKUP(Master[[#This Row],[cu_id]],'[1]Customer Revenue'!$Q:$Q,'[1]Customer Revenue'!$I:$I, "None")</f>
        <v>None</v>
      </c>
      <c r="AL636" s="53">
        <v>12.868461538461533</v>
      </c>
      <c r="AM636" s="61">
        <v>0.25</v>
      </c>
      <c r="AN636" s="60">
        <v>0.5</v>
      </c>
      <c r="AO636" s="60" t="s">
        <v>36</v>
      </c>
      <c r="AP636" s="60" t="s">
        <v>36</v>
      </c>
      <c r="AQ636" s="58" t="s">
        <v>0</v>
      </c>
      <c r="AR636" s="58"/>
      <c r="AS636" s="58"/>
      <c r="AT636" s="52">
        <v>0</v>
      </c>
      <c r="AU636" s="52">
        <f>IF(Master[[#This Row],[RSP StopTime override]] &lt;&gt; "",Master[[#This Row],[RSP StopTime override]],IF(Master[[#This Row],[Avg stop time helper]] &lt;&gt; 0, Master[[#This Row],[Avg stop time helper]],Average_Stop_Time))</f>
        <v>5</v>
      </c>
      <c r="AV636" s="21">
        <v>5</v>
      </c>
      <c r="AW636" s="20">
        <f>Master[[#This Row],[RSP StopTime override]]-Master[[#This Row],[Avg stop time helper]]</f>
        <v>5</v>
      </c>
    </row>
    <row r="637" spans="1:49" x14ac:dyDescent="0.3">
      <c r="A637" s="66" t="s">
        <v>4691</v>
      </c>
      <c r="B637" s="58">
        <v>50</v>
      </c>
      <c r="C637" s="58" t="s">
        <v>15</v>
      </c>
      <c r="D637" s="65">
        <v>99161</v>
      </c>
      <c r="E637" s="65" t="s">
        <v>1749</v>
      </c>
      <c r="F637" s="65" t="s">
        <v>2234</v>
      </c>
      <c r="G637" s="65" t="s">
        <v>2233</v>
      </c>
      <c r="H637" s="65" t="s">
        <v>7</v>
      </c>
      <c r="I637" s="65" t="s">
        <v>1920</v>
      </c>
      <c r="J637" s="65" t="s">
        <v>5</v>
      </c>
      <c r="K637" s="65" t="s">
        <v>1919</v>
      </c>
      <c r="L637" s="64" t="s">
        <v>67</v>
      </c>
      <c r="M637" s="58" t="s">
        <v>3</v>
      </c>
      <c r="N637" s="58" t="s">
        <v>2</v>
      </c>
      <c r="O637" s="58">
        <v>190</v>
      </c>
      <c r="P637" s="58">
        <v>0</v>
      </c>
      <c r="Q637" s="58">
        <v>0</v>
      </c>
      <c r="R637" s="58">
        <v>0</v>
      </c>
      <c r="S637" s="58">
        <v>0</v>
      </c>
      <c r="T637" s="58">
        <v>190</v>
      </c>
      <c r="U637" s="58">
        <v>2</v>
      </c>
      <c r="V637" s="62"/>
      <c r="W637" s="62"/>
      <c r="X637" s="63">
        <f>IFERROR(1 -(Master[[#This Row],[Avg Garment Scans per Delivery]]/Master[[#This Row],[Garment Inventory]]), 0)</f>
        <v>0</v>
      </c>
      <c r="Y637" s="62"/>
      <c r="Z637" s="62"/>
      <c r="AA637" s="53">
        <v>51.11999999999999</v>
      </c>
      <c r="AB637" s="53">
        <v>119.02</v>
      </c>
      <c r="AC637" s="53">
        <v>47.52</v>
      </c>
      <c r="AD637" s="53">
        <v>142.56</v>
      </c>
      <c r="AE637" s="53" t="str">
        <f>_xlfn.XLOOKUP(Master[[#This Row],[cu_id]],'[1]Customer Revenue'!$Q:$Q,'[1]Customer Revenue'!$K:$K, "None")</f>
        <v>None</v>
      </c>
      <c r="AF637" s="53" t="str">
        <f>_xlfn.XLOOKUP(Master[[#This Row],[cu_id]],'[1]Customer Revenue'!$Q:$Q,'[1]Customer Revenue'!$L:$L, "None")</f>
        <v>None</v>
      </c>
      <c r="AG637" s="53">
        <v>51.11999999999999</v>
      </c>
      <c r="AH637" s="53">
        <v>119.02</v>
      </c>
      <c r="AI637" s="53">
        <v>85.07</v>
      </c>
      <c r="AJ637" s="53">
        <v>95.04</v>
      </c>
      <c r="AK637" s="53" t="str">
        <f>_xlfn.XLOOKUP(Master[[#This Row],[cu_id]],'[1]Customer Revenue'!$Q:$Q,'[1]Customer Revenue'!$I:$I, "None")</f>
        <v>None</v>
      </c>
      <c r="AL637" s="53">
        <v>85.07</v>
      </c>
      <c r="AM637" s="61">
        <v>0.25</v>
      </c>
      <c r="AN637" s="60">
        <v>0.75</v>
      </c>
      <c r="AO637" s="60" t="s">
        <v>36</v>
      </c>
      <c r="AP637" s="60" t="s">
        <v>36</v>
      </c>
      <c r="AQ637" s="58" t="s">
        <v>0</v>
      </c>
      <c r="AR637" s="58"/>
      <c r="AS637" s="58"/>
      <c r="AT637" s="52">
        <v>0</v>
      </c>
      <c r="AU637" s="52">
        <f>IF(Master[[#This Row],[RSP StopTime override]] &lt;&gt; "",Master[[#This Row],[RSP StopTime override]],IF(Master[[#This Row],[Avg stop time helper]] &lt;&gt; 0, Master[[#This Row],[Avg stop time helper]],Average_Stop_Time))</f>
        <v>8</v>
      </c>
      <c r="AV637" s="21">
        <v>8</v>
      </c>
      <c r="AW637" s="20">
        <f>Master[[#This Row],[RSP StopTime override]]-Master[[#This Row],[Avg stop time helper]]</f>
        <v>8</v>
      </c>
    </row>
    <row r="638" spans="1:49" x14ac:dyDescent="0.3">
      <c r="A638" s="66" t="s">
        <v>3904</v>
      </c>
      <c r="B638" s="58">
        <v>50</v>
      </c>
      <c r="C638" s="58" t="s">
        <v>15</v>
      </c>
      <c r="D638" s="65">
        <v>99061</v>
      </c>
      <c r="E638" s="65" t="s">
        <v>1749</v>
      </c>
      <c r="F638" s="65" t="s">
        <v>3673</v>
      </c>
      <c r="G638" s="65" t="s">
        <v>2233</v>
      </c>
      <c r="H638" s="65" t="s">
        <v>32</v>
      </c>
      <c r="I638" s="65" t="s">
        <v>1920</v>
      </c>
      <c r="J638" s="65" t="s">
        <v>5</v>
      </c>
      <c r="K638" s="65" t="s">
        <v>1919</v>
      </c>
      <c r="L638" s="64" t="s">
        <v>67</v>
      </c>
      <c r="M638" s="58" t="s">
        <v>3</v>
      </c>
      <c r="N638" s="58" t="s">
        <v>2</v>
      </c>
      <c r="O638" s="58">
        <v>10</v>
      </c>
      <c r="P638" s="58">
        <v>0</v>
      </c>
      <c r="Q638" s="58">
        <v>0</v>
      </c>
      <c r="R638" s="58">
        <v>0</v>
      </c>
      <c r="S638" s="58">
        <v>0</v>
      </c>
      <c r="T638" s="58">
        <v>10</v>
      </c>
      <c r="U638" s="58">
        <v>52</v>
      </c>
      <c r="V638" s="62"/>
      <c r="W638" s="62"/>
      <c r="X638" s="63">
        <f>IFERROR(1 -(Master[[#This Row],[Avg Garment Scans per Delivery]]/Master[[#This Row],[Garment Inventory]]), 0)</f>
        <v>0</v>
      </c>
      <c r="Y638" s="62"/>
      <c r="Z638" s="62"/>
      <c r="AA638" s="53">
        <v>17.385555555555555</v>
      </c>
      <c r="AB638" s="53">
        <v>17.58111111111112</v>
      </c>
      <c r="AC638" s="53">
        <v>19.845562130177516</v>
      </c>
      <c r="AD638" s="53">
        <v>20.606745562130175</v>
      </c>
      <c r="AE638" s="53" t="str">
        <f>_xlfn.XLOOKUP(Master[[#This Row],[cu_id]],'[1]Customer Revenue'!$Q:$Q,'[1]Customer Revenue'!$K:$K, "None")</f>
        <v>None</v>
      </c>
      <c r="AF638" s="53" t="str">
        <f>_xlfn.XLOOKUP(Master[[#This Row],[cu_id]],'[1]Customer Revenue'!$Q:$Q,'[1]Customer Revenue'!$L:$L, "None")</f>
        <v>None</v>
      </c>
      <c r="AG638" s="53">
        <v>16.580029585798819</v>
      </c>
      <c r="AH638" s="53">
        <v>17.856124260355031</v>
      </c>
      <c r="AI638" s="53">
        <v>17.483333333333338</v>
      </c>
      <c r="AJ638" s="53">
        <v>20.226153846153846</v>
      </c>
      <c r="AK638" s="53" t="str">
        <f>_xlfn.XLOOKUP(Master[[#This Row],[cu_id]],'[1]Customer Revenue'!$Q:$Q,'[1]Customer Revenue'!$I:$I, "None")</f>
        <v>None</v>
      </c>
      <c r="AL638" s="53">
        <v>17.218076923076925</v>
      </c>
      <c r="AM638" s="61">
        <v>0.25</v>
      </c>
      <c r="AN638" s="60">
        <v>0.5</v>
      </c>
      <c r="AO638" s="60" t="s">
        <v>36</v>
      </c>
      <c r="AP638" s="60" t="s">
        <v>36</v>
      </c>
      <c r="AQ638" s="58" t="s">
        <v>0</v>
      </c>
      <c r="AR638" s="58"/>
      <c r="AS638" s="58"/>
      <c r="AT638" s="52">
        <v>0</v>
      </c>
      <c r="AU638" s="52">
        <f>IF(Master[[#This Row],[RSP StopTime override]] &lt;&gt; "",Master[[#This Row],[RSP StopTime override]],IF(Master[[#This Row],[Avg stop time helper]] &lt;&gt; 0, Master[[#This Row],[Avg stop time helper]],Average_Stop_Time))</f>
        <v>10</v>
      </c>
      <c r="AV638" s="21">
        <v>10</v>
      </c>
      <c r="AW638" s="20">
        <f>Master[[#This Row],[RSP StopTime override]]-Master[[#This Row],[Avg stop time helper]]</f>
        <v>10</v>
      </c>
    </row>
    <row r="639" spans="1:49" x14ac:dyDescent="0.3">
      <c r="A639" s="66" t="s">
        <v>4692</v>
      </c>
      <c r="B639" s="58">
        <v>50</v>
      </c>
      <c r="C639" s="58" t="s">
        <v>43</v>
      </c>
      <c r="D639" s="65">
        <v>530647</v>
      </c>
      <c r="E639" s="65" t="s">
        <v>42</v>
      </c>
      <c r="F639" s="65" t="s">
        <v>2273</v>
      </c>
      <c r="G639" s="65" t="s">
        <v>2272</v>
      </c>
      <c r="H639" s="65" t="s">
        <v>7</v>
      </c>
      <c r="I639" s="65" t="s">
        <v>2256</v>
      </c>
      <c r="J639" s="65" t="s">
        <v>5</v>
      </c>
      <c r="K639" s="65" t="s">
        <v>2255</v>
      </c>
      <c r="L639" s="64" t="s">
        <v>91</v>
      </c>
      <c r="M639" s="58" t="s">
        <v>90</v>
      </c>
      <c r="N639" s="58" t="s">
        <v>2</v>
      </c>
      <c r="O639" s="58">
        <v>130</v>
      </c>
      <c r="P639" s="58">
        <v>0</v>
      </c>
      <c r="Q639" s="58">
        <v>0</v>
      </c>
      <c r="R639" s="58">
        <v>0</v>
      </c>
      <c r="S639" s="58">
        <v>130</v>
      </c>
      <c r="T639" s="58">
        <v>0</v>
      </c>
      <c r="U639" s="58">
        <v>27</v>
      </c>
      <c r="V639" s="62">
        <v>176</v>
      </c>
      <c r="W639" s="62">
        <v>9</v>
      </c>
      <c r="X639" s="63">
        <f>IFERROR(1 -(Master[[#This Row],[Avg Garment Scans per Delivery]]/Master[[#This Row],[Garment Inventory]]), 0)</f>
        <v>0.94886363636363635</v>
      </c>
      <c r="Y639" s="62">
        <v>8</v>
      </c>
      <c r="Z639" s="62">
        <v>176</v>
      </c>
      <c r="AA639" s="53">
        <v>174.1479464285714</v>
      </c>
      <c r="AB639" s="53">
        <v>272.86919642857146</v>
      </c>
      <c r="AC639" s="53">
        <v>169.16425170068021</v>
      </c>
      <c r="AD639" s="53">
        <v>278.8924149659864</v>
      </c>
      <c r="AE639" s="53" t="str">
        <f>_xlfn.XLOOKUP(Master[[#This Row],[cu_id]],'[1]Customer Revenue'!$Q:$Q,'[1]Customer Revenue'!$K:$K, "None")</f>
        <v>None</v>
      </c>
      <c r="AF639" s="53" t="str">
        <f>_xlfn.XLOOKUP(Master[[#This Row],[cu_id]],'[1]Customer Revenue'!$Q:$Q,'[1]Customer Revenue'!$L:$L, "None")</f>
        <v>None</v>
      </c>
      <c r="AG639" s="53">
        <v>175.79997767857151</v>
      </c>
      <c r="AH639" s="53">
        <v>274.84716517857146</v>
      </c>
      <c r="AI639" s="53">
        <v>223.50857142857143</v>
      </c>
      <c r="AJ639" s="53">
        <v>224.02833333333331</v>
      </c>
      <c r="AK639" s="53" t="str">
        <f>_xlfn.XLOOKUP(Master[[#This Row],[cu_id]],'[1]Customer Revenue'!$Q:$Q,'[1]Customer Revenue'!$I:$I, "None")</f>
        <v>None</v>
      </c>
      <c r="AL639" s="53">
        <v>225.32357142857148</v>
      </c>
      <c r="AM639" s="61">
        <v>0.375</v>
      </c>
      <c r="AN639" s="60">
        <v>0.58333333333333337</v>
      </c>
      <c r="AO639" s="60" t="s">
        <v>36</v>
      </c>
      <c r="AP639" s="60" t="s">
        <v>36</v>
      </c>
      <c r="AQ639" s="58" t="s">
        <v>0</v>
      </c>
      <c r="AR639" s="58"/>
      <c r="AS639" s="58"/>
      <c r="AT639" s="52">
        <v>0</v>
      </c>
      <c r="AU639" s="52">
        <f>IF(Master[[#This Row],[RSP StopTime override]] &lt;&gt; "",Master[[#This Row],[RSP StopTime override]],IF(Master[[#This Row],[Avg stop time helper]] &lt;&gt; 0, Master[[#This Row],[Avg stop time helper]],Average_Stop_Time))</f>
        <v>15</v>
      </c>
      <c r="AV639" s="21">
        <v>15</v>
      </c>
      <c r="AW639" s="20">
        <f>Master[[#This Row],[RSP StopTime override]]-Master[[#This Row],[Avg stop time helper]]</f>
        <v>15</v>
      </c>
    </row>
    <row r="640" spans="1:49" x14ac:dyDescent="0.3">
      <c r="A640" s="66" t="s">
        <v>4693</v>
      </c>
      <c r="B640" s="58">
        <v>50</v>
      </c>
      <c r="C640" s="58" t="s">
        <v>43</v>
      </c>
      <c r="D640" s="65">
        <v>530268</v>
      </c>
      <c r="E640" s="65" t="s">
        <v>42</v>
      </c>
      <c r="F640" s="65" t="s">
        <v>2275</v>
      </c>
      <c r="G640" s="65" t="s">
        <v>2274</v>
      </c>
      <c r="H640" s="65" t="s">
        <v>7</v>
      </c>
      <c r="I640" s="65" t="s">
        <v>2264</v>
      </c>
      <c r="J640" s="65" t="s">
        <v>5</v>
      </c>
      <c r="K640" s="65" t="s">
        <v>38</v>
      </c>
      <c r="L640" s="64" t="s">
        <v>124</v>
      </c>
      <c r="M640" s="58" t="s">
        <v>123</v>
      </c>
      <c r="N640" s="58" t="s">
        <v>2</v>
      </c>
      <c r="O640" s="58">
        <v>25</v>
      </c>
      <c r="P640" s="58">
        <v>0</v>
      </c>
      <c r="Q640" s="58">
        <v>0</v>
      </c>
      <c r="R640" s="58">
        <v>0</v>
      </c>
      <c r="S640" s="58">
        <v>25</v>
      </c>
      <c r="T640" s="58">
        <v>0</v>
      </c>
      <c r="U640" s="58">
        <v>8</v>
      </c>
      <c r="V640" s="62"/>
      <c r="W640" s="62"/>
      <c r="X640" s="63">
        <f>IFERROR(1 -(Master[[#This Row],[Avg Garment Scans per Delivery]]/Master[[#This Row],[Garment Inventory]]), 0)</f>
        <v>0</v>
      </c>
      <c r="Y640" s="62"/>
      <c r="Z640" s="62"/>
      <c r="AA640" s="53">
        <v>31.315000000000001</v>
      </c>
      <c r="AB640" s="53">
        <v>93.945000000000007</v>
      </c>
      <c r="AC640" s="53">
        <v>32.984583333333333</v>
      </c>
      <c r="AD640" s="53">
        <v>120.18208333333332</v>
      </c>
      <c r="AE640" s="53" t="str">
        <f>_xlfn.XLOOKUP(Master[[#This Row],[cu_id]],'[1]Customer Revenue'!$Q:$Q,'[1]Customer Revenue'!$K:$K, "None")</f>
        <v>None</v>
      </c>
      <c r="AF640" s="53" t="str">
        <f>_xlfn.XLOOKUP(Master[[#This Row],[cu_id]],'[1]Customer Revenue'!$Q:$Q,'[1]Customer Revenue'!$L:$L, "None")</f>
        <v>None</v>
      </c>
      <c r="AG640" s="53">
        <v>46.834296296296287</v>
      </c>
      <c r="AH640" s="53">
        <v>182.08170370370371</v>
      </c>
      <c r="AI640" s="53">
        <v>62.63</v>
      </c>
      <c r="AJ640" s="53">
        <v>76.583333333333329</v>
      </c>
      <c r="AK640" s="53" t="str">
        <f>_xlfn.XLOOKUP(Master[[#This Row],[cu_id]],'[1]Customer Revenue'!$Q:$Q,'[1]Customer Revenue'!$I:$I, "None")</f>
        <v>None</v>
      </c>
      <c r="AL640" s="53">
        <v>114.458</v>
      </c>
      <c r="AM640" s="61">
        <v>0.33333333333333331</v>
      </c>
      <c r="AN640" s="60">
        <v>0.66666666666666663</v>
      </c>
      <c r="AO640" s="60" t="s">
        <v>36</v>
      </c>
      <c r="AP640" s="60" t="s">
        <v>36</v>
      </c>
      <c r="AQ640" s="58" t="s">
        <v>0</v>
      </c>
      <c r="AR640" s="58"/>
      <c r="AS640" s="58"/>
      <c r="AT640" s="52">
        <v>0</v>
      </c>
      <c r="AU640" s="52">
        <f>IF(Master[[#This Row],[RSP StopTime override]] &lt;&gt; "",Master[[#This Row],[RSP StopTime override]],IF(Master[[#This Row],[Avg stop time helper]] &lt;&gt; 0, Master[[#This Row],[Avg stop time helper]],Average_Stop_Time))</f>
        <v>10</v>
      </c>
      <c r="AV640" s="21">
        <v>10</v>
      </c>
      <c r="AW640" s="20">
        <f>Master[[#This Row],[RSP StopTime override]]-Master[[#This Row],[Avg stop time helper]]</f>
        <v>10</v>
      </c>
    </row>
    <row r="641" spans="1:49" x14ac:dyDescent="0.3">
      <c r="A641" s="66" t="s">
        <v>4694</v>
      </c>
      <c r="B641" s="58">
        <v>50</v>
      </c>
      <c r="C641" s="58" t="s">
        <v>15</v>
      </c>
      <c r="D641" s="65">
        <v>531210</v>
      </c>
      <c r="E641" s="65" t="s">
        <v>42</v>
      </c>
      <c r="F641" s="65" t="s">
        <v>2214</v>
      </c>
      <c r="G641" s="65" t="s">
        <v>2213</v>
      </c>
      <c r="H641" s="65" t="s">
        <v>7</v>
      </c>
      <c r="I641" s="65" t="s">
        <v>1920</v>
      </c>
      <c r="J641" s="65" t="s">
        <v>5</v>
      </c>
      <c r="K641" s="65" t="s">
        <v>1919</v>
      </c>
      <c r="L641" s="64" t="s">
        <v>67</v>
      </c>
      <c r="M641" s="58" t="s">
        <v>3</v>
      </c>
      <c r="N641" s="58" t="s">
        <v>2</v>
      </c>
      <c r="O641" s="58">
        <v>50</v>
      </c>
      <c r="P641" s="58">
        <v>0</v>
      </c>
      <c r="Q641" s="58">
        <v>0</v>
      </c>
      <c r="R641" s="58">
        <v>0</v>
      </c>
      <c r="S641" s="58">
        <v>0</v>
      </c>
      <c r="T641" s="58">
        <v>50</v>
      </c>
      <c r="U641" s="58">
        <v>53</v>
      </c>
      <c r="V641" s="62">
        <v>13</v>
      </c>
      <c r="W641" s="62">
        <v>3</v>
      </c>
      <c r="X641" s="63">
        <f>IFERROR(1 -(Master[[#This Row],[Avg Garment Scans per Delivery]]/Master[[#This Row],[Garment Inventory]]), 0)</f>
        <v>0.76923076923076916</v>
      </c>
      <c r="Y641" s="62">
        <v>2</v>
      </c>
      <c r="Z641" s="62">
        <v>25</v>
      </c>
      <c r="AA641" s="53">
        <v>324.54388888888889</v>
      </c>
      <c r="AB641" s="53">
        <v>371.69277777777779</v>
      </c>
      <c r="AC641" s="53">
        <v>363.74408284023662</v>
      </c>
      <c r="AD641" s="53">
        <v>413.05130177514786</v>
      </c>
      <c r="AE641" s="53" t="str">
        <f>_xlfn.XLOOKUP(Master[[#This Row],[cu_id]],'[1]Customer Revenue'!$Q:$Q,'[1]Customer Revenue'!$K:$K, "None")</f>
        <v>None</v>
      </c>
      <c r="AF641" s="53" t="str">
        <f>_xlfn.XLOOKUP(Master[[#This Row],[cu_id]],'[1]Customer Revenue'!$Q:$Q,'[1]Customer Revenue'!$L:$L, "None")</f>
        <v>None</v>
      </c>
      <c r="AG641" s="53">
        <v>311.55707818930046</v>
      </c>
      <c r="AH641" s="53">
        <v>363.9740329218107</v>
      </c>
      <c r="AI641" s="53">
        <v>348.11833333333334</v>
      </c>
      <c r="AJ641" s="53">
        <v>388.39769230769224</v>
      </c>
      <c r="AK641" s="53" t="str">
        <f>_xlfn.XLOOKUP(Master[[#This Row],[cu_id]],'[1]Customer Revenue'!$Q:$Q,'[1]Customer Revenue'!$I:$I, "None")</f>
        <v>None</v>
      </c>
      <c r="AL641" s="53">
        <v>337.76555555555558</v>
      </c>
      <c r="AM641" s="61">
        <v>0.29166666666666669</v>
      </c>
      <c r="AN641" s="60">
        <v>0.625</v>
      </c>
      <c r="AO641" s="60" t="s">
        <v>36</v>
      </c>
      <c r="AP641" s="60" t="s">
        <v>36</v>
      </c>
      <c r="AQ641" s="58" t="s">
        <v>0</v>
      </c>
      <c r="AR641" s="58"/>
      <c r="AS641" s="58"/>
      <c r="AT641" s="52">
        <v>0</v>
      </c>
      <c r="AU641" s="52">
        <f>IF(Master[[#This Row],[RSP StopTime override]] &lt;&gt; "",Master[[#This Row],[RSP StopTime override]],IF(Master[[#This Row],[Avg stop time helper]] &lt;&gt; 0, Master[[#This Row],[Avg stop time helper]],Average_Stop_Time))</f>
        <v>15</v>
      </c>
      <c r="AV641" s="21">
        <v>15</v>
      </c>
      <c r="AW641" s="20">
        <f>Master[[#This Row],[RSP StopTime override]]-Master[[#This Row],[Avg stop time helper]]</f>
        <v>15</v>
      </c>
    </row>
    <row r="642" spans="1:49" x14ac:dyDescent="0.3">
      <c r="A642" s="66" t="s">
        <v>4695</v>
      </c>
      <c r="B642" s="58">
        <v>50</v>
      </c>
      <c r="C642" s="58" t="s">
        <v>43</v>
      </c>
      <c r="D642" s="65">
        <v>512422</v>
      </c>
      <c r="E642" s="65" t="s">
        <v>42</v>
      </c>
      <c r="F642" s="65" t="s">
        <v>2293</v>
      </c>
      <c r="G642" s="65" t="s">
        <v>2292</v>
      </c>
      <c r="H642" s="65" t="s">
        <v>32</v>
      </c>
      <c r="I642" s="65" t="s">
        <v>2281</v>
      </c>
      <c r="J642" s="65" t="s">
        <v>5</v>
      </c>
      <c r="K642" s="65" t="s">
        <v>2255</v>
      </c>
      <c r="L642" s="64" t="s">
        <v>141</v>
      </c>
      <c r="M642" s="58" t="s">
        <v>140</v>
      </c>
      <c r="N642" s="58" t="s">
        <v>2</v>
      </c>
      <c r="O642" s="58">
        <v>115</v>
      </c>
      <c r="P642" s="58">
        <v>0</v>
      </c>
      <c r="Q642" s="58">
        <v>0</v>
      </c>
      <c r="R642" s="58">
        <v>0</v>
      </c>
      <c r="S642" s="58">
        <v>115</v>
      </c>
      <c r="T642" s="58">
        <v>0</v>
      </c>
      <c r="U642" s="58">
        <v>13</v>
      </c>
      <c r="V642" s="62"/>
      <c r="W642" s="62"/>
      <c r="X642" s="63">
        <f>IFERROR(1 -(Master[[#This Row],[Avg Garment Scans per Delivery]]/Master[[#This Row],[Garment Inventory]]), 0)</f>
        <v>0</v>
      </c>
      <c r="Y642" s="62"/>
      <c r="Z642" s="62"/>
      <c r="AA642" s="53">
        <v>103.2</v>
      </c>
      <c r="AB642" s="53">
        <v>108.76</v>
      </c>
      <c r="AC642" s="53">
        <v>108.70555555555555</v>
      </c>
      <c r="AD642" s="53">
        <v>112.58111111111111</v>
      </c>
      <c r="AE642" s="53" t="str">
        <f>_xlfn.XLOOKUP(Master[[#This Row],[cu_id]],'[1]Customer Revenue'!$Q:$Q,'[1]Customer Revenue'!$K:$K, "None")</f>
        <v>None</v>
      </c>
      <c r="AF642" s="53" t="str">
        <f>_xlfn.XLOOKUP(Master[[#This Row],[cu_id]],'[1]Customer Revenue'!$Q:$Q,'[1]Customer Revenue'!$L:$L, "None")</f>
        <v>None</v>
      </c>
      <c r="AG642" s="53">
        <v>101.04408163265308</v>
      </c>
      <c r="AH642" s="53">
        <v>106.15020408163267</v>
      </c>
      <c r="AI642" s="53">
        <v>105.98</v>
      </c>
      <c r="AJ642" s="53">
        <v>110.64333333333333</v>
      </c>
      <c r="AK642" s="53" t="str">
        <f>_xlfn.XLOOKUP(Master[[#This Row],[cu_id]],'[1]Customer Revenue'!$Q:$Q,'[1]Customer Revenue'!$I:$I, "None")</f>
        <v>None</v>
      </c>
      <c r="AL642" s="53">
        <v>103.59714285714287</v>
      </c>
      <c r="AM642" s="61">
        <v>0.41666666666666669</v>
      </c>
      <c r="AN642" s="60">
        <v>0.58333333333333337</v>
      </c>
      <c r="AO642" s="60" t="s">
        <v>36</v>
      </c>
      <c r="AP642" s="60" t="s">
        <v>36</v>
      </c>
      <c r="AQ642" s="58" t="s">
        <v>0</v>
      </c>
      <c r="AR642" s="58"/>
      <c r="AS642" s="58"/>
      <c r="AT642" s="52">
        <v>0</v>
      </c>
      <c r="AU642" s="52">
        <f>IF(Master[[#This Row],[RSP StopTime override]] &lt;&gt; "",Master[[#This Row],[RSP StopTime override]],IF(Master[[#This Row],[Avg stop time helper]] &lt;&gt; 0, Master[[#This Row],[Avg stop time helper]],Average_Stop_Time))</f>
        <v>5</v>
      </c>
      <c r="AV642" s="21">
        <v>5</v>
      </c>
      <c r="AW642" s="20">
        <f>Master[[#This Row],[RSP StopTime override]]-Master[[#This Row],[Avg stop time helper]]</f>
        <v>5</v>
      </c>
    </row>
    <row r="643" spans="1:49" x14ac:dyDescent="0.3">
      <c r="A643" s="66" t="s">
        <v>4696</v>
      </c>
      <c r="B643" s="58">
        <v>50</v>
      </c>
      <c r="C643" s="58" t="s">
        <v>43</v>
      </c>
      <c r="D643" s="65">
        <v>521337</v>
      </c>
      <c r="E643" s="65" t="s">
        <v>42</v>
      </c>
      <c r="F643" s="65" t="s">
        <v>2283</v>
      </c>
      <c r="G643" s="65" t="s">
        <v>2282</v>
      </c>
      <c r="H643" s="65" t="s">
        <v>32</v>
      </c>
      <c r="I643" s="65" t="s">
        <v>2281</v>
      </c>
      <c r="J643" s="65" t="s">
        <v>5</v>
      </c>
      <c r="K643" s="65" t="s">
        <v>2255</v>
      </c>
      <c r="L643" s="64" t="s">
        <v>145</v>
      </c>
      <c r="M643" s="58" t="s">
        <v>123</v>
      </c>
      <c r="N643" s="58" t="s">
        <v>144</v>
      </c>
      <c r="O643" s="58">
        <v>65</v>
      </c>
      <c r="P643" s="58">
        <v>0</v>
      </c>
      <c r="Q643" s="58">
        <v>0</v>
      </c>
      <c r="R643" s="58">
        <v>0</v>
      </c>
      <c r="S643" s="58">
        <v>65</v>
      </c>
      <c r="T643" s="58">
        <v>0</v>
      </c>
      <c r="U643" s="58">
        <v>6</v>
      </c>
      <c r="V643" s="62"/>
      <c r="W643" s="62"/>
      <c r="X643" s="63">
        <f>IFERROR(1 -(Master[[#This Row],[Avg Garment Scans per Delivery]]/Master[[#This Row],[Garment Inventory]]), 0)</f>
        <v>0</v>
      </c>
      <c r="Y643" s="62"/>
      <c r="Z643" s="62"/>
      <c r="AA643" s="53"/>
      <c r="AB643" s="53"/>
      <c r="AC643" s="53">
        <v>34.44</v>
      </c>
      <c r="AD643" s="53">
        <v>46.11</v>
      </c>
      <c r="AE643" s="53" t="str">
        <f>_xlfn.XLOOKUP(Master[[#This Row],[cu_id]],'[1]Customer Revenue'!$Q:$Q,'[1]Customer Revenue'!$K:$K, "None")</f>
        <v>None</v>
      </c>
      <c r="AF643" s="53" t="str">
        <f>_xlfn.XLOOKUP(Master[[#This Row],[cu_id]],'[1]Customer Revenue'!$Q:$Q,'[1]Customer Revenue'!$L:$L, "None")</f>
        <v>None</v>
      </c>
      <c r="AG643" s="53">
        <v>24.133333333333329</v>
      </c>
      <c r="AH643" s="53">
        <v>62.74666666666667</v>
      </c>
      <c r="AI643" s="53"/>
      <c r="AJ643" s="53">
        <v>40.274999999999999</v>
      </c>
      <c r="AK643" s="53" t="str">
        <f>_xlfn.XLOOKUP(Master[[#This Row],[cu_id]],'[1]Customer Revenue'!$Q:$Q,'[1]Customer Revenue'!$I:$I, "None")</f>
        <v>None</v>
      </c>
      <c r="AL643" s="53">
        <v>43.44</v>
      </c>
      <c r="AM643" s="61">
        <v>0.375</v>
      </c>
      <c r="AN643" s="60">
        <v>0.5</v>
      </c>
      <c r="AO643" s="60" t="s">
        <v>36</v>
      </c>
      <c r="AP643" s="60" t="s">
        <v>36</v>
      </c>
      <c r="AQ643" s="58" t="s">
        <v>0</v>
      </c>
      <c r="AR643" s="58"/>
      <c r="AS643" s="58"/>
      <c r="AT643" s="52">
        <v>0</v>
      </c>
      <c r="AU643" s="52">
        <f>IF(Master[[#This Row],[RSP StopTime override]] &lt;&gt; "",Master[[#This Row],[RSP StopTime override]],IF(Master[[#This Row],[Avg stop time helper]] &lt;&gt; 0, Master[[#This Row],[Avg stop time helper]],Average_Stop_Time))</f>
        <v>5</v>
      </c>
      <c r="AV643" s="21">
        <v>5</v>
      </c>
      <c r="AW643" s="20">
        <f>Master[[#This Row],[RSP StopTime override]]-Master[[#This Row],[Avg stop time helper]]</f>
        <v>5</v>
      </c>
    </row>
    <row r="644" spans="1:49" x14ac:dyDescent="0.3">
      <c r="A644" s="66" t="s">
        <v>3991</v>
      </c>
      <c r="B644" s="58">
        <v>50</v>
      </c>
      <c r="C644" s="58" t="s">
        <v>43</v>
      </c>
      <c r="D644" s="65">
        <v>99062</v>
      </c>
      <c r="E644" s="65" t="s">
        <v>2230</v>
      </c>
      <c r="F644" s="65" t="s">
        <v>3674</v>
      </c>
      <c r="G644" s="65" t="s">
        <v>2229</v>
      </c>
      <c r="H644" s="65" t="s">
        <v>32</v>
      </c>
      <c r="I644" s="65" t="s">
        <v>2228</v>
      </c>
      <c r="J644" s="65" t="s">
        <v>5</v>
      </c>
      <c r="K644" s="65" t="s">
        <v>2227</v>
      </c>
      <c r="L644" s="64" t="s">
        <v>67</v>
      </c>
      <c r="M644" s="58" t="s">
        <v>3</v>
      </c>
      <c r="N644" s="58" t="s">
        <v>2</v>
      </c>
      <c r="O644" s="58">
        <v>50</v>
      </c>
      <c r="P644" s="58">
        <v>0</v>
      </c>
      <c r="Q644" s="58">
        <v>0</v>
      </c>
      <c r="R644" s="58">
        <v>0</v>
      </c>
      <c r="S644" s="58">
        <v>50</v>
      </c>
      <c r="T644" s="58">
        <v>0</v>
      </c>
      <c r="U644" s="58">
        <v>53</v>
      </c>
      <c r="V644" s="62">
        <v>15</v>
      </c>
      <c r="W644" s="62">
        <v>0</v>
      </c>
      <c r="X644" s="63">
        <f>IFERROR(1 -(Master[[#This Row],[Avg Garment Scans per Delivery]]/Master[[#This Row],[Garment Inventory]]), 0)</f>
        <v>1</v>
      </c>
      <c r="Y644" s="62">
        <v>1</v>
      </c>
      <c r="Z644" s="62">
        <v>15</v>
      </c>
      <c r="AA644" s="53">
        <v>49.297692307692309</v>
      </c>
      <c r="AB644" s="53">
        <v>50.68230769230771</v>
      </c>
      <c r="AC644" s="53">
        <v>51.448284023668649</v>
      </c>
      <c r="AD644" s="53">
        <v>51.893254437869828</v>
      </c>
      <c r="AE644" s="53" t="str">
        <f>_xlfn.XLOOKUP(Master[[#This Row],[cu_id]],'[1]Customer Revenue'!$Q:$Q,'[1]Customer Revenue'!$K:$K, "None")</f>
        <v>None</v>
      </c>
      <c r="AF644" s="53" t="str">
        <f>_xlfn.XLOOKUP(Master[[#This Row],[cu_id]],'[1]Customer Revenue'!$Q:$Q,'[1]Customer Revenue'!$L:$L, "None")</f>
        <v>None</v>
      </c>
      <c r="AG644" s="53">
        <v>47.363374485596694</v>
      </c>
      <c r="AH644" s="53">
        <v>50.121069958847727</v>
      </c>
      <c r="AI644" s="53">
        <v>49.990000000000009</v>
      </c>
      <c r="AJ644" s="53">
        <v>51.670769230769238</v>
      </c>
      <c r="AK644" s="53" t="str">
        <f>_xlfn.XLOOKUP(Master[[#This Row],[cu_id]],'[1]Customer Revenue'!$Q:$Q,'[1]Customer Revenue'!$I:$I, "None")</f>
        <v>None</v>
      </c>
      <c r="AL644" s="53">
        <v>48.74222222222221</v>
      </c>
      <c r="AM644" s="61">
        <v>0.29166666666666669</v>
      </c>
      <c r="AN644" s="60">
        <v>0.70833333333333337</v>
      </c>
      <c r="AO644" s="60" t="s">
        <v>36</v>
      </c>
      <c r="AP644" s="60" t="s">
        <v>36</v>
      </c>
      <c r="AQ644" s="58" t="s">
        <v>0</v>
      </c>
      <c r="AR644" s="58"/>
      <c r="AS644" s="58"/>
      <c r="AT644" s="52">
        <v>0</v>
      </c>
      <c r="AU644" s="52">
        <f>IF(Master[[#This Row],[RSP StopTime override]] &lt;&gt; "",Master[[#This Row],[RSP StopTime override]],IF(Master[[#This Row],[Avg stop time helper]] &lt;&gt; 0, Master[[#This Row],[Avg stop time helper]],Average_Stop_Time))</f>
        <v>10</v>
      </c>
      <c r="AV644" s="21">
        <v>10</v>
      </c>
      <c r="AW644" s="20">
        <f>Master[[#This Row],[RSP StopTime override]]-Master[[#This Row],[Avg stop time helper]]</f>
        <v>10</v>
      </c>
    </row>
    <row r="645" spans="1:49" x14ac:dyDescent="0.3">
      <c r="A645" s="66" t="s">
        <v>4020</v>
      </c>
      <c r="B645" s="58">
        <v>50</v>
      </c>
      <c r="C645" s="58" t="s">
        <v>15</v>
      </c>
      <c r="D645" s="65">
        <v>99161</v>
      </c>
      <c r="E645" s="65" t="s">
        <v>2230</v>
      </c>
      <c r="F645" s="65" t="s">
        <v>3675</v>
      </c>
      <c r="G645" s="65" t="s">
        <v>2229</v>
      </c>
      <c r="H645" s="65" t="s">
        <v>7</v>
      </c>
      <c r="I645" s="65" t="s">
        <v>2228</v>
      </c>
      <c r="J645" s="65" t="s">
        <v>5</v>
      </c>
      <c r="K645" s="65" t="s">
        <v>2227</v>
      </c>
      <c r="L645" s="64" t="s">
        <v>67</v>
      </c>
      <c r="M645" s="58" t="s">
        <v>3</v>
      </c>
      <c r="N645" s="58" t="s">
        <v>2</v>
      </c>
      <c r="O645" s="58">
        <v>100</v>
      </c>
      <c r="P645" s="58">
        <v>0</v>
      </c>
      <c r="Q645" s="58">
        <v>0</v>
      </c>
      <c r="R645" s="58">
        <v>0</v>
      </c>
      <c r="S645" s="58">
        <v>0</v>
      </c>
      <c r="T645" s="58">
        <v>100</v>
      </c>
      <c r="U645" s="58">
        <v>2</v>
      </c>
      <c r="V645" s="62"/>
      <c r="W645" s="62"/>
      <c r="X645" s="63">
        <f>IFERROR(1 -(Master[[#This Row],[Avg Garment Scans per Delivery]]/Master[[#This Row],[Garment Inventory]]), 0)</f>
        <v>0</v>
      </c>
      <c r="Y645" s="62"/>
      <c r="Z645" s="62"/>
      <c r="AA645" s="53">
        <v>220.18</v>
      </c>
      <c r="AB645" s="53">
        <v>220.18</v>
      </c>
      <c r="AC645" s="53"/>
      <c r="AD645" s="53"/>
      <c r="AE645" s="53" t="str">
        <f>_xlfn.XLOOKUP(Master[[#This Row],[cu_id]],'[1]Customer Revenue'!$Q:$Q,'[1]Customer Revenue'!$K:$K, "None")</f>
        <v>None</v>
      </c>
      <c r="AF645" s="53" t="str">
        <f>_xlfn.XLOOKUP(Master[[#This Row],[cu_id]],'[1]Customer Revenue'!$Q:$Q,'[1]Customer Revenue'!$L:$L, "None")</f>
        <v>None</v>
      </c>
      <c r="AG645" s="53">
        <v>220.18</v>
      </c>
      <c r="AH645" s="53">
        <v>220.18</v>
      </c>
      <c r="AI645" s="53">
        <v>220.18</v>
      </c>
      <c r="AJ645" s="53"/>
      <c r="AK645" s="53" t="str">
        <f>_xlfn.XLOOKUP(Master[[#This Row],[cu_id]],'[1]Customer Revenue'!$Q:$Q,'[1]Customer Revenue'!$I:$I, "None")</f>
        <v>None</v>
      </c>
      <c r="AL645" s="53">
        <v>220.18</v>
      </c>
      <c r="AM645" s="61">
        <v>0.29166666666666669</v>
      </c>
      <c r="AN645" s="60">
        <v>0.66666666666666663</v>
      </c>
      <c r="AO645" s="60" t="s">
        <v>36</v>
      </c>
      <c r="AP645" s="60" t="s">
        <v>36</v>
      </c>
      <c r="AQ645" s="58" t="s">
        <v>0</v>
      </c>
      <c r="AR645" s="58"/>
      <c r="AS645" s="58"/>
      <c r="AT645" s="52">
        <v>0</v>
      </c>
      <c r="AU645" s="52">
        <f>IF(Master[[#This Row],[RSP StopTime override]] &lt;&gt; "",Master[[#This Row],[RSP StopTime override]],IF(Master[[#This Row],[Avg stop time helper]] &lt;&gt; 0, Master[[#This Row],[Avg stop time helper]],Average_Stop_Time))</f>
        <v>8</v>
      </c>
      <c r="AV645" s="21">
        <v>8</v>
      </c>
      <c r="AW645" s="20">
        <f>Master[[#This Row],[RSP StopTime override]]-Master[[#This Row],[Avg stop time helper]]</f>
        <v>8</v>
      </c>
    </row>
    <row r="646" spans="1:49" x14ac:dyDescent="0.3">
      <c r="A646" s="66" t="s">
        <v>4697</v>
      </c>
      <c r="B646" s="58">
        <v>50</v>
      </c>
      <c r="C646" s="58" t="s">
        <v>43</v>
      </c>
      <c r="D646" s="65">
        <v>532806</v>
      </c>
      <c r="E646" s="65" t="s">
        <v>42</v>
      </c>
      <c r="F646" s="65" t="s">
        <v>2259</v>
      </c>
      <c r="G646" s="65" t="s">
        <v>2257</v>
      </c>
      <c r="H646" s="65" t="s">
        <v>7</v>
      </c>
      <c r="I646" s="65" t="s">
        <v>2256</v>
      </c>
      <c r="J646" s="65" t="s">
        <v>5</v>
      </c>
      <c r="K646" s="65" t="s">
        <v>2255</v>
      </c>
      <c r="L646" s="64" t="s">
        <v>67</v>
      </c>
      <c r="M646" s="58" t="s">
        <v>3</v>
      </c>
      <c r="N646" s="58" t="s">
        <v>2</v>
      </c>
      <c r="O646" s="58">
        <v>60</v>
      </c>
      <c r="P646" s="58">
        <v>0</v>
      </c>
      <c r="Q646" s="58">
        <v>0</v>
      </c>
      <c r="R646" s="58">
        <v>0</v>
      </c>
      <c r="S646" s="58">
        <v>60</v>
      </c>
      <c r="T646" s="58">
        <v>0</v>
      </c>
      <c r="U646" s="58">
        <v>52</v>
      </c>
      <c r="V646" s="62"/>
      <c r="W646" s="62"/>
      <c r="X646" s="63">
        <f>IFERROR(1 -(Master[[#This Row],[Avg Garment Scans per Delivery]]/Master[[#This Row],[Garment Inventory]]), 0)</f>
        <v>0</v>
      </c>
      <c r="Y646" s="62"/>
      <c r="Z646" s="62"/>
      <c r="AA646" s="53">
        <v>56.447514792899412</v>
      </c>
      <c r="AB646" s="53">
        <v>58.409408284023684</v>
      </c>
      <c r="AC646" s="53">
        <v>58.427337278106521</v>
      </c>
      <c r="AD646" s="53">
        <v>64.215739644970441</v>
      </c>
      <c r="AE646" s="53" t="str">
        <f>_xlfn.XLOOKUP(Master[[#This Row],[cu_id]],'[1]Customer Revenue'!$Q:$Q,'[1]Customer Revenue'!$K:$K, "None")</f>
        <v>None</v>
      </c>
      <c r="AF646" s="53" t="str">
        <f>_xlfn.XLOOKUP(Master[[#This Row],[cu_id]],'[1]Customer Revenue'!$Q:$Q,'[1]Customer Revenue'!$L:$L, "None")</f>
        <v>None</v>
      </c>
      <c r="AG646" s="53">
        <v>44.195293962214308</v>
      </c>
      <c r="AH646" s="53">
        <v>72.195817148896836</v>
      </c>
      <c r="AI646" s="53">
        <v>57.428461538461548</v>
      </c>
      <c r="AJ646" s="53">
        <v>61.321538461538481</v>
      </c>
      <c r="AK646" s="53" t="str">
        <f>_xlfn.XLOOKUP(Master[[#This Row],[cu_id]],'[1]Customer Revenue'!$Q:$Q,'[1]Customer Revenue'!$I:$I, "None")</f>
        <v>None</v>
      </c>
      <c r="AL646" s="53">
        <v>58.195555555555572</v>
      </c>
      <c r="AM646" s="61">
        <v>0.375</v>
      </c>
      <c r="AN646" s="60">
        <v>0.66666666666666663</v>
      </c>
      <c r="AO646" s="60" t="s">
        <v>36</v>
      </c>
      <c r="AP646" s="60" t="s">
        <v>36</v>
      </c>
      <c r="AQ646" s="58" t="s">
        <v>0</v>
      </c>
      <c r="AR646" s="58"/>
      <c r="AS646" s="58"/>
      <c r="AT646" s="52">
        <v>0</v>
      </c>
      <c r="AU646" s="52">
        <f>IF(Master[[#This Row],[RSP StopTime override]] &lt;&gt; "",Master[[#This Row],[RSP StopTime override]],IF(Master[[#This Row],[Avg stop time helper]] &lt;&gt; 0, Master[[#This Row],[Avg stop time helper]],Average_Stop_Time))</f>
        <v>10</v>
      </c>
      <c r="AV646" s="21">
        <v>10</v>
      </c>
      <c r="AW646" s="20">
        <f>Master[[#This Row],[RSP StopTime override]]-Master[[#This Row],[Avg stop time helper]]</f>
        <v>10</v>
      </c>
    </row>
    <row r="647" spans="1:49" x14ac:dyDescent="0.3">
      <c r="A647" s="66" t="s">
        <v>4698</v>
      </c>
      <c r="B647" s="58">
        <v>50</v>
      </c>
      <c r="C647" s="58" t="s">
        <v>43</v>
      </c>
      <c r="D647" s="65">
        <v>531559</v>
      </c>
      <c r="E647" s="65" t="s">
        <v>42</v>
      </c>
      <c r="F647" s="65" t="s">
        <v>2269</v>
      </c>
      <c r="G647" s="65" t="s">
        <v>2268</v>
      </c>
      <c r="H647" s="65" t="s">
        <v>7</v>
      </c>
      <c r="I647" s="65" t="s">
        <v>2267</v>
      </c>
      <c r="J647" s="65" t="s">
        <v>5</v>
      </c>
      <c r="K647" s="65" t="s">
        <v>2255</v>
      </c>
      <c r="L647" s="64" t="s">
        <v>67</v>
      </c>
      <c r="M647" s="58" t="s">
        <v>3</v>
      </c>
      <c r="N647" s="58" t="s">
        <v>2</v>
      </c>
      <c r="O647" s="58">
        <v>135</v>
      </c>
      <c r="P647" s="58">
        <v>0</v>
      </c>
      <c r="Q647" s="58">
        <v>0</v>
      </c>
      <c r="R647" s="58">
        <v>0</v>
      </c>
      <c r="S647" s="58">
        <v>135</v>
      </c>
      <c r="T647" s="58">
        <v>0</v>
      </c>
      <c r="U647" s="58">
        <v>37</v>
      </c>
      <c r="V647" s="62">
        <v>7</v>
      </c>
      <c r="W647" s="62">
        <v>1</v>
      </c>
      <c r="X647" s="63">
        <f>IFERROR(1 -(Master[[#This Row],[Avg Garment Scans per Delivery]]/Master[[#This Row],[Garment Inventory]]), 0)</f>
        <v>0.85714285714285721</v>
      </c>
      <c r="Y647" s="62">
        <v>1</v>
      </c>
      <c r="Z647" s="62">
        <v>9</v>
      </c>
      <c r="AA647" s="53">
        <v>43.281243042671633</v>
      </c>
      <c r="AB647" s="53">
        <v>135.47512059369203</v>
      </c>
      <c r="AC647" s="53">
        <v>75.84130177514794</v>
      </c>
      <c r="AD647" s="53">
        <v>86.727928994082845</v>
      </c>
      <c r="AE647" s="53" t="str">
        <f>_xlfn.XLOOKUP(Master[[#This Row],[cu_id]],'[1]Customer Revenue'!$Q:$Q,'[1]Customer Revenue'!$K:$K, "None")</f>
        <v>None</v>
      </c>
      <c r="AF647" s="53" t="str">
        <f>_xlfn.XLOOKUP(Master[[#This Row],[cu_id]],'[1]Customer Revenue'!$Q:$Q,'[1]Customer Revenue'!$L:$L, "None")</f>
        <v>None</v>
      </c>
      <c r="AG647" s="53">
        <v>36.944932336787261</v>
      </c>
      <c r="AH647" s="53">
        <v>124.59125813940319</v>
      </c>
      <c r="AI647" s="53">
        <v>89.378181818181829</v>
      </c>
      <c r="AJ647" s="53">
        <v>81.284615384615392</v>
      </c>
      <c r="AK647" s="53" t="str">
        <f>_xlfn.XLOOKUP(Master[[#This Row],[cu_id]],'[1]Customer Revenue'!$Q:$Q,'[1]Customer Revenue'!$I:$I, "None")</f>
        <v>None</v>
      </c>
      <c r="AL647" s="53">
        <v>80.768095238095228</v>
      </c>
      <c r="AM647" s="61">
        <v>0.33333333333333331</v>
      </c>
      <c r="AN647" s="60">
        <v>0.54166666666666663</v>
      </c>
      <c r="AO647" s="60" t="s">
        <v>36</v>
      </c>
      <c r="AP647" s="60" t="s">
        <v>36</v>
      </c>
      <c r="AQ647" s="58" t="s">
        <v>0</v>
      </c>
      <c r="AR647" s="58"/>
      <c r="AS647" s="58"/>
      <c r="AT647" s="52">
        <v>0</v>
      </c>
      <c r="AU647" s="52">
        <f>IF(Master[[#This Row],[RSP StopTime override]] &lt;&gt; "",Master[[#This Row],[RSP StopTime override]],IF(Master[[#This Row],[Avg stop time helper]] &lt;&gt; 0, Master[[#This Row],[Avg stop time helper]],Average_Stop_Time))</f>
        <v>10</v>
      </c>
      <c r="AV647" s="21">
        <v>10</v>
      </c>
      <c r="AW647" s="20">
        <f>Master[[#This Row],[RSP StopTime override]]-Master[[#This Row],[Avg stop time helper]]</f>
        <v>10</v>
      </c>
    </row>
    <row r="648" spans="1:49" x14ac:dyDescent="0.3">
      <c r="A648" s="66" t="s">
        <v>4699</v>
      </c>
      <c r="B648" s="58">
        <v>50</v>
      </c>
      <c r="C648" s="58" t="s">
        <v>15</v>
      </c>
      <c r="D648" s="65">
        <v>531748</v>
      </c>
      <c r="E648" s="65" t="s">
        <v>42</v>
      </c>
      <c r="F648" s="65" t="s">
        <v>2212</v>
      </c>
      <c r="G648" s="65" t="s">
        <v>2211</v>
      </c>
      <c r="H648" s="65" t="s">
        <v>7</v>
      </c>
      <c r="I648" s="65" t="s">
        <v>2188</v>
      </c>
      <c r="J648" s="65" t="s">
        <v>5</v>
      </c>
      <c r="K648" s="65" t="s">
        <v>2187</v>
      </c>
      <c r="L648" s="64" t="s">
        <v>67</v>
      </c>
      <c r="M648" s="58" t="s">
        <v>3</v>
      </c>
      <c r="N648" s="58" t="s">
        <v>2</v>
      </c>
      <c r="O648" s="58">
        <v>105</v>
      </c>
      <c r="P648" s="58">
        <v>0</v>
      </c>
      <c r="Q648" s="58">
        <v>0</v>
      </c>
      <c r="R648" s="58">
        <v>0</v>
      </c>
      <c r="S648" s="58">
        <v>0</v>
      </c>
      <c r="T648" s="58">
        <v>105</v>
      </c>
      <c r="U648" s="58">
        <v>52</v>
      </c>
      <c r="V648" s="62">
        <v>120</v>
      </c>
      <c r="W648" s="62">
        <v>14</v>
      </c>
      <c r="X648" s="63">
        <f>IFERROR(1 -(Master[[#This Row],[Avg Garment Scans per Delivery]]/Master[[#This Row],[Garment Inventory]]), 0)</f>
        <v>0.8833333333333333</v>
      </c>
      <c r="Y648" s="62">
        <v>6</v>
      </c>
      <c r="Z648" s="62">
        <v>120</v>
      </c>
      <c r="AA648" s="53">
        <v>77.798333333333318</v>
      </c>
      <c r="AB648" s="53">
        <v>86.581666666666649</v>
      </c>
      <c r="AC648" s="53">
        <v>78.864521193092685</v>
      </c>
      <c r="AD648" s="53">
        <v>102.98778649921508</v>
      </c>
      <c r="AE648" s="53" t="str">
        <f>_xlfn.XLOOKUP(Master[[#This Row],[cu_id]],'[1]Customer Revenue'!$Q:$Q,'[1]Customer Revenue'!$K:$K, "None")</f>
        <v>None</v>
      </c>
      <c r="AF648" s="53" t="str">
        <f>_xlfn.XLOOKUP(Master[[#This Row],[cu_id]],'[1]Customer Revenue'!$Q:$Q,'[1]Customer Revenue'!$L:$L, "None")</f>
        <v>None</v>
      </c>
      <c r="AG648" s="53">
        <v>80.802603550295871</v>
      </c>
      <c r="AH648" s="53">
        <v>91.548165680473389</v>
      </c>
      <c r="AI648" s="53">
        <v>82.189999999999984</v>
      </c>
      <c r="AJ648" s="53">
        <v>90.926153846153881</v>
      </c>
      <c r="AK648" s="53" t="str">
        <f>_xlfn.XLOOKUP(Master[[#This Row],[cu_id]],'[1]Customer Revenue'!$Q:$Q,'[1]Customer Revenue'!$I:$I, "None")</f>
        <v>None</v>
      </c>
      <c r="AL648" s="53">
        <v>86.17538461538463</v>
      </c>
      <c r="AM648" s="61">
        <v>0.375</v>
      </c>
      <c r="AN648" s="60">
        <v>0.625</v>
      </c>
      <c r="AO648" s="60" t="s">
        <v>36</v>
      </c>
      <c r="AP648" s="60" t="s">
        <v>36</v>
      </c>
      <c r="AQ648" s="58" t="s">
        <v>0</v>
      </c>
      <c r="AR648" s="58"/>
      <c r="AS648" s="58"/>
      <c r="AT648" s="52">
        <v>0</v>
      </c>
      <c r="AU648" s="52">
        <f>IF(Master[[#This Row],[RSP StopTime override]] &lt;&gt; "",Master[[#This Row],[RSP StopTime override]],IF(Master[[#This Row],[Avg stop time helper]] &lt;&gt; 0, Master[[#This Row],[Avg stop time helper]],Average_Stop_Time))</f>
        <v>5</v>
      </c>
      <c r="AV648" s="21">
        <v>5</v>
      </c>
      <c r="AW648" s="20">
        <f>Master[[#This Row],[RSP StopTime override]]-Master[[#This Row],[Avg stop time helper]]</f>
        <v>5</v>
      </c>
    </row>
    <row r="649" spans="1:49" x14ac:dyDescent="0.3">
      <c r="A649" s="66" t="s">
        <v>4700</v>
      </c>
      <c r="B649" s="58">
        <v>50</v>
      </c>
      <c r="C649" s="58" t="s">
        <v>15</v>
      </c>
      <c r="D649" s="65">
        <v>533112</v>
      </c>
      <c r="E649" s="65" t="s">
        <v>42</v>
      </c>
      <c r="F649" s="65" t="s">
        <v>2193</v>
      </c>
      <c r="G649" s="65" t="s">
        <v>2192</v>
      </c>
      <c r="H649" s="65" t="s">
        <v>7</v>
      </c>
      <c r="I649" s="65" t="s">
        <v>2191</v>
      </c>
      <c r="J649" s="65" t="s">
        <v>5</v>
      </c>
      <c r="K649" s="65" t="s">
        <v>1972</v>
      </c>
      <c r="L649" s="64" t="s">
        <v>91</v>
      </c>
      <c r="M649" s="58" t="s">
        <v>90</v>
      </c>
      <c r="N649" s="58" t="s">
        <v>2</v>
      </c>
      <c r="O649" s="58">
        <v>130</v>
      </c>
      <c r="P649" s="58">
        <v>0</v>
      </c>
      <c r="Q649" s="58">
        <v>0</v>
      </c>
      <c r="R649" s="58">
        <v>0</v>
      </c>
      <c r="S649" s="58">
        <v>0</v>
      </c>
      <c r="T649" s="58">
        <v>130</v>
      </c>
      <c r="U649" s="58">
        <v>25</v>
      </c>
      <c r="V649" s="62"/>
      <c r="W649" s="62"/>
      <c r="X649" s="63">
        <f>IFERROR(1 -(Master[[#This Row],[Avg Garment Scans per Delivery]]/Master[[#This Row],[Garment Inventory]]), 0)</f>
        <v>0</v>
      </c>
      <c r="Y649" s="62"/>
      <c r="Z649" s="62"/>
      <c r="AA649" s="53">
        <v>40.874999999999993</v>
      </c>
      <c r="AB649" s="53">
        <v>48.654999999999994</v>
      </c>
      <c r="AC649" s="53">
        <v>49.061428571428564</v>
      </c>
      <c r="AD649" s="53">
        <v>51.118571428571428</v>
      </c>
      <c r="AE649" s="53" t="str">
        <f>_xlfn.XLOOKUP(Master[[#This Row],[cu_id]],'[1]Customer Revenue'!$Q:$Q,'[1]Customer Revenue'!$K:$K, "None")</f>
        <v>None</v>
      </c>
      <c r="AF649" s="53" t="str">
        <f>_xlfn.XLOOKUP(Master[[#This Row],[cu_id]],'[1]Customer Revenue'!$Q:$Q,'[1]Customer Revenue'!$L:$L, "None")</f>
        <v>None</v>
      </c>
      <c r="AG649" s="53">
        <v>40.994999999999997</v>
      </c>
      <c r="AH649" s="53">
        <v>47.744999999999997</v>
      </c>
      <c r="AI649" s="53">
        <v>44.764999999999993</v>
      </c>
      <c r="AJ649" s="53">
        <v>50.089999999999996</v>
      </c>
      <c r="AK649" s="53" t="str">
        <f>_xlfn.XLOOKUP(Master[[#This Row],[cu_id]],'[1]Customer Revenue'!$Q:$Q,'[1]Customer Revenue'!$I:$I, "None")</f>
        <v>None</v>
      </c>
      <c r="AL649" s="53">
        <v>44.37</v>
      </c>
      <c r="AM649" s="61">
        <v>0.45833333333333331</v>
      </c>
      <c r="AN649" s="60">
        <v>0.70833333333333337</v>
      </c>
      <c r="AO649" s="60" t="s">
        <v>36</v>
      </c>
      <c r="AP649" s="60" t="s">
        <v>36</v>
      </c>
      <c r="AQ649" s="58" t="s">
        <v>0</v>
      </c>
      <c r="AR649" s="58"/>
      <c r="AS649" s="58"/>
      <c r="AT649" s="52">
        <v>0</v>
      </c>
      <c r="AU649" s="52">
        <f>IF(Master[[#This Row],[RSP StopTime override]] &lt;&gt; "",Master[[#This Row],[RSP StopTime override]],IF(Master[[#This Row],[Avg stop time helper]] &lt;&gt; 0, Master[[#This Row],[Avg stop time helper]],Average_Stop_Time))</f>
        <v>7</v>
      </c>
      <c r="AV649" s="21">
        <v>7</v>
      </c>
      <c r="AW649" s="20">
        <f>Master[[#This Row],[RSP StopTime override]]-Master[[#This Row],[Avg stop time helper]]</f>
        <v>7</v>
      </c>
    </row>
    <row r="650" spans="1:49" x14ac:dyDescent="0.3">
      <c r="A650" s="66" t="s">
        <v>4701</v>
      </c>
      <c r="B650" s="58">
        <v>50</v>
      </c>
      <c r="C650" s="58" t="s">
        <v>43</v>
      </c>
      <c r="D650" s="65">
        <v>99097</v>
      </c>
      <c r="E650" s="65" t="s">
        <v>2171</v>
      </c>
      <c r="F650" s="65" t="s">
        <v>3676</v>
      </c>
      <c r="G650" s="65" t="s">
        <v>2304</v>
      </c>
      <c r="H650" s="65" t="s">
        <v>7</v>
      </c>
      <c r="I650" s="65" t="s">
        <v>2256</v>
      </c>
      <c r="J650" s="65" t="s">
        <v>5</v>
      </c>
      <c r="K650" s="65" t="s">
        <v>2255</v>
      </c>
      <c r="L650" s="64" t="s">
        <v>67</v>
      </c>
      <c r="M650" s="58" t="s">
        <v>3</v>
      </c>
      <c r="N650" s="58" t="s">
        <v>2</v>
      </c>
      <c r="O650" s="58">
        <v>120</v>
      </c>
      <c r="P650" s="58">
        <v>0</v>
      </c>
      <c r="Q650" s="58">
        <v>0</v>
      </c>
      <c r="R650" s="58">
        <v>0</v>
      </c>
      <c r="S650" s="58">
        <v>120</v>
      </c>
      <c r="T650" s="58">
        <v>0</v>
      </c>
      <c r="U650" s="58">
        <v>53</v>
      </c>
      <c r="V650" s="62">
        <v>42</v>
      </c>
      <c r="W650" s="62">
        <v>9</v>
      </c>
      <c r="X650" s="63">
        <f>IFERROR(1 -(Master[[#This Row],[Avg Garment Scans per Delivery]]/Master[[#This Row],[Garment Inventory]]), 0)</f>
        <v>0.7857142857142857</v>
      </c>
      <c r="Y650" s="62">
        <v>1</v>
      </c>
      <c r="Z650" s="62">
        <v>44</v>
      </c>
      <c r="AA650" s="53">
        <v>81.964497041420117</v>
      </c>
      <c r="AB650" s="53">
        <v>91.389349112426032</v>
      </c>
      <c r="AC650" s="53">
        <v>75.744556213017731</v>
      </c>
      <c r="AD650" s="53">
        <v>76.549289940828388</v>
      </c>
      <c r="AE650" s="53" t="str">
        <f>_xlfn.XLOOKUP(Master[[#This Row],[cu_id]],'[1]Customer Revenue'!$Q:$Q,'[1]Customer Revenue'!$K:$K, "None")</f>
        <v>None</v>
      </c>
      <c r="AF650" s="53" t="str">
        <f>_xlfn.XLOOKUP(Master[[#This Row],[cu_id]],'[1]Customer Revenue'!$Q:$Q,'[1]Customer Revenue'!$L:$L, "None")</f>
        <v>None</v>
      </c>
      <c r="AG650" s="53">
        <v>74.113525377229109</v>
      </c>
      <c r="AH650" s="53">
        <v>89.29684499314132</v>
      </c>
      <c r="AI650" s="53">
        <v>86.676923076923075</v>
      </c>
      <c r="AJ650" s="53">
        <v>76.146923076923059</v>
      </c>
      <c r="AK650" s="53" t="str">
        <f>_xlfn.XLOOKUP(Master[[#This Row],[cu_id]],'[1]Customer Revenue'!$Q:$Q,'[1]Customer Revenue'!$I:$I, "None")</f>
        <v>None</v>
      </c>
      <c r="AL650" s="53">
        <v>81.705185185185215</v>
      </c>
      <c r="AM650" s="61">
        <v>0.29166666666666669</v>
      </c>
      <c r="AN650" s="60">
        <v>0.75</v>
      </c>
      <c r="AO650" s="60" t="s">
        <v>36</v>
      </c>
      <c r="AP650" s="60" t="s">
        <v>36</v>
      </c>
      <c r="AQ650" s="58" t="s">
        <v>0</v>
      </c>
      <c r="AR650" s="58"/>
      <c r="AS650" s="58"/>
      <c r="AT650" s="52">
        <v>0</v>
      </c>
      <c r="AU650" s="52">
        <f>IF(Master[[#This Row],[RSP StopTime override]] &lt;&gt; "",Master[[#This Row],[RSP StopTime override]],IF(Master[[#This Row],[Avg stop time helper]] &lt;&gt; 0, Master[[#This Row],[Avg stop time helper]],Average_Stop_Time))</f>
        <v>20</v>
      </c>
      <c r="AV650" s="21">
        <v>20</v>
      </c>
      <c r="AW650" s="20">
        <f>Master[[#This Row],[RSP StopTime override]]-Master[[#This Row],[Avg stop time helper]]</f>
        <v>20</v>
      </c>
    </row>
    <row r="651" spans="1:49" x14ac:dyDescent="0.3">
      <c r="A651" s="66" t="s">
        <v>4702</v>
      </c>
      <c r="B651" s="58">
        <v>50</v>
      </c>
      <c r="C651" s="58" t="s">
        <v>15</v>
      </c>
      <c r="D651" s="65">
        <v>99097</v>
      </c>
      <c r="E651" s="65" t="s">
        <v>1526</v>
      </c>
      <c r="F651" s="65" t="s">
        <v>3677</v>
      </c>
      <c r="G651" s="65" t="s">
        <v>2235</v>
      </c>
      <c r="H651" s="65" t="s">
        <v>7</v>
      </c>
      <c r="I651" s="65" t="s">
        <v>2204</v>
      </c>
      <c r="J651" s="65" t="s">
        <v>5</v>
      </c>
      <c r="K651" s="65" t="s">
        <v>2199</v>
      </c>
      <c r="L651" s="64" t="s">
        <v>67</v>
      </c>
      <c r="M651" s="58" t="s">
        <v>3</v>
      </c>
      <c r="N651" s="58" t="s">
        <v>2</v>
      </c>
      <c r="O651" s="58">
        <v>80</v>
      </c>
      <c r="P651" s="58">
        <v>0</v>
      </c>
      <c r="Q651" s="58">
        <v>0</v>
      </c>
      <c r="R651" s="58">
        <v>0</v>
      </c>
      <c r="S651" s="58">
        <v>0</v>
      </c>
      <c r="T651" s="58">
        <v>80</v>
      </c>
      <c r="U651" s="58">
        <v>52</v>
      </c>
      <c r="V651" s="62">
        <v>37</v>
      </c>
      <c r="W651" s="62">
        <v>1</v>
      </c>
      <c r="X651" s="63">
        <f>IFERROR(1 -(Master[[#This Row],[Avg Garment Scans per Delivery]]/Master[[#This Row],[Garment Inventory]]), 0)</f>
        <v>0.97297297297297303</v>
      </c>
      <c r="Y651" s="62">
        <v>1</v>
      </c>
      <c r="Z651" s="62">
        <v>26</v>
      </c>
      <c r="AA651" s="53">
        <v>43.228749999999991</v>
      </c>
      <c r="AB651" s="53">
        <v>49.336249999999993</v>
      </c>
      <c r="AC651" s="53">
        <v>45.999408284023673</v>
      </c>
      <c r="AD651" s="53">
        <v>46.723668639053272</v>
      </c>
      <c r="AE651" s="53" t="str">
        <f>_xlfn.XLOOKUP(Master[[#This Row],[cu_id]],'[1]Customer Revenue'!$Q:$Q,'[1]Customer Revenue'!$K:$K, "None")</f>
        <v>None</v>
      </c>
      <c r="AF651" s="53" t="str">
        <f>_xlfn.XLOOKUP(Master[[#This Row],[cu_id]],'[1]Customer Revenue'!$Q:$Q,'[1]Customer Revenue'!$L:$L, "None")</f>
        <v>None</v>
      </c>
      <c r="AG651" s="53">
        <v>43.740495999999993</v>
      </c>
      <c r="AH651" s="53">
        <v>48.794703999999996</v>
      </c>
      <c r="AI651" s="53">
        <v>46.282499999999992</v>
      </c>
      <c r="AJ651" s="53">
        <v>46.361538461538473</v>
      </c>
      <c r="AK651" s="53" t="str">
        <f>_xlfn.XLOOKUP(Master[[#This Row],[cu_id]],'[1]Customer Revenue'!$Q:$Q,'[1]Customer Revenue'!$I:$I, "None")</f>
        <v>None</v>
      </c>
      <c r="AL651" s="53">
        <v>46.267599999999995</v>
      </c>
      <c r="AM651" s="61">
        <v>0.29166666666666669</v>
      </c>
      <c r="AN651" s="60">
        <v>0.66666666666666663</v>
      </c>
      <c r="AO651" s="60" t="s">
        <v>36</v>
      </c>
      <c r="AP651" s="60" t="s">
        <v>36</v>
      </c>
      <c r="AQ651" s="58" t="s">
        <v>0</v>
      </c>
      <c r="AR651" s="58"/>
      <c r="AS651" s="58"/>
      <c r="AT651" s="52">
        <v>0</v>
      </c>
      <c r="AU651" s="52">
        <f>IF(Master[[#This Row],[RSP StopTime override]] &lt;&gt; "",Master[[#This Row],[RSP StopTime override]],IF(Master[[#This Row],[Avg stop time helper]] &lt;&gt; 0, Master[[#This Row],[Avg stop time helper]],Average_Stop_Time))</f>
        <v>10</v>
      </c>
      <c r="AV651" s="21">
        <v>10</v>
      </c>
      <c r="AW651" s="20">
        <f>Master[[#This Row],[RSP StopTime override]]-Master[[#This Row],[Avg stop time helper]]</f>
        <v>10</v>
      </c>
    </row>
    <row r="652" spans="1:49" x14ac:dyDescent="0.3">
      <c r="A652" s="66" t="s">
        <v>4703</v>
      </c>
      <c r="B652" s="58">
        <v>50</v>
      </c>
      <c r="C652" s="58" t="s">
        <v>43</v>
      </c>
      <c r="D652" s="65">
        <v>99097</v>
      </c>
      <c r="E652" s="65" t="s">
        <v>1634</v>
      </c>
      <c r="F652" s="65" t="s">
        <v>3678</v>
      </c>
      <c r="G652" s="65" t="s">
        <v>2305</v>
      </c>
      <c r="H652" s="65" t="s">
        <v>7</v>
      </c>
      <c r="I652" s="65" t="s">
        <v>2228</v>
      </c>
      <c r="J652" s="65" t="s">
        <v>5</v>
      </c>
      <c r="K652" s="65" t="s">
        <v>2227</v>
      </c>
      <c r="L652" s="64" t="s">
        <v>67</v>
      </c>
      <c r="M652" s="58" t="s">
        <v>3</v>
      </c>
      <c r="N652" s="58" t="s">
        <v>2</v>
      </c>
      <c r="O652" s="58">
        <v>55</v>
      </c>
      <c r="P652" s="58">
        <v>0</v>
      </c>
      <c r="Q652" s="58">
        <v>0</v>
      </c>
      <c r="R652" s="58">
        <v>0</v>
      </c>
      <c r="S652" s="58">
        <v>55</v>
      </c>
      <c r="T652" s="58">
        <v>0</v>
      </c>
      <c r="U652" s="58">
        <v>53</v>
      </c>
      <c r="V652" s="62">
        <v>42</v>
      </c>
      <c r="W652" s="62">
        <v>4</v>
      </c>
      <c r="X652" s="63">
        <f>IFERROR(1 -(Master[[#This Row],[Avg Garment Scans per Delivery]]/Master[[#This Row],[Garment Inventory]]), 0)</f>
        <v>0.90476190476190477</v>
      </c>
      <c r="Y652" s="62">
        <v>1</v>
      </c>
      <c r="Z652" s="62">
        <v>42</v>
      </c>
      <c r="AA652" s="53">
        <v>70.602721893491108</v>
      </c>
      <c r="AB652" s="53">
        <v>77.323431952662716</v>
      </c>
      <c r="AC652" s="53">
        <v>67.639112426035496</v>
      </c>
      <c r="AD652" s="53">
        <v>68.503964497041409</v>
      </c>
      <c r="AE652" s="53" t="str">
        <f>_xlfn.XLOOKUP(Master[[#This Row],[cu_id]],'[1]Customer Revenue'!$Q:$Q,'[1]Customer Revenue'!$K:$K, "None")</f>
        <v>None</v>
      </c>
      <c r="AF652" s="53" t="str">
        <f>_xlfn.XLOOKUP(Master[[#This Row],[cu_id]],'[1]Customer Revenue'!$Q:$Q,'[1]Customer Revenue'!$L:$L, "None")</f>
        <v>None</v>
      </c>
      <c r="AG652" s="53">
        <v>66.764211248285363</v>
      </c>
      <c r="AH652" s="53">
        <v>76.208381344307298</v>
      </c>
      <c r="AI652" s="53">
        <v>73.963076923076912</v>
      </c>
      <c r="AJ652" s="53">
        <v>68.071538461538452</v>
      </c>
      <c r="AK652" s="53" t="str">
        <f>_xlfn.XLOOKUP(Master[[#This Row],[cu_id]],'[1]Customer Revenue'!$Q:$Q,'[1]Customer Revenue'!$I:$I, "None")</f>
        <v>None</v>
      </c>
      <c r="AL652" s="53">
        <v>71.486296296296331</v>
      </c>
      <c r="AM652" s="61">
        <v>0.29166666666666669</v>
      </c>
      <c r="AN652" s="60">
        <v>0.75</v>
      </c>
      <c r="AO652" s="60" t="s">
        <v>36</v>
      </c>
      <c r="AP652" s="60" t="s">
        <v>36</v>
      </c>
      <c r="AQ652" s="58" t="s">
        <v>0</v>
      </c>
      <c r="AR652" s="58"/>
      <c r="AS652" s="58"/>
      <c r="AT652" s="52">
        <v>0</v>
      </c>
      <c r="AU652" s="52">
        <f>IF(Master[[#This Row],[RSP StopTime override]] &lt;&gt; "",Master[[#This Row],[RSP StopTime override]],IF(Master[[#This Row],[Avg stop time helper]] &lt;&gt; 0, Master[[#This Row],[Avg stop time helper]],Average_Stop_Time))</f>
        <v>10</v>
      </c>
      <c r="AV652" s="21">
        <v>10</v>
      </c>
      <c r="AW652" s="20">
        <f>Master[[#This Row],[RSP StopTime override]]-Master[[#This Row],[Avg stop time helper]]</f>
        <v>10</v>
      </c>
    </row>
    <row r="653" spans="1:49" x14ac:dyDescent="0.3">
      <c r="A653" s="66" t="s">
        <v>4704</v>
      </c>
      <c r="B653" s="58">
        <v>50</v>
      </c>
      <c r="C653" s="58" t="s">
        <v>15</v>
      </c>
      <c r="D653" s="65">
        <v>99097</v>
      </c>
      <c r="E653" s="65" t="s">
        <v>1345</v>
      </c>
      <c r="F653" s="65" t="s">
        <v>3679</v>
      </c>
      <c r="G653" s="65" t="s">
        <v>2238</v>
      </c>
      <c r="H653" s="65" t="s">
        <v>7</v>
      </c>
      <c r="I653" s="65" t="s">
        <v>2237</v>
      </c>
      <c r="J653" s="65" t="s">
        <v>5</v>
      </c>
      <c r="K653" s="65" t="s">
        <v>2236</v>
      </c>
      <c r="L653" s="64" t="s">
        <v>67</v>
      </c>
      <c r="M653" s="58" t="s">
        <v>3</v>
      </c>
      <c r="N653" s="58" t="s">
        <v>2</v>
      </c>
      <c r="O653" s="58">
        <v>65</v>
      </c>
      <c r="P653" s="58">
        <v>0</v>
      </c>
      <c r="Q653" s="58">
        <v>0</v>
      </c>
      <c r="R653" s="58">
        <v>0</v>
      </c>
      <c r="S653" s="58">
        <v>0</v>
      </c>
      <c r="T653" s="58">
        <v>65</v>
      </c>
      <c r="U653" s="58">
        <v>52</v>
      </c>
      <c r="V653" s="62">
        <v>42</v>
      </c>
      <c r="W653" s="62">
        <v>1</v>
      </c>
      <c r="X653" s="63">
        <f>IFERROR(1 -(Master[[#This Row],[Avg Garment Scans per Delivery]]/Master[[#This Row],[Garment Inventory]]), 0)</f>
        <v>0.97619047619047616</v>
      </c>
      <c r="Y653" s="62">
        <v>1</v>
      </c>
      <c r="Z653" s="62">
        <v>30</v>
      </c>
      <c r="AA653" s="53">
        <v>46.785555555555561</v>
      </c>
      <c r="AB653" s="53">
        <v>54.907777777777781</v>
      </c>
      <c r="AC653" s="53">
        <v>49.709408284023667</v>
      </c>
      <c r="AD653" s="53">
        <v>50.433668639053252</v>
      </c>
      <c r="AE653" s="53" t="str">
        <f>_xlfn.XLOOKUP(Master[[#This Row],[cu_id]],'[1]Customer Revenue'!$Q:$Q,'[1]Customer Revenue'!$K:$K, "None")</f>
        <v>None</v>
      </c>
      <c r="AF653" s="53" t="str">
        <f>_xlfn.XLOOKUP(Master[[#This Row],[cu_id]],'[1]Customer Revenue'!$Q:$Q,'[1]Customer Revenue'!$L:$L, "None")</f>
        <v>None</v>
      </c>
      <c r="AG653" s="53">
        <v>47.268464000000009</v>
      </c>
      <c r="AH653" s="53">
        <v>54.154736</v>
      </c>
      <c r="AI653" s="53">
        <v>50.846666666666671</v>
      </c>
      <c r="AJ653" s="53">
        <v>50.071538461538459</v>
      </c>
      <c r="AK653" s="53" t="str">
        <f>_xlfn.XLOOKUP(Master[[#This Row],[cu_id]],'[1]Customer Revenue'!$Q:$Q,'[1]Customer Revenue'!$I:$I, "None")</f>
        <v>None</v>
      </c>
      <c r="AL653" s="53">
        <v>50.711600000000004</v>
      </c>
      <c r="AM653" s="61">
        <v>0.29166666666666669</v>
      </c>
      <c r="AN653" s="60">
        <v>0.66666666666666663</v>
      </c>
      <c r="AO653" s="60" t="s">
        <v>36</v>
      </c>
      <c r="AP653" s="60" t="s">
        <v>36</v>
      </c>
      <c r="AQ653" s="58" t="s">
        <v>0</v>
      </c>
      <c r="AR653" s="58"/>
      <c r="AS653" s="58"/>
      <c r="AT653" s="52">
        <v>0</v>
      </c>
      <c r="AU653" s="52">
        <f>IF(Master[[#This Row],[RSP StopTime override]] &lt;&gt; "",Master[[#This Row],[RSP StopTime override]],IF(Master[[#This Row],[Avg stop time helper]] &lt;&gt; 0, Master[[#This Row],[Avg stop time helper]],Average_Stop_Time))</f>
        <v>10</v>
      </c>
      <c r="AV653" s="21">
        <v>10</v>
      </c>
      <c r="AW653" s="20">
        <f>Master[[#This Row],[RSP StopTime override]]-Master[[#This Row],[Avg stop time helper]]</f>
        <v>10</v>
      </c>
    </row>
    <row r="654" spans="1:49" x14ac:dyDescent="0.3">
      <c r="A654" s="66" t="s">
        <v>4705</v>
      </c>
      <c r="B654" s="58">
        <v>50</v>
      </c>
      <c r="C654" s="58" t="s">
        <v>43</v>
      </c>
      <c r="D654" s="65">
        <v>532810</v>
      </c>
      <c r="E654" s="65" t="s">
        <v>42</v>
      </c>
      <c r="F654" s="65" t="s">
        <v>2258</v>
      </c>
      <c r="G654" s="65" t="s">
        <v>2257</v>
      </c>
      <c r="H654" s="65" t="s">
        <v>7</v>
      </c>
      <c r="I654" s="65" t="s">
        <v>2256</v>
      </c>
      <c r="J654" s="65" t="s">
        <v>5</v>
      </c>
      <c r="K654" s="65" t="s">
        <v>2255</v>
      </c>
      <c r="L654" s="64" t="s">
        <v>67</v>
      </c>
      <c r="M654" s="58" t="s">
        <v>3</v>
      </c>
      <c r="N654" s="58" t="s">
        <v>2</v>
      </c>
      <c r="O654" s="58">
        <v>61</v>
      </c>
      <c r="P654" s="58">
        <v>0</v>
      </c>
      <c r="Q654" s="58">
        <v>0</v>
      </c>
      <c r="R654" s="58">
        <v>0</v>
      </c>
      <c r="S654" s="58">
        <v>61</v>
      </c>
      <c r="T654" s="58">
        <v>0</v>
      </c>
      <c r="U654" s="58">
        <v>52</v>
      </c>
      <c r="V654" s="62"/>
      <c r="W654" s="62"/>
      <c r="X654" s="63">
        <f>IFERROR(1 -(Master[[#This Row],[Avg Garment Scans per Delivery]]/Master[[#This Row],[Garment Inventory]]), 0)</f>
        <v>0</v>
      </c>
      <c r="Y654" s="62"/>
      <c r="Z654" s="62"/>
      <c r="AA654" s="53">
        <v>60.83041420118343</v>
      </c>
      <c r="AB654" s="53">
        <v>62.428047337278116</v>
      </c>
      <c r="AC654" s="53">
        <v>63.128343195266282</v>
      </c>
      <c r="AD654" s="53">
        <v>65.599349112426054</v>
      </c>
      <c r="AE654" s="53" t="str">
        <f>_xlfn.XLOOKUP(Master[[#This Row],[cu_id]],'[1]Customer Revenue'!$Q:$Q,'[1]Customer Revenue'!$K:$K, "None")</f>
        <v>None</v>
      </c>
      <c r="AF654" s="53" t="str">
        <f>_xlfn.XLOOKUP(Master[[#This Row],[cu_id]],'[1]Customer Revenue'!$Q:$Q,'[1]Customer Revenue'!$L:$L, "None")</f>
        <v>None</v>
      </c>
      <c r="AG654" s="53">
        <v>59.860068587105566</v>
      </c>
      <c r="AH654" s="53">
        <v>61.789561042523992</v>
      </c>
      <c r="AI654" s="53">
        <v>61.629230769230773</v>
      </c>
      <c r="AJ654" s="53">
        <v>64.363846153846168</v>
      </c>
      <c r="AK654" s="53" t="str">
        <f>_xlfn.XLOOKUP(Master[[#This Row],[cu_id]],'[1]Customer Revenue'!$Q:$Q,'[1]Customer Revenue'!$I:$I, "None")</f>
        <v>None</v>
      </c>
      <c r="AL654" s="53">
        <v>60.824814814814779</v>
      </c>
      <c r="AM654" s="61">
        <v>0.375</v>
      </c>
      <c r="AN654" s="60">
        <v>0.66666666666666663</v>
      </c>
      <c r="AO654" s="60" t="s">
        <v>36</v>
      </c>
      <c r="AP654" s="60" t="s">
        <v>36</v>
      </c>
      <c r="AQ654" s="58" t="s">
        <v>0</v>
      </c>
      <c r="AR654" s="58"/>
      <c r="AS654" s="58"/>
      <c r="AT654" s="52">
        <v>0</v>
      </c>
      <c r="AU654" s="52">
        <f>IF(Master[[#This Row],[RSP StopTime override]] &lt;&gt; "",Master[[#This Row],[RSP StopTime override]],IF(Master[[#This Row],[Avg stop time helper]] &lt;&gt; 0, Master[[#This Row],[Avg stop time helper]],Average_Stop_Time))</f>
        <v>5</v>
      </c>
      <c r="AV654" s="21">
        <v>5</v>
      </c>
      <c r="AW654" s="20">
        <f>Master[[#This Row],[RSP StopTime override]]-Master[[#This Row],[Avg stop time helper]]</f>
        <v>5</v>
      </c>
    </row>
    <row r="655" spans="1:49" x14ac:dyDescent="0.3">
      <c r="A655" s="66" t="s">
        <v>4706</v>
      </c>
      <c r="B655" s="58">
        <v>50</v>
      </c>
      <c r="C655" s="58" t="s">
        <v>15</v>
      </c>
      <c r="D655" s="65">
        <v>531786</v>
      </c>
      <c r="E655" s="65" t="s">
        <v>42</v>
      </c>
      <c r="F655" s="65" t="s">
        <v>2210</v>
      </c>
      <c r="G655" s="65" t="s">
        <v>2209</v>
      </c>
      <c r="H655" s="65" t="s">
        <v>7</v>
      </c>
      <c r="I655" s="65" t="s">
        <v>2208</v>
      </c>
      <c r="J655" s="65" t="s">
        <v>5</v>
      </c>
      <c r="K655" s="65" t="s">
        <v>2207</v>
      </c>
      <c r="L655" s="64" t="s">
        <v>67</v>
      </c>
      <c r="M655" s="58" t="s">
        <v>3</v>
      </c>
      <c r="N655" s="58" t="s">
        <v>2</v>
      </c>
      <c r="O655" s="58">
        <v>95</v>
      </c>
      <c r="P655" s="58">
        <v>0</v>
      </c>
      <c r="Q655" s="58">
        <v>0</v>
      </c>
      <c r="R655" s="58">
        <v>0</v>
      </c>
      <c r="S655" s="58">
        <v>0</v>
      </c>
      <c r="T655" s="58">
        <v>95</v>
      </c>
      <c r="U655" s="58">
        <v>50</v>
      </c>
      <c r="V655" s="62">
        <v>11</v>
      </c>
      <c r="W655" s="62">
        <v>2</v>
      </c>
      <c r="X655" s="63">
        <f>IFERROR(1 -(Master[[#This Row],[Avg Garment Scans per Delivery]]/Master[[#This Row],[Garment Inventory]]), 0)</f>
        <v>0.81818181818181812</v>
      </c>
      <c r="Y655" s="62">
        <v>1</v>
      </c>
      <c r="Z655" s="62">
        <v>16</v>
      </c>
      <c r="AA655" s="53">
        <v>41.49583333333333</v>
      </c>
      <c r="AB655" s="53">
        <v>54.487500000000004</v>
      </c>
      <c r="AC655" s="53">
        <v>48.003649921507034</v>
      </c>
      <c r="AD655" s="53">
        <v>62.687119309262158</v>
      </c>
      <c r="AE655" s="53" t="str">
        <f>_xlfn.XLOOKUP(Master[[#This Row],[cu_id]],'[1]Customer Revenue'!$Q:$Q,'[1]Customer Revenue'!$K:$K, "None")</f>
        <v>None</v>
      </c>
      <c r="AF655" s="53" t="str">
        <f>_xlfn.XLOOKUP(Master[[#This Row],[cu_id]],'[1]Customer Revenue'!$Q:$Q,'[1]Customer Revenue'!$L:$L, "None")</f>
        <v>None</v>
      </c>
      <c r="AG655" s="53">
        <v>42.087252295030062</v>
      </c>
      <c r="AH655" s="53">
        <v>53.926593858816084</v>
      </c>
      <c r="AI655" s="53">
        <v>47.991666666666667</v>
      </c>
      <c r="AJ655" s="53">
        <v>55.345384615384596</v>
      </c>
      <c r="AK655" s="53" t="str">
        <f>_xlfn.XLOOKUP(Master[[#This Row],[cu_id]],'[1]Customer Revenue'!$Q:$Q,'[1]Customer Revenue'!$I:$I, "None")</f>
        <v>None</v>
      </c>
      <c r="AL655" s="53">
        <v>48.006923076923073</v>
      </c>
      <c r="AM655" s="61">
        <v>0.375</v>
      </c>
      <c r="AN655" s="60">
        <v>0.625</v>
      </c>
      <c r="AO655" s="60" t="s">
        <v>36</v>
      </c>
      <c r="AP655" s="60" t="s">
        <v>36</v>
      </c>
      <c r="AQ655" s="58" t="s">
        <v>0</v>
      </c>
      <c r="AR655" s="58"/>
      <c r="AS655" s="58"/>
      <c r="AT655" s="52">
        <v>0</v>
      </c>
      <c r="AU655" s="52">
        <f>IF(Master[[#This Row],[RSP StopTime override]] &lt;&gt; "",Master[[#This Row],[RSP StopTime override]],IF(Master[[#This Row],[Avg stop time helper]] &lt;&gt; 0, Master[[#This Row],[Avg stop time helper]],Average_Stop_Time))</f>
        <v>7</v>
      </c>
      <c r="AV655" s="21">
        <v>7</v>
      </c>
      <c r="AW655" s="20">
        <f>Master[[#This Row],[RSP StopTime override]]-Master[[#This Row],[Avg stop time helper]]</f>
        <v>7</v>
      </c>
    </row>
    <row r="656" spans="1:49" x14ac:dyDescent="0.3">
      <c r="A656" s="66" t="s">
        <v>4707</v>
      </c>
      <c r="B656" s="58">
        <v>50</v>
      </c>
      <c r="C656" s="58" t="s">
        <v>43</v>
      </c>
      <c r="D656" s="65">
        <v>99062</v>
      </c>
      <c r="E656" s="65" t="s">
        <v>2297</v>
      </c>
      <c r="F656" s="65" t="s">
        <v>2307</v>
      </c>
      <c r="G656" s="65" t="s">
        <v>2295</v>
      </c>
      <c r="H656" s="65" t="s">
        <v>7</v>
      </c>
      <c r="I656" s="65" t="s">
        <v>2264</v>
      </c>
      <c r="J656" s="65" t="s">
        <v>5</v>
      </c>
      <c r="K656" s="65" t="s">
        <v>2263</v>
      </c>
      <c r="L656" s="64" t="s">
        <v>67</v>
      </c>
      <c r="M656" s="58" t="s">
        <v>3</v>
      </c>
      <c r="N656" s="58" t="s">
        <v>2</v>
      </c>
      <c r="O656" s="58">
        <v>20</v>
      </c>
      <c r="P656" s="58">
        <v>0</v>
      </c>
      <c r="Q656" s="58">
        <v>0</v>
      </c>
      <c r="R656" s="58">
        <v>0</v>
      </c>
      <c r="S656" s="58">
        <v>20</v>
      </c>
      <c r="T656" s="58">
        <v>0</v>
      </c>
      <c r="U656" s="58">
        <v>53</v>
      </c>
      <c r="V656" s="62">
        <v>45</v>
      </c>
      <c r="W656" s="62">
        <v>12</v>
      </c>
      <c r="X656" s="63">
        <f>IFERROR(1 -(Master[[#This Row],[Avg Garment Scans per Delivery]]/Master[[#This Row],[Garment Inventory]]), 0)</f>
        <v>0.73333333333333339</v>
      </c>
      <c r="Y656" s="62">
        <v>2</v>
      </c>
      <c r="Z656" s="62">
        <v>44</v>
      </c>
      <c r="AA656" s="53">
        <v>154.17674556213015</v>
      </c>
      <c r="AB656" s="53">
        <v>156.81248520710054</v>
      </c>
      <c r="AC656" s="53">
        <v>156.22414201183432</v>
      </c>
      <c r="AD656" s="53">
        <v>175.40047337278105</v>
      </c>
      <c r="AE656" s="53" t="str">
        <f>_xlfn.XLOOKUP(Master[[#This Row],[cu_id]],'[1]Customer Revenue'!$Q:$Q,'[1]Customer Revenue'!$K:$K, "None")</f>
        <v>None</v>
      </c>
      <c r="AF656" s="53" t="str">
        <f>_xlfn.XLOOKUP(Master[[#This Row],[cu_id]],'[1]Customer Revenue'!$Q:$Q,'[1]Customer Revenue'!$L:$L, "None")</f>
        <v>None</v>
      </c>
      <c r="AG656" s="53">
        <v>151.79458161865566</v>
      </c>
      <c r="AH656" s="53">
        <v>166.56023319615903</v>
      </c>
      <c r="AI656" s="53">
        <v>155.49461538461534</v>
      </c>
      <c r="AJ656" s="53">
        <v>165.81230769230768</v>
      </c>
      <c r="AK656" s="53" t="str">
        <f>_xlfn.XLOOKUP(Master[[#This Row],[cu_id]],'[1]Customer Revenue'!$Q:$Q,'[1]Customer Revenue'!$I:$I, "None")</f>
        <v>None</v>
      </c>
      <c r="AL656" s="53">
        <v>159.17740740740734</v>
      </c>
      <c r="AM656" s="61">
        <v>0.29166666666666669</v>
      </c>
      <c r="AN656" s="60">
        <v>0.5</v>
      </c>
      <c r="AO656" s="60" t="s">
        <v>36</v>
      </c>
      <c r="AP656" s="60" t="s">
        <v>36</v>
      </c>
      <c r="AQ656" s="58" t="s">
        <v>0</v>
      </c>
      <c r="AR656" s="58"/>
      <c r="AS656" s="58"/>
      <c r="AT656" s="52">
        <v>0</v>
      </c>
      <c r="AU656" s="52">
        <f>IF(Master[[#This Row],[RSP StopTime override]] &lt;&gt; "",Master[[#This Row],[RSP StopTime override]],IF(Master[[#This Row],[Avg stop time helper]] &lt;&gt; 0, Master[[#This Row],[Avg stop time helper]],Average_Stop_Time))</f>
        <v>15</v>
      </c>
      <c r="AV656" s="21">
        <v>15</v>
      </c>
      <c r="AW656" s="20">
        <f>Master[[#This Row],[RSP StopTime override]]-Master[[#This Row],[Avg stop time helper]]</f>
        <v>15</v>
      </c>
    </row>
    <row r="657" spans="1:49" x14ac:dyDescent="0.3">
      <c r="A657" s="73" t="s">
        <v>4708</v>
      </c>
      <c r="B657" s="64">
        <v>6</v>
      </c>
      <c r="C657" s="64" t="s">
        <v>24</v>
      </c>
      <c r="D657" s="65">
        <v>99161</v>
      </c>
      <c r="E657" s="65" t="s">
        <v>3497</v>
      </c>
      <c r="F657" s="65" t="s">
        <v>3496</v>
      </c>
      <c r="G657" s="65" t="s">
        <v>3495</v>
      </c>
      <c r="H657" s="65" t="s">
        <v>7</v>
      </c>
      <c r="I657" s="65" t="s">
        <v>39</v>
      </c>
      <c r="J657" s="65" t="s">
        <v>5</v>
      </c>
      <c r="K657" s="65" t="s">
        <v>3203</v>
      </c>
      <c r="L657" s="64" t="s">
        <v>67</v>
      </c>
      <c r="M657" s="65" t="s">
        <v>3</v>
      </c>
      <c r="N657" s="65" t="s">
        <v>2</v>
      </c>
      <c r="O657" s="65">
        <v>1</v>
      </c>
      <c r="P657" s="65">
        <v>1</v>
      </c>
      <c r="Q657" s="65">
        <v>0</v>
      </c>
      <c r="R657" s="65">
        <v>0</v>
      </c>
      <c r="S657" s="65">
        <v>0</v>
      </c>
      <c r="T657" s="65">
        <v>0</v>
      </c>
      <c r="U657" s="65"/>
      <c r="V657" s="65"/>
      <c r="W657" s="65"/>
      <c r="X657" s="72">
        <f>IFERROR(1 -(Master[[#This Row],[Avg Garment Scans per Delivery]]/Master[[#This Row],[Garment Inventory]]), 0)</f>
        <v>0</v>
      </c>
      <c r="Y657" s="65"/>
      <c r="Z657" s="65"/>
      <c r="AA657" s="53"/>
      <c r="AB657" s="53"/>
      <c r="AC657" s="53"/>
      <c r="AD657" s="53"/>
      <c r="AE657" s="53" t="str">
        <f>_xlfn.XLOOKUP(Master[[#This Row],[cu_id]],'[1]Customer Revenue'!$Q:$Q,'[1]Customer Revenue'!$K:$K, "0")</f>
        <v>0</v>
      </c>
      <c r="AF657" s="53" t="str">
        <f>_xlfn.XLOOKUP(Master[[#This Row],[cu_id]],'[1]Customer Revenue'!$Q:$Q,'[1]Customer Revenue'!$L:$L, "0")</f>
        <v>0</v>
      </c>
      <c r="AG657" s="53"/>
      <c r="AH657" s="53"/>
      <c r="AI657" s="53"/>
      <c r="AJ657" s="53"/>
      <c r="AK657" s="53" t="str">
        <f>_xlfn.XLOOKUP(Master[[#This Row],[cu_id]],'[1]Customer Revenue'!$Q:$Q,'[1]Customer Revenue'!$I:$I, "0")</f>
        <v>0</v>
      </c>
      <c r="AL657" s="53"/>
      <c r="AM657" s="71">
        <v>0.25</v>
      </c>
      <c r="AN657" s="71">
        <v>0.5</v>
      </c>
      <c r="AO657" s="71" t="s">
        <v>36</v>
      </c>
      <c r="AP657" s="71" t="s">
        <v>36</v>
      </c>
      <c r="AQ657" s="64" t="s">
        <v>0</v>
      </c>
      <c r="AR657" s="64"/>
      <c r="AS657" s="65"/>
      <c r="AT657" s="52">
        <v>0</v>
      </c>
      <c r="AU657" s="52" t="e">
        <f>IF(Master[[#This Row],[RSP StopTime override]] &lt;&gt; "",Master[[#This Row],[RSP StopTime override]],IF(Master[[#This Row],[Avg stop time helper]] &lt;&gt; 0, Master[[#This Row],[Avg stop time helper]],Average_Stop_Time))</f>
        <v>#DIV/0!</v>
      </c>
      <c r="AV657" s="21"/>
      <c r="AW657" s="20">
        <f>Master[[#This Row],[RSP StopTime override]]-Master[[#This Row],[Avg stop time helper]]</f>
        <v>0</v>
      </c>
    </row>
    <row r="658" spans="1:49" x14ac:dyDescent="0.3">
      <c r="A658" s="73" t="s">
        <v>4709</v>
      </c>
      <c r="B658" s="58">
        <v>47</v>
      </c>
      <c r="C658" s="58" t="s">
        <v>24</v>
      </c>
      <c r="D658" s="65">
        <v>99161</v>
      </c>
      <c r="E658" s="65" t="s">
        <v>1181</v>
      </c>
      <c r="F658" s="65" t="s">
        <v>2918</v>
      </c>
      <c r="G658" s="65" t="s">
        <v>2917</v>
      </c>
      <c r="H658" s="65" t="s">
        <v>7</v>
      </c>
      <c r="I658" s="65" t="s">
        <v>2884</v>
      </c>
      <c r="J658" s="65" t="s">
        <v>5</v>
      </c>
      <c r="K658" s="65" t="s">
        <v>2883</v>
      </c>
      <c r="L658" s="64" t="s">
        <v>67</v>
      </c>
      <c r="M658" s="65" t="s">
        <v>3</v>
      </c>
      <c r="N658" s="65" t="s">
        <v>2</v>
      </c>
      <c r="O658" s="65">
        <v>1</v>
      </c>
      <c r="P658" s="65">
        <v>1</v>
      </c>
      <c r="Q658" s="65">
        <v>0</v>
      </c>
      <c r="R658" s="65">
        <v>0</v>
      </c>
      <c r="S658" s="65">
        <v>0</v>
      </c>
      <c r="T658" s="65">
        <v>0</v>
      </c>
      <c r="U658" s="65"/>
      <c r="V658" s="65"/>
      <c r="W658" s="65"/>
      <c r="X658" s="72">
        <f>IFERROR(1 -(Master[[#This Row],[Avg Garment Scans per Delivery]]/Master[[#This Row],[Garment Inventory]]), 0)</f>
        <v>0</v>
      </c>
      <c r="Y658" s="65"/>
      <c r="Z658" s="65"/>
      <c r="AA658" s="53"/>
      <c r="AB658" s="53"/>
      <c r="AC658" s="53"/>
      <c r="AD658" s="53"/>
      <c r="AE658" s="53" t="str">
        <f>_xlfn.XLOOKUP(Master[[#This Row],[cu_id]],'[1]Customer Revenue'!$Q:$Q,'[1]Customer Revenue'!$K:$K, "0")</f>
        <v>0</v>
      </c>
      <c r="AF658" s="53" t="str">
        <f>_xlfn.XLOOKUP(Master[[#This Row],[cu_id]],'[1]Customer Revenue'!$Q:$Q,'[1]Customer Revenue'!$L:$L, "0")</f>
        <v>0</v>
      </c>
      <c r="AG658" s="53"/>
      <c r="AH658" s="53"/>
      <c r="AI658" s="53"/>
      <c r="AJ658" s="53"/>
      <c r="AK658" s="53" t="str">
        <f>_xlfn.XLOOKUP(Master[[#This Row],[cu_id]],'[1]Customer Revenue'!$Q:$Q,'[1]Customer Revenue'!$I:$I, "0")</f>
        <v>0</v>
      </c>
      <c r="AL658" s="53"/>
      <c r="AM658" s="71" t="s">
        <v>36</v>
      </c>
      <c r="AN658" s="71" t="s">
        <v>36</v>
      </c>
      <c r="AO658" s="71" t="s">
        <v>36</v>
      </c>
      <c r="AP658" s="71" t="s">
        <v>36</v>
      </c>
      <c r="AQ658" s="64" t="s">
        <v>0</v>
      </c>
      <c r="AR658" s="64"/>
      <c r="AS658" s="65"/>
      <c r="AT658" s="52">
        <v>0</v>
      </c>
      <c r="AU658" s="52" t="e">
        <f>IF(Master[[#This Row],[RSP StopTime override]] &lt;&gt; "",Master[[#This Row],[RSP StopTime override]],IF(Master[[#This Row],[Avg stop time helper]] &lt;&gt; 0, Master[[#This Row],[Avg stop time helper]],Average_Stop_Time))</f>
        <v>#DIV/0!</v>
      </c>
      <c r="AV658" s="21"/>
      <c r="AW658" s="20">
        <f>Master[[#This Row],[RSP StopTime override]]-Master[[#This Row],[Avg stop time helper]]</f>
        <v>0</v>
      </c>
    </row>
    <row r="659" spans="1:49" x14ac:dyDescent="0.3">
      <c r="A659" s="66" t="s">
        <v>4710</v>
      </c>
      <c r="B659" s="58">
        <v>50</v>
      </c>
      <c r="C659" s="58" t="s">
        <v>43</v>
      </c>
      <c r="D659" s="65">
        <v>533025</v>
      </c>
      <c r="E659" s="65" t="s">
        <v>42</v>
      </c>
      <c r="F659" s="65" t="s">
        <v>2254</v>
      </c>
      <c r="G659" s="65" t="s">
        <v>2253</v>
      </c>
      <c r="H659" s="65" t="s">
        <v>7</v>
      </c>
      <c r="I659" s="65" t="s">
        <v>2252</v>
      </c>
      <c r="J659" s="65" t="s">
        <v>5</v>
      </c>
      <c r="K659" s="65" t="s">
        <v>2251</v>
      </c>
      <c r="L659" s="64" t="s">
        <v>67</v>
      </c>
      <c r="M659" s="58" t="s">
        <v>3</v>
      </c>
      <c r="N659" s="58" t="s">
        <v>2</v>
      </c>
      <c r="O659" s="58">
        <v>40</v>
      </c>
      <c r="P659" s="58">
        <v>0</v>
      </c>
      <c r="Q659" s="58">
        <v>0</v>
      </c>
      <c r="R659" s="58">
        <v>0</v>
      </c>
      <c r="S659" s="58">
        <v>40</v>
      </c>
      <c r="T659" s="58">
        <v>0</v>
      </c>
      <c r="U659" s="58">
        <v>53</v>
      </c>
      <c r="V659" s="62">
        <v>49</v>
      </c>
      <c r="W659" s="62">
        <v>1</v>
      </c>
      <c r="X659" s="63">
        <f>IFERROR(1 -(Master[[#This Row],[Avg Garment Scans per Delivery]]/Master[[#This Row],[Garment Inventory]]), 0)</f>
        <v>0.97959183673469385</v>
      </c>
      <c r="Y659" s="62">
        <v>2</v>
      </c>
      <c r="Z659" s="62">
        <v>48</v>
      </c>
      <c r="AA659" s="53">
        <v>72.28100591715976</v>
      </c>
      <c r="AB659" s="53">
        <v>78.689763313609475</v>
      </c>
      <c r="AC659" s="53">
        <v>76.422544378698234</v>
      </c>
      <c r="AD659" s="53">
        <v>78.742071005917182</v>
      </c>
      <c r="AE659" s="53" t="str">
        <f>_xlfn.XLOOKUP(Master[[#This Row],[cu_id]],'[1]Customer Revenue'!$Q:$Q,'[1]Customer Revenue'!$K:$K, "None")</f>
        <v>None</v>
      </c>
      <c r="AF659" s="53" t="str">
        <f>_xlfn.XLOOKUP(Master[[#This Row],[cu_id]],'[1]Customer Revenue'!$Q:$Q,'[1]Customer Revenue'!$L:$L, "None")</f>
        <v>None</v>
      </c>
      <c r="AG659" s="53">
        <v>70.69792866941016</v>
      </c>
      <c r="AH659" s="53">
        <v>84.520589849108447</v>
      </c>
      <c r="AI659" s="53">
        <v>75.485384615384618</v>
      </c>
      <c r="AJ659" s="53">
        <v>77.582307692307708</v>
      </c>
      <c r="AK659" s="53" t="str">
        <f>_xlfn.XLOOKUP(Master[[#This Row],[cu_id]],'[1]Customer Revenue'!$Q:$Q,'[1]Customer Revenue'!$I:$I, "None")</f>
        <v>None</v>
      </c>
      <c r="AL659" s="53">
        <v>77.609259259259304</v>
      </c>
      <c r="AM659" s="61">
        <v>0.375</v>
      </c>
      <c r="AN659" s="60">
        <v>0.58333333333333337</v>
      </c>
      <c r="AO659" s="60" t="s">
        <v>36</v>
      </c>
      <c r="AP659" s="60" t="s">
        <v>36</v>
      </c>
      <c r="AQ659" s="58" t="s">
        <v>0</v>
      </c>
      <c r="AR659" s="58"/>
      <c r="AS659" s="58"/>
      <c r="AT659" s="52">
        <v>0</v>
      </c>
      <c r="AU659" s="52">
        <f>IF(Master[[#This Row],[RSP StopTime override]] &lt;&gt; "",Master[[#This Row],[RSP StopTime override]],IF(Master[[#This Row],[Avg stop time helper]] &lt;&gt; 0, Master[[#This Row],[Avg stop time helper]],Average_Stop_Time))</f>
        <v>10</v>
      </c>
      <c r="AV659" s="21">
        <v>10</v>
      </c>
      <c r="AW659" s="20">
        <f>Master[[#This Row],[RSP StopTime override]]-Master[[#This Row],[Avg stop time helper]]</f>
        <v>10</v>
      </c>
    </row>
    <row r="660" spans="1:49" x14ac:dyDescent="0.3">
      <c r="A660" s="66" t="s">
        <v>4711</v>
      </c>
      <c r="B660" s="58">
        <v>50</v>
      </c>
      <c r="C660" s="58" t="s">
        <v>15</v>
      </c>
      <c r="D660" s="65">
        <v>507975</v>
      </c>
      <c r="E660" s="65" t="s">
        <v>42</v>
      </c>
      <c r="F660" s="65" t="s">
        <v>2226</v>
      </c>
      <c r="G660" s="65" t="s">
        <v>2225</v>
      </c>
      <c r="H660" s="65" t="s">
        <v>32</v>
      </c>
      <c r="I660" s="65" t="s">
        <v>2224</v>
      </c>
      <c r="J660" s="65" t="s">
        <v>5</v>
      </c>
      <c r="K660" s="65" t="s">
        <v>2187</v>
      </c>
      <c r="L660" s="64" t="s">
        <v>67</v>
      </c>
      <c r="M660" s="58" t="s">
        <v>3</v>
      </c>
      <c r="N660" s="58" t="s">
        <v>2</v>
      </c>
      <c r="O660" s="58">
        <v>100</v>
      </c>
      <c r="P660" s="58">
        <v>0</v>
      </c>
      <c r="Q660" s="58">
        <v>0</v>
      </c>
      <c r="R660" s="58">
        <v>0</v>
      </c>
      <c r="S660" s="58">
        <v>0</v>
      </c>
      <c r="T660" s="58">
        <v>100</v>
      </c>
      <c r="U660" s="58">
        <v>51</v>
      </c>
      <c r="V660" s="62"/>
      <c r="W660" s="62"/>
      <c r="X660" s="63">
        <f>IFERROR(1 -(Master[[#This Row],[Avg Garment Scans per Delivery]]/Master[[#This Row],[Garment Inventory]]), 0)</f>
        <v>0</v>
      </c>
      <c r="Y660" s="62"/>
      <c r="Z660" s="62"/>
      <c r="AA660" s="53">
        <v>45.730000000000004</v>
      </c>
      <c r="AB660" s="53">
        <v>46.980000000000018</v>
      </c>
      <c r="AC660" s="53">
        <v>47.906923076923078</v>
      </c>
      <c r="AD660" s="53">
        <v>50.233076923076922</v>
      </c>
      <c r="AE660" s="53" t="str">
        <f>_xlfn.XLOOKUP(Master[[#This Row],[cu_id]],'[1]Customer Revenue'!$Q:$Q,'[1]Customer Revenue'!$K:$K, "None")</f>
        <v>None</v>
      </c>
      <c r="AF660" s="53" t="str">
        <f>_xlfn.XLOOKUP(Master[[#This Row],[cu_id]],'[1]Customer Revenue'!$Q:$Q,'[1]Customer Revenue'!$L:$L, "None")</f>
        <v>None</v>
      </c>
      <c r="AG660" s="53">
        <v>36.612093827160521</v>
      </c>
      <c r="AH660" s="53">
        <v>54.851106172839494</v>
      </c>
      <c r="AI660" s="53">
        <v>46.355000000000011</v>
      </c>
      <c r="AJ660" s="53">
        <v>49.07</v>
      </c>
      <c r="AK660" s="53" t="str">
        <f>_xlfn.XLOOKUP(Master[[#This Row],[cu_id]],'[1]Customer Revenue'!$Q:$Q,'[1]Customer Revenue'!$I:$I, "None")</f>
        <v>None</v>
      </c>
      <c r="AL660" s="53">
        <v>45.731600000000007</v>
      </c>
      <c r="AM660" s="61">
        <v>0.41666666666666669</v>
      </c>
      <c r="AN660" s="60">
        <v>0.75</v>
      </c>
      <c r="AO660" s="60" t="s">
        <v>36</v>
      </c>
      <c r="AP660" s="60" t="s">
        <v>36</v>
      </c>
      <c r="AQ660" s="58" t="s">
        <v>0</v>
      </c>
      <c r="AR660" s="58"/>
      <c r="AS660" s="58"/>
      <c r="AT660" s="52">
        <v>0</v>
      </c>
      <c r="AU660" s="52">
        <f>IF(Master[[#This Row],[RSP StopTime override]] &lt;&gt; "",Master[[#This Row],[RSP StopTime override]],IF(Master[[#This Row],[Avg stop time helper]] &lt;&gt; 0, Master[[#This Row],[Avg stop time helper]],Average_Stop_Time))</f>
        <v>5</v>
      </c>
      <c r="AV660" s="21">
        <v>5</v>
      </c>
      <c r="AW660" s="20">
        <f>Master[[#This Row],[RSP StopTime override]]-Master[[#This Row],[Avg stop time helper]]</f>
        <v>5</v>
      </c>
    </row>
    <row r="661" spans="1:49" x14ac:dyDescent="0.3">
      <c r="A661" s="66" t="s">
        <v>4712</v>
      </c>
      <c r="B661" s="58">
        <v>50</v>
      </c>
      <c r="C661" s="58" t="s">
        <v>43</v>
      </c>
      <c r="D661" s="65">
        <v>516758</v>
      </c>
      <c r="E661" s="65" t="s">
        <v>42</v>
      </c>
      <c r="F661" s="65" t="s">
        <v>2291</v>
      </c>
      <c r="G661" s="65" t="s">
        <v>2290</v>
      </c>
      <c r="H661" s="65" t="s">
        <v>32</v>
      </c>
      <c r="I661" s="65" t="s">
        <v>31</v>
      </c>
      <c r="J661" s="65" t="s">
        <v>5</v>
      </c>
      <c r="K661" s="65" t="s">
        <v>61</v>
      </c>
      <c r="L661" s="64" t="s">
        <v>67</v>
      </c>
      <c r="M661" s="58" t="s">
        <v>3</v>
      </c>
      <c r="N661" s="58" t="s">
        <v>2</v>
      </c>
      <c r="O661" s="58">
        <v>1</v>
      </c>
      <c r="P661" s="58">
        <v>0</v>
      </c>
      <c r="Q661" s="58">
        <v>0</v>
      </c>
      <c r="R661" s="58">
        <v>0</v>
      </c>
      <c r="S661" s="58">
        <v>1</v>
      </c>
      <c r="T661" s="58">
        <v>0</v>
      </c>
      <c r="U661" s="58">
        <v>53</v>
      </c>
      <c r="V661" s="62"/>
      <c r="W661" s="62"/>
      <c r="X661" s="63">
        <f>IFERROR(1 -(Master[[#This Row],[Avg Garment Scans per Delivery]]/Master[[#This Row],[Garment Inventory]]), 0)</f>
        <v>0</v>
      </c>
      <c r="Y661" s="62"/>
      <c r="Z661" s="62"/>
      <c r="AA661" s="53">
        <v>95.165646258503401</v>
      </c>
      <c r="AB661" s="53">
        <v>172.14768707482995</v>
      </c>
      <c r="AC661" s="53">
        <v>118.27017751479289</v>
      </c>
      <c r="AD661" s="53">
        <v>165.25289940828404</v>
      </c>
      <c r="AE661" s="53" t="str">
        <f>_xlfn.XLOOKUP(Master[[#This Row],[cu_id]],'[1]Customer Revenue'!$Q:$Q,'[1]Customer Revenue'!$K:$K, "None")</f>
        <v>None</v>
      </c>
      <c r="AF661" s="53" t="str">
        <f>_xlfn.XLOOKUP(Master[[#This Row],[cu_id]],'[1]Customer Revenue'!$Q:$Q,'[1]Customer Revenue'!$L:$L, "None")</f>
        <v>None</v>
      </c>
      <c r="AG661" s="53">
        <v>89.783200000000022</v>
      </c>
      <c r="AH661" s="53">
        <v>185.0104</v>
      </c>
      <c r="AI661" s="53">
        <v>133.65666666666667</v>
      </c>
      <c r="AJ661" s="53">
        <v>141.76153846153846</v>
      </c>
      <c r="AK661" s="53" t="str">
        <f>_xlfn.XLOOKUP(Master[[#This Row],[cu_id]],'[1]Customer Revenue'!$Q:$Q,'[1]Customer Revenue'!$I:$I, "None")</f>
        <v>None</v>
      </c>
      <c r="AL661" s="53">
        <v>137.39680000000001</v>
      </c>
      <c r="AM661" s="61">
        <v>0.27083333333333331</v>
      </c>
      <c r="AN661" s="60">
        <v>0.54166666666666663</v>
      </c>
      <c r="AO661" s="60" t="s">
        <v>36</v>
      </c>
      <c r="AP661" s="60" t="s">
        <v>36</v>
      </c>
      <c r="AQ661" s="58" t="s">
        <v>0</v>
      </c>
      <c r="AR661" s="58"/>
      <c r="AS661" s="58"/>
      <c r="AT661" s="52">
        <v>0</v>
      </c>
      <c r="AU661" s="52">
        <f>IF(Master[[#This Row],[RSP StopTime override]] &lt;&gt; "",Master[[#This Row],[RSP StopTime override]],IF(Master[[#This Row],[Avg stop time helper]] &lt;&gt; 0, Master[[#This Row],[Avg stop time helper]],Average_Stop_Time))</f>
        <v>15</v>
      </c>
      <c r="AV661" s="21">
        <v>15</v>
      </c>
      <c r="AW661" s="20">
        <f>Master[[#This Row],[RSP StopTime override]]-Master[[#This Row],[Avg stop time helper]]</f>
        <v>15</v>
      </c>
    </row>
    <row r="662" spans="1:49" x14ac:dyDescent="0.3">
      <c r="A662" s="66" t="s">
        <v>4713</v>
      </c>
      <c r="B662" s="58">
        <v>50</v>
      </c>
      <c r="C662" s="58" t="s">
        <v>15</v>
      </c>
      <c r="D662" s="65">
        <v>532666</v>
      </c>
      <c r="E662" s="65" t="s">
        <v>42</v>
      </c>
      <c r="F662" s="65" t="s">
        <v>2198</v>
      </c>
      <c r="G662" s="65" t="s">
        <v>2197</v>
      </c>
      <c r="H662" s="65" t="s">
        <v>7</v>
      </c>
      <c r="I662" s="65" t="s">
        <v>2196</v>
      </c>
      <c r="J662" s="65" t="s">
        <v>5</v>
      </c>
      <c r="K662" s="65" t="s">
        <v>1919</v>
      </c>
      <c r="L662" s="64" t="s">
        <v>67</v>
      </c>
      <c r="M662" s="58" t="s">
        <v>3</v>
      </c>
      <c r="N662" s="58" t="s">
        <v>2</v>
      </c>
      <c r="O662" s="58">
        <v>125</v>
      </c>
      <c r="P662" s="58">
        <v>0</v>
      </c>
      <c r="Q662" s="58">
        <v>0</v>
      </c>
      <c r="R662" s="58">
        <v>0</v>
      </c>
      <c r="S662" s="58">
        <v>0</v>
      </c>
      <c r="T662" s="58">
        <v>125</v>
      </c>
      <c r="U662" s="58">
        <v>53</v>
      </c>
      <c r="V662" s="62"/>
      <c r="W662" s="62"/>
      <c r="X662" s="63">
        <f>IFERROR(1 -(Master[[#This Row],[Avg Garment Scans per Delivery]]/Master[[#This Row],[Garment Inventory]]), 0)</f>
        <v>0</v>
      </c>
      <c r="Y662" s="62"/>
      <c r="Z662" s="62"/>
      <c r="AA662" s="53">
        <v>97.673611111111114</v>
      </c>
      <c r="AB662" s="53">
        <v>105.31472222222223</v>
      </c>
      <c r="AC662" s="53">
        <v>86.921349206349205</v>
      </c>
      <c r="AD662" s="53">
        <v>225.64579365079368</v>
      </c>
      <c r="AE662" s="53" t="str">
        <f>_xlfn.XLOOKUP(Master[[#This Row],[cu_id]],'[1]Customer Revenue'!$Q:$Q,'[1]Customer Revenue'!$K:$K, "None")</f>
        <v>None</v>
      </c>
      <c r="AF662" s="53" t="str">
        <f>_xlfn.XLOOKUP(Master[[#This Row],[cu_id]],'[1]Customer Revenue'!$Q:$Q,'[1]Customer Revenue'!$L:$L, "None")</f>
        <v>None</v>
      </c>
      <c r="AG662" s="53">
        <v>95.882218934911236</v>
      </c>
      <c r="AH662" s="53">
        <v>101.48008875739643</v>
      </c>
      <c r="AI662" s="53">
        <v>101.49416666666667</v>
      </c>
      <c r="AJ662" s="53">
        <v>156.28357142857143</v>
      </c>
      <c r="AK662" s="53" t="str">
        <f>_xlfn.XLOOKUP(Master[[#This Row],[cu_id]],'[1]Customer Revenue'!$Q:$Q,'[1]Customer Revenue'!$I:$I, "None")</f>
        <v>None</v>
      </c>
      <c r="AL662" s="53">
        <v>98.681153846153833</v>
      </c>
      <c r="AM662" s="61">
        <v>0.375</v>
      </c>
      <c r="AN662" s="60">
        <v>0.75</v>
      </c>
      <c r="AO662" s="60" t="s">
        <v>36</v>
      </c>
      <c r="AP662" s="60" t="s">
        <v>36</v>
      </c>
      <c r="AQ662" s="58" t="s">
        <v>0</v>
      </c>
      <c r="AR662" s="58"/>
      <c r="AS662" s="58"/>
      <c r="AT662" s="52">
        <v>0</v>
      </c>
      <c r="AU662" s="52">
        <f>IF(Master[[#This Row],[RSP StopTime override]] &lt;&gt; "",Master[[#This Row],[RSP StopTime override]],IF(Master[[#This Row],[Avg stop time helper]] &lt;&gt; 0, Master[[#This Row],[Avg stop time helper]],Average_Stop_Time))</f>
        <v>15</v>
      </c>
      <c r="AV662" s="21">
        <v>15</v>
      </c>
      <c r="AW662" s="20">
        <f>Master[[#This Row],[RSP StopTime override]]-Master[[#This Row],[Avg stop time helper]]</f>
        <v>15</v>
      </c>
    </row>
    <row r="663" spans="1:49" x14ac:dyDescent="0.3">
      <c r="A663" s="66" t="s">
        <v>4714</v>
      </c>
      <c r="B663" s="58">
        <v>50</v>
      </c>
      <c r="C663" s="58" t="s">
        <v>43</v>
      </c>
      <c r="D663" s="65">
        <v>531530</v>
      </c>
      <c r="E663" s="65" t="s">
        <v>42</v>
      </c>
      <c r="F663" s="65" t="s">
        <v>2271</v>
      </c>
      <c r="G663" s="65" t="s">
        <v>2270</v>
      </c>
      <c r="H663" s="65" t="s">
        <v>7</v>
      </c>
      <c r="I663" s="65" t="s">
        <v>2256</v>
      </c>
      <c r="J663" s="65" t="s">
        <v>5</v>
      </c>
      <c r="K663" s="65" t="s">
        <v>2255</v>
      </c>
      <c r="L663" s="64" t="s">
        <v>67</v>
      </c>
      <c r="M663" s="58" t="s">
        <v>3</v>
      </c>
      <c r="N663" s="58" t="s">
        <v>2</v>
      </c>
      <c r="O663" s="58">
        <v>125</v>
      </c>
      <c r="P663" s="58">
        <v>0</v>
      </c>
      <c r="Q663" s="58">
        <v>0</v>
      </c>
      <c r="R663" s="58">
        <v>0</v>
      </c>
      <c r="S663" s="58">
        <v>125</v>
      </c>
      <c r="T663" s="58">
        <v>0</v>
      </c>
      <c r="U663" s="58">
        <v>54</v>
      </c>
      <c r="V663" s="62"/>
      <c r="W663" s="62"/>
      <c r="X663" s="63">
        <f>IFERROR(1 -(Master[[#This Row],[Avg Garment Scans per Delivery]]/Master[[#This Row],[Garment Inventory]]), 0)</f>
        <v>0</v>
      </c>
      <c r="Y663" s="62"/>
      <c r="Z663" s="62"/>
      <c r="AA663" s="53">
        <v>50.636213017751487</v>
      </c>
      <c r="AB663" s="53">
        <v>73.945325443786984</v>
      </c>
      <c r="AC663" s="53">
        <v>53.979881656804736</v>
      </c>
      <c r="AD663" s="53">
        <v>76.46319526627218</v>
      </c>
      <c r="AE663" s="53" t="str">
        <f>_xlfn.XLOOKUP(Master[[#This Row],[cu_id]],'[1]Customer Revenue'!$Q:$Q,'[1]Customer Revenue'!$K:$K, "None")</f>
        <v>None</v>
      </c>
      <c r="AF663" s="53" t="str">
        <f>_xlfn.XLOOKUP(Master[[#This Row],[cu_id]],'[1]Customer Revenue'!$Q:$Q,'[1]Customer Revenue'!$L:$L, "None")</f>
        <v>None</v>
      </c>
      <c r="AG663" s="53">
        <v>49.472181069958836</v>
      </c>
      <c r="AH663" s="53">
        <v>72.185596707818931</v>
      </c>
      <c r="AI663" s="53">
        <v>62.290769230769236</v>
      </c>
      <c r="AJ663" s="53">
        <v>65.221538461538458</v>
      </c>
      <c r="AK663" s="53" t="str">
        <f>_xlfn.XLOOKUP(Master[[#This Row],[cu_id]],'[1]Customer Revenue'!$Q:$Q,'[1]Customer Revenue'!$I:$I, "None")</f>
        <v>None</v>
      </c>
      <c r="AL663" s="53">
        <v>60.828888888888883</v>
      </c>
      <c r="AM663" s="61">
        <v>0.33333333333333331</v>
      </c>
      <c r="AN663" s="60">
        <v>0.58333333333333337</v>
      </c>
      <c r="AO663" s="60" t="s">
        <v>36</v>
      </c>
      <c r="AP663" s="60" t="s">
        <v>36</v>
      </c>
      <c r="AQ663" s="58" t="s">
        <v>0</v>
      </c>
      <c r="AR663" s="58"/>
      <c r="AS663" s="58"/>
      <c r="AT663" s="52">
        <v>0</v>
      </c>
      <c r="AU663" s="52">
        <f>IF(Master[[#This Row],[RSP StopTime override]] &lt;&gt; "",Master[[#This Row],[RSP StopTime override]],IF(Master[[#This Row],[Avg stop time helper]] &lt;&gt; 0, Master[[#This Row],[Avg stop time helper]],Average_Stop_Time))</f>
        <v>10</v>
      </c>
      <c r="AV663" s="21">
        <v>10</v>
      </c>
      <c r="AW663" s="20">
        <f>Master[[#This Row],[RSP StopTime override]]-Master[[#This Row],[Avg stop time helper]]</f>
        <v>10</v>
      </c>
    </row>
    <row r="664" spans="1:49" x14ac:dyDescent="0.3">
      <c r="A664" s="66" t="s">
        <v>4715</v>
      </c>
      <c r="B664" s="58">
        <v>50</v>
      </c>
      <c r="C664" s="58" t="s">
        <v>15</v>
      </c>
      <c r="D664" s="65">
        <v>533447</v>
      </c>
      <c r="E664" s="65" t="s">
        <v>42</v>
      </c>
      <c r="F664" s="65" t="s">
        <v>2190</v>
      </c>
      <c r="G664" s="65" t="s">
        <v>2189</v>
      </c>
      <c r="H664" s="65" t="s">
        <v>7</v>
      </c>
      <c r="I664" s="65" t="s">
        <v>2188</v>
      </c>
      <c r="J664" s="65" t="s">
        <v>5</v>
      </c>
      <c r="K664" s="65" t="s">
        <v>2187</v>
      </c>
      <c r="L664" s="64" t="s">
        <v>67</v>
      </c>
      <c r="M664" s="58" t="s">
        <v>3</v>
      </c>
      <c r="N664" s="58" t="s">
        <v>2</v>
      </c>
      <c r="O664" s="58">
        <v>110</v>
      </c>
      <c r="P664" s="58">
        <v>0</v>
      </c>
      <c r="Q664" s="58">
        <v>0</v>
      </c>
      <c r="R664" s="58">
        <v>0</v>
      </c>
      <c r="S664" s="58">
        <v>0</v>
      </c>
      <c r="T664" s="58">
        <v>110</v>
      </c>
      <c r="U664" s="58">
        <v>31</v>
      </c>
      <c r="V664" s="62">
        <v>33</v>
      </c>
      <c r="W664" s="62">
        <v>17</v>
      </c>
      <c r="X664" s="63">
        <f>IFERROR(1 -(Master[[#This Row],[Avg Garment Scans per Delivery]]/Master[[#This Row],[Garment Inventory]]), 0)</f>
        <v>0.48484848484848486</v>
      </c>
      <c r="Y664" s="62">
        <v>2</v>
      </c>
      <c r="Z664" s="62">
        <v>34</v>
      </c>
      <c r="AA664" s="53">
        <v>44.173091715976327</v>
      </c>
      <c r="AB664" s="53">
        <v>61.291908284023663</v>
      </c>
      <c r="AC664" s="53">
        <v>39.49620094191522</v>
      </c>
      <c r="AD664" s="53">
        <v>55.214568288853997</v>
      </c>
      <c r="AE664" s="53" t="str">
        <f>_xlfn.XLOOKUP(Master[[#This Row],[cu_id]],'[1]Customer Revenue'!$Q:$Q,'[1]Customer Revenue'!$K:$K, "None")</f>
        <v>None</v>
      </c>
      <c r="AF664" s="53" t="str">
        <f>_xlfn.XLOOKUP(Master[[#This Row],[cu_id]],'[1]Customer Revenue'!$Q:$Q,'[1]Customer Revenue'!$L:$L, "None")</f>
        <v>None</v>
      </c>
      <c r="AG664" s="53">
        <v>44.63995726495726</v>
      </c>
      <c r="AH664" s="53">
        <v>54.697735042735033</v>
      </c>
      <c r="AI664" s="53">
        <v>52.732499999999995</v>
      </c>
      <c r="AJ664" s="53">
        <v>47.355384615384608</v>
      </c>
      <c r="AK664" s="53" t="str">
        <f>_xlfn.XLOOKUP(Master[[#This Row],[cu_id]],'[1]Customer Revenue'!$Q:$Q,'[1]Customer Revenue'!$I:$I, "None")</f>
        <v>None</v>
      </c>
      <c r="AL664" s="53">
        <v>49.668846153846147</v>
      </c>
      <c r="AM664" s="61">
        <v>0.33333333333333331</v>
      </c>
      <c r="AN664" s="60">
        <v>0.66666666666666663</v>
      </c>
      <c r="AO664" s="60" t="s">
        <v>36</v>
      </c>
      <c r="AP664" s="60" t="s">
        <v>36</v>
      </c>
      <c r="AQ664" s="58" t="s">
        <v>0</v>
      </c>
      <c r="AR664" s="58"/>
      <c r="AS664" s="58"/>
      <c r="AT664" s="52">
        <v>0</v>
      </c>
      <c r="AU664" s="52">
        <f>IF(Master[[#This Row],[RSP StopTime override]] &lt;&gt; "",Master[[#This Row],[RSP StopTime override]],IF(Master[[#This Row],[Avg stop time helper]] &lt;&gt; 0, Master[[#This Row],[Avg stop time helper]],Average_Stop_Time))</f>
        <v>5</v>
      </c>
      <c r="AV664" s="21">
        <v>5</v>
      </c>
      <c r="AW664" s="20">
        <f>Master[[#This Row],[RSP StopTime override]]-Master[[#This Row],[Avg stop time helper]]</f>
        <v>5</v>
      </c>
    </row>
    <row r="665" spans="1:49" x14ac:dyDescent="0.3">
      <c r="A665" s="66" t="s">
        <v>4716</v>
      </c>
      <c r="B665" s="58">
        <v>50</v>
      </c>
      <c r="C665" s="58" t="s">
        <v>43</v>
      </c>
      <c r="D665" s="65">
        <v>531812</v>
      </c>
      <c r="E665" s="65" t="s">
        <v>42</v>
      </c>
      <c r="F665" s="65" t="s">
        <v>2266</v>
      </c>
      <c r="G665" s="65" t="s">
        <v>2265</v>
      </c>
      <c r="H665" s="65" t="s">
        <v>7</v>
      </c>
      <c r="I665" s="65" t="s">
        <v>2264</v>
      </c>
      <c r="J665" s="65" t="s">
        <v>5</v>
      </c>
      <c r="K665" s="65" t="s">
        <v>2263</v>
      </c>
      <c r="L665" s="64" t="s">
        <v>77</v>
      </c>
      <c r="M665" s="58" t="s">
        <v>29</v>
      </c>
      <c r="N665" s="58" t="s">
        <v>2</v>
      </c>
      <c r="O665" s="58">
        <v>30</v>
      </c>
      <c r="P665" s="58">
        <v>0</v>
      </c>
      <c r="Q665" s="58">
        <v>0</v>
      </c>
      <c r="R665" s="58">
        <v>0</v>
      </c>
      <c r="S665" s="58">
        <v>30</v>
      </c>
      <c r="T665" s="58">
        <v>0</v>
      </c>
      <c r="U665" s="58">
        <v>25</v>
      </c>
      <c r="V665" s="62"/>
      <c r="W665" s="62"/>
      <c r="X665" s="63">
        <f>IFERROR(1 -(Master[[#This Row],[Avg Garment Scans per Delivery]]/Master[[#This Row],[Garment Inventory]]), 0)</f>
        <v>0</v>
      </c>
      <c r="Y665" s="62"/>
      <c r="Z665" s="62"/>
      <c r="AA665" s="53">
        <v>24.401122448979599</v>
      </c>
      <c r="AB665" s="53">
        <v>40.22887755102041</v>
      </c>
      <c r="AC665" s="53">
        <v>24.988888888888891</v>
      </c>
      <c r="AD665" s="53">
        <v>44.211111111111109</v>
      </c>
      <c r="AE665" s="53" t="str">
        <f>_xlfn.XLOOKUP(Master[[#This Row],[cu_id]],'[1]Customer Revenue'!$Q:$Q,'[1]Customer Revenue'!$K:$K, "None")</f>
        <v>None</v>
      </c>
      <c r="AF665" s="53" t="str">
        <f>_xlfn.XLOOKUP(Master[[#This Row],[cu_id]],'[1]Customer Revenue'!$Q:$Q,'[1]Customer Revenue'!$L:$L, "None")</f>
        <v>None</v>
      </c>
      <c r="AG665" s="53">
        <v>23.77501700680272</v>
      </c>
      <c r="AH665" s="53">
        <v>39.196649659863944</v>
      </c>
      <c r="AI665" s="53">
        <v>32.315000000000005</v>
      </c>
      <c r="AJ665" s="53">
        <v>34.6</v>
      </c>
      <c r="AK665" s="53" t="str">
        <f>_xlfn.XLOOKUP(Master[[#This Row],[cu_id]],'[1]Customer Revenue'!$Q:$Q,'[1]Customer Revenue'!$I:$I, "None")</f>
        <v>None</v>
      </c>
      <c r="AL665" s="53">
        <v>31.485833333333332</v>
      </c>
      <c r="AM665" s="61">
        <v>0.45833333333333331</v>
      </c>
      <c r="AN665" s="60">
        <v>0.75</v>
      </c>
      <c r="AO665" s="60" t="s">
        <v>36</v>
      </c>
      <c r="AP665" s="60" t="s">
        <v>36</v>
      </c>
      <c r="AQ665" s="58" t="s">
        <v>0</v>
      </c>
      <c r="AR665" s="58"/>
      <c r="AS665" s="58"/>
      <c r="AT665" s="52">
        <v>0</v>
      </c>
      <c r="AU665" s="52">
        <f>IF(Master[[#This Row],[RSP StopTime override]] &lt;&gt; "",Master[[#This Row],[RSP StopTime override]],IF(Master[[#This Row],[Avg stop time helper]] &lt;&gt; 0, Master[[#This Row],[Avg stop time helper]],Average_Stop_Time))</f>
        <v>5</v>
      </c>
      <c r="AV665" s="21">
        <v>5</v>
      </c>
      <c r="AW665" s="20">
        <f>Master[[#This Row],[RSP StopTime override]]-Master[[#This Row],[Avg stop time helper]]</f>
        <v>5</v>
      </c>
    </row>
    <row r="666" spans="1:49" x14ac:dyDescent="0.3">
      <c r="A666" s="66" t="s">
        <v>4717</v>
      </c>
      <c r="B666" s="58">
        <v>50</v>
      </c>
      <c r="C666" s="58" t="s">
        <v>43</v>
      </c>
      <c r="D666" s="65">
        <v>499014</v>
      </c>
      <c r="E666" s="65" t="s">
        <v>1167</v>
      </c>
      <c r="F666" s="65" t="s">
        <v>1149</v>
      </c>
      <c r="G666" s="65" t="s">
        <v>2294</v>
      </c>
      <c r="H666" s="65" t="s">
        <v>32</v>
      </c>
      <c r="I666" s="65" t="s">
        <v>2281</v>
      </c>
      <c r="J666" s="65" t="s">
        <v>5</v>
      </c>
      <c r="K666" s="65" t="s">
        <v>2255</v>
      </c>
      <c r="L666" s="64" t="s">
        <v>141</v>
      </c>
      <c r="M666" s="58" t="s">
        <v>140</v>
      </c>
      <c r="N666" s="58" t="s">
        <v>2</v>
      </c>
      <c r="O666" s="58">
        <v>70</v>
      </c>
      <c r="P666" s="58">
        <v>0</v>
      </c>
      <c r="Q666" s="58">
        <v>0</v>
      </c>
      <c r="R666" s="58">
        <v>0</v>
      </c>
      <c r="S666" s="58">
        <v>70</v>
      </c>
      <c r="T666" s="58">
        <v>0</v>
      </c>
      <c r="U666" s="58">
        <v>14</v>
      </c>
      <c r="V666" s="62"/>
      <c r="W666" s="62"/>
      <c r="X666" s="63">
        <f>IFERROR(1 -(Master[[#This Row],[Avg Garment Scans per Delivery]]/Master[[#This Row],[Garment Inventory]]), 0)</f>
        <v>0</v>
      </c>
      <c r="Y666" s="62"/>
      <c r="Z666" s="62"/>
      <c r="AA666" s="53">
        <v>30.881111111111103</v>
      </c>
      <c r="AB666" s="53">
        <v>122.67222222222222</v>
      </c>
      <c r="AC666" s="53">
        <v>42.268888888888888</v>
      </c>
      <c r="AD666" s="53">
        <v>46.397777777777783</v>
      </c>
      <c r="AE666" s="53" t="str">
        <f>_xlfn.XLOOKUP(Master[[#This Row],[cu_id]],'[1]Customer Revenue'!$Q:$Q,'[1]Customer Revenue'!$K:$K, "None")</f>
        <v>None</v>
      </c>
      <c r="AF666" s="53" t="str">
        <f>_xlfn.XLOOKUP(Master[[#This Row],[cu_id]],'[1]Customer Revenue'!$Q:$Q,'[1]Customer Revenue'!$L:$L, "None")</f>
        <v>None</v>
      </c>
      <c r="AG666" s="53">
        <v>29.602499999999999</v>
      </c>
      <c r="AH666" s="53">
        <v>104.52750000000003</v>
      </c>
      <c r="AI666" s="53">
        <v>76.776666666666657</v>
      </c>
      <c r="AJ666" s="53">
        <v>44.333333333333336</v>
      </c>
      <c r="AK666" s="53" t="str">
        <f>_xlfn.XLOOKUP(Master[[#This Row],[cu_id]],'[1]Customer Revenue'!$Q:$Q,'[1]Customer Revenue'!$I:$I, "None")</f>
        <v>None</v>
      </c>
      <c r="AL666" s="53">
        <v>67.065000000000012</v>
      </c>
      <c r="AM666" s="61">
        <v>0.33333333333333331</v>
      </c>
      <c r="AN666" s="60">
        <v>0.66666666666666663</v>
      </c>
      <c r="AO666" s="60" t="s">
        <v>36</v>
      </c>
      <c r="AP666" s="60" t="s">
        <v>36</v>
      </c>
      <c r="AQ666" s="58" t="s">
        <v>0</v>
      </c>
      <c r="AR666" s="58"/>
      <c r="AS666" s="58"/>
      <c r="AT666" s="52">
        <v>0</v>
      </c>
      <c r="AU666" s="52">
        <f>IF(Master[[#This Row],[RSP StopTime override]] &lt;&gt; "",Master[[#This Row],[RSP StopTime override]],IF(Master[[#This Row],[Avg stop time helper]] &lt;&gt; 0, Master[[#This Row],[Avg stop time helper]],Average_Stop_Time))</f>
        <v>5</v>
      </c>
      <c r="AV666" s="21">
        <v>5</v>
      </c>
      <c r="AW666" s="20">
        <f>Master[[#This Row],[RSP StopTime override]]-Master[[#This Row],[Avg stop time helper]]</f>
        <v>5</v>
      </c>
    </row>
    <row r="667" spans="1:49" x14ac:dyDescent="0.3">
      <c r="A667" s="66" t="s">
        <v>4718</v>
      </c>
      <c r="B667" s="58">
        <v>50</v>
      </c>
      <c r="C667" s="58" t="s">
        <v>43</v>
      </c>
      <c r="D667" s="65">
        <v>521739</v>
      </c>
      <c r="E667" s="65" t="s">
        <v>42</v>
      </c>
      <c r="F667" s="65" t="s">
        <v>2280</v>
      </c>
      <c r="G667" s="65" t="s">
        <v>2279</v>
      </c>
      <c r="H667" s="65" t="s">
        <v>32</v>
      </c>
      <c r="I667" s="65" t="s">
        <v>50</v>
      </c>
      <c r="J667" s="65" t="s">
        <v>5</v>
      </c>
      <c r="K667" s="65" t="s">
        <v>61</v>
      </c>
      <c r="L667" s="64" t="s">
        <v>91</v>
      </c>
      <c r="M667" s="58" t="s">
        <v>90</v>
      </c>
      <c r="N667" s="58" t="s">
        <v>2</v>
      </c>
      <c r="O667" s="58">
        <v>145</v>
      </c>
      <c r="P667" s="58">
        <v>0</v>
      </c>
      <c r="Q667" s="58">
        <v>0</v>
      </c>
      <c r="R667" s="58">
        <v>0</v>
      </c>
      <c r="S667" s="58">
        <v>145</v>
      </c>
      <c r="T667" s="58">
        <v>0</v>
      </c>
      <c r="U667" s="58">
        <v>25</v>
      </c>
      <c r="V667" s="62"/>
      <c r="W667" s="62"/>
      <c r="X667" s="63">
        <f>IFERROR(1 -(Master[[#This Row],[Avg Garment Scans per Delivery]]/Master[[#This Row],[Garment Inventory]]), 0)</f>
        <v>0</v>
      </c>
      <c r="Y667" s="62"/>
      <c r="Z667" s="62"/>
      <c r="AA667" s="53">
        <v>53.270204081632656</v>
      </c>
      <c r="AB667" s="53">
        <v>58.586938775510205</v>
      </c>
      <c r="AC667" s="53">
        <v>52.01444444444445</v>
      </c>
      <c r="AD667" s="53">
        <v>94.752222222222201</v>
      </c>
      <c r="AE667" s="53" t="str">
        <f>_xlfn.XLOOKUP(Master[[#This Row],[cu_id]],'[1]Customer Revenue'!$Q:$Q,'[1]Customer Revenue'!$K:$K, "None")</f>
        <v>None</v>
      </c>
      <c r="AF667" s="53" t="str">
        <f>_xlfn.XLOOKUP(Master[[#This Row],[cu_id]],'[1]Customer Revenue'!$Q:$Q,'[1]Customer Revenue'!$L:$L, "None")</f>
        <v>None</v>
      </c>
      <c r="AG667" s="53">
        <v>50.639644970414203</v>
      </c>
      <c r="AH667" s="53">
        <v>56.529585798816576</v>
      </c>
      <c r="AI667" s="53">
        <v>55.928571428571431</v>
      </c>
      <c r="AJ667" s="53">
        <v>73.383333333333326</v>
      </c>
      <c r="AK667" s="53" t="str">
        <f>_xlfn.XLOOKUP(Master[[#This Row],[cu_id]],'[1]Customer Revenue'!$Q:$Q,'[1]Customer Revenue'!$I:$I, "None")</f>
        <v>None</v>
      </c>
      <c r="AL667" s="53">
        <v>53.58461538461539</v>
      </c>
      <c r="AM667" s="61">
        <v>0.375</v>
      </c>
      <c r="AN667" s="60">
        <v>0.75</v>
      </c>
      <c r="AO667" s="60" t="s">
        <v>36</v>
      </c>
      <c r="AP667" s="60" t="s">
        <v>36</v>
      </c>
      <c r="AQ667" s="58" t="s">
        <v>0</v>
      </c>
      <c r="AR667" s="58"/>
      <c r="AS667" s="58"/>
      <c r="AT667" s="52">
        <v>0</v>
      </c>
      <c r="AU667" s="52">
        <f>IF(Master[[#This Row],[RSP StopTime override]] &lt;&gt; "",Master[[#This Row],[RSP StopTime override]],IF(Master[[#This Row],[Avg stop time helper]] &lt;&gt; 0, Master[[#This Row],[Avg stop time helper]],Average_Stop_Time))</f>
        <v>10</v>
      </c>
      <c r="AV667" s="21">
        <v>10</v>
      </c>
      <c r="AW667" s="20">
        <f>Master[[#This Row],[RSP StopTime override]]-Master[[#This Row],[Avg stop time helper]]</f>
        <v>10</v>
      </c>
    </row>
    <row r="668" spans="1:49" x14ac:dyDescent="0.3">
      <c r="A668" s="66" t="s">
        <v>4719</v>
      </c>
      <c r="B668" s="58">
        <v>50</v>
      </c>
      <c r="C668" s="58" t="s">
        <v>43</v>
      </c>
      <c r="D668" s="65">
        <v>99061</v>
      </c>
      <c r="E668" s="65" t="s">
        <v>2312</v>
      </c>
      <c r="F668" s="65" t="s">
        <v>2311</v>
      </c>
      <c r="G668" s="65" t="s">
        <v>2301</v>
      </c>
      <c r="H668" s="65" t="s">
        <v>32</v>
      </c>
      <c r="I668" s="65" t="s">
        <v>2256</v>
      </c>
      <c r="J668" s="65" t="s">
        <v>5</v>
      </c>
      <c r="K668" s="65" t="s">
        <v>2255</v>
      </c>
      <c r="L668" s="64" t="s">
        <v>67</v>
      </c>
      <c r="M668" s="58" t="s">
        <v>3</v>
      </c>
      <c r="N668" s="58" t="s">
        <v>2</v>
      </c>
      <c r="O668" s="58">
        <v>100</v>
      </c>
      <c r="P668" s="58">
        <v>0</v>
      </c>
      <c r="Q668" s="58">
        <v>0</v>
      </c>
      <c r="R668" s="58">
        <v>0</v>
      </c>
      <c r="S668" s="58">
        <v>100</v>
      </c>
      <c r="T668" s="58">
        <v>0</v>
      </c>
      <c r="U668" s="58">
        <v>53</v>
      </c>
      <c r="V668" s="62"/>
      <c r="W668" s="62"/>
      <c r="X668" s="63">
        <f>IFERROR(1 -(Master[[#This Row],[Avg Garment Scans per Delivery]]/Master[[#This Row],[Garment Inventory]]), 0)</f>
        <v>0</v>
      </c>
      <c r="Y668" s="62"/>
      <c r="Z668" s="62"/>
      <c r="AA668" s="53">
        <v>15.539999999999988</v>
      </c>
      <c r="AB668" s="53">
        <v>15.54</v>
      </c>
      <c r="AC668" s="53">
        <v>14.879467455621301</v>
      </c>
      <c r="AD668" s="53">
        <v>27.042071005917151</v>
      </c>
      <c r="AE668" s="53" t="str">
        <f>_xlfn.XLOOKUP(Master[[#This Row],[cu_id]],'[1]Customer Revenue'!$Q:$Q,'[1]Customer Revenue'!$K:$K, "None")</f>
        <v>None</v>
      </c>
      <c r="AF668" s="53" t="str">
        <f>_xlfn.XLOOKUP(Master[[#This Row],[cu_id]],'[1]Customer Revenue'!$Q:$Q,'[1]Customer Revenue'!$L:$L, "None")</f>
        <v>None</v>
      </c>
      <c r="AG668" s="53">
        <v>14.746584362139918</v>
      </c>
      <c r="AH668" s="53">
        <v>17.311193415637874</v>
      </c>
      <c r="AI668" s="53">
        <v>15.539999999999994</v>
      </c>
      <c r="AJ668" s="53">
        <v>20.960769230769227</v>
      </c>
      <c r="AK668" s="53" t="str">
        <f>_xlfn.XLOOKUP(Master[[#This Row],[cu_id]],'[1]Customer Revenue'!$Q:$Q,'[1]Customer Revenue'!$I:$I, "None")</f>
        <v>None</v>
      </c>
      <c r="AL668" s="53">
        <v>16.028888888888897</v>
      </c>
      <c r="AM668" s="61">
        <v>0.25</v>
      </c>
      <c r="AN668" s="60">
        <v>0.5</v>
      </c>
      <c r="AO668" s="60" t="s">
        <v>36</v>
      </c>
      <c r="AP668" s="60" t="s">
        <v>36</v>
      </c>
      <c r="AQ668" s="58" t="s">
        <v>0</v>
      </c>
      <c r="AR668" s="58"/>
      <c r="AS668" s="58"/>
      <c r="AT668" s="52">
        <v>0</v>
      </c>
      <c r="AU668" s="52">
        <f>IF(Master[[#This Row],[RSP StopTime override]] &lt;&gt; "",Master[[#This Row],[RSP StopTime override]],IF(Master[[#This Row],[Avg stop time helper]] &lt;&gt; 0, Master[[#This Row],[Avg stop time helper]],Average_Stop_Time))</f>
        <v>5</v>
      </c>
      <c r="AV668" s="21">
        <v>5</v>
      </c>
      <c r="AW668" s="20">
        <f>Master[[#This Row],[RSP StopTime override]]-Master[[#This Row],[Avg stop time helper]]</f>
        <v>5</v>
      </c>
    </row>
    <row r="669" spans="1:49" x14ac:dyDescent="0.3">
      <c r="A669" s="66" t="s">
        <v>4720</v>
      </c>
      <c r="B669" s="58">
        <v>50</v>
      </c>
      <c r="C669" s="58" t="s">
        <v>43</v>
      </c>
      <c r="D669" s="65">
        <v>99061</v>
      </c>
      <c r="E669" s="65" t="s">
        <v>2314</v>
      </c>
      <c r="F669" s="65" t="s">
        <v>2313</v>
      </c>
      <c r="G669" s="65" t="s">
        <v>2301</v>
      </c>
      <c r="H669" s="65" t="s">
        <v>32</v>
      </c>
      <c r="I669" s="65" t="s">
        <v>2256</v>
      </c>
      <c r="J669" s="65" t="s">
        <v>5</v>
      </c>
      <c r="K669" s="65" t="s">
        <v>2255</v>
      </c>
      <c r="L669" s="64" t="s">
        <v>67</v>
      </c>
      <c r="M669" s="58" t="s">
        <v>3</v>
      </c>
      <c r="N669" s="58" t="s">
        <v>2</v>
      </c>
      <c r="O669" s="58">
        <v>95</v>
      </c>
      <c r="P669" s="58">
        <v>0</v>
      </c>
      <c r="Q669" s="58">
        <v>0</v>
      </c>
      <c r="R669" s="58">
        <v>0</v>
      </c>
      <c r="S669" s="58">
        <v>95</v>
      </c>
      <c r="T669" s="58">
        <v>0</v>
      </c>
      <c r="U669" s="58">
        <v>53</v>
      </c>
      <c r="V669" s="62"/>
      <c r="W669" s="62"/>
      <c r="X669" s="63">
        <f>IFERROR(1 -(Master[[#This Row],[Avg Garment Scans per Delivery]]/Master[[#This Row],[Garment Inventory]]), 0)</f>
        <v>0</v>
      </c>
      <c r="Y669" s="62"/>
      <c r="Z669" s="62"/>
      <c r="AA669" s="53">
        <v>39.029999999999973</v>
      </c>
      <c r="AB669" s="53">
        <v>39.03</v>
      </c>
      <c r="AC669" s="53">
        <v>40.258579881656807</v>
      </c>
      <c r="AD669" s="53">
        <v>48.738343195266275</v>
      </c>
      <c r="AE669" s="53" t="str">
        <f>_xlfn.XLOOKUP(Master[[#This Row],[cu_id]],'[1]Customer Revenue'!$Q:$Q,'[1]Customer Revenue'!$K:$K, "None")</f>
        <v>None</v>
      </c>
      <c r="AF669" s="53" t="str">
        <f>_xlfn.XLOOKUP(Master[[#This Row],[cu_id]],'[1]Customer Revenue'!$Q:$Q,'[1]Customer Revenue'!$L:$L, "None")</f>
        <v>None</v>
      </c>
      <c r="AG669" s="53">
        <v>38.030864197530846</v>
      </c>
      <c r="AH669" s="53">
        <v>39.235802469135791</v>
      </c>
      <c r="AI669" s="53">
        <v>39.029999999999987</v>
      </c>
      <c r="AJ669" s="53">
        <v>44.498461538461541</v>
      </c>
      <c r="AK669" s="53" t="str">
        <f>_xlfn.XLOOKUP(Master[[#This Row],[cu_id]],'[1]Customer Revenue'!$Q:$Q,'[1]Customer Revenue'!$I:$I, "None")</f>
        <v>None</v>
      </c>
      <c r="AL669" s="53">
        <v>38.633333333333319</v>
      </c>
      <c r="AM669" s="61">
        <v>0.25</v>
      </c>
      <c r="AN669" s="60">
        <v>0.5</v>
      </c>
      <c r="AO669" s="60" t="s">
        <v>36</v>
      </c>
      <c r="AP669" s="60" t="s">
        <v>36</v>
      </c>
      <c r="AQ669" s="58" t="s">
        <v>0</v>
      </c>
      <c r="AR669" s="58"/>
      <c r="AS669" s="58"/>
      <c r="AT669" s="52">
        <v>0</v>
      </c>
      <c r="AU669" s="52">
        <f>IF(Master[[#This Row],[RSP StopTime override]] &lt;&gt; "",Master[[#This Row],[RSP StopTime override]],IF(Master[[#This Row],[Avg stop time helper]] &lt;&gt; 0, Master[[#This Row],[Avg stop time helper]],Average_Stop_Time))</f>
        <v>5</v>
      </c>
      <c r="AV669" s="21">
        <v>5</v>
      </c>
      <c r="AW669" s="20">
        <f>Master[[#This Row],[RSP StopTime override]]-Master[[#This Row],[Avg stop time helper]]</f>
        <v>5</v>
      </c>
    </row>
    <row r="670" spans="1:49" x14ac:dyDescent="0.3">
      <c r="A670" s="66" t="s">
        <v>4721</v>
      </c>
      <c r="B670" s="58">
        <v>50</v>
      </c>
      <c r="C670" s="58" t="s">
        <v>43</v>
      </c>
      <c r="D670" s="65">
        <v>99161</v>
      </c>
      <c r="E670" s="65" t="s">
        <v>2303</v>
      </c>
      <c r="F670" s="65" t="s">
        <v>2302</v>
      </c>
      <c r="G670" s="65" t="s">
        <v>2301</v>
      </c>
      <c r="H670" s="65" t="s">
        <v>7</v>
      </c>
      <c r="I670" s="65" t="s">
        <v>2256</v>
      </c>
      <c r="J670" s="65" t="s">
        <v>5</v>
      </c>
      <c r="K670" s="65" t="s">
        <v>2255</v>
      </c>
      <c r="L670" s="64" t="s">
        <v>67</v>
      </c>
      <c r="M670" s="58" t="s">
        <v>3</v>
      </c>
      <c r="N670" s="58" t="s">
        <v>2</v>
      </c>
      <c r="O670" s="58">
        <v>111</v>
      </c>
      <c r="P670" s="58">
        <v>0</v>
      </c>
      <c r="Q670" s="58">
        <v>0</v>
      </c>
      <c r="R670" s="58">
        <v>0</v>
      </c>
      <c r="S670" s="58">
        <v>111</v>
      </c>
      <c r="T670" s="58">
        <v>0</v>
      </c>
      <c r="U670" s="58">
        <v>2</v>
      </c>
      <c r="V670" s="62"/>
      <c r="W670" s="62"/>
      <c r="X670" s="63">
        <f>IFERROR(1 -(Master[[#This Row],[Avg Garment Scans per Delivery]]/Master[[#This Row],[Garment Inventory]]), 0)</f>
        <v>0</v>
      </c>
      <c r="Y670" s="62"/>
      <c r="Z670" s="62"/>
      <c r="AA670" s="53">
        <v>98.55</v>
      </c>
      <c r="AB670" s="53">
        <v>98.55</v>
      </c>
      <c r="AC670" s="53">
        <v>214.87</v>
      </c>
      <c r="AD670" s="53">
        <v>214.87</v>
      </c>
      <c r="AE670" s="53" t="str">
        <f>_xlfn.XLOOKUP(Master[[#This Row],[cu_id]],'[1]Customer Revenue'!$Q:$Q,'[1]Customer Revenue'!$K:$K, "None")</f>
        <v>None</v>
      </c>
      <c r="AF670" s="53" t="str">
        <f>_xlfn.XLOOKUP(Master[[#This Row],[cu_id]],'[1]Customer Revenue'!$Q:$Q,'[1]Customer Revenue'!$L:$L, "None")</f>
        <v>None</v>
      </c>
      <c r="AG670" s="53">
        <v>98.55</v>
      </c>
      <c r="AH670" s="53">
        <v>98.55</v>
      </c>
      <c r="AI670" s="53">
        <v>98.55</v>
      </c>
      <c r="AJ670" s="53">
        <v>214.87</v>
      </c>
      <c r="AK670" s="53" t="str">
        <f>_xlfn.XLOOKUP(Master[[#This Row],[cu_id]],'[1]Customer Revenue'!$Q:$Q,'[1]Customer Revenue'!$I:$I, "None")</f>
        <v>None</v>
      </c>
      <c r="AL670" s="53">
        <v>98.55</v>
      </c>
      <c r="AM670" s="61">
        <v>0.25</v>
      </c>
      <c r="AN670" s="60">
        <v>0.5</v>
      </c>
      <c r="AO670" s="60" t="s">
        <v>36</v>
      </c>
      <c r="AP670" s="60" t="s">
        <v>36</v>
      </c>
      <c r="AQ670" s="58" t="s">
        <v>0</v>
      </c>
      <c r="AR670" s="58"/>
      <c r="AS670" s="58"/>
      <c r="AT670" s="52">
        <v>0</v>
      </c>
      <c r="AU670" s="52" t="e">
        <f>IF(Master[[#This Row],[RSP StopTime override]] &lt;&gt; "",Master[[#This Row],[RSP StopTime override]],IF(Master[[#This Row],[Avg stop time helper]] &lt;&gt; 0, Master[[#This Row],[Avg stop time helper]],Average_Stop_Time))</f>
        <v>#DIV/0!</v>
      </c>
      <c r="AV670" s="21"/>
      <c r="AW670" s="20">
        <f>Master[[#This Row],[RSP StopTime override]]-Master[[#This Row],[Avg stop time helper]]</f>
        <v>0</v>
      </c>
    </row>
    <row r="671" spans="1:49" x14ac:dyDescent="0.3">
      <c r="A671" s="66" t="s">
        <v>4722</v>
      </c>
      <c r="B671" s="58">
        <v>50</v>
      </c>
      <c r="C671" s="58" t="s">
        <v>43</v>
      </c>
      <c r="D671" s="65">
        <v>99061</v>
      </c>
      <c r="E671" s="65" t="s">
        <v>2303</v>
      </c>
      <c r="F671" s="65" t="s">
        <v>2319</v>
      </c>
      <c r="G671" s="65" t="s">
        <v>2301</v>
      </c>
      <c r="H671" s="65" t="s">
        <v>32</v>
      </c>
      <c r="I671" s="65" t="s">
        <v>2256</v>
      </c>
      <c r="J671" s="65" t="s">
        <v>5</v>
      </c>
      <c r="K671" s="65" t="s">
        <v>2255</v>
      </c>
      <c r="L671" s="64" t="s">
        <v>67</v>
      </c>
      <c r="M671" s="58" t="s">
        <v>3</v>
      </c>
      <c r="N671" s="58" t="s">
        <v>2</v>
      </c>
      <c r="O671" s="58">
        <v>85</v>
      </c>
      <c r="P671" s="58">
        <v>0</v>
      </c>
      <c r="Q671" s="58">
        <v>0</v>
      </c>
      <c r="R671" s="58">
        <v>0</v>
      </c>
      <c r="S671" s="58">
        <v>85</v>
      </c>
      <c r="T671" s="58">
        <v>0</v>
      </c>
      <c r="U671" s="58">
        <v>54</v>
      </c>
      <c r="V671" s="62"/>
      <c r="W671" s="62"/>
      <c r="X671" s="63">
        <f>IFERROR(1 -(Master[[#This Row],[Avg Garment Scans per Delivery]]/Master[[#This Row],[Garment Inventory]]), 0)</f>
        <v>0</v>
      </c>
      <c r="Y671" s="62"/>
      <c r="Z671" s="62"/>
      <c r="AA671" s="53">
        <v>13.622248520710059</v>
      </c>
      <c r="AB671" s="53">
        <v>20.18082840236687</v>
      </c>
      <c r="AC671" s="53">
        <v>21.858165680473373</v>
      </c>
      <c r="AD671" s="53">
        <v>30.287988165680478</v>
      </c>
      <c r="AE671" s="53" t="str">
        <f>_xlfn.XLOOKUP(Master[[#This Row],[cu_id]],'[1]Customer Revenue'!$Q:$Q,'[1]Customer Revenue'!$K:$K, "None")</f>
        <v>None</v>
      </c>
      <c r="AF671" s="53" t="str">
        <f>_xlfn.XLOOKUP(Master[[#This Row],[cu_id]],'[1]Customer Revenue'!$Q:$Q,'[1]Customer Revenue'!$L:$L, "None")</f>
        <v>None</v>
      </c>
      <c r="AG671" s="53">
        <v>13.737736625514405</v>
      </c>
      <c r="AH671" s="53">
        <v>17.471893004115223</v>
      </c>
      <c r="AI671" s="53">
        <v>16.901538461538465</v>
      </c>
      <c r="AJ671" s="53">
        <v>26.073076923076925</v>
      </c>
      <c r="AK671" s="53" t="str">
        <f>_xlfn.XLOOKUP(Master[[#This Row],[cu_id]],'[1]Customer Revenue'!$Q:$Q,'[1]Customer Revenue'!$I:$I, "None")</f>
        <v>None</v>
      </c>
      <c r="AL671" s="53">
        <v>15.604814814814814</v>
      </c>
      <c r="AM671" s="61">
        <v>0.25</v>
      </c>
      <c r="AN671" s="60">
        <v>0.5</v>
      </c>
      <c r="AO671" s="60" t="s">
        <v>36</v>
      </c>
      <c r="AP671" s="60" t="s">
        <v>36</v>
      </c>
      <c r="AQ671" s="58" t="s">
        <v>0</v>
      </c>
      <c r="AR671" s="58"/>
      <c r="AS671" s="58"/>
      <c r="AT671" s="52">
        <v>0</v>
      </c>
      <c r="AU671" s="52">
        <f>IF(Master[[#This Row],[RSP StopTime override]] &lt;&gt; "",Master[[#This Row],[RSP StopTime override]],IF(Master[[#This Row],[Avg stop time helper]] &lt;&gt; 0, Master[[#This Row],[Avg stop time helper]],Average_Stop_Time))</f>
        <v>10</v>
      </c>
      <c r="AV671" s="21">
        <v>10</v>
      </c>
      <c r="AW671" s="20">
        <f>Master[[#This Row],[RSP StopTime override]]-Master[[#This Row],[Avg stop time helper]]</f>
        <v>10</v>
      </c>
    </row>
    <row r="672" spans="1:49" x14ac:dyDescent="0.3">
      <c r="A672" s="66" t="s">
        <v>4723</v>
      </c>
      <c r="B672" s="58">
        <v>50</v>
      </c>
      <c r="C672" s="58" t="s">
        <v>43</v>
      </c>
      <c r="D672" s="65">
        <v>99061</v>
      </c>
      <c r="E672" s="65" t="s">
        <v>2318</v>
      </c>
      <c r="F672" s="65" t="s">
        <v>2317</v>
      </c>
      <c r="G672" s="65" t="s">
        <v>2301</v>
      </c>
      <c r="H672" s="65" t="s">
        <v>32</v>
      </c>
      <c r="I672" s="65" t="s">
        <v>2256</v>
      </c>
      <c r="J672" s="65" t="s">
        <v>5</v>
      </c>
      <c r="K672" s="65" t="s">
        <v>2255</v>
      </c>
      <c r="L672" s="64" t="s">
        <v>67</v>
      </c>
      <c r="M672" s="58" t="s">
        <v>3</v>
      </c>
      <c r="N672" s="58" t="s">
        <v>2</v>
      </c>
      <c r="O672" s="58">
        <v>90</v>
      </c>
      <c r="P672" s="58">
        <v>0</v>
      </c>
      <c r="Q672" s="58">
        <v>0</v>
      </c>
      <c r="R672" s="58">
        <v>0</v>
      </c>
      <c r="S672" s="58">
        <v>90</v>
      </c>
      <c r="T672" s="58">
        <v>0</v>
      </c>
      <c r="U672" s="58">
        <v>53</v>
      </c>
      <c r="V672" s="62">
        <v>42</v>
      </c>
      <c r="W672" s="62">
        <v>4</v>
      </c>
      <c r="X672" s="63">
        <f>IFERROR(1 -(Master[[#This Row],[Avg Garment Scans per Delivery]]/Master[[#This Row],[Garment Inventory]]), 0)</f>
        <v>0.90476190476190477</v>
      </c>
      <c r="Y672" s="62">
        <v>2</v>
      </c>
      <c r="Z672" s="62">
        <v>75</v>
      </c>
      <c r="AA672" s="53">
        <v>26.861420118343197</v>
      </c>
      <c r="AB672" s="53">
        <v>54.366272189349111</v>
      </c>
      <c r="AC672" s="53">
        <v>43.192899408284006</v>
      </c>
      <c r="AD672" s="53">
        <v>71.945562130177507</v>
      </c>
      <c r="AE672" s="53" t="str">
        <f>_xlfn.XLOOKUP(Master[[#This Row],[cu_id]],'[1]Customer Revenue'!$Q:$Q,'[1]Customer Revenue'!$K:$K, "None")</f>
        <v>None</v>
      </c>
      <c r="AF672" s="53" t="str">
        <f>_xlfn.XLOOKUP(Master[[#This Row],[cu_id]],'[1]Customer Revenue'!$Q:$Q,'[1]Customer Revenue'!$L:$L, "None")</f>
        <v>None</v>
      </c>
      <c r="AG672" s="53">
        <v>29.64567901234571</v>
      </c>
      <c r="AH672" s="53">
        <v>56.93209876543213</v>
      </c>
      <c r="AI672" s="53">
        <v>40.613846153846154</v>
      </c>
      <c r="AJ672" s="53">
        <v>57.569230769230757</v>
      </c>
      <c r="AK672" s="53" t="str">
        <f>_xlfn.XLOOKUP(Master[[#This Row],[cu_id]],'[1]Customer Revenue'!$Q:$Q,'[1]Customer Revenue'!$I:$I, "None")</f>
        <v>None</v>
      </c>
      <c r="AL672" s="53">
        <v>43.28888888888892</v>
      </c>
      <c r="AM672" s="61">
        <v>0.25</v>
      </c>
      <c r="AN672" s="60">
        <v>0.5</v>
      </c>
      <c r="AO672" s="60" t="s">
        <v>36</v>
      </c>
      <c r="AP672" s="60" t="s">
        <v>36</v>
      </c>
      <c r="AQ672" s="58" t="s">
        <v>0</v>
      </c>
      <c r="AR672" s="58"/>
      <c r="AS672" s="58"/>
      <c r="AT672" s="52">
        <v>0</v>
      </c>
      <c r="AU672" s="52">
        <f>IF(Master[[#This Row],[RSP StopTime override]] &lt;&gt; "",Master[[#This Row],[RSP StopTime override]],IF(Master[[#This Row],[Avg stop time helper]] &lt;&gt; 0, Master[[#This Row],[Avg stop time helper]],Average_Stop_Time))</f>
        <v>10</v>
      </c>
      <c r="AV672" s="21">
        <v>10</v>
      </c>
      <c r="AW672" s="20">
        <f>Master[[#This Row],[RSP StopTime override]]-Master[[#This Row],[Avg stop time helper]]</f>
        <v>10</v>
      </c>
    </row>
    <row r="673" spans="1:49" x14ac:dyDescent="0.3">
      <c r="A673" s="66" t="s">
        <v>4724</v>
      </c>
      <c r="B673" s="58">
        <v>50</v>
      </c>
      <c r="C673" s="58" t="s">
        <v>43</v>
      </c>
      <c r="D673" s="65">
        <v>99061</v>
      </c>
      <c r="E673" s="65" t="s">
        <v>2316</v>
      </c>
      <c r="F673" s="65" t="s">
        <v>2315</v>
      </c>
      <c r="G673" s="65" t="s">
        <v>2301</v>
      </c>
      <c r="H673" s="65" t="s">
        <v>32</v>
      </c>
      <c r="I673" s="65" t="s">
        <v>2256</v>
      </c>
      <c r="J673" s="65" t="s">
        <v>5</v>
      </c>
      <c r="K673" s="65" t="s">
        <v>2255</v>
      </c>
      <c r="L673" s="64" t="s">
        <v>67</v>
      </c>
      <c r="M673" s="58" t="s">
        <v>3</v>
      </c>
      <c r="N673" s="58" t="s">
        <v>2</v>
      </c>
      <c r="O673" s="58">
        <v>105</v>
      </c>
      <c r="P673" s="58">
        <v>0</v>
      </c>
      <c r="Q673" s="58">
        <v>0</v>
      </c>
      <c r="R673" s="58">
        <v>0</v>
      </c>
      <c r="S673" s="58">
        <v>105</v>
      </c>
      <c r="T673" s="58">
        <v>0</v>
      </c>
      <c r="U673" s="58">
        <v>53</v>
      </c>
      <c r="V673" s="62"/>
      <c r="W673" s="62"/>
      <c r="X673" s="63">
        <f>IFERROR(1 -(Master[[#This Row],[Avg Garment Scans per Delivery]]/Master[[#This Row],[Garment Inventory]]), 0)</f>
        <v>0</v>
      </c>
      <c r="Y673" s="62"/>
      <c r="Z673" s="62"/>
      <c r="AA673" s="53">
        <v>33.165798816568042</v>
      </c>
      <c r="AB673" s="53">
        <v>35.741893491124259</v>
      </c>
      <c r="AC673" s="53">
        <v>12.373254437869821</v>
      </c>
      <c r="AD673" s="53">
        <v>53.371360946745568</v>
      </c>
      <c r="AE673" s="53" t="str">
        <f>_xlfn.XLOOKUP(Master[[#This Row],[cu_id]],'[1]Customer Revenue'!$Q:$Q,'[1]Customer Revenue'!$K:$K, "None")</f>
        <v>None</v>
      </c>
      <c r="AF673" s="53" t="str">
        <f>_xlfn.XLOOKUP(Master[[#This Row],[cu_id]],'[1]Customer Revenue'!$Q:$Q,'[1]Customer Revenue'!$L:$L, "None")</f>
        <v>None</v>
      </c>
      <c r="AG673" s="53">
        <v>27.412839506172833</v>
      </c>
      <c r="AH673" s="53">
        <v>36.791604938271604</v>
      </c>
      <c r="AI673" s="53">
        <v>34.45384615384615</v>
      </c>
      <c r="AJ673" s="53">
        <v>32.872307692307693</v>
      </c>
      <c r="AK673" s="53" t="str">
        <f>_xlfn.XLOOKUP(Master[[#This Row],[cu_id]],'[1]Customer Revenue'!$Q:$Q,'[1]Customer Revenue'!$I:$I, "None")</f>
        <v>None</v>
      </c>
      <c r="AL673" s="53">
        <v>32.102222222222217</v>
      </c>
      <c r="AM673" s="61">
        <v>0.25</v>
      </c>
      <c r="AN673" s="60">
        <v>0.5</v>
      </c>
      <c r="AO673" s="60" t="s">
        <v>36</v>
      </c>
      <c r="AP673" s="60" t="s">
        <v>36</v>
      </c>
      <c r="AQ673" s="58" t="s">
        <v>0</v>
      </c>
      <c r="AR673" s="58"/>
      <c r="AS673" s="58"/>
      <c r="AT673" s="52">
        <v>0</v>
      </c>
      <c r="AU673" s="52">
        <f>IF(Master[[#This Row],[RSP StopTime override]] &lt;&gt; "",Master[[#This Row],[RSP StopTime override]],IF(Master[[#This Row],[Avg stop time helper]] &lt;&gt; 0, Master[[#This Row],[Avg stop time helper]],Average_Stop_Time))</f>
        <v>10</v>
      </c>
      <c r="AV673" s="21">
        <v>10</v>
      </c>
      <c r="AW673" s="20">
        <f>Master[[#This Row],[RSP StopTime override]]-Master[[#This Row],[Avg stop time helper]]</f>
        <v>10</v>
      </c>
    </row>
    <row r="674" spans="1:49" x14ac:dyDescent="0.3">
      <c r="A674" s="66" t="s">
        <v>4725</v>
      </c>
      <c r="B674" s="58">
        <v>50</v>
      </c>
      <c r="C674" s="58" t="s">
        <v>43</v>
      </c>
      <c r="D674" s="65">
        <v>99061</v>
      </c>
      <c r="E674" s="65" t="s">
        <v>2309</v>
      </c>
      <c r="F674" s="65" t="s">
        <v>2308</v>
      </c>
      <c r="G674" s="65" t="s">
        <v>2301</v>
      </c>
      <c r="H674" s="65" t="s">
        <v>32</v>
      </c>
      <c r="I674" s="65" t="s">
        <v>2256</v>
      </c>
      <c r="J674" s="65" t="s">
        <v>5</v>
      </c>
      <c r="K674" s="65" t="s">
        <v>2255</v>
      </c>
      <c r="L674" s="64" t="s">
        <v>67</v>
      </c>
      <c r="M674" s="58" t="s">
        <v>3</v>
      </c>
      <c r="N674" s="58" t="s">
        <v>2</v>
      </c>
      <c r="O674" s="58">
        <v>110</v>
      </c>
      <c r="P674" s="58">
        <v>0</v>
      </c>
      <c r="Q674" s="58">
        <v>0</v>
      </c>
      <c r="R674" s="58">
        <v>0</v>
      </c>
      <c r="S674" s="58">
        <v>110</v>
      </c>
      <c r="T674" s="58">
        <v>0</v>
      </c>
      <c r="U674" s="58">
        <v>53</v>
      </c>
      <c r="V674" s="62"/>
      <c r="W674" s="62"/>
      <c r="X674" s="63">
        <f>IFERROR(1 -(Master[[#This Row],[Avg Garment Scans per Delivery]]/Master[[#This Row],[Garment Inventory]]), 0)</f>
        <v>0</v>
      </c>
      <c r="Y674" s="62"/>
      <c r="Z674" s="62"/>
      <c r="AA674" s="53">
        <v>11.159999999999997</v>
      </c>
      <c r="AB674" s="53">
        <v>11.16</v>
      </c>
      <c r="AC674" s="53">
        <v>10.743727810650888</v>
      </c>
      <c r="AD674" s="53">
        <v>13.122426035502958</v>
      </c>
      <c r="AE674" s="53" t="str">
        <f>_xlfn.XLOOKUP(Master[[#This Row],[cu_id]],'[1]Customer Revenue'!$Q:$Q,'[1]Customer Revenue'!$K:$K, "None")</f>
        <v>None</v>
      </c>
      <c r="AF674" s="53" t="str">
        <f>_xlfn.XLOOKUP(Master[[#This Row],[cu_id]],'[1]Customer Revenue'!$Q:$Q,'[1]Customer Revenue'!$L:$L, "None")</f>
        <v>None</v>
      </c>
      <c r="AG674" s="53">
        <v>10.886515775034294</v>
      </c>
      <c r="AH674" s="53">
        <v>11.380891632373114</v>
      </c>
      <c r="AI674" s="53">
        <v>11.159999999999998</v>
      </c>
      <c r="AJ674" s="53">
        <v>11.933076923076923</v>
      </c>
      <c r="AK674" s="53" t="str">
        <f>_xlfn.XLOOKUP(Master[[#This Row],[cu_id]],'[1]Customer Revenue'!$Q:$Q,'[1]Customer Revenue'!$I:$I, "None")</f>
        <v>None</v>
      </c>
      <c r="AL674" s="53">
        <v>11.133703703703704</v>
      </c>
      <c r="AM674" s="61">
        <v>0.25</v>
      </c>
      <c r="AN674" s="60">
        <v>0.5</v>
      </c>
      <c r="AO674" s="60" t="s">
        <v>36</v>
      </c>
      <c r="AP674" s="60" t="s">
        <v>36</v>
      </c>
      <c r="AQ674" s="58" t="s">
        <v>0</v>
      </c>
      <c r="AR674" s="58"/>
      <c r="AS674" s="58"/>
      <c r="AT674" s="52">
        <v>0</v>
      </c>
      <c r="AU674" s="52">
        <f>IF(Master[[#This Row],[RSP StopTime override]] &lt;&gt; "",Master[[#This Row],[RSP StopTime override]],IF(Master[[#This Row],[Avg stop time helper]] &lt;&gt; 0, Master[[#This Row],[Avg stop time helper]],Average_Stop_Time))</f>
        <v>5</v>
      </c>
      <c r="AV674" s="21">
        <v>5</v>
      </c>
      <c r="AW674" s="20">
        <f>Master[[#This Row],[RSP StopTime override]]-Master[[#This Row],[Avg stop time helper]]</f>
        <v>5</v>
      </c>
    </row>
    <row r="675" spans="1:49" x14ac:dyDescent="0.3">
      <c r="A675" s="66" t="s">
        <v>4726</v>
      </c>
      <c r="B675" s="58">
        <v>50</v>
      </c>
      <c r="C675" s="58" t="s">
        <v>43</v>
      </c>
      <c r="D675" s="65">
        <v>99161</v>
      </c>
      <c r="E675" s="65" t="s">
        <v>2300</v>
      </c>
      <c r="F675" s="65" t="s">
        <v>2299</v>
      </c>
      <c r="G675" s="65" t="s">
        <v>2298</v>
      </c>
      <c r="H675" s="65" t="s">
        <v>7</v>
      </c>
      <c r="I675" s="65" t="s">
        <v>2256</v>
      </c>
      <c r="J675" s="65" t="s">
        <v>5</v>
      </c>
      <c r="K675" s="65" t="s">
        <v>2255</v>
      </c>
      <c r="L675" s="64" t="s">
        <v>67</v>
      </c>
      <c r="M675" s="58" t="s">
        <v>3</v>
      </c>
      <c r="N675" s="58" t="s">
        <v>2</v>
      </c>
      <c r="O675" s="58">
        <v>75</v>
      </c>
      <c r="P675" s="58">
        <v>0</v>
      </c>
      <c r="Q675" s="58">
        <v>0</v>
      </c>
      <c r="R675" s="58">
        <v>0</v>
      </c>
      <c r="S675" s="58">
        <v>75</v>
      </c>
      <c r="T675" s="58">
        <v>0</v>
      </c>
      <c r="U675" s="58">
        <v>1</v>
      </c>
      <c r="V675" s="62"/>
      <c r="W675" s="62"/>
      <c r="X675" s="63">
        <f>IFERROR(1 -(Master[[#This Row],[Avg Garment Scans per Delivery]]/Master[[#This Row],[Garment Inventory]]), 0)</f>
        <v>0</v>
      </c>
      <c r="Y675" s="62"/>
      <c r="Z675" s="62"/>
      <c r="AA675" s="53">
        <v>107.97</v>
      </c>
      <c r="AB675" s="53">
        <v>107.97</v>
      </c>
      <c r="AC675" s="53">
        <v>180.6</v>
      </c>
      <c r="AD675" s="53">
        <v>180.6</v>
      </c>
      <c r="AE675" s="53" t="str">
        <f>_xlfn.XLOOKUP(Master[[#This Row],[cu_id]],'[1]Customer Revenue'!$Q:$Q,'[1]Customer Revenue'!$K:$K, "None")</f>
        <v>None</v>
      </c>
      <c r="AF675" s="53" t="str">
        <f>_xlfn.XLOOKUP(Master[[#This Row],[cu_id]],'[1]Customer Revenue'!$Q:$Q,'[1]Customer Revenue'!$L:$L, "None")</f>
        <v>None</v>
      </c>
      <c r="AG675" s="53">
        <v>107.97</v>
      </c>
      <c r="AH675" s="53">
        <v>107.97</v>
      </c>
      <c r="AI675" s="53">
        <v>107.97</v>
      </c>
      <c r="AJ675" s="53">
        <v>180.6</v>
      </c>
      <c r="AK675" s="53" t="str">
        <f>_xlfn.XLOOKUP(Master[[#This Row],[cu_id]],'[1]Customer Revenue'!$Q:$Q,'[1]Customer Revenue'!$I:$I, "None")</f>
        <v>None</v>
      </c>
      <c r="AL675" s="53">
        <v>107.97</v>
      </c>
      <c r="AM675" s="61">
        <v>0.25</v>
      </c>
      <c r="AN675" s="60">
        <v>0.5</v>
      </c>
      <c r="AO675" s="60" t="s">
        <v>36</v>
      </c>
      <c r="AP675" s="60" t="s">
        <v>36</v>
      </c>
      <c r="AQ675" s="58" t="s">
        <v>0</v>
      </c>
      <c r="AR675" s="58"/>
      <c r="AS675" s="58"/>
      <c r="AT675" s="52">
        <v>0</v>
      </c>
      <c r="AU675" s="52">
        <f>IF(Master[[#This Row],[RSP StopTime override]] &lt;&gt; "",Master[[#This Row],[RSP StopTime override]],IF(Master[[#This Row],[Avg stop time helper]] &lt;&gt; 0, Master[[#This Row],[Avg stop time helper]],Average_Stop_Time))</f>
        <v>5</v>
      </c>
      <c r="AV675" s="21">
        <v>5</v>
      </c>
      <c r="AW675" s="20">
        <f>Master[[#This Row],[RSP StopTime override]]-Master[[#This Row],[Avg stop time helper]]</f>
        <v>5</v>
      </c>
    </row>
    <row r="676" spans="1:49" x14ac:dyDescent="0.3">
      <c r="A676" s="66" t="s">
        <v>4727</v>
      </c>
      <c r="B676" s="58">
        <v>50</v>
      </c>
      <c r="C676" s="58" t="s">
        <v>43</v>
      </c>
      <c r="D676" s="65">
        <v>99061</v>
      </c>
      <c r="E676" s="65" t="s">
        <v>2300</v>
      </c>
      <c r="F676" s="65" t="s">
        <v>2310</v>
      </c>
      <c r="G676" s="65" t="s">
        <v>2298</v>
      </c>
      <c r="H676" s="65" t="s">
        <v>32</v>
      </c>
      <c r="I676" s="65" t="s">
        <v>2256</v>
      </c>
      <c r="J676" s="65" t="s">
        <v>5</v>
      </c>
      <c r="K676" s="65" t="s">
        <v>2255</v>
      </c>
      <c r="L676" s="64" t="s">
        <v>67</v>
      </c>
      <c r="M676" s="58" t="s">
        <v>3</v>
      </c>
      <c r="N676" s="58" t="s">
        <v>2</v>
      </c>
      <c r="O676" s="58">
        <v>80</v>
      </c>
      <c r="P676" s="58">
        <v>0</v>
      </c>
      <c r="Q676" s="58">
        <v>0</v>
      </c>
      <c r="R676" s="58">
        <v>0</v>
      </c>
      <c r="S676" s="58">
        <v>80</v>
      </c>
      <c r="T676" s="58">
        <v>0</v>
      </c>
      <c r="U676" s="58">
        <v>53</v>
      </c>
      <c r="V676" s="62"/>
      <c r="W676" s="62"/>
      <c r="X676" s="63">
        <f>IFERROR(1 -(Master[[#This Row],[Avg Garment Scans per Delivery]]/Master[[#This Row],[Garment Inventory]]), 0)</f>
        <v>0</v>
      </c>
      <c r="Y676" s="62"/>
      <c r="Z676" s="62"/>
      <c r="AA676" s="53">
        <v>23.347988165680476</v>
      </c>
      <c r="AB676" s="53">
        <v>24.188934911242612</v>
      </c>
      <c r="AC676" s="53">
        <v>26.022781065088758</v>
      </c>
      <c r="AD676" s="53">
        <v>26.403372781065102</v>
      </c>
      <c r="AE676" s="53" t="str">
        <f>_xlfn.XLOOKUP(Master[[#This Row],[cu_id]],'[1]Customer Revenue'!$Q:$Q,'[1]Customer Revenue'!$K:$K, "None")</f>
        <v>None</v>
      </c>
      <c r="AF676" s="53" t="str">
        <f>_xlfn.XLOOKUP(Master[[#This Row],[cu_id]],'[1]Customer Revenue'!$Q:$Q,'[1]Customer Revenue'!$L:$L, "None")</f>
        <v>None</v>
      </c>
      <c r="AG676" s="53">
        <v>21.541111111111107</v>
      </c>
      <c r="AH676" s="53">
        <v>25.687777777777768</v>
      </c>
      <c r="AI676" s="53">
        <v>23.768461538461544</v>
      </c>
      <c r="AJ676" s="53">
        <v>26.21307692307693</v>
      </c>
      <c r="AK676" s="53" t="str">
        <f>_xlfn.XLOOKUP(Master[[#This Row],[cu_id]],'[1]Customer Revenue'!$Q:$Q,'[1]Customer Revenue'!$I:$I, "None")</f>
        <v>None</v>
      </c>
      <c r="AL676" s="53">
        <v>23.614444444444437</v>
      </c>
      <c r="AM676" s="61">
        <v>0.25</v>
      </c>
      <c r="AN676" s="60">
        <v>0.5</v>
      </c>
      <c r="AO676" s="60" t="s">
        <v>36</v>
      </c>
      <c r="AP676" s="60" t="s">
        <v>36</v>
      </c>
      <c r="AQ676" s="58" t="s">
        <v>0</v>
      </c>
      <c r="AR676" s="58"/>
      <c r="AS676" s="58"/>
      <c r="AT676" s="52">
        <v>0</v>
      </c>
      <c r="AU676" s="52">
        <f>IF(Master[[#This Row],[RSP StopTime override]] &lt;&gt; "",Master[[#This Row],[RSP StopTime override]],IF(Master[[#This Row],[Avg stop time helper]] &lt;&gt; 0, Master[[#This Row],[Avg stop time helper]],Average_Stop_Time))</f>
        <v>5</v>
      </c>
      <c r="AV676" s="21">
        <v>5</v>
      </c>
      <c r="AW676" s="20">
        <f>Master[[#This Row],[RSP StopTime override]]-Master[[#This Row],[Avg stop time helper]]</f>
        <v>5</v>
      </c>
    </row>
    <row r="677" spans="1:49" x14ac:dyDescent="0.3">
      <c r="A677" s="66" t="s">
        <v>4728</v>
      </c>
      <c r="B677" s="58">
        <v>50</v>
      </c>
      <c r="C677" s="58" t="s">
        <v>15</v>
      </c>
      <c r="D677" s="65">
        <v>532565</v>
      </c>
      <c r="E677" s="65" t="s">
        <v>42</v>
      </c>
      <c r="F677" s="65" t="s">
        <v>2202</v>
      </c>
      <c r="G677" s="65" t="s">
        <v>2201</v>
      </c>
      <c r="H677" s="65" t="s">
        <v>7</v>
      </c>
      <c r="I677" s="65" t="s">
        <v>2200</v>
      </c>
      <c r="J677" s="65" t="s">
        <v>5</v>
      </c>
      <c r="K677" s="65" t="s">
        <v>2199</v>
      </c>
      <c r="L677" s="64" t="s">
        <v>67</v>
      </c>
      <c r="M677" s="58" t="s">
        <v>3</v>
      </c>
      <c r="N677" s="58" t="s">
        <v>2</v>
      </c>
      <c r="O677" s="58">
        <v>90</v>
      </c>
      <c r="P677" s="58">
        <v>0</v>
      </c>
      <c r="Q677" s="58">
        <v>0</v>
      </c>
      <c r="R677" s="58">
        <v>0</v>
      </c>
      <c r="S677" s="58">
        <v>0</v>
      </c>
      <c r="T677" s="58">
        <v>90</v>
      </c>
      <c r="U677" s="58">
        <v>51</v>
      </c>
      <c r="V677" s="62">
        <v>44</v>
      </c>
      <c r="W677" s="62">
        <v>7</v>
      </c>
      <c r="X677" s="63">
        <f>IFERROR(1 -(Master[[#This Row],[Avg Garment Scans per Delivery]]/Master[[#This Row],[Garment Inventory]]), 0)</f>
        <v>0.84090909090909094</v>
      </c>
      <c r="Y677" s="62">
        <v>1</v>
      </c>
      <c r="Z677" s="62">
        <v>22</v>
      </c>
      <c r="AA677" s="53">
        <v>42.552777777777791</v>
      </c>
      <c r="AB677" s="53">
        <v>46.25555555555556</v>
      </c>
      <c r="AC677" s="53">
        <v>40.479183673469386</v>
      </c>
      <c r="AD677" s="53">
        <v>66.280816326530626</v>
      </c>
      <c r="AE677" s="53" t="str">
        <f>_xlfn.XLOOKUP(Master[[#This Row],[cu_id]],'[1]Customer Revenue'!$Q:$Q,'[1]Customer Revenue'!$K:$K, "None")</f>
        <v>None</v>
      </c>
      <c r="AF677" s="53" t="str">
        <f>_xlfn.XLOOKUP(Master[[#This Row],[cu_id]],'[1]Customer Revenue'!$Q:$Q,'[1]Customer Revenue'!$L:$L, "None")</f>
        <v>None</v>
      </c>
      <c r="AG677" s="53">
        <v>41.001313999999994</v>
      </c>
      <c r="AH677" s="53">
        <v>61.00118599999999</v>
      </c>
      <c r="AI677" s="53">
        <v>44.404166666666676</v>
      </c>
      <c r="AJ677" s="53">
        <v>53.38000000000001</v>
      </c>
      <c r="AK677" s="53" t="str">
        <f>_xlfn.XLOOKUP(Master[[#This Row],[cu_id]],'[1]Customer Revenue'!$Q:$Q,'[1]Customer Revenue'!$I:$I, "None")</f>
        <v>None</v>
      </c>
      <c r="AL677" s="53">
        <v>51.001249999999992</v>
      </c>
      <c r="AM677" s="61">
        <v>0.33333333333333331</v>
      </c>
      <c r="AN677" s="60">
        <v>0.66666666666666663</v>
      </c>
      <c r="AO677" s="60" t="s">
        <v>36</v>
      </c>
      <c r="AP677" s="60" t="s">
        <v>36</v>
      </c>
      <c r="AQ677" s="58" t="s">
        <v>0</v>
      </c>
      <c r="AR677" s="58"/>
      <c r="AS677" s="58"/>
      <c r="AT677" s="52">
        <v>0</v>
      </c>
      <c r="AU677" s="52">
        <f>IF(Master[[#This Row],[RSP StopTime override]] &lt;&gt; "",Master[[#This Row],[RSP StopTime override]],IF(Master[[#This Row],[Avg stop time helper]] &lt;&gt; 0, Master[[#This Row],[Avg stop time helper]],Average_Stop_Time))</f>
        <v>7</v>
      </c>
      <c r="AV677" s="21">
        <v>7</v>
      </c>
      <c r="AW677" s="20">
        <f>Master[[#This Row],[RSP StopTime override]]-Master[[#This Row],[Avg stop time helper]]</f>
        <v>7</v>
      </c>
    </row>
    <row r="678" spans="1:49" x14ac:dyDescent="0.3">
      <c r="A678" s="66" t="s">
        <v>4729</v>
      </c>
      <c r="B678" s="58">
        <v>51</v>
      </c>
      <c r="C678" s="58" t="s">
        <v>15</v>
      </c>
      <c r="D678" s="65">
        <v>99061</v>
      </c>
      <c r="E678" s="65" t="s">
        <v>2183</v>
      </c>
      <c r="F678" s="65" t="s">
        <v>2182</v>
      </c>
      <c r="G678" s="65" t="s">
        <v>2115</v>
      </c>
      <c r="H678" s="65" t="s">
        <v>32</v>
      </c>
      <c r="I678" s="65" t="s">
        <v>50</v>
      </c>
      <c r="J678" s="65" t="s">
        <v>5</v>
      </c>
      <c r="K678" s="65" t="s">
        <v>49</v>
      </c>
      <c r="L678" s="64" t="s">
        <v>67</v>
      </c>
      <c r="M678" s="58" t="s">
        <v>3</v>
      </c>
      <c r="N678" s="58" t="s">
        <v>2</v>
      </c>
      <c r="O678" s="58">
        <v>80</v>
      </c>
      <c r="P678" s="58">
        <v>0</v>
      </c>
      <c r="Q678" s="58">
        <v>0</v>
      </c>
      <c r="R678" s="58">
        <v>0</v>
      </c>
      <c r="S678" s="58">
        <v>0</v>
      </c>
      <c r="T678" s="58">
        <v>80</v>
      </c>
      <c r="U678" s="58">
        <v>52</v>
      </c>
      <c r="V678" s="62"/>
      <c r="W678" s="62"/>
      <c r="X678" s="63">
        <f>IFERROR(1 -(Master[[#This Row],[Avg Garment Scans per Delivery]]/Master[[#This Row],[Garment Inventory]]), 0)</f>
        <v>0</v>
      </c>
      <c r="Y678" s="62"/>
      <c r="Z678" s="62"/>
      <c r="AA678" s="53">
        <v>15.430000000000001</v>
      </c>
      <c r="AB678" s="53">
        <v>16.680000000000007</v>
      </c>
      <c r="AC678" s="53">
        <v>17.93</v>
      </c>
      <c r="AD678" s="53">
        <v>17.930000000000007</v>
      </c>
      <c r="AE678" s="53" t="str">
        <f>_xlfn.XLOOKUP(Master[[#This Row],[cu_id]],'[1]Customer Revenue'!$Q:$Q,'[1]Customer Revenue'!$K:$K, "None")</f>
        <v>None</v>
      </c>
      <c r="AF678" s="53" t="str">
        <f>_xlfn.XLOOKUP(Master[[#This Row],[cu_id]],'[1]Customer Revenue'!$Q:$Q,'[1]Customer Revenue'!$L:$L, "None")</f>
        <v>None</v>
      </c>
      <c r="AG678" s="53">
        <v>15.136508875739651</v>
      </c>
      <c r="AH678" s="53">
        <v>16.046568047337281</v>
      </c>
      <c r="AI678" s="53">
        <v>16.055000000000003</v>
      </c>
      <c r="AJ678" s="53">
        <v>17.930000000000003</v>
      </c>
      <c r="AK678" s="53" t="str">
        <f>_xlfn.XLOOKUP(Master[[#This Row],[cu_id]],'[1]Customer Revenue'!$Q:$Q,'[1]Customer Revenue'!$I:$I, "None")</f>
        <v>None</v>
      </c>
      <c r="AL678" s="53">
        <v>15.591538461538466</v>
      </c>
      <c r="AM678" s="61" t="s">
        <v>36</v>
      </c>
      <c r="AN678" s="60" t="s">
        <v>36</v>
      </c>
      <c r="AO678" s="60" t="s">
        <v>36</v>
      </c>
      <c r="AP678" s="60" t="s">
        <v>36</v>
      </c>
      <c r="AQ678" s="58" t="s">
        <v>308</v>
      </c>
      <c r="AR678" s="58"/>
      <c r="AS678" s="58"/>
      <c r="AT678" s="52">
        <v>0</v>
      </c>
      <c r="AU678" s="52" t="e">
        <f>IF(Master[[#This Row],[RSP StopTime override]] &lt;&gt; "",Master[[#This Row],[RSP StopTime override]],IF(Master[[#This Row],[Avg stop time helper]] &lt;&gt; 0, Master[[#This Row],[Avg stop time helper]],Average_Stop_Time))</f>
        <v>#DIV/0!</v>
      </c>
      <c r="AV678" s="21"/>
      <c r="AW678" s="20">
        <f>Master[[#This Row],[RSP StopTime override]]-Master[[#This Row],[Avg stop time helper]]</f>
        <v>0</v>
      </c>
    </row>
    <row r="679" spans="1:49" x14ac:dyDescent="0.3">
      <c r="A679" s="66" t="s">
        <v>4730</v>
      </c>
      <c r="B679" s="58">
        <v>51</v>
      </c>
      <c r="C679" s="58" t="s">
        <v>10</v>
      </c>
      <c r="D679" s="65">
        <v>507991</v>
      </c>
      <c r="E679" s="65" t="s">
        <v>42</v>
      </c>
      <c r="F679" s="65" t="s">
        <v>2181</v>
      </c>
      <c r="G679" s="65" t="s">
        <v>2180</v>
      </c>
      <c r="H679" s="65" t="s">
        <v>32</v>
      </c>
      <c r="I679" s="65" t="s">
        <v>50</v>
      </c>
      <c r="J679" s="65" t="s">
        <v>5</v>
      </c>
      <c r="K679" s="65" t="s">
        <v>1578</v>
      </c>
      <c r="L679" s="64" t="s">
        <v>67</v>
      </c>
      <c r="M679" s="58" t="s">
        <v>3</v>
      </c>
      <c r="N679" s="58" t="s">
        <v>2</v>
      </c>
      <c r="O679" s="58">
        <v>128</v>
      </c>
      <c r="P679" s="58">
        <v>0</v>
      </c>
      <c r="Q679" s="58">
        <v>0</v>
      </c>
      <c r="R679" s="58">
        <v>128</v>
      </c>
      <c r="S679" s="58">
        <v>0</v>
      </c>
      <c r="T679" s="58">
        <v>0</v>
      </c>
      <c r="U679" s="58">
        <v>52</v>
      </c>
      <c r="V679" s="62"/>
      <c r="W679" s="62"/>
      <c r="X679" s="63">
        <f>IFERROR(1 -(Master[[#This Row],[Avg Garment Scans per Delivery]]/Master[[#This Row],[Garment Inventory]]), 0)</f>
        <v>0</v>
      </c>
      <c r="Y679" s="62"/>
      <c r="Z679" s="62"/>
      <c r="AA679" s="53">
        <v>100.95165680473373</v>
      </c>
      <c r="AB679" s="53">
        <v>120.49911242603547</v>
      </c>
      <c r="AC679" s="53">
        <v>110.46473372781064</v>
      </c>
      <c r="AD679" s="53">
        <v>130.69218934911243</v>
      </c>
      <c r="AE679" s="53" t="str">
        <f>_xlfn.XLOOKUP(Master[[#This Row],[cu_id]],'[1]Customer Revenue'!$Q:$Q,'[1]Customer Revenue'!$K:$K, "None")</f>
        <v>None</v>
      </c>
      <c r="AF679" s="53" t="str">
        <f>_xlfn.XLOOKUP(Master[[#This Row],[cu_id]],'[1]Customer Revenue'!$Q:$Q,'[1]Customer Revenue'!$L:$L, "None")</f>
        <v>None</v>
      </c>
      <c r="AG679" s="53">
        <v>99.311449704141992</v>
      </c>
      <c r="AH679" s="53">
        <v>114.94316568047334</v>
      </c>
      <c r="AI679" s="53">
        <v>110.7253846153846</v>
      </c>
      <c r="AJ679" s="53">
        <v>120.57846153846153</v>
      </c>
      <c r="AK679" s="53" t="str">
        <f>_xlfn.XLOOKUP(Master[[#This Row],[cu_id]],'[1]Customer Revenue'!$Q:$Q,'[1]Customer Revenue'!$I:$I, "None")</f>
        <v>None</v>
      </c>
      <c r="AL679" s="53">
        <v>107.12730769230767</v>
      </c>
      <c r="AM679" s="61">
        <v>0.39583333333333331</v>
      </c>
      <c r="AN679" s="60">
        <v>0.66666666666666663</v>
      </c>
      <c r="AO679" s="60" t="s">
        <v>36</v>
      </c>
      <c r="AP679" s="60" t="s">
        <v>36</v>
      </c>
      <c r="AQ679" s="58" t="s">
        <v>0</v>
      </c>
      <c r="AR679" s="58"/>
      <c r="AS679" s="58"/>
      <c r="AT679" s="52">
        <v>0</v>
      </c>
      <c r="AU679" s="52" t="e">
        <f>IF(Master[[#This Row],[RSP StopTime override]] &lt;&gt; "",Master[[#This Row],[RSP StopTime override]],IF(Master[[#This Row],[Avg stop time helper]] &lt;&gt; 0, Master[[#This Row],[Avg stop time helper]],Average_Stop_Time))</f>
        <v>#DIV/0!</v>
      </c>
      <c r="AV679" s="21"/>
      <c r="AW679" s="20">
        <f>Master[[#This Row],[RSP StopTime override]]-Master[[#This Row],[Avg stop time helper]]</f>
        <v>0</v>
      </c>
    </row>
    <row r="680" spans="1:49" x14ac:dyDescent="0.3">
      <c r="A680" s="66" t="s">
        <v>4731</v>
      </c>
      <c r="B680" s="58">
        <v>51</v>
      </c>
      <c r="C680" s="58" t="s">
        <v>24</v>
      </c>
      <c r="D680" s="65">
        <v>510654</v>
      </c>
      <c r="E680" s="65" t="s">
        <v>42</v>
      </c>
      <c r="F680" s="65" t="s">
        <v>2179</v>
      </c>
      <c r="G680" s="65" t="s">
        <v>2178</v>
      </c>
      <c r="H680" s="65" t="s">
        <v>32</v>
      </c>
      <c r="I680" s="65" t="s">
        <v>50</v>
      </c>
      <c r="J680" s="65" t="s">
        <v>5</v>
      </c>
      <c r="K680" s="65" t="s">
        <v>1578</v>
      </c>
      <c r="L680" s="64" t="s">
        <v>67</v>
      </c>
      <c r="M680" s="58" t="s">
        <v>3</v>
      </c>
      <c r="N680" s="58" t="s">
        <v>2</v>
      </c>
      <c r="O680" s="58">
        <v>1</v>
      </c>
      <c r="P680" s="58">
        <v>1</v>
      </c>
      <c r="Q680" s="58">
        <v>0</v>
      </c>
      <c r="R680" s="58">
        <v>0</v>
      </c>
      <c r="S680" s="58">
        <v>0</v>
      </c>
      <c r="T680" s="58">
        <v>0</v>
      </c>
      <c r="U680" s="58">
        <v>45</v>
      </c>
      <c r="V680" s="62"/>
      <c r="W680" s="62"/>
      <c r="X680" s="63">
        <f>IFERROR(1 -(Master[[#This Row],[Avg Garment Scans per Delivery]]/Master[[#This Row],[Garment Inventory]]), 0)</f>
        <v>0</v>
      </c>
      <c r="Y680" s="62"/>
      <c r="Z680" s="62"/>
      <c r="AA680" s="53">
        <v>168.30081360946753</v>
      </c>
      <c r="AB680" s="53">
        <v>224.01418639053253</v>
      </c>
      <c r="AC680" s="53">
        <v>198.36355029585798</v>
      </c>
      <c r="AD680" s="53">
        <v>217.52568047337274</v>
      </c>
      <c r="AE680" s="53" t="str">
        <f>_xlfn.XLOOKUP(Master[[#This Row],[cu_id]],'[1]Customer Revenue'!$Q:$Q,'[1]Customer Revenue'!$K:$K, "None")</f>
        <v>None</v>
      </c>
      <c r="AF680" s="53" t="str">
        <f>_xlfn.XLOOKUP(Master[[#This Row],[cu_id]],'[1]Customer Revenue'!$Q:$Q,'[1]Customer Revenue'!$L:$L, "None")</f>
        <v>None</v>
      </c>
      <c r="AG680" s="53">
        <v>177.74676315789463</v>
      </c>
      <c r="AH680" s="53">
        <v>215.0637631578947</v>
      </c>
      <c r="AI680" s="53">
        <v>196.15750000000003</v>
      </c>
      <c r="AJ680" s="53">
        <v>207.94461538461536</v>
      </c>
      <c r="AK680" s="53" t="str">
        <f>_xlfn.XLOOKUP(Master[[#This Row],[cu_id]],'[1]Customer Revenue'!$Q:$Q,'[1]Customer Revenue'!$I:$I, "None")</f>
        <v>None</v>
      </c>
      <c r="AL680" s="53">
        <v>196.40526315789467</v>
      </c>
      <c r="AM680" s="61">
        <v>0.29166666666666669</v>
      </c>
      <c r="AN680" s="60">
        <v>0.70833333333333337</v>
      </c>
      <c r="AO680" s="60" t="s">
        <v>36</v>
      </c>
      <c r="AP680" s="60" t="s">
        <v>36</v>
      </c>
      <c r="AQ680" s="58" t="s">
        <v>0</v>
      </c>
      <c r="AR680" s="58"/>
      <c r="AS680" s="58"/>
      <c r="AT680" s="52">
        <v>0</v>
      </c>
      <c r="AU680" s="52" t="e">
        <f>IF(Master[[#This Row],[RSP StopTime override]] &lt;&gt; "",Master[[#This Row],[RSP StopTime override]],IF(Master[[#This Row],[Avg stop time helper]] &lt;&gt; 0, Master[[#This Row],[Avg stop time helper]],Average_Stop_Time))</f>
        <v>#DIV/0!</v>
      </c>
      <c r="AV680" s="21"/>
      <c r="AW680" s="20">
        <f>Master[[#This Row],[RSP StopTime override]]-Master[[#This Row],[Avg stop time helper]]</f>
        <v>0</v>
      </c>
    </row>
    <row r="681" spans="1:49" x14ac:dyDescent="0.3">
      <c r="A681" s="66" t="s">
        <v>4732</v>
      </c>
      <c r="B681" s="58">
        <v>51</v>
      </c>
      <c r="C681" s="58" t="s">
        <v>15</v>
      </c>
      <c r="D681" s="65">
        <v>99061</v>
      </c>
      <c r="E681" s="65" t="s">
        <v>1975</v>
      </c>
      <c r="F681" s="65" t="s">
        <v>2177</v>
      </c>
      <c r="G681" s="65" t="s">
        <v>2174</v>
      </c>
      <c r="H681" s="65" t="s">
        <v>32</v>
      </c>
      <c r="I681" s="65" t="s">
        <v>50</v>
      </c>
      <c r="J681" s="65" t="s">
        <v>5</v>
      </c>
      <c r="K681" s="65" t="s">
        <v>1972</v>
      </c>
      <c r="L681" s="64" t="s">
        <v>67</v>
      </c>
      <c r="M681" s="58" t="s">
        <v>3</v>
      </c>
      <c r="N681" s="58" t="s">
        <v>2</v>
      </c>
      <c r="O681" s="58">
        <v>100</v>
      </c>
      <c r="P681" s="58">
        <v>0</v>
      </c>
      <c r="Q681" s="58">
        <v>0</v>
      </c>
      <c r="R681" s="58">
        <v>0</v>
      </c>
      <c r="S681" s="58">
        <v>0</v>
      </c>
      <c r="T681" s="58">
        <v>100</v>
      </c>
      <c r="U681" s="58">
        <v>52</v>
      </c>
      <c r="V681" s="62"/>
      <c r="W681" s="62"/>
      <c r="X681" s="63">
        <f>IFERROR(1 -(Master[[#This Row],[Avg Garment Scans per Delivery]]/Master[[#This Row],[Garment Inventory]]), 0)</f>
        <v>0</v>
      </c>
      <c r="Y681" s="62"/>
      <c r="Z681" s="62"/>
      <c r="AA681" s="53">
        <v>34.799999999999997</v>
      </c>
      <c r="AB681" s="53">
        <v>36.050000000000011</v>
      </c>
      <c r="AC681" s="53">
        <v>37.299999999999997</v>
      </c>
      <c r="AD681" s="53">
        <v>37.300000000000011</v>
      </c>
      <c r="AE681" s="53" t="str">
        <f>_xlfn.XLOOKUP(Master[[#This Row],[cu_id]],'[1]Customer Revenue'!$Q:$Q,'[1]Customer Revenue'!$K:$K, "None")</f>
        <v>None</v>
      </c>
      <c r="AF681" s="53" t="str">
        <f>_xlfn.XLOOKUP(Master[[#This Row],[cu_id]],'[1]Customer Revenue'!$Q:$Q,'[1]Customer Revenue'!$L:$L, "None")</f>
        <v>None</v>
      </c>
      <c r="AG681" s="53">
        <v>33.639940828402352</v>
      </c>
      <c r="AH681" s="53">
        <v>35.50621301775147</v>
      </c>
      <c r="AI681" s="53">
        <v>35.425000000000004</v>
      </c>
      <c r="AJ681" s="53">
        <v>37.300000000000004</v>
      </c>
      <c r="AK681" s="53" t="str">
        <f>_xlfn.XLOOKUP(Master[[#This Row],[cu_id]],'[1]Customer Revenue'!$Q:$Q,'[1]Customer Revenue'!$I:$I, "None")</f>
        <v>None</v>
      </c>
      <c r="AL681" s="53">
        <v>34.573076923076911</v>
      </c>
      <c r="AM681" s="61" t="s">
        <v>36</v>
      </c>
      <c r="AN681" s="60" t="s">
        <v>36</v>
      </c>
      <c r="AO681" s="60" t="s">
        <v>36</v>
      </c>
      <c r="AP681" s="60" t="s">
        <v>36</v>
      </c>
      <c r="AQ681" s="58" t="s">
        <v>308</v>
      </c>
      <c r="AR681" s="58"/>
      <c r="AS681" s="58"/>
      <c r="AT681" s="52">
        <v>0</v>
      </c>
      <c r="AU681" s="52" t="e">
        <f>IF(Master[[#This Row],[RSP StopTime override]] &lt;&gt; "",Master[[#This Row],[RSP StopTime override]],IF(Master[[#This Row],[Avg stop time helper]] &lt;&gt; 0, Master[[#This Row],[Avg stop time helper]],Average_Stop_Time))</f>
        <v>#DIV/0!</v>
      </c>
      <c r="AV681" s="21"/>
      <c r="AW681" s="20">
        <f>Master[[#This Row],[RSP StopTime override]]-Master[[#This Row],[Avg stop time helper]]</f>
        <v>0</v>
      </c>
    </row>
    <row r="682" spans="1:49" x14ac:dyDescent="0.3">
      <c r="A682" s="66" t="s">
        <v>4733</v>
      </c>
      <c r="B682" s="58">
        <v>51</v>
      </c>
      <c r="C682" s="58" t="s">
        <v>15</v>
      </c>
      <c r="D682" s="65">
        <v>99061</v>
      </c>
      <c r="E682" s="65" t="s">
        <v>2176</v>
      </c>
      <c r="F682" s="65" t="s">
        <v>2175</v>
      </c>
      <c r="G682" s="65" t="s">
        <v>2174</v>
      </c>
      <c r="H682" s="65" t="s">
        <v>32</v>
      </c>
      <c r="I682" s="65" t="s">
        <v>50</v>
      </c>
      <c r="J682" s="65" t="s">
        <v>5</v>
      </c>
      <c r="K682" s="65" t="s">
        <v>1972</v>
      </c>
      <c r="L682" s="64" t="s">
        <v>67</v>
      </c>
      <c r="M682" s="58" t="s">
        <v>3</v>
      </c>
      <c r="N682" s="58" t="s">
        <v>2</v>
      </c>
      <c r="O682" s="58">
        <v>70</v>
      </c>
      <c r="P682" s="58">
        <v>0</v>
      </c>
      <c r="Q682" s="58">
        <v>0</v>
      </c>
      <c r="R682" s="58">
        <v>0</v>
      </c>
      <c r="S682" s="58">
        <v>0</v>
      </c>
      <c r="T682" s="58">
        <v>70</v>
      </c>
      <c r="U682" s="58">
        <v>52</v>
      </c>
      <c r="V682" s="62">
        <v>28</v>
      </c>
      <c r="W682" s="62">
        <v>1</v>
      </c>
      <c r="X682" s="63">
        <f>IFERROR(1 -(Master[[#This Row],[Avg Garment Scans per Delivery]]/Master[[#This Row],[Garment Inventory]]), 0)</f>
        <v>0.9642857142857143</v>
      </c>
      <c r="Y682" s="62">
        <v>2</v>
      </c>
      <c r="Z682" s="62">
        <v>29</v>
      </c>
      <c r="AA682" s="53">
        <v>83.09</v>
      </c>
      <c r="AB682" s="53">
        <v>84.340000000000032</v>
      </c>
      <c r="AC682" s="53">
        <v>85.59</v>
      </c>
      <c r="AD682" s="53">
        <v>85.59</v>
      </c>
      <c r="AE682" s="53" t="str">
        <f>_xlfn.XLOOKUP(Master[[#This Row],[cu_id]],'[1]Customer Revenue'!$Q:$Q,'[1]Customer Revenue'!$K:$K, "None")</f>
        <v>None</v>
      </c>
      <c r="AF682" s="53" t="str">
        <f>_xlfn.XLOOKUP(Master[[#This Row],[cu_id]],'[1]Customer Revenue'!$Q:$Q,'[1]Customer Revenue'!$L:$L, "None")</f>
        <v>None</v>
      </c>
      <c r="AG682" s="53">
        <v>80.595798816568035</v>
      </c>
      <c r="AH682" s="53">
        <v>87.291893491124213</v>
      </c>
      <c r="AI682" s="53">
        <v>83.715000000000018</v>
      </c>
      <c r="AJ682" s="53">
        <v>85.59</v>
      </c>
      <c r="AK682" s="53" t="str">
        <f>_xlfn.XLOOKUP(Master[[#This Row],[cu_id]],'[1]Customer Revenue'!$Q:$Q,'[1]Customer Revenue'!$I:$I, "None")</f>
        <v>None</v>
      </c>
      <c r="AL682" s="53">
        <v>83.943846153846124</v>
      </c>
      <c r="AM682" s="61" t="s">
        <v>36</v>
      </c>
      <c r="AN682" s="60" t="s">
        <v>36</v>
      </c>
      <c r="AO682" s="60" t="s">
        <v>36</v>
      </c>
      <c r="AP682" s="60" t="s">
        <v>36</v>
      </c>
      <c r="AQ682" s="58" t="s">
        <v>308</v>
      </c>
      <c r="AR682" s="58"/>
      <c r="AS682" s="58"/>
      <c r="AT682" s="52">
        <v>0</v>
      </c>
      <c r="AU682" s="52" t="e">
        <f>IF(Master[[#This Row],[RSP StopTime override]] &lt;&gt; "",Master[[#This Row],[RSP StopTime override]],IF(Master[[#This Row],[Avg stop time helper]] &lt;&gt; 0, Master[[#This Row],[Avg stop time helper]],Average_Stop_Time))</f>
        <v>#DIV/0!</v>
      </c>
      <c r="AV682" s="21"/>
      <c r="AW682" s="20">
        <f>Master[[#This Row],[RSP StopTime override]]-Master[[#This Row],[Avg stop time helper]]</f>
        <v>0</v>
      </c>
    </row>
    <row r="683" spans="1:49" x14ac:dyDescent="0.3">
      <c r="A683" s="66" t="s">
        <v>4070</v>
      </c>
      <c r="B683" s="58">
        <v>51</v>
      </c>
      <c r="C683" s="58" t="s">
        <v>10</v>
      </c>
      <c r="D683" s="65">
        <v>499014</v>
      </c>
      <c r="E683" s="65" t="s">
        <v>2173</v>
      </c>
      <c r="F683" s="65" t="s">
        <v>3680</v>
      </c>
      <c r="G683" s="65" t="s">
        <v>2172</v>
      </c>
      <c r="H683" s="65" t="s">
        <v>32</v>
      </c>
      <c r="I683" s="65" t="s">
        <v>50</v>
      </c>
      <c r="J683" s="65" t="s">
        <v>5</v>
      </c>
      <c r="K683" s="65" t="s">
        <v>1599</v>
      </c>
      <c r="L683" s="64" t="s">
        <v>141</v>
      </c>
      <c r="M683" s="58" t="s">
        <v>140</v>
      </c>
      <c r="N683" s="58" t="s">
        <v>2</v>
      </c>
      <c r="O683" s="58">
        <v>106</v>
      </c>
      <c r="P683" s="58">
        <v>0</v>
      </c>
      <c r="Q683" s="58">
        <v>0</v>
      </c>
      <c r="R683" s="58">
        <v>106</v>
      </c>
      <c r="S683" s="58">
        <v>0</v>
      </c>
      <c r="T683" s="58">
        <v>0</v>
      </c>
      <c r="U683" s="58">
        <v>32</v>
      </c>
      <c r="V683" s="62"/>
      <c r="W683" s="62">
        <v>5</v>
      </c>
      <c r="X683" s="63">
        <f>IFERROR(1 -(Master[[#This Row],[Avg Garment Scans per Delivery]]/Master[[#This Row],[Garment Inventory]]), 0)</f>
        <v>0</v>
      </c>
      <c r="Y683" s="62"/>
      <c r="Z683" s="62"/>
      <c r="AA683" s="53">
        <v>41.98</v>
      </c>
      <c r="AB683" s="53">
        <v>43.98</v>
      </c>
      <c r="AC683" s="53">
        <v>43.047777777777782</v>
      </c>
      <c r="AD683" s="53">
        <v>47.425555555555562</v>
      </c>
      <c r="AE683" s="53" t="str">
        <f>_xlfn.XLOOKUP(Master[[#This Row],[cu_id]],'[1]Customer Revenue'!$Q:$Q,'[1]Customer Revenue'!$K:$K, "None")</f>
        <v>None</v>
      </c>
      <c r="AF683" s="53" t="str">
        <f>_xlfn.XLOOKUP(Master[[#This Row],[cu_id]],'[1]Customer Revenue'!$Q:$Q,'[1]Customer Revenue'!$L:$L, "None")</f>
        <v>None</v>
      </c>
      <c r="AG683" s="53">
        <v>42.000408163265305</v>
      </c>
      <c r="AH683" s="53">
        <v>43.102448979591827</v>
      </c>
      <c r="AI683" s="53">
        <v>42.98</v>
      </c>
      <c r="AJ683" s="53">
        <v>45.236666666666672</v>
      </c>
      <c r="AK683" s="53" t="str">
        <f>_xlfn.XLOOKUP(Master[[#This Row],[cu_id]],'[1]Customer Revenue'!$Q:$Q,'[1]Customer Revenue'!$I:$I, "None")</f>
        <v>None</v>
      </c>
      <c r="AL683" s="53">
        <v>42.551428571428566</v>
      </c>
      <c r="AM683" s="61">
        <v>0.375</v>
      </c>
      <c r="AN683" s="60">
        <v>0.79166666666666663</v>
      </c>
      <c r="AO683" s="60" t="s">
        <v>36</v>
      </c>
      <c r="AP683" s="60" t="s">
        <v>36</v>
      </c>
      <c r="AQ683" s="58" t="s">
        <v>0</v>
      </c>
      <c r="AR683" s="58"/>
      <c r="AS683" s="58"/>
      <c r="AT683" s="52">
        <v>0</v>
      </c>
      <c r="AU683" s="52" t="e">
        <f>IF(Master[[#This Row],[RSP StopTime override]] &lt;&gt; "",Master[[#This Row],[RSP StopTime override]],IF(Master[[#This Row],[Avg stop time helper]] &lt;&gt; 0, Master[[#This Row],[Avg stop time helper]],Average_Stop_Time))</f>
        <v>#DIV/0!</v>
      </c>
      <c r="AV683" s="21"/>
      <c r="AW683" s="20">
        <f>Master[[#This Row],[RSP StopTime override]]-Master[[#This Row],[Avg stop time helper]]</f>
        <v>0</v>
      </c>
    </row>
    <row r="684" spans="1:49" x14ac:dyDescent="0.3">
      <c r="A684" s="66" t="s">
        <v>4734</v>
      </c>
      <c r="B684" s="58">
        <v>51</v>
      </c>
      <c r="C684" s="58" t="s">
        <v>10</v>
      </c>
      <c r="D684" s="65">
        <v>499014</v>
      </c>
      <c r="E684" s="65" t="s">
        <v>2171</v>
      </c>
      <c r="F684" s="65" t="s">
        <v>2170</v>
      </c>
      <c r="G684" s="65" t="s">
        <v>2169</v>
      </c>
      <c r="H684" s="65" t="s">
        <v>32</v>
      </c>
      <c r="I684" s="65" t="s">
        <v>50</v>
      </c>
      <c r="J684" s="65" t="s">
        <v>5</v>
      </c>
      <c r="K684" s="65" t="s">
        <v>1578</v>
      </c>
      <c r="L684" s="64" t="s">
        <v>124</v>
      </c>
      <c r="M684" s="58" t="s">
        <v>123</v>
      </c>
      <c r="N684" s="58" t="s">
        <v>2</v>
      </c>
      <c r="O684" s="58">
        <v>117</v>
      </c>
      <c r="P684" s="58">
        <v>0</v>
      </c>
      <c r="Q684" s="58">
        <v>0</v>
      </c>
      <c r="R684" s="58">
        <v>117</v>
      </c>
      <c r="S684" s="58">
        <v>0</v>
      </c>
      <c r="T684" s="58">
        <v>0</v>
      </c>
      <c r="U684" s="58">
        <v>34</v>
      </c>
      <c r="V684" s="62"/>
      <c r="W684" s="62">
        <v>6</v>
      </c>
      <c r="X684" s="63">
        <f>IFERROR(1 -(Master[[#This Row],[Avg Garment Scans per Delivery]]/Master[[#This Row],[Garment Inventory]]), 0)</f>
        <v>0</v>
      </c>
      <c r="Y684" s="62"/>
      <c r="Z684" s="62"/>
      <c r="AA684" s="53">
        <v>32.528888888888886</v>
      </c>
      <c r="AB684" s="53">
        <v>84.097777777777779</v>
      </c>
      <c r="AC684" s="53">
        <v>36.05222222222222</v>
      </c>
      <c r="AD684" s="53">
        <v>67.714444444444439</v>
      </c>
      <c r="AE684" s="53" t="str">
        <f>_xlfn.XLOOKUP(Master[[#This Row],[cu_id]],'[1]Customer Revenue'!$Q:$Q,'[1]Customer Revenue'!$K:$K, "None")</f>
        <v>None</v>
      </c>
      <c r="AF684" s="53" t="str">
        <f>_xlfn.XLOOKUP(Master[[#This Row],[cu_id]],'[1]Customer Revenue'!$Q:$Q,'[1]Customer Revenue'!$L:$L, "None")</f>
        <v>None</v>
      </c>
      <c r="AG684" s="53">
        <v>31.489365079365083</v>
      </c>
      <c r="AH684" s="53">
        <v>73.964920634920631</v>
      </c>
      <c r="AI684" s="53">
        <v>58.313333333333333</v>
      </c>
      <c r="AJ684" s="53">
        <v>51.883333333333326</v>
      </c>
      <c r="AK684" s="53" t="str">
        <f>_xlfn.XLOOKUP(Master[[#This Row],[cu_id]],'[1]Customer Revenue'!$Q:$Q,'[1]Customer Revenue'!$I:$I, "None")</f>
        <v>None</v>
      </c>
      <c r="AL684" s="53">
        <v>52.727142857142859</v>
      </c>
      <c r="AM684" s="61">
        <v>0.375</v>
      </c>
      <c r="AN684" s="60">
        <v>0.79166666666666663</v>
      </c>
      <c r="AO684" s="60" t="s">
        <v>36</v>
      </c>
      <c r="AP684" s="60" t="s">
        <v>36</v>
      </c>
      <c r="AQ684" s="58" t="s">
        <v>0</v>
      </c>
      <c r="AR684" s="58"/>
      <c r="AS684" s="58"/>
      <c r="AT684" s="52">
        <v>0</v>
      </c>
      <c r="AU684" s="52" t="e">
        <f>IF(Master[[#This Row],[RSP StopTime override]] &lt;&gt; "",Master[[#This Row],[RSP StopTime override]],IF(Master[[#This Row],[Avg stop time helper]] &lt;&gt; 0, Master[[#This Row],[Avg stop time helper]],Average_Stop_Time))</f>
        <v>#DIV/0!</v>
      </c>
      <c r="AV684" s="21"/>
      <c r="AW684" s="20">
        <f>Master[[#This Row],[RSP StopTime override]]-Master[[#This Row],[Avg stop time helper]]</f>
        <v>0</v>
      </c>
    </row>
    <row r="685" spans="1:49" x14ac:dyDescent="0.3">
      <c r="A685" s="66" t="s">
        <v>3919</v>
      </c>
      <c r="B685" s="58">
        <v>51</v>
      </c>
      <c r="C685" s="58" t="s">
        <v>24</v>
      </c>
      <c r="D685" s="65">
        <v>99061</v>
      </c>
      <c r="E685" s="65" t="s">
        <v>1987</v>
      </c>
      <c r="F685" s="65" t="s">
        <v>3681</v>
      </c>
      <c r="G685" s="65" t="s">
        <v>1985</v>
      </c>
      <c r="H685" s="65" t="s">
        <v>32</v>
      </c>
      <c r="I685" s="65" t="s">
        <v>1582</v>
      </c>
      <c r="J685" s="65" t="s">
        <v>5</v>
      </c>
      <c r="K685" s="65" t="s">
        <v>20</v>
      </c>
      <c r="L685" s="64" t="s">
        <v>67</v>
      </c>
      <c r="M685" s="58" t="s">
        <v>3</v>
      </c>
      <c r="N685" s="58" t="s">
        <v>2</v>
      </c>
      <c r="O685" s="58">
        <v>170</v>
      </c>
      <c r="P685" s="58">
        <v>170</v>
      </c>
      <c r="Q685" s="58">
        <v>0</v>
      </c>
      <c r="R685" s="58">
        <v>0</v>
      </c>
      <c r="S685" s="58">
        <v>0</v>
      </c>
      <c r="T685" s="58">
        <v>0</v>
      </c>
      <c r="U685" s="58">
        <v>53</v>
      </c>
      <c r="V685" s="62">
        <v>22</v>
      </c>
      <c r="W685" s="62">
        <v>2</v>
      </c>
      <c r="X685" s="63">
        <f>IFERROR(1 -(Master[[#This Row],[Avg Garment Scans per Delivery]]/Master[[#This Row],[Garment Inventory]]), 0)</f>
        <v>0.90909090909090906</v>
      </c>
      <c r="Y685" s="62">
        <v>2</v>
      </c>
      <c r="Z685" s="62">
        <v>22</v>
      </c>
      <c r="AA685" s="53">
        <v>1.0855102040816433</v>
      </c>
      <c r="AB685" s="53">
        <v>222.49163265306123</v>
      </c>
      <c r="AC685" s="53">
        <v>41.217455621301774</v>
      </c>
      <c r="AD685" s="53">
        <v>65.836390532544385</v>
      </c>
      <c r="AE685" s="53" t="str">
        <f>_xlfn.XLOOKUP(Master[[#This Row],[cu_id]],'[1]Customer Revenue'!$Q:$Q,'[1]Customer Revenue'!$K:$K, "None")</f>
        <v>None</v>
      </c>
      <c r="AF685" s="53" t="str">
        <f>_xlfn.XLOOKUP(Master[[#This Row],[cu_id]],'[1]Customer Revenue'!$Q:$Q,'[1]Customer Revenue'!$L:$L, "None")</f>
        <v>None</v>
      </c>
      <c r="AG685" s="53">
        <v>22.523923182441685</v>
      </c>
      <c r="AH685" s="53">
        <v>141.7220027434843</v>
      </c>
      <c r="AI685" s="53">
        <v>111.78857142857144</v>
      </c>
      <c r="AJ685" s="53">
        <v>53.526923076923076</v>
      </c>
      <c r="AK685" s="53" t="str">
        <f>_xlfn.XLOOKUP(Master[[#This Row],[cu_id]],'[1]Customer Revenue'!$Q:$Q,'[1]Customer Revenue'!$I:$I, "None")</f>
        <v>None</v>
      </c>
      <c r="AL685" s="53">
        <v>82.122962962962987</v>
      </c>
      <c r="AM685" s="61">
        <v>0.41666666666666669</v>
      </c>
      <c r="AN685" s="60">
        <v>0.875</v>
      </c>
      <c r="AO685" s="60" t="s">
        <v>36</v>
      </c>
      <c r="AP685" s="60" t="s">
        <v>36</v>
      </c>
      <c r="AQ685" s="58" t="s">
        <v>308</v>
      </c>
      <c r="AR685" s="58"/>
      <c r="AS685" s="58"/>
      <c r="AT685" s="52">
        <v>0</v>
      </c>
      <c r="AU685" s="52" t="e">
        <f>IF(Master[[#This Row],[RSP StopTime override]] &lt;&gt; "",Master[[#This Row],[RSP StopTime override]],IF(Master[[#This Row],[Avg stop time helper]] &lt;&gt; 0, Master[[#This Row],[Avg stop time helper]],Average_Stop_Time))</f>
        <v>#DIV/0!</v>
      </c>
      <c r="AV685" s="21"/>
      <c r="AW685" s="20">
        <f>Master[[#This Row],[RSP StopTime override]]-Master[[#This Row],[Avg stop time helper]]</f>
        <v>0</v>
      </c>
    </row>
    <row r="686" spans="1:49" x14ac:dyDescent="0.3">
      <c r="A686" s="66" t="s">
        <v>4735</v>
      </c>
      <c r="B686" s="58">
        <v>51</v>
      </c>
      <c r="C686" s="58" t="s">
        <v>24</v>
      </c>
      <c r="D686" s="65">
        <v>518596</v>
      </c>
      <c r="E686" s="65" t="s">
        <v>42</v>
      </c>
      <c r="F686" s="65" t="s">
        <v>2168</v>
      </c>
      <c r="G686" s="65" t="s">
        <v>2167</v>
      </c>
      <c r="H686" s="65" t="s">
        <v>32</v>
      </c>
      <c r="I686" s="65" t="s">
        <v>50</v>
      </c>
      <c r="J686" s="65" t="s">
        <v>5</v>
      </c>
      <c r="K686" s="65" t="s">
        <v>20</v>
      </c>
      <c r="L686" s="64" t="s">
        <v>67</v>
      </c>
      <c r="M686" s="58" t="s">
        <v>3</v>
      </c>
      <c r="N686" s="58" t="s">
        <v>2</v>
      </c>
      <c r="O686" s="58">
        <v>60</v>
      </c>
      <c r="P686" s="58">
        <v>60</v>
      </c>
      <c r="Q686" s="58">
        <v>0</v>
      </c>
      <c r="R686" s="58">
        <v>0</v>
      </c>
      <c r="S686" s="58">
        <v>0</v>
      </c>
      <c r="T686" s="58">
        <v>0</v>
      </c>
      <c r="U686" s="58">
        <v>67</v>
      </c>
      <c r="V686" s="62"/>
      <c r="W686" s="62">
        <v>0</v>
      </c>
      <c r="X686" s="63">
        <f>IFERROR(1 -(Master[[#This Row],[Avg Garment Scans per Delivery]]/Master[[#This Row],[Garment Inventory]]), 0)</f>
        <v>0</v>
      </c>
      <c r="Y686" s="62"/>
      <c r="Z686" s="62"/>
      <c r="AA686" s="53">
        <v>30.194000000000017</v>
      </c>
      <c r="AB686" s="53">
        <v>167.09266666666667</v>
      </c>
      <c r="AC686" s="53">
        <v>50.878518518518533</v>
      </c>
      <c r="AD686" s="53">
        <v>167.39703703703708</v>
      </c>
      <c r="AE686" s="53" t="str">
        <f>_xlfn.XLOOKUP(Master[[#This Row],[cu_id]],'[1]Customer Revenue'!$Q:$Q,'[1]Customer Revenue'!$K:$K, "None")</f>
        <v>None</v>
      </c>
      <c r="AF686" s="53" t="str">
        <f>_xlfn.XLOOKUP(Master[[#This Row],[cu_id]],'[1]Customer Revenue'!$Q:$Q,'[1]Customer Revenue'!$L:$L, "None")</f>
        <v>None</v>
      </c>
      <c r="AG686" s="53">
        <v>26.345558864688385</v>
      </c>
      <c r="AH686" s="53">
        <v>228.90547561807017</v>
      </c>
      <c r="AI686" s="53">
        <v>98.643333333333345</v>
      </c>
      <c r="AJ686" s="53">
        <v>109.1377777777778</v>
      </c>
      <c r="AK686" s="53" t="str">
        <f>_xlfn.XLOOKUP(Master[[#This Row],[cu_id]],'[1]Customer Revenue'!$Q:$Q,'[1]Customer Revenue'!$I:$I, "None")</f>
        <v>None</v>
      </c>
      <c r="AL686" s="53">
        <v>127.62551724137928</v>
      </c>
      <c r="AM686" s="61">
        <v>0.25</v>
      </c>
      <c r="AN686" s="60">
        <v>0.83333333333333337</v>
      </c>
      <c r="AO686" s="60" t="s">
        <v>36</v>
      </c>
      <c r="AP686" s="60" t="s">
        <v>36</v>
      </c>
      <c r="AQ686" s="58" t="s">
        <v>44</v>
      </c>
      <c r="AR686" s="58"/>
      <c r="AS686" s="58"/>
      <c r="AT686" s="52">
        <v>0</v>
      </c>
      <c r="AU686" s="52" t="e">
        <f>IF(Master[[#This Row],[RSP StopTime override]] &lt;&gt; "",Master[[#This Row],[RSP StopTime override]],IF(Master[[#This Row],[Avg stop time helper]] &lt;&gt; 0, Master[[#This Row],[Avg stop time helper]],Average_Stop_Time))</f>
        <v>#DIV/0!</v>
      </c>
      <c r="AV686" s="21"/>
      <c r="AW686" s="20">
        <f>Master[[#This Row],[RSP StopTime override]]-Master[[#This Row],[Avg stop time helper]]</f>
        <v>0</v>
      </c>
    </row>
    <row r="687" spans="1:49" x14ac:dyDescent="0.3">
      <c r="A687" s="66" t="s">
        <v>4736</v>
      </c>
      <c r="B687" s="58">
        <v>51</v>
      </c>
      <c r="C687" s="58" t="s">
        <v>24</v>
      </c>
      <c r="D687" s="65">
        <v>519669</v>
      </c>
      <c r="E687" s="65" t="s">
        <v>42</v>
      </c>
      <c r="F687" s="65" t="s">
        <v>2166</v>
      </c>
      <c r="G687" s="65" t="s">
        <v>51</v>
      </c>
      <c r="H687" s="65" t="s">
        <v>32</v>
      </c>
      <c r="I687" s="65" t="s">
        <v>2158</v>
      </c>
      <c r="J687" s="65" t="s">
        <v>5</v>
      </c>
      <c r="K687" s="65" t="s">
        <v>2034</v>
      </c>
      <c r="L687" s="64" t="s">
        <v>67</v>
      </c>
      <c r="M687" s="58" t="s">
        <v>3</v>
      </c>
      <c r="N687" s="58" t="s">
        <v>2</v>
      </c>
      <c r="O687" s="58">
        <v>145</v>
      </c>
      <c r="P687" s="58">
        <v>145</v>
      </c>
      <c r="Q687" s="58">
        <v>0</v>
      </c>
      <c r="R687" s="58">
        <v>0</v>
      </c>
      <c r="S687" s="58">
        <v>0</v>
      </c>
      <c r="T687" s="58">
        <v>0</v>
      </c>
      <c r="U687" s="58">
        <v>51</v>
      </c>
      <c r="V687" s="62">
        <v>284</v>
      </c>
      <c r="W687" s="62">
        <v>53</v>
      </c>
      <c r="X687" s="63">
        <f>IFERROR(1 -(Master[[#This Row],[Avg Garment Scans per Delivery]]/Master[[#This Row],[Garment Inventory]]), 0)</f>
        <v>0.81338028169014087</v>
      </c>
      <c r="Y687" s="62">
        <v>18</v>
      </c>
      <c r="Z687" s="62">
        <v>250</v>
      </c>
      <c r="AA687" s="53">
        <v>73.237810650887567</v>
      </c>
      <c r="AB687" s="53">
        <v>87.659112426035492</v>
      </c>
      <c r="AC687" s="53">
        <v>90.15011834319526</v>
      </c>
      <c r="AD687" s="53">
        <v>126.00218934911243</v>
      </c>
      <c r="AE687" s="53" t="str">
        <f>_xlfn.XLOOKUP(Master[[#This Row],[cu_id]],'[1]Customer Revenue'!$Q:$Q,'[1]Customer Revenue'!$K:$K, "None")</f>
        <v>None</v>
      </c>
      <c r="AF687" s="53" t="str">
        <f>_xlfn.XLOOKUP(Master[[#This Row],[cu_id]],'[1]Customer Revenue'!$Q:$Q,'[1]Customer Revenue'!$L:$L, "None")</f>
        <v>None</v>
      </c>
      <c r="AG687" s="53">
        <v>71.737628402366852</v>
      </c>
      <c r="AH687" s="53">
        <v>88.815971597633137</v>
      </c>
      <c r="AI687" s="53">
        <v>80.44846153846153</v>
      </c>
      <c r="AJ687" s="53">
        <v>108.07615384615384</v>
      </c>
      <c r="AK687" s="53" t="str">
        <f>_xlfn.XLOOKUP(Master[[#This Row],[cu_id]],'[1]Customer Revenue'!$Q:$Q,'[1]Customer Revenue'!$I:$I, "None")</f>
        <v>None</v>
      </c>
      <c r="AL687" s="53">
        <v>80.276799999999994</v>
      </c>
      <c r="AM687" s="61">
        <v>0.20833333333333334</v>
      </c>
      <c r="AN687" s="60">
        <v>0.83333333333333337</v>
      </c>
      <c r="AO687" s="60" t="s">
        <v>36</v>
      </c>
      <c r="AP687" s="60" t="s">
        <v>36</v>
      </c>
      <c r="AQ687" s="58" t="s">
        <v>308</v>
      </c>
      <c r="AR687" s="58"/>
      <c r="AS687" s="58"/>
      <c r="AT687" s="52">
        <v>0</v>
      </c>
      <c r="AU687" s="52" t="e">
        <f>IF(Master[[#This Row],[RSP StopTime override]] &lt;&gt; "",Master[[#This Row],[RSP StopTime override]],IF(Master[[#This Row],[Avg stop time helper]] &lt;&gt; 0, Master[[#This Row],[Avg stop time helper]],Average_Stop_Time))</f>
        <v>#DIV/0!</v>
      </c>
      <c r="AV687" s="21"/>
      <c r="AW687" s="20">
        <f>Master[[#This Row],[RSP StopTime override]]-Master[[#This Row],[Avg stop time helper]]</f>
        <v>0</v>
      </c>
    </row>
    <row r="688" spans="1:49" x14ac:dyDescent="0.3">
      <c r="A688" s="66" t="s">
        <v>4737</v>
      </c>
      <c r="B688" s="58">
        <v>51</v>
      </c>
      <c r="C688" s="58" t="s">
        <v>24</v>
      </c>
      <c r="D688" s="65">
        <v>519676</v>
      </c>
      <c r="E688" s="65" t="s">
        <v>42</v>
      </c>
      <c r="F688" s="65" t="s">
        <v>2165</v>
      </c>
      <c r="G688" s="65" t="s">
        <v>2164</v>
      </c>
      <c r="H688" s="65" t="s">
        <v>32</v>
      </c>
      <c r="I688" s="65" t="s">
        <v>2158</v>
      </c>
      <c r="J688" s="65" t="s">
        <v>5</v>
      </c>
      <c r="K688" s="65" t="s">
        <v>2034</v>
      </c>
      <c r="L688" s="64" t="s">
        <v>67</v>
      </c>
      <c r="M688" s="58" t="s">
        <v>3</v>
      </c>
      <c r="N688" s="58" t="s">
        <v>2</v>
      </c>
      <c r="O688" s="58">
        <v>140</v>
      </c>
      <c r="P688" s="58">
        <v>140</v>
      </c>
      <c r="Q688" s="58">
        <v>0</v>
      </c>
      <c r="R688" s="58">
        <v>0</v>
      </c>
      <c r="S688" s="58">
        <v>0</v>
      </c>
      <c r="T688" s="58">
        <v>0</v>
      </c>
      <c r="U688" s="58">
        <v>51</v>
      </c>
      <c r="V688" s="62"/>
      <c r="W688" s="62"/>
      <c r="X688" s="63">
        <f>IFERROR(1 -(Master[[#This Row],[Avg Garment Scans per Delivery]]/Master[[#This Row],[Garment Inventory]]), 0)</f>
        <v>0</v>
      </c>
      <c r="Y688" s="62"/>
      <c r="Z688" s="62"/>
      <c r="AA688" s="53">
        <v>46.087573964497039</v>
      </c>
      <c r="AB688" s="53">
        <v>68.497041420118336</v>
      </c>
      <c r="AC688" s="53">
        <v>44.441104166666676</v>
      </c>
      <c r="AD688" s="53">
        <v>67.404229166666667</v>
      </c>
      <c r="AE688" s="53" t="str">
        <f>_xlfn.XLOOKUP(Master[[#This Row],[cu_id]],'[1]Customer Revenue'!$Q:$Q,'[1]Customer Revenue'!$K:$K, "None")</f>
        <v>None</v>
      </c>
      <c r="AF688" s="53" t="str">
        <f>_xlfn.XLOOKUP(Master[[#This Row],[cu_id]],'[1]Customer Revenue'!$Q:$Q,'[1]Customer Revenue'!$L:$L, "None")</f>
        <v>None</v>
      </c>
      <c r="AG688" s="53">
        <v>44.446362130177526</v>
      </c>
      <c r="AH688" s="53">
        <v>67.155237869822486</v>
      </c>
      <c r="AI688" s="53">
        <v>57.292307692307688</v>
      </c>
      <c r="AJ688" s="53">
        <v>55.922666666666672</v>
      </c>
      <c r="AK688" s="53" t="str">
        <f>_xlfn.XLOOKUP(Master[[#This Row],[cu_id]],'[1]Customer Revenue'!$Q:$Q,'[1]Customer Revenue'!$I:$I, "None")</f>
        <v>None</v>
      </c>
      <c r="AL688" s="53">
        <v>55.80080000000001</v>
      </c>
      <c r="AM688" s="61">
        <v>0.20833333333333334</v>
      </c>
      <c r="AN688" s="60">
        <v>0.83333333333333337</v>
      </c>
      <c r="AO688" s="60" t="s">
        <v>36</v>
      </c>
      <c r="AP688" s="60" t="s">
        <v>36</v>
      </c>
      <c r="AQ688" s="58" t="s">
        <v>308</v>
      </c>
      <c r="AR688" s="58"/>
      <c r="AS688" s="58"/>
      <c r="AT688" s="52">
        <v>0</v>
      </c>
      <c r="AU688" s="52" t="e">
        <f>IF(Master[[#This Row],[RSP StopTime override]] &lt;&gt; "",Master[[#This Row],[RSP StopTime override]],IF(Master[[#This Row],[Avg stop time helper]] &lt;&gt; 0, Master[[#This Row],[Avg stop time helper]],Average_Stop_Time))</f>
        <v>#DIV/0!</v>
      </c>
      <c r="AV688" s="21"/>
      <c r="AW688" s="20">
        <f>Master[[#This Row],[RSP StopTime override]]-Master[[#This Row],[Avg stop time helper]]</f>
        <v>0</v>
      </c>
    </row>
    <row r="689" spans="1:49" x14ac:dyDescent="0.3">
      <c r="A689" s="66" t="s">
        <v>4738</v>
      </c>
      <c r="B689" s="58">
        <v>51</v>
      </c>
      <c r="C689" s="58" t="s">
        <v>24</v>
      </c>
      <c r="D689" s="65">
        <v>519711</v>
      </c>
      <c r="E689" s="65" t="s">
        <v>42</v>
      </c>
      <c r="F689" s="65" t="s">
        <v>2163</v>
      </c>
      <c r="G689" s="65" t="s">
        <v>51</v>
      </c>
      <c r="H689" s="65" t="s">
        <v>32</v>
      </c>
      <c r="I689" s="65" t="s">
        <v>2158</v>
      </c>
      <c r="J689" s="65" t="s">
        <v>5</v>
      </c>
      <c r="K689" s="65" t="s">
        <v>2034</v>
      </c>
      <c r="L689" s="64" t="s">
        <v>67</v>
      </c>
      <c r="M689" s="58" t="s">
        <v>3</v>
      </c>
      <c r="N689" s="58" t="s">
        <v>2</v>
      </c>
      <c r="O689" s="58">
        <v>144</v>
      </c>
      <c r="P689" s="58">
        <v>144</v>
      </c>
      <c r="Q689" s="58">
        <v>0</v>
      </c>
      <c r="R689" s="58">
        <v>0</v>
      </c>
      <c r="S689" s="58">
        <v>0</v>
      </c>
      <c r="T689" s="58">
        <v>0</v>
      </c>
      <c r="U689" s="58">
        <v>51</v>
      </c>
      <c r="V689" s="62">
        <v>54</v>
      </c>
      <c r="W689" s="62">
        <v>1</v>
      </c>
      <c r="X689" s="63">
        <f>IFERROR(1 -(Master[[#This Row],[Avg Garment Scans per Delivery]]/Master[[#This Row],[Garment Inventory]]), 0)</f>
        <v>0.98148148148148151</v>
      </c>
      <c r="Y689" s="62">
        <v>4</v>
      </c>
      <c r="Z689" s="62">
        <v>50</v>
      </c>
      <c r="AA689" s="53">
        <v>20.988639053254438</v>
      </c>
      <c r="AB689" s="53">
        <v>21.934437869822482</v>
      </c>
      <c r="AC689" s="53">
        <v>21.490650887573963</v>
      </c>
      <c r="AD689" s="53">
        <v>25.715502958579876</v>
      </c>
      <c r="AE689" s="53" t="str">
        <f>_xlfn.XLOOKUP(Master[[#This Row],[cu_id]],'[1]Customer Revenue'!$Q:$Q,'[1]Customer Revenue'!$K:$K, "None")</f>
        <v>None</v>
      </c>
      <c r="AF689" s="53" t="str">
        <f>_xlfn.XLOOKUP(Master[[#This Row],[cu_id]],'[1]Customer Revenue'!$Q:$Q,'[1]Customer Revenue'!$L:$L, "None")</f>
        <v>None</v>
      </c>
      <c r="AG689" s="53">
        <v>19.722333727810657</v>
      </c>
      <c r="AH689" s="53">
        <v>22.872866272189349</v>
      </c>
      <c r="AI689" s="53">
        <v>21.46153846153846</v>
      </c>
      <c r="AJ689" s="53">
        <v>23.60307692307692</v>
      </c>
      <c r="AK689" s="53" t="str">
        <f>_xlfn.XLOOKUP(Master[[#This Row],[cu_id]],'[1]Customer Revenue'!$Q:$Q,'[1]Customer Revenue'!$I:$I, "None")</f>
        <v>None</v>
      </c>
      <c r="AL689" s="53">
        <v>21.297600000000003</v>
      </c>
      <c r="AM689" s="61">
        <v>0.20833333333333334</v>
      </c>
      <c r="AN689" s="60">
        <v>0.83333333333333337</v>
      </c>
      <c r="AO689" s="60" t="s">
        <v>36</v>
      </c>
      <c r="AP689" s="60" t="s">
        <v>36</v>
      </c>
      <c r="AQ689" s="58" t="s">
        <v>308</v>
      </c>
      <c r="AR689" s="58"/>
      <c r="AS689" s="58"/>
      <c r="AT689" s="52">
        <v>0</v>
      </c>
      <c r="AU689" s="52" t="e">
        <f>IF(Master[[#This Row],[RSP StopTime override]] &lt;&gt; "",Master[[#This Row],[RSP StopTime override]],IF(Master[[#This Row],[Avg stop time helper]] &lt;&gt; 0, Master[[#This Row],[Avg stop time helper]],Average_Stop_Time))</f>
        <v>#DIV/0!</v>
      </c>
      <c r="AV689" s="21"/>
      <c r="AW689" s="20">
        <f>Master[[#This Row],[RSP StopTime override]]-Master[[#This Row],[Avg stop time helper]]</f>
        <v>0</v>
      </c>
    </row>
    <row r="690" spans="1:49" x14ac:dyDescent="0.3">
      <c r="A690" s="66" t="s">
        <v>4739</v>
      </c>
      <c r="B690" s="58">
        <v>51</v>
      </c>
      <c r="C690" s="58" t="s">
        <v>24</v>
      </c>
      <c r="D690" s="65">
        <v>519792</v>
      </c>
      <c r="E690" s="65" t="s">
        <v>42</v>
      </c>
      <c r="F690" s="65" t="s">
        <v>2162</v>
      </c>
      <c r="G690" s="65" t="s">
        <v>2161</v>
      </c>
      <c r="H690" s="65" t="s">
        <v>32</v>
      </c>
      <c r="I690" s="65" t="s">
        <v>2158</v>
      </c>
      <c r="J690" s="65" t="s">
        <v>5</v>
      </c>
      <c r="K690" s="65" t="s">
        <v>2034</v>
      </c>
      <c r="L690" s="64" t="s">
        <v>67</v>
      </c>
      <c r="M690" s="58" t="s">
        <v>3</v>
      </c>
      <c r="N690" s="58" t="s">
        <v>2</v>
      </c>
      <c r="O690" s="58">
        <v>141</v>
      </c>
      <c r="P690" s="58">
        <v>141</v>
      </c>
      <c r="Q690" s="58">
        <v>0</v>
      </c>
      <c r="R690" s="58">
        <v>0</v>
      </c>
      <c r="S690" s="58">
        <v>0</v>
      </c>
      <c r="T690" s="58">
        <v>0</v>
      </c>
      <c r="U690" s="58">
        <v>51</v>
      </c>
      <c r="V690" s="62"/>
      <c r="W690" s="62"/>
      <c r="X690" s="63">
        <f>IFERROR(1 -(Master[[#This Row],[Avg Garment Scans per Delivery]]/Master[[#This Row],[Garment Inventory]]), 0)</f>
        <v>0</v>
      </c>
      <c r="Y690" s="62"/>
      <c r="Z690" s="62"/>
      <c r="AA690" s="53">
        <v>11.822958579881657</v>
      </c>
      <c r="AB690" s="53">
        <v>12.52165680473373</v>
      </c>
      <c r="AC690" s="53">
        <v>12.74</v>
      </c>
      <c r="AD690" s="53">
        <v>12.74</v>
      </c>
      <c r="AE690" s="53" t="str">
        <f>_xlfn.XLOOKUP(Master[[#This Row],[cu_id]],'[1]Customer Revenue'!$Q:$Q,'[1]Customer Revenue'!$K:$K, "None")</f>
        <v>None</v>
      </c>
      <c r="AF690" s="53" t="str">
        <f>_xlfn.XLOOKUP(Master[[#This Row],[cu_id]],'[1]Customer Revenue'!$Q:$Q,'[1]Customer Revenue'!$L:$L, "None")</f>
        <v>None</v>
      </c>
      <c r="AG690" s="53">
        <v>11.159839053254432</v>
      </c>
      <c r="AH690" s="53">
        <v>12.94256094674556</v>
      </c>
      <c r="AI690" s="53">
        <v>12.172307692307694</v>
      </c>
      <c r="AJ690" s="53">
        <v>12.74</v>
      </c>
      <c r="AK690" s="53" t="str">
        <f>_xlfn.XLOOKUP(Master[[#This Row],[cu_id]],'[1]Customer Revenue'!$Q:$Q,'[1]Customer Revenue'!$I:$I, "None")</f>
        <v>None</v>
      </c>
      <c r="AL690" s="53">
        <v>12.051199999999996</v>
      </c>
      <c r="AM690" s="61">
        <v>0.20833333333333334</v>
      </c>
      <c r="AN690" s="60">
        <v>0.83333333333333337</v>
      </c>
      <c r="AO690" s="60" t="s">
        <v>36</v>
      </c>
      <c r="AP690" s="60" t="s">
        <v>36</v>
      </c>
      <c r="AQ690" s="58" t="s">
        <v>308</v>
      </c>
      <c r="AR690" s="58"/>
      <c r="AS690" s="58"/>
      <c r="AT690" s="52">
        <v>0</v>
      </c>
      <c r="AU690" s="52" t="e">
        <f>IF(Master[[#This Row],[RSP StopTime override]] &lt;&gt; "",Master[[#This Row],[RSP StopTime override]],IF(Master[[#This Row],[Avg stop time helper]] &lt;&gt; 0, Master[[#This Row],[Avg stop time helper]],Average_Stop_Time))</f>
        <v>#DIV/0!</v>
      </c>
      <c r="AV690" s="21"/>
      <c r="AW690" s="20">
        <f>Master[[#This Row],[RSP StopTime override]]-Master[[#This Row],[Avg stop time helper]]</f>
        <v>0</v>
      </c>
    </row>
    <row r="691" spans="1:49" x14ac:dyDescent="0.3">
      <c r="A691" s="66" t="s">
        <v>4740</v>
      </c>
      <c r="B691" s="58">
        <v>51</v>
      </c>
      <c r="C691" s="58" t="s">
        <v>24</v>
      </c>
      <c r="D691" s="65">
        <v>519988</v>
      </c>
      <c r="E691" s="65" t="s">
        <v>42</v>
      </c>
      <c r="F691" s="65" t="s">
        <v>2160</v>
      </c>
      <c r="G691" s="65" t="s">
        <v>2159</v>
      </c>
      <c r="H691" s="65" t="s">
        <v>32</v>
      </c>
      <c r="I691" s="65" t="s">
        <v>2158</v>
      </c>
      <c r="J691" s="65" t="s">
        <v>5</v>
      </c>
      <c r="K691" s="65" t="s">
        <v>49</v>
      </c>
      <c r="L691" s="64" t="s">
        <v>67</v>
      </c>
      <c r="M691" s="58" t="s">
        <v>3</v>
      </c>
      <c r="N691" s="58" t="s">
        <v>2</v>
      </c>
      <c r="O691" s="58">
        <v>142</v>
      </c>
      <c r="P691" s="58">
        <v>142</v>
      </c>
      <c r="Q691" s="58">
        <v>0</v>
      </c>
      <c r="R691" s="58">
        <v>0</v>
      </c>
      <c r="S691" s="58">
        <v>0</v>
      </c>
      <c r="T691" s="58">
        <v>0</v>
      </c>
      <c r="U691" s="58">
        <v>56</v>
      </c>
      <c r="V691" s="62"/>
      <c r="W691" s="62"/>
      <c r="X691" s="63">
        <f>IFERROR(1 -(Master[[#This Row],[Avg Garment Scans per Delivery]]/Master[[#This Row],[Garment Inventory]]), 0)</f>
        <v>0</v>
      </c>
      <c r="Y691" s="62"/>
      <c r="Z691" s="62"/>
      <c r="AA691" s="53">
        <v>24.153313609467457</v>
      </c>
      <c r="AB691" s="53">
        <v>42.509763313609483</v>
      </c>
      <c r="AC691" s="53">
        <v>24.171111111111109</v>
      </c>
      <c r="AD691" s="53">
        <v>47.042222222222229</v>
      </c>
      <c r="AE691" s="53" t="str">
        <f>_xlfn.XLOOKUP(Master[[#This Row],[cu_id]],'[1]Customer Revenue'!$Q:$Q,'[1]Customer Revenue'!$K:$K, "None")</f>
        <v>None</v>
      </c>
      <c r="AF691" s="53" t="str">
        <f>_xlfn.XLOOKUP(Master[[#This Row],[cu_id]],'[1]Customer Revenue'!$Q:$Q,'[1]Customer Revenue'!$L:$L, "None")</f>
        <v>None</v>
      </c>
      <c r="AG691" s="53">
        <v>22.853814498258945</v>
      </c>
      <c r="AH691" s="53">
        <v>46.967723963279539</v>
      </c>
      <c r="AI691" s="53">
        <v>33.331538461538472</v>
      </c>
      <c r="AJ691" s="53">
        <v>35.606666666666669</v>
      </c>
      <c r="AK691" s="53" t="str">
        <f>_xlfn.XLOOKUP(Master[[#This Row],[cu_id]],'[1]Customer Revenue'!$Q:$Q,'[1]Customer Revenue'!$I:$I, "None")</f>
        <v>None</v>
      </c>
      <c r="AL691" s="53">
        <v>34.91076923076924</v>
      </c>
      <c r="AM691" s="61">
        <v>0.20833333333333334</v>
      </c>
      <c r="AN691" s="60">
        <v>0.83333333333333337</v>
      </c>
      <c r="AO691" s="60" t="s">
        <v>36</v>
      </c>
      <c r="AP691" s="60" t="s">
        <v>36</v>
      </c>
      <c r="AQ691" s="58" t="s">
        <v>308</v>
      </c>
      <c r="AR691" s="58"/>
      <c r="AS691" s="58"/>
      <c r="AT691" s="52">
        <v>0</v>
      </c>
      <c r="AU691" s="52" t="e">
        <f>IF(Master[[#This Row],[RSP StopTime override]] &lt;&gt; "",Master[[#This Row],[RSP StopTime override]],IF(Master[[#This Row],[Avg stop time helper]] &lt;&gt; 0, Master[[#This Row],[Avg stop time helper]],Average_Stop_Time))</f>
        <v>#DIV/0!</v>
      </c>
      <c r="AV691" s="21"/>
      <c r="AW691" s="20">
        <f>Master[[#This Row],[RSP StopTime override]]-Master[[#This Row],[Avg stop time helper]]</f>
        <v>0</v>
      </c>
    </row>
    <row r="692" spans="1:49" x14ac:dyDescent="0.3">
      <c r="A692" s="66" t="s">
        <v>4741</v>
      </c>
      <c r="B692" s="58">
        <v>51</v>
      </c>
      <c r="C692" s="58" t="s">
        <v>10</v>
      </c>
      <c r="D692" s="65">
        <v>520318</v>
      </c>
      <c r="E692" s="65" t="s">
        <v>42</v>
      </c>
      <c r="F692" s="65" t="s">
        <v>2157</v>
      </c>
      <c r="G692" s="65" t="s">
        <v>2156</v>
      </c>
      <c r="H692" s="65" t="s">
        <v>32</v>
      </c>
      <c r="I692" s="65" t="s">
        <v>50</v>
      </c>
      <c r="J692" s="65" t="s">
        <v>5</v>
      </c>
      <c r="K692" s="65" t="s">
        <v>20</v>
      </c>
      <c r="L692" s="64" t="s">
        <v>206</v>
      </c>
      <c r="M692" s="58" t="s">
        <v>205</v>
      </c>
      <c r="N692" s="58" t="s">
        <v>2</v>
      </c>
      <c r="O692" s="58">
        <v>127</v>
      </c>
      <c r="P692" s="58">
        <v>0</v>
      </c>
      <c r="Q692" s="58">
        <v>0</v>
      </c>
      <c r="R692" s="58">
        <v>127</v>
      </c>
      <c r="S692" s="58">
        <v>0</v>
      </c>
      <c r="T692" s="58">
        <v>0</v>
      </c>
      <c r="U692" s="58">
        <v>13</v>
      </c>
      <c r="V692" s="62"/>
      <c r="W692" s="62"/>
      <c r="X692" s="63">
        <f>IFERROR(1 -(Master[[#This Row],[Avg Garment Scans per Delivery]]/Master[[#This Row],[Garment Inventory]]), 0)</f>
        <v>0</v>
      </c>
      <c r="Y692" s="62"/>
      <c r="Z692" s="62"/>
      <c r="AA692" s="53">
        <v>56.72</v>
      </c>
      <c r="AB692" s="53">
        <v>56.72</v>
      </c>
      <c r="AC692" s="53">
        <v>58.97</v>
      </c>
      <c r="AD692" s="53">
        <v>68.22</v>
      </c>
      <c r="AE692" s="53" t="str">
        <f>_xlfn.XLOOKUP(Master[[#This Row],[cu_id]],'[1]Customer Revenue'!$Q:$Q,'[1]Customer Revenue'!$K:$K, "None")</f>
        <v>None</v>
      </c>
      <c r="AF692" s="53" t="str">
        <f>_xlfn.XLOOKUP(Master[[#This Row],[cu_id]],'[1]Customer Revenue'!$Q:$Q,'[1]Customer Revenue'!$L:$L, "None")</f>
        <v>None</v>
      </c>
      <c r="AG692" s="53">
        <v>56.72</v>
      </c>
      <c r="AH692" s="53">
        <v>56.720000000000013</v>
      </c>
      <c r="AI692" s="53">
        <v>56.72</v>
      </c>
      <c r="AJ692" s="53">
        <v>63.594999999999999</v>
      </c>
      <c r="AK692" s="53" t="str">
        <f>_xlfn.XLOOKUP(Master[[#This Row],[cu_id]],'[1]Customer Revenue'!$Q:$Q,'[1]Customer Revenue'!$I:$I, "None")</f>
        <v>None</v>
      </c>
      <c r="AL692" s="53">
        <v>56.720000000000006</v>
      </c>
      <c r="AM692" s="61">
        <v>0.375</v>
      </c>
      <c r="AN692" s="60">
        <v>0.70833333333333337</v>
      </c>
      <c r="AO692" s="60" t="s">
        <v>36</v>
      </c>
      <c r="AP692" s="60" t="s">
        <v>36</v>
      </c>
      <c r="AQ692" s="58" t="s">
        <v>0</v>
      </c>
      <c r="AR692" s="58"/>
      <c r="AS692" s="58"/>
      <c r="AT692" s="52">
        <v>0</v>
      </c>
      <c r="AU692" s="52" t="e">
        <f>IF(Master[[#This Row],[RSP StopTime override]] &lt;&gt; "",Master[[#This Row],[RSP StopTime override]],IF(Master[[#This Row],[Avg stop time helper]] &lt;&gt; 0, Master[[#This Row],[Avg stop time helper]],Average_Stop_Time))</f>
        <v>#DIV/0!</v>
      </c>
      <c r="AV692" s="21"/>
      <c r="AW692" s="20">
        <f>Master[[#This Row],[RSP StopTime override]]-Master[[#This Row],[Avg stop time helper]]</f>
        <v>0</v>
      </c>
    </row>
    <row r="693" spans="1:49" x14ac:dyDescent="0.3">
      <c r="A693" s="66" t="s">
        <v>4742</v>
      </c>
      <c r="B693" s="58">
        <v>51</v>
      </c>
      <c r="C693" s="58" t="s">
        <v>15</v>
      </c>
      <c r="D693" s="65">
        <v>99061</v>
      </c>
      <c r="E693" s="65" t="s">
        <v>2155</v>
      </c>
      <c r="F693" s="65" t="s">
        <v>2154</v>
      </c>
      <c r="G693" s="65" t="s">
        <v>2142</v>
      </c>
      <c r="H693" s="65" t="s">
        <v>32</v>
      </c>
      <c r="I693" s="65" t="s">
        <v>50</v>
      </c>
      <c r="J693" s="65" t="s">
        <v>5</v>
      </c>
      <c r="K693" s="65" t="s">
        <v>1847</v>
      </c>
      <c r="L693" s="64" t="s">
        <v>67</v>
      </c>
      <c r="M693" s="58" t="s">
        <v>3</v>
      </c>
      <c r="N693" s="58" t="s">
        <v>2</v>
      </c>
      <c r="O693" s="58">
        <v>60</v>
      </c>
      <c r="P693" s="58">
        <v>0</v>
      </c>
      <c r="Q693" s="58">
        <v>0</v>
      </c>
      <c r="R693" s="58">
        <v>0</v>
      </c>
      <c r="S693" s="58">
        <v>0</v>
      </c>
      <c r="T693" s="58">
        <v>60</v>
      </c>
      <c r="U693" s="58">
        <v>52</v>
      </c>
      <c r="V693" s="62"/>
      <c r="W693" s="62"/>
      <c r="X693" s="63">
        <f>IFERROR(1 -(Master[[#This Row],[Avg Garment Scans per Delivery]]/Master[[#This Row],[Garment Inventory]]), 0)</f>
        <v>0</v>
      </c>
      <c r="Y693" s="62"/>
      <c r="Z693" s="62"/>
      <c r="AA693" s="53">
        <v>15</v>
      </c>
      <c r="AB693" s="53">
        <v>15</v>
      </c>
      <c r="AC693" s="53">
        <v>15</v>
      </c>
      <c r="AD693" s="53">
        <v>15</v>
      </c>
      <c r="AE693" s="53" t="str">
        <f>_xlfn.XLOOKUP(Master[[#This Row],[cu_id]],'[1]Customer Revenue'!$Q:$Q,'[1]Customer Revenue'!$K:$K, "None")</f>
        <v>None</v>
      </c>
      <c r="AF693" s="53" t="str">
        <f>_xlfn.XLOOKUP(Master[[#This Row],[cu_id]],'[1]Customer Revenue'!$Q:$Q,'[1]Customer Revenue'!$L:$L, "None")</f>
        <v>None</v>
      </c>
      <c r="AG693" s="53">
        <v>15</v>
      </c>
      <c r="AH693" s="53">
        <v>15</v>
      </c>
      <c r="AI693" s="53">
        <v>15</v>
      </c>
      <c r="AJ693" s="53">
        <v>15</v>
      </c>
      <c r="AK693" s="53" t="str">
        <f>_xlfn.XLOOKUP(Master[[#This Row],[cu_id]],'[1]Customer Revenue'!$Q:$Q,'[1]Customer Revenue'!$I:$I, "None")</f>
        <v>None</v>
      </c>
      <c r="AL693" s="53">
        <v>15</v>
      </c>
      <c r="AM693" s="61" t="s">
        <v>36</v>
      </c>
      <c r="AN693" s="60" t="s">
        <v>36</v>
      </c>
      <c r="AO693" s="60" t="s">
        <v>36</v>
      </c>
      <c r="AP693" s="60" t="s">
        <v>36</v>
      </c>
      <c r="AQ693" s="58" t="s">
        <v>308</v>
      </c>
      <c r="AR693" s="58"/>
      <c r="AS693" s="58"/>
      <c r="AT693" s="52">
        <v>0</v>
      </c>
      <c r="AU693" s="52" t="e">
        <f>IF(Master[[#This Row],[RSP StopTime override]] &lt;&gt; "",Master[[#This Row],[RSP StopTime override]],IF(Master[[#This Row],[Avg stop time helper]] &lt;&gt; 0, Master[[#This Row],[Avg stop time helper]],Average_Stop_Time))</f>
        <v>#DIV/0!</v>
      </c>
      <c r="AV693" s="21"/>
      <c r="AW693" s="20">
        <f>Master[[#This Row],[RSP StopTime override]]-Master[[#This Row],[Avg stop time helper]]</f>
        <v>0</v>
      </c>
    </row>
    <row r="694" spans="1:49" x14ac:dyDescent="0.3">
      <c r="A694" s="66" t="s">
        <v>4743</v>
      </c>
      <c r="B694" s="58">
        <v>51</v>
      </c>
      <c r="C694" s="58" t="s">
        <v>15</v>
      </c>
      <c r="D694" s="65">
        <v>99061</v>
      </c>
      <c r="E694" s="65" t="s">
        <v>2153</v>
      </c>
      <c r="F694" s="65" t="s">
        <v>2152</v>
      </c>
      <c r="G694" s="65" t="s">
        <v>2142</v>
      </c>
      <c r="H694" s="65" t="s">
        <v>32</v>
      </c>
      <c r="I694" s="65" t="s">
        <v>50</v>
      </c>
      <c r="J694" s="65" t="s">
        <v>5</v>
      </c>
      <c r="K694" s="65" t="s">
        <v>1847</v>
      </c>
      <c r="L694" s="64" t="s">
        <v>67</v>
      </c>
      <c r="M694" s="58" t="s">
        <v>3</v>
      </c>
      <c r="N694" s="58" t="s">
        <v>2</v>
      </c>
      <c r="O694" s="58">
        <v>85</v>
      </c>
      <c r="P694" s="58">
        <v>0</v>
      </c>
      <c r="Q694" s="58">
        <v>0</v>
      </c>
      <c r="R694" s="58">
        <v>0</v>
      </c>
      <c r="S694" s="58">
        <v>0</v>
      </c>
      <c r="T694" s="58">
        <v>85</v>
      </c>
      <c r="U694" s="58">
        <v>52</v>
      </c>
      <c r="V694" s="62"/>
      <c r="W694" s="62"/>
      <c r="X694" s="63">
        <f>IFERROR(1 -(Master[[#This Row],[Avg Garment Scans per Delivery]]/Master[[#This Row],[Garment Inventory]]), 0)</f>
        <v>0</v>
      </c>
      <c r="Y694" s="62"/>
      <c r="Z694" s="62"/>
      <c r="AA694" s="53">
        <v>37.28</v>
      </c>
      <c r="AB694" s="53">
        <v>38.529999999999987</v>
      </c>
      <c r="AC694" s="53">
        <v>39.779999999999973</v>
      </c>
      <c r="AD694" s="53">
        <v>39.78</v>
      </c>
      <c r="AE694" s="53" t="str">
        <f>_xlfn.XLOOKUP(Master[[#This Row],[cu_id]],'[1]Customer Revenue'!$Q:$Q,'[1]Customer Revenue'!$K:$K, "None")</f>
        <v>None</v>
      </c>
      <c r="AF694" s="53" t="str">
        <f>_xlfn.XLOOKUP(Master[[#This Row],[cu_id]],'[1]Customer Revenue'!$Q:$Q,'[1]Customer Revenue'!$L:$L, "None")</f>
        <v>None</v>
      </c>
      <c r="AG694" s="53">
        <v>36.034142011834298</v>
      </c>
      <c r="AH694" s="53">
        <v>37.995088757396438</v>
      </c>
      <c r="AI694" s="53">
        <v>37.904999999999994</v>
      </c>
      <c r="AJ694" s="53">
        <v>39.779999999999987</v>
      </c>
      <c r="AK694" s="53" t="str">
        <f>_xlfn.XLOOKUP(Master[[#This Row],[cu_id]],'[1]Customer Revenue'!$Q:$Q,'[1]Customer Revenue'!$I:$I, "None")</f>
        <v>None</v>
      </c>
      <c r="AL694" s="53">
        <v>37.014615384615368</v>
      </c>
      <c r="AM694" s="61" t="s">
        <v>36</v>
      </c>
      <c r="AN694" s="60" t="s">
        <v>36</v>
      </c>
      <c r="AO694" s="60" t="s">
        <v>36</v>
      </c>
      <c r="AP694" s="60" t="s">
        <v>36</v>
      </c>
      <c r="AQ694" s="58" t="s">
        <v>308</v>
      </c>
      <c r="AR694" s="58"/>
      <c r="AS694" s="58"/>
      <c r="AT694" s="52">
        <v>0</v>
      </c>
      <c r="AU694" s="52" t="e">
        <f>IF(Master[[#This Row],[RSP StopTime override]] &lt;&gt; "",Master[[#This Row],[RSP StopTime override]],IF(Master[[#This Row],[Avg stop time helper]] &lt;&gt; 0, Master[[#This Row],[Avg stop time helper]],Average_Stop_Time))</f>
        <v>#DIV/0!</v>
      </c>
      <c r="AV694" s="21"/>
      <c r="AW694" s="20">
        <f>Master[[#This Row],[RSP StopTime override]]-Master[[#This Row],[Avg stop time helper]]</f>
        <v>0</v>
      </c>
    </row>
    <row r="695" spans="1:49" x14ac:dyDescent="0.3">
      <c r="A695" s="66" t="s">
        <v>4744</v>
      </c>
      <c r="B695" s="58">
        <v>51</v>
      </c>
      <c r="C695" s="58" t="s">
        <v>15</v>
      </c>
      <c r="D695" s="65">
        <v>99061</v>
      </c>
      <c r="E695" s="65" t="s">
        <v>2151</v>
      </c>
      <c r="F695" s="65" t="s">
        <v>2150</v>
      </c>
      <c r="G695" s="65" t="s">
        <v>2142</v>
      </c>
      <c r="H695" s="65" t="s">
        <v>32</v>
      </c>
      <c r="I695" s="65" t="s">
        <v>50</v>
      </c>
      <c r="J695" s="65" t="s">
        <v>5</v>
      </c>
      <c r="K695" s="65" t="s">
        <v>1847</v>
      </c>
      <c r="L695" s="64" t="s">
        <v>67</v>
      </c>
      <c r="M695" s="58" t="s">
        <v>3</v>
      </c>
      <c r="N695" s="58" t="s">
        <v>2</v>
      </c>
      <c r="O695" s="58">
        <v>50</v>
      </c>
      <c r="P695" s="58">
        <v>0</v>
      </c>
      <c r="Q695" s="58">
        <v>0</v>
      </c>
      <c r="R695" s="58">
        <v>0</v>
      </c>
      <c r="S695" s="58">
        <v>0</v>
      </c>
      <c r="T695" s="58">
        <v>50</v>
      </c>
      <c r="U695" s="58">
        <v>53</v>
      </c>
      <c r="V695" s="62"/>
      <c r="W695" s="62"/>
      <c r="X695" s="63">
        <f>IFERROR(1 -(Master[[#This Row],[Avg Garment Scans per Delivery]]/Master[[#This Row],[Garment Inventory]]), 0)</f>
        <v>0</v>
      </c>
      <c r="Y695" s="62"/>
      <c r="Z695" s="62"/>
      <c r="AA695" s="53">
        <v>169.06508875739647</v>
      </c>
      <c r="AB695" s="53">
        <v>222.30106508875738</v>
      </c>
      <c r="AC695" s="53">
        <v>190.29</v>
      </c>
      <c r="AD695" s="53">
        <v>190.29</v>
      </c>
      <c r="AE695" s="53" t="str">
        <f>_xlfn.XLOOKUP(Master[[#This Row],[cu_id]],'[1]Customer Revenue'!$Q:$Q,'[1]Customer Revenue'!$K:$K, "None")</f>
        <v>None</v>
      </c>
      <c r="AF695" s="53" t="str">
        <f>_xlfn.XLOOKUP(Master[[#This Row],[cu_id]],'[1]Customer Revenue'!$Q:$Q,'[1]Customer Revenue'!$L:$L, "None")</f>
        <v>None</v>
      </c>
      <c r="AG695" s="53">
        <v>170.42411522633745</v>
      </c>
      <c r="AH695" s="53">
        <v>198.57144032921792</v>
      </c>
      <c r="AI695" s="53">
        <v>195.68307692307692</v>
      </c>
      <c r="AJ695" s="53">
        <v>190.29</v>
      </c>
      <c r="AK695" s="53" t="str">
        <f>_xlfn.XLOOKUP(Master[[#This Row],[cu_id]],'[1]Customer Revenue'!$Q:$Q,'[1]Customer Revenue'!$I:$I, "None")</f>
        <v>None</v>
      </c>
      <c r="AL695" s="53">
        <v>184.49777777777769</v>
      </c>
      <c r="AM695" s="61" t="s">
        <v>36</v>
      </c>
      <c r="AN695" s="60" t="s">
        <v>36</v>
      </c>
      <c r="AO695" s="60" t="s">
        <v>36</v>
      </c>
      <c r="AP695" s="60" t="s">
        <v>36</v>
      </c>
      <c r="AQ695" s="58" t="s">
        <v>308</v>
      </c>
      <c r="AR695" s="58"/>
      <c r="AS695" s="58"/>
      <c r="AT695" s="52">
        <v>0</v>
      </c>
      <c r="AU695" s="52" t="e">
        <f>IF(Master[[#This Row],[RSP StopTime override]] &lt;&gt; "",Master[[#This Row],[RSP StopTime override]],IF(Master[[#This Row],[Avg stop time helper]] &lt;&gt; 0, Master[[#This Row],[Avg stop time helper]],Average_Stop_Time))</f>
        <v>#DIV/0!</v>
      </c>
      <c r="AV695" s="21"/>
      <c r="AW695" s="20">
        <f>Master[[#This Row],[RSP StopTime override]]-Master[[#This Row],[Avg stop time helper]]</f>
        <v>0</v>
      </c>
    </row>
    <row r="696" spans="1:49" x14ac:dyDescent="0.3">
      <c r="A696" s="66" t="s">
        <v>4745</v>
      </c>
      <c r="B696" s="58">
        <v>51</v>
      </c>
      <c r="C696" s="58" t="s">
        <v>15</v>
      </c>
      <c r="D696" s="65">
        <v>99061</v>
      </c>
      <c r="E696" s="65" t="s">
        <v>2149</v>
      </c>
      <c r="F696" s="65" t="s">
        <v>2148</v>
      </c>
      <c r="G696" s="65" t="s">
        <v>2142</v>
      </c>
      <c r="H696" s="65" t="s">
        <v>32</v>
      </c>
      <c r="I696" s="65" t="s">
        <v>50</v>
      </c>
      <c r="J696" s="65" t="s">
        <v>5</v>
      </c>
      <c r="K696" s="65" t="s">
        <v>1847</v>
      </c>
      <c r="L696" s="64" t="s">
        <v>67</v>
      </c>
      <c r="M696" s="58" t="s">
        <v>3</v>
      </c>
      <c r="N696" s="58" t="s">
        <v>2</v>
      </c>
      <c r="O696" s="58">
        <v>20</v>
      </c>
      <c r="P696" s="58">
        <v>0</v>
      </c>
      <c r="Q696" s="58">
        <v>0</v>
      </c>
      <c r="R696" s="58">
        <v>0</v>
      </c>
      <c r="S696" s="58">
        <v>0</v>
      </c>
      <c r="T696" s="58">
        <v>20</v>
      </c>
      <c r="U696" s="58">
        <v>52</v>
      </c>
      <c r="V696" s="62"/>
      <c r="W696" s="62"/>
      <c r="X696" s="63">
        <f>IFERROR(1 -(Master[[#This Row],[Avg Garment Scans per Delivery]]/Master[[#This Row],[Garment Inventory]]), 0)</f>
        <v>0</v>
      </c>
      <c r="Y696" s="62"/>
      <c r="Z696" s="62"/>
      <c r="AA696" s="53">
        <v>23.96</v>
      </c>
      <c r="AB696" s="53">
        <v>23.960000000000008</v>
      </c>
      <c r="AC696" s="53">
        <v>23.96</v>
      </c>
      <c r="AD696" s="53">
        <v>23.96</v>
      </c>
      <c r="AE696" s="53" t="str">
        <f>_xlfn.XLOOKUP(Master[[#This Row],[cu_id]],'[1]Customer Revenue'!$Q:$Q,'[1]Customer Revenue'!$K:$K, "None")</f>
        <v>None</v>
      </c>
      <c r="AF696" s="53" t="str">
        <f>_xlfn.XLOOKUP(Master[[#This Row],[cu_id]],'[1]Customer Revenue'!$Q:$Q,'[1]Customer Revenue'!$L:$L, "None")</f>
        <v>None</v>
      </c>
      <c r="AG696" s="53">
        <v>22.97331360946745</v>
      </c>
      <c r="AH696" s="53">
        <v>24.062071005917158</v>
      </c>
      <c r="AI696" s="53">
        <v>23.960000000000004</v>
      </c>
      <c r="AJ696" s="53">
        <v>23.96</v>
      </c>
      <c r="AK696" s="53" t="str">
        <f>_xlfn.XLOOKUP(Master[[#This Row],[cu_id]],'[1]Customer Revenue'!$Q:$Q,'[1]Customer Revenue'!$I:$I, "None")</f>
        <v>None</v>
      </c>
      <c r="AL696" s="53">
        <v>23.517692307692304</v>
      </c>
      <c r="AM696" s="61" t="s">
        <v>36</v>
      </c>
      <c r="AN696" s="60" t="s">
        <v>36</v>
      </c>
      <c r="AO696" s="60" t="s">
        <v>36</v>
      </c>
      <c r="AP696" s="60" t="s">
        <v>36</v>
      </c>
      <c r="AQ696" s="58" t="s">
        <v>308</v>
      </c>
      <c r="AR696" s="58"/>
      <c r="AS696" s="58"/>
      <c r="AT696" s="52">
        <v>0</v>
      </c>
      <c r="AU696" s="52" t="e">
        <f>IF(Master[[#This Row],[RSP StopTime override]] &lt;&gt; "",Master[[#This Row],[RSP StopTime override]],IF(Master[[#This Row],[Avg stop time helper]] &lt;&gt; 0, Master[[#This Row],[Avg stop time helper]],Average_Stop_Time))</f>
        <v>#DIV/0!</v>
      </c>
      <c r="AV696" s="21"/>
      <c r="AW696" s="20">
        <f>Master[[#This Row],[RSP StopTime override]]-Master[[#This Row],[Avg stop time helper]]</f>
        <v>0</v>
      </c>
    </row>
    <row r="697" spans="1:49" x14ac:dyDescent="0.3">
      <c r="A697" s="66" t="s">
        <v>4746</v>
      </c>
      <c r="B697" s="58">
        <v>51</v>
      </c>
      <c r="C697" s="58" t="s">
        <v>15</v>
      </c>
      <c r="D697" s="65">
        <v>99061</v>
      </c>
      <c r="E697" s="65" t="s">
        <v>2147</v>
      </c>
      <c r="F697" s="65" t="s">
        <v>2146</v>
      </c>
      <c r="G697" s="65" t="s">
        <v>2145</v>
      </c>
      <c r="H697" s="65" t="s">
        <v>32</v>
      </c>
      <c r="I697" s="65" t="s">
        <v>50</v>
      </c>
      <c r="J697" s="65" t="s">
        <v>5</v>
      </c>
      <c r="K697" s="65" t="s">
        <v>49</v>
      </c>
      <c r="L697" s="64" t="s">
        <v>67</v>
      </c>
      <c r="M697" s="58" t="s">
        <v>3</v>
      </c>
      <c r="N697" s="58" t="s">
        <v>2</v>
      </c>
      <c r="O697" s="58">
        <v>55</v>
      </c>
      <c r="P697" s="58">
        <v>0</v>
      </c>
      <c r="Q697" s="58">
        <v>0</v>
      </c>
      <c r="R697" s="58">
        <v>0</v>
      </c>
      <c r="S697" s="58">
        <v>0</v>
      </c>
      <c r="T697" s="58">
        <v>55</v>
      </c>
      <c r="U697" s="58">
        <v>52</v>
      </c>
      <c r="V697" s="62"/>
      <c r="W697" s="62"/>
      <c r="X697" s="63">
        <f>IFERROR(1 -(Master[[#This Row],[Avg Garment Scans per Delivery]]/Master[[#This Row],[Garment Inventory]]), 0)</f>
        <v>0</v>
      </c>
      <c r="Y697" s="62"/>
      <c r="Z697" s="62"/>
      <c r="AA697" s="53">
        <v>12.599999999999993</v>
      </c>
      <c r="AB697" s="53">
        <v>12.6</v>
      </c>
      <c r="AC697" s="53">
        <v>12.599999999999993</v>
      </c>
      <c r="AD697" s="53">
        <v>12.6</v>
      </c>
      <c r="AE697" s="53" t="str">
        <f>_xlfn.XLOOKUP(Master[[#This Row],[cu_id]],'[1]Customer Revenue'!$Q:$Q,'[1]Customer Revenue'!$K:$K, "None")</f>
        <v>None</v>
      </c>
      <c r="AF697" s="53" t="str">
        <f>_xlfn.XLOOKUP(Master[[#This Row],[cu_id]],'[1]Customer Revenue'!$Q:$Q,'[1]Customer Revenue'!$L:$L, "None")</f>
        <v>None</v>
      </c>
      <c r="AG697" s="53">
        <v>12.439467455621307</v>
      </c>
      <c r="AH697" s="53">
        <v>16.934378698224862</v>
      </c>
      <c r="AI697" s="53">
        <v>12.599999999999996</v>
      </c>
      <c r="AJ697" s="53">
        <v>12.599999999999996</v>
      </c>
      <c r="AK697" s="53" t="str">
        <f>_xlfn.XLOOKUP(Master[[#This Row],[cu_id]],'[1]Customer Revenue'!$Q:$Q,'[1]Customer Revenue'!$I:$I, "None")</f>
        <v>None</v>
      </c>
      <c r="AL697" s="53">
        <v>14.686923076923083</v>
      </c>
      <c r="AM697" s="61" t="s">
        <v>36</v>
      </c>
      <c r="AN697" s="60" t="s">
        <v>36</v>
      </c>
      <c r="AO697" s="60" t="s">
        <v>36</v>
      </c>
      <c r="AP697" s="60" t="s">
        <v>36</v>
      </c>
      <c r="AQ697" s="58" t="s">
        <v>308</v>
      </c>
      <c r="AR697" s="58"/>
      <c r="AS697" s="58"/>
      <c r="AT697" s="52">
        <v>0</v>
      </c>
      <c r="AU697" s="52" t="e">
        <f>IF(Master[[#This Row],[RSP StopTime override]] &lt;&gt; "",Master[[#This Row],[RSP StopTime override]],IF(Master[[#This Row],[Avg stop time helper]] &lt;&gt; 0, Master[[#This Row],[Avg stop time helper]],Average_Stop_Time))</f>
        <v>#DIV/0!</v>
      </c>
      <c r="AV697" s="21"/>
      <c r="AW697" s="20">
        <f>Master[[#This Row],[RSP StopTime override]]-Master[[#This Row],[Avg stop time helper]]</f>
        <v>0</v>
      </c>
    </row>
    <row r="698" spans="1:49" x14ac:dyDescent="0.3">
      <c r="A698" s="66" t="s">
        <v>4747</v>
      </c>
      <c r="B698" s="58">
        <v>51</v>
      </c>
      <c r="C698" s="58" t="s">
        <v>15</v>
      </c>
      <c r="D698" s="65">
        <v>99061</v>
      </c>
      <c r="E698" s="65" t="s">
        <v>2144</v>
      </c>
      <c r="F698" s="65" t="s">
        <v>2143</v>
      </c>
      <c r="G698" s="65" t="s">
        <v>2142</v>
      </c>
      <c r="H698" s="65" t="s">
        <v>32</v>
      </c>
      <c r="I698" s="65" t="s">
        <v>50</v>
      </c>
      <c r="J698" s="65" t="s">
        <v>5</v>
      </c>
      <c r="K698" s="65" t="s">
        <v>1847</v>
      </c>
      <c r="L698" s="64" t="s">
        <v>67</v>
      </c>
      <c r="M698" s="58" t="s">
        <v>3</v>
      </c>
      <c r="N698" s="58" t="s">
        <v>2</v>
      </c>
      <c r="O698" s="58">
        <v>40</v>
      </c>
      <c r="P698" s="58">
        <v>0</v>
      </c>
      <c r="Q698" s="58">
        <v>0</v>
      </c>
      <c r="R698" s="58">
        <v>0</v>
      </c>
      <c r="S698" s="58">
        <v>0</v>
      </c>
      <c r="T698" s="58">
        <v>40</v>
      </c>
      <c r="U698" s="58">
        <v>52</v>
      </c>
      <c r="V698" s="62"/>
      <c r="W698" s="62"/>
      <c r="X698" s="63">
        <f>IFERROR(1 -(Master[[#This Row],[Avg Garment Scans per Delivery]]/Master[[#This Row],[Garment Inventory]]), 0)</f>
        <v>0</v>
      </c>
      <c r="Y698" s="62"/>
      <c r="Z698" s="62"/>
      <c r="AA698" s="53">
        <v>96.7</v>
      </c>
      <c r="AB698" s="53">
        <v>96.70000000000006</v>
      </c>
      <c r="AC698" s="53">
        <v>96.75668639053255</v>
      </c>
      <c r="AD698" s="53">
        <v>98.117159763313609</v>
      </c>
      <c r="AE698" s="53" t="str">
        <f>_xlfn.XLOOKUP(Master[[#This Row],[cu_id]],'[1]Customer Revenue'!$Q:$Q,'[1]Customer Revenue'!$K:$K, "None")</f>
        <v>None</v>
      </c>
      <c r="AF698" s="53" t="str">
        <f>_xlfn.XLOOKUP(Master[[#This Row],[cu_id]],'[1]Customer Revenue'!$Q:$Q,'[1]Customer Revenue'!$L:$L, "None")</f>
        <v>None</v>
      </c>
      <c r="AG698" s="53">
        <v>92.751775147928981</v>
      </c>
      <c r="AH698" s="53">
        <v>97.163609467455615</v>
      </c>
      <c r="AI698" s="53">
        <v>96.700000000000031</v>
      </c>
      <c r="AJ698" s="53">
        <v>97.43692307692308</v>
      </c>
      <c r="AK698" s="53" t="str">
        <f>_xlfn.XLOOKUP(Master[[#This Row],[cu_id]],'[1]Customer Revenue'!$Q:$Q,'[1]Customer Revenue'!$I:$I, "None")</f>
        <v>None</v>
      </c>
      <c r="AL698" s="53">
        <v>94.957692307692298</v>
      </c>
      <c r="AM698" s="61" t="s">
        <v>36</v>
      </c>
      <c r="AN698" s="60" t="s">
        <v>36</v>
      </c>
      <c r="AO698" s="60" t="s">
        <v>36</v>
      </c>
      <c r="AP698" s="60" t="s">
        <v>36</v>
      </c>
      <c r="AQ698" s="58" t="s">
        <v>308</v>
      </c>
      <c r="AR698" s="58"/>
      <c r="AS698" s="58"/>
      <c r="AT698" s="52">
        <v>0</v>
      </c>
      <c r="AU698" s="52" t="e">
        <f>IF(Master[[#This Row],[RSP StopTime override]] &lt;&gt; "",Master[[#This Row],[RSP StopTime override]],IF(Master[[#This Row],[Avg stop time helper]] &lt;&gt; 0, Master[[#This Row],[Avg stop time helper]],Average_Stop_Time))</f>
        <v>#DIV/0!</v>
      </c>
      <c r="AV698" s="21"/>
      <c r="AW698" s="20">
        <f>Master[[#This Row],[RSP StopTime override]]-Master[[#This Row],[Avg stop time helper]]</f>
        <v>0</v>
      </c>
    </row>
    <row r="699" spans="1:49" x14ac:dyDescent="0.3">
      <c r="A699" s="66" t="s">
        <v>3949</v>
      </c>
      <c r="B699" s="58">
        <v>51</v>
      </c>
      <c r="C699" s="58" t="s">
        <v>35</v>
      </c>
      <c r="D699" s="65">
        <v>99061</v>
      </c>
      <c r="E699" s="65" t="s">
        <v>1971</v>
      </c>
      <c r="F699" s="65" t="s">
        <v>3682</v>
      </c>
      <c r="G699" s="65" t="s">
        <v>1970</v>
      </c>
      <c r="H699" s="65" t="s">
        <v>32</v>
      </c>
      <c r="I699" s="65" t="s">
        <v>1851</v>
      </c>
      <c r="J699" s="65" t="s">
        <v>5</v>
      </c>
      <c r="K699" s="65" t="s">
        <v>1850</v>
      </c>
      <c r="L699" s="64" t="s">
        <v>67</v>
      </c>
      <c r="M699" s="58" t="s">
        <v>3</v>
      </c>
      <c r="N699" s="58" t="s">
        <v>2</v>
      </c>
      <c r="O699" s="58">
        <v>5</v>
      </c>
      <c r="P699" s="58">
        <v>0</v>
      </c>
      <c r="Q699" s="58">
        <v>5</v>
      </c>
      <c r="R699" s="58">
        <v>0</v>
      </c>
      <c r="S699" s="58">
        <v>0</v>
      </c>
      <c r="T699" s="58">
        <v>0</v>
      </c>
      <c r="U699" s="58">
        <v>52</v>
      </c>
      <c r="V699" s="62">
        <v>19</v>
      </c>
      <c r="W699" s="62">
        <v>3</v>
      </c>
      <c r="X699" s="63">
        <f>IFERROR(1 -(Master[[#This Row],[Avg Garment Scans per Delivery]]/Master[[#This Row],[Garment Inventory]]), 0)</f>
        <v>0.84210526315789469</v>
      </c>
      <c r="Y699" s="62">
        <v>3</v>
      </c>
      <c r="Z699" s="62">
        <v>33</v>
      </c>
      <c r="AA699" s="53">
        <v>115.87763313609469</v>
      </c>
      <c r="AB699" s="53">
        <v>126.20852071005916</v>
      </c>
      <c r="AC699" s="53">
        <v>119.14846153846153</v>
      </c>
      <c r="AD699" s="53">
        <v>139.63153846153844</v>
      </c>
      <c r="AE699" s="53" t="str">
        <f>_xlfn.XLOOKUP(Master[[#This Row],[cu_id]],'[1]Customer Revenue'!$Q:$Q,'[1]Customer Revenue'!$K:$K, "None")</f>
        <v>None</v>
      </c>
      <c r="AF699" s="53" t="str">
        <f>_xlfn.XLOOKUP(Master[[#This Row],[cu_id]],'[1]Customer Revenue'!$Q:$Q,'[1]Customer Revenue'!$L:$L, "None")</f>
        <v>None</v>
      </c>
      <c r="AG699" s="53">
        <v>115.5112426035503</v>
      </c>
      <c r="AH699" s="53">
        <v>125.98414201183431</v>
      </c>
      <c r="AI699" s="53">
        <v>121.04307692307692</v>
      </c>
      <c r="AJ699" s="53">
        <v>129.38999999999999</v>
      </c>
      <c r="AK699" s="53" t="str">
        <f>_xlfn.XLOOKUP(Master[[#This Row],[cu_id]],'[1]Customer Revenue'!$Q:$Q,'[1]Customer Revenue'!$I:$I, "None")</f>
        <v>None</v>
      </c>
      <c r="AL699" s="53">
        <v>120.7476923076923</v>
      </c>
      <c r="AM699" s="61">
        <v>0.20833333333333334</v>
      </c>
      <c r="AN699" s="60">
        <v>0.91666666666666663</v>
      </c>
      <c r="AO699" s="60" t="s">
        <v>36</v>
      </c>
      <c r="AP699" s="60" t="s">
        <v>36</v>
      </c>
      <c r="AQ699" s="58" t="s">
        <v>308</v>
      </c>
      <c r="AR699" s="58"/>
      <c r="AS699" s="58"/>
      <c r="AT699" s="52">
        <v>0</v>
      </c>
      <c r="AU699" s="52" t="e">
        <f>IF(Master[[#This Row],[RSP StopTime override]] &lt;&gt; "",Master[[#This Row],[RSP StopTime override]],IF(Master[[#This Row],[Avg stop time helper]] &lt;&gt; 0, Master[[#This Row],[Avg stop time helper]],Average_Stop_Time))</f>
        <v>#DIV/0!</v>
      </c>
      <c r="AV699" s="21"/>
      <c r="AW699" s="20">
        <f>Master[[#This Row],[RSP StopTime override]]-Master[[#This Row],[Avg stop time helper]]</f>
        <v>0</v>
      </c>
    </row>
    <row r="700" spans="1:49" x14ac:dyDescent="0.3">
      <c r="A700" s="66" t="s">
        <v>4748</v>
      </c>
      <c r="B700" s="58">
        <v>51</v>
      </c>
      <c r="C700" s="58" t="s">
        <v>24</v>
      </c>
      <c r="D700" s="65">
        <v>521268</v>
      </c>
      <c r="E700" s="65" t="s">
        <v>42</v>
      </c>
      <c r="F700" s="65" t="s">
        <v>2141</v>
      </c>
      <c r="G700" s="65" t="s">
        <v>2140</v>
      </c>
      <c r="H700" s="65" t="s">
        <v>32</v>
      </c>
      <c r="I700" s="65" t="s">
        <v>50</v>
      </c>
      <c r="J700" s="65" t="s">
        <v>5</v>
      </c>
      <c r="K700" s="65" t="s">
        <v>20</v>
      </c>
      <c r="L700" s="64" t="s">
        <v>67</v>
      </c>
      <c r="M700" s="58" t="s">
        <v>3</v>
      </c>
      <c r="N700" s="58" t="s">
        <v>2</v>
      </c>
      <c r="O700" s="58">
        <v>110</v>
      </c>
      <c r="P700" s="58">
        <v>110</v>
      </c>
      <c r="Q700" s="58">
        <v>0</v>
      </c>
      <c r="R700" s="58">
        <v>0</v>
      </c>
      <c r="S700" s="58">
        <v>0</v>
      </c>
      <c r="T700" s="58">
        <v>0</v>
      </c>
      <c r="U700" s="58">
        <v>52</v>
      </c>
      <c r="V700" s="62"/>
      <c r="W700" s="62"/>
      <c r="X700" s="63">
        <f>IFERROR(1 -(Master[[#This Row],[Avg Garment Scans per Delivery]]/Master[[#This Row],[Garment Inventory]]), 0)</f>
        <v>0</v>
      </c>
      <c r="Y700" s="62"/>
      <c r="Z700" s="62"/>
      <c r="AA700" s="53">
        <v>46.123017751479281</v>
      </c>
      <c r="AB700" s="53">
        <v>80.755443786982241</v>
      </c>
      <c r="AC700" s="53">
        <v>47.626923076923092</v>
      </c>
      <c r="AD700" s="53">
        <v>81.553076923076944</v>
      </c>
      <c r="AE700" s="53" t="str">
        <f>_xlfn.XLOOKUP(Master[[#This Row],[cu_id]],'[1]Customer Revenue'!$Q:$Q,'[1]Customer Revenue'!$K:$K, "None")</f>
        <v>None</v>
      </c>
      <c r="AF700" s="53" t="str">
        <f>_xlfn.XLOOKUP(Master[[#This Row],[cu_id]],'[1]Customer Revenue'!$Q:$Q,'[1]Customer Revenue'!$L:$L, "None")</f>
        <v>None</v>
      </c>
      <c r="AG700" s="53">
        <v>43.204615384615387</v>
      </c>
      <c r="AH700" s="53">
        <v>77.271538461538455</v>
      </c>
      <c r="AI700" s="53">
        <v>63.439230769230761</v>
      </c>
      <c r="AJ700" s="53">
        <v>64.590000000000018</v>
      </c>
      <c r="AK700" s="53" t="str">
        <f>_xlfn.XLOOKUP(Master[[#This Row],[cu_id]],'[1]Customer Revenue'!$Q:$Q,'[1]Customer Revenue'!$I:$I, "None")</f>
        <v>None</v>
      </c>
      <c r="AL700" s="53">
        <v>60.238076923076918</v>
      </c>
      <c r="AM700" s="61">
        <v>0.3125</v>
      </c>
      <c r="AN700" s="60">
        <v>0.54166666666666663</v>
      </c>
      <c r="AO700" s="60" t="s">
        <v>36</v>
      </c>
      <c r="AP700" s="60" t="s">
        <v>36</v>
      </c>
      <c r="AQ700" s="58" t="s">
        <v>0</v>
      </c>
      <c r="AR700" s="58"/>
      <c r="AS700" s="58"/>
      <c r="AT700" s="52">
        <v>0</v>
      </c>
      <c r="AU700" s="52" t="e">
        <f>IF(Master[[#This Row],[RSP StopTime override]] &lt;&gt; "",Master[[#This Row],[RSP StopTime override]],IF(Master[[#This Row],[Avg stop time helper]] &lt;&gt; 0, Master[[#This Row],[Avg stop time helper]],Average_Stop_Time))</f>
        <v>#DIV/0!</v>
      </c>
      <c r="AV700" s="21"/>
      <c r="AW700" s="20">
        <f>Master[[#This Row],[RSP StopTime override]]-Master[[#This Row],[Avg stop time helper]]</f>
        <v>0</v>
      </c>
    </row>
    <row r="701" spans="1:49" x14ac:dyDescent="0.3">
      <c r="A701" s="66" t="s">
        <v>4749</v>
      </c>
      <c r="B701" s="58">
        <v>51</v>
      </c>
      <c r="C701" s="58" t="s">
        <v>35</v>
      </c>
      <c r="D701" s="65">
        <v>522634</v>
      </c>
      <c r="E701" s="65" t="s">
        <v>42</v>
      </c>
      <c r="F701" s="65" t="s">
        <v>2139</v>
      </c>
      <c r="G701" s="65" t="s">
        <v>2138</v>
      </c>
      <c r="H701" s="65" t="s">
        <v>32</v>
      </c>
      <c r="I701" s="65" t="s">
        <v>2111</v>
      </c>
      <c r="J701" s="65" t="s">
        <v>5</v>
      </c>
      <c r="K701" s="65" t="s">
        <v>78</v>
      </c>
      <c r="L701" s="64" t="s">
        <v>91</v>
      </c>
      <c r="M701" s="58" t="s">
        <v>90</v>
      </c>
      <c r="N701" s="58" t="s">
        <v>2</v>
      </c>
      <c r="O701" s="58">
        <v>110</v>
      </c>
      <c r="P701" s="58">
        <v>0</v>
      </c>
      <c r="Q701" s="58">
        <v>110</v>
      </c>
      <c r="R701" s="58">
        <v>0</v>
      </c>
      <c r="S701" s="58">
        <v>0</v>
      </c>
      <c r="T701" s="58">
        <v>0</v>
      </c>
      <c r="U701" s="58">
        <v>26</v>
      </c>
      <c r="V701" s="62"/>
      <c r="W701" s="62"/>
      <c r="X701" s="63">
        <f>IFERROR(1 -(Master[[#This Row],[Avg Garment Scans per Delivery]]/Master[[#This Row],[Garment Inventory]]), 0)</f>
        <v>0</v>
      </c>
      <c r="Y701" s="62"/>
      <c r="Z701" s="62"/>
      <c r="AA701" s="53">
        <v>110.63428571428572</v>
      </c>
      <c r="AB701" s="53">
        <v>118.48571428571431</v>
      </c>
      <c r="AC701" s="53">
        <v>118.80555555555557</v>
      </c>
      <c r="AD701" s="53">
        <v>121.32111111111112</v>
      </c>
      <c r="AE701" s="53" t="str">
        <f>_xlfn.XLOOKUP(Master[[#This Row],[cu_id]],'[1]Customer Revenue'!$Q:$Q,'[1]Customer Revenue'!$K:$K, "None")</f>
        <v>None</v>
      </c>
      <c r="AF701" s="53" t="str">
        <f>_xlfn.XLOOKUP(Master[[#This Row],[cu_id]],'[1]Customer Revenue'!$Q:$Q,'[1]Customer Revenue'!$L:$L, "None")</f>
        <v>None</v>
      </c>
      <c r="AG701" s="53">
        <v>107.39869822485204</v>
      </c>
      <c r="AH701" s="53">
        <v>115.47207100591709</v>
      </c>
      <c r="AI701" s="53">
        <v>114.56000000000002</v>
      </c>
      <c r="AJ701" s="53">
        <v>120.06333333333335</v>
      </c>
      <c r="AK701" s="53" t="str">
        <f>_xlfn.XLOOKUP(Master[[#This Row],[cu_id]],'[1]Customer Revenue'!$Q:$Q,'[1]Customer Revenue'!$I:$I, "None")</f>
        <v>None</v>
      </c>
      <c r="AL701" s="53">
        <v>111.43538461538456</v>
      </c>
      <c r="AM701" s="61">
        <v>0.4375</v>
      </c>
      <c r="AN701" s="60">
        <v>0</v>
      </c>
      <c r="AO701" s="60" t="s">
        <v>36</v>
      </c>
      <c r="AP701" s="60" t="s">
        <v>36</v>
      </c>
      <c r="AQ701" s="58" t="s">
        <v>308</v>
      </c>
      <c r="AR701" s="58"/>
      <c r="AS701" s="58"/>
      <c r="AT701" s="52">
        <v>0</v>
      </c>
      <c r="AU701" s="52" t="e">
        <f>IF(Master[[#This Row],[RSP StopTime override]] &lt;&gt; "",Master[[#This Row],[RSP StopTime override]],IF(Master[[#This Row],[Avg stop time helper]] &lt;&gt; 0, Master[[#This Row],[Avg stop time helper]],Average_Stop_Time))</f>
        <v>#DIV/0!</v>
      </c>
      <c r="AV701" s="21"/>
      <c r="AW701" s="20">
        <f>Master[[#This Row],[RSP StopTime override]]-Master[[#This Row],[Avg stop time helper]]</f>
        <v>0</v>
      </c>
    </row>
    <row r="702" spans="1:49" x14ac:dyDescent="0.3">
      <c r="A702" s="66" t="s">
        <v>4750</v>
      </c>
      <c r="B702" s="58">
        <v>51</v>
      </c>
      <c r="C702" s="58" t="s">
        <v>15</v>
      </c>
      <c r="D702" s="65">
        <v>99061</v>
      </c>
      <c r="E702" s="65" t="s">
        <v>1978</v>
      </c>
      <c r="F702" s="65" t="s">
        <v>2137</v>
      </c>
      <c r="G702" s="65" t="s">
        <v>2136</v>
      </c>
      <c r="H702" s="65" t="s">
        <v>32</v>
      </c>
      <c r="I702" s="65" t="s">
        <v>50</v>
      </c>
      <c r="J702" s="65" t="s">
        <v>5</v>
      </c>
      <c r="K702" s="65" t="s">
        <v>1636</v>
      </c>
      <c r="L702" s="64" t="s">
        <v>67</v>
      </c>
      <c r="M702" s="58" t="s">
        <v>3</v>
      </c>
      <c r="N702" s="58" t="s">
        <v>2</v>
      </c>
      <c r="O702" s="58">
        <v>125</v>
      </c>
      <c r="P702" s="58">
        <v>0</v>
      </c>
      <c r="Q702" s="58">
        <v>0</v>
      </c>
      <c r="R702" s="58">
        <v>0</v>
      </c>
      <c r="S702" s="58">
        <v>0</v>
      </c>
      <c r="T702" s="58">
        <v>125</v>
      </c>
      <c r="U702" s="58">
        <v>52</v>
      </c>
      <c r="V702" s="62"/>
      <c r="W702" s="62"/>
      <c r="X702" s="63">
        <f>IFERROR(1 -(Master[[#This Row],[Avg Garment Scans per Delivery]]/Master[[#This Row],[Garment Inventory]]), 0)</f>
        <v>0</v>
      </c>
      <c r="Y702" s="62"/>
      <c r="Z702" s="62"/>
      <c r="AA702" s="53">
        <v>14.95</v>
      </c>
      <c r="AB702" s="53">
        <v>15.199999999999996</v>
      </c>
      <c r="AC702" s="53">
        <v>15</v>
      </c>
      <c r="AD702" s="53">
        <v>15</v>
      </c>
      <c r="AE702" s="53" t="str">
        <f>_xlfn.XLOOKUP(Master[[#This Row],[cu_id]],'[1]Customer Revenue'!$Q:$Q,'[1]Customer Revenue'!$K:$K, "None")</f>
        <v>None</v>
      </c>
      <c r="AF702" s="53" t="str">
        <f>_xlfn.XLOOKUP(Master[[#This Row],[cu_id]],'[1]Customer Revenue'!$Q:$Q,'[1]Customer Revenue'!$L:$L, "None")</f>
        <v>None</v>
      </c>
      <c r="AG702" s="53">
        <v>14.970710059171598</v>
      </c>
      <c r="AH702" s="53">
        <v>15.098520710059169</v>
      </c>
      <c r="AI702" s="53">
        <v>15.074999999999998</v>
      </c>
      <c r="AJ702" s="53">
        <v>15</v>
      </c>
      <c r="AK702" s="53" t="str">
        <f>_xlfn.XLOOKUP(Master[[#This Row],[cu_id]],'[1]Customer Revenue'!$Q:$Q,'[1]Customer Revenue'!$I:$I, "None")</f>
        <v>None</v>
      </c>
      <c r="AL702" s="53">
        <v>15.034615384615384</v>
      </c>
      <c r="AM702" s="61" t="s">
        <v>36</v>
      </c>
      <c r="AN702" s="60" t="s">
        <v>36</v>
      </c>
      <c r="AO702" s="60" t="s">
        <v>36</v>
      </c>
      <c r="AP702" s="60" t="s">
        <v>36</v>
      </c>
      <c r="AQ702" s="58" t="s">
        <v>308</v>
      </c>
      <c r="AR702" s="58"/>
      <c r="AS702" s="58"/>
      <c r="AT702" s="52">
        <v>0</v>
      </c>
      <c r="AU702" s="52" t="e">
        <f>IF(Master[[#This Row],[RSP StopTime override]] &lt;&gt; "",Master[[#This Row],[RSP StopTime override]],IF(Master[[#This Row],[Avg stop time helper]] &lt;&gt; 0, Master[[#This Row],[Avg stop time helper]],Average_Stop_Time))</f>
        <v>#DIV/0!</v>
      </c>
      <c r="AV702" s="21"/>
      <c r="AW702" s="20">
        <f>Master[[#This Row],[RSP StopTime override]]-Master[[#This Row],[Avg stop time helper]]</f>
        <v>0</v>
      </c>
    </row>
    <row r="703" spans="1:49" x14ac:dyDescent="0.3">
      <c r="A703" s="66" t="s">
        <v>4751</v>
      </c>
      <c r="B703" s="58">
        <v>51</v>
      </c>
      <c r="C703" s="58" t="s">
        <v>15</v>
      </c>
      <c r="D703" s="65">
        <v>99061</v>
      </c>
      <c r="E703" s="65" t="s">
        <v>1981</v>
      </c>
      <c r="F703" s="65" t="s">
        <v>2135</v>
      </c>
      <c r="G703" s="65" t="s">
        <v>1980</v>
      </c>
      <c r="H703" s="65" t="s">
        <v>32</v>
      </c>
      <c r="I703" s="65" t="s">
        <v>1979</v>
      </c>
      <c r="J703" s="65" t="s">
        <v>5</v>
      </c>
      <c r="K703" s="65" t="s">
        <v>1954</v>
      </c>
      <c r="L703" s="64" t="s">
        <v>67</v>
      </c>
      <c r="M703" s="58" t="s">
        <v>3</v>
      </c>
      <c r="N703" s="58" t="s">
        <v>2</v>
      </c>
      <c r="O703" s="58">
        <v>1</v>
      </c>
      <c r="P703" s="58">
        <v>0</v>
      </c>
      <c r="Q703" s="58">
        <v>0</v>
      </c>
      <c r="R703" s="58">
        <v>0</v>
      </c>
      <c r="S703" s="58">
        <v>0</v>
      </c>
      <c r="T703" s="58">
        <v>1</v>
      </c>
      <c r="U703" s="58">
        <v>52</v>
      </c>
      <c r="V703" s="62"/>
      <c r="W703" s="62"/>
      <c r="X703" s="63">
        <f>IFERROR(1 -(Master[[#This Row],[Avg Garment Scans per Delivery]]/Master[[#This Row],[Garment Inventory]]), 0)</f>
        <v>0</v>
      </c>
      <c r="Y703" s="62"/>
      <c r="Z703" s="62"/>
      <c r="AA703" s="53">
        <v>54.0822222222222</v>
      </c>
      <c r="AB703" s="53">
        <v>55.951111111111103</v>
      </c>
      <c r="AC703" s="53">
        <v>51.915798816568042</v>
      </c>
      <c r="AD703" s="53">
        <v>54.69497041420118</v>
      </c>
      <c r="AE703" s="53" t="str">
        <f>_xlfn.XLOOKUP(Master[[#This Row],[cu_id]],'[1]Customer Revenue'!$Q:$Q,'[1]Customer Revenue'!$K:$K, "None")</f>
        <v>None</v>
      </c>
      <c r="AF703" s="53" t="str">
        <f>_xlfn.XLOOKUP(Master[[#This Row],[cu_id]],'[1]Customer Revenue'!$Q:$Q,'[1]Customer Revenue'!$L:$L, "None")</f>
        <v>None</v>
      </c>
      <c r="AG703" s="53">
        <v>38.928047337278088</v>
      </c>
      <c r="AH703" s="53">
        <v>55.305798816568043</v>
      </c>
      <c r="AI703" s="53">
        <v>55.016666666666652</v>
      </c>
      <c r="AJ703" s="53">
        <v>53.305384615384611</v>
      </c>
      <c r="AK703" s="53" t="str">
        <f>_xlfn.XLOOKUP(Master[[#This Row],[cu_id]],'[1]Customer Revenue'!$Q:$Q,'[1]Customer Revenue'!$I:$I, "None")</f>
        <v>None</v>
      </c>
      <c r="AL703" s="53">
        <v>47.116923076923065</v>
      </c>
      <c r="AM703" s="61">
        <v>0.22916666666666666</v>
      </c>
      <c r="AN703" s="60">
        <v>0.91666666666666663</v>
      </c>
      <c r="AO703" s="60" t="s">
        <v>36</v>
      </c>
      <c r="AP703" s="60" t="s">
        <v>36</v>
      </c>
      <c r="AQ703" s="58" t="s">
        <v>308</v>
      </c>
      <c r="AR703" s="58"/>
      <c r="AS703" s="58"/>
      <c r="AT703" s="52">
        <v>0</v>
      </c>
      <c r="AU703" s="52" t="e">
        <f>IF(Master[[#This Row],[RSP StopTime override]] &lt;&gt; "",Master[[#This Row],[RSP StopTime override]],IF(Master[[#This Row],[Avg stop time helper]] &lt;&gt; 0, Master[[#This Row],[Avg stop time helper]],Average_Stop_Time))</f>
        <v>#DIV/0!</v>
      </c>
      <c r="AV703" s="21"/>
      <c r="AW703" s="20">
        <f>Master[[#This Row],[RSP StopTime override]]-Master[[#This Row],[Avg stop time helper]]</f>
        <v>0</v>
      </c>
    </row>
    <row r="704" spans="1:49" x14ac:dyDescent="0.3">
      <c r="A704" s="66" t="s">
        <v>4752</v>
      </c>
      <c r="B704" s="58">
        <v>51</v>
      </c>
      <c r="C704" s="58" t="s">
        <v>15</v>
      </c>
      <c r="D704" s="65">
        <v>99061</v>
      </c>
      <c r="E704" s="65" t="s">
        <v>2134</v>
      </c>
      <c r="F704" s="65" t="s">
        <v>2133</v>
      </c>
      <c r="G704" s="65" t="s">
        <v>2128</v>
      </c>
      <c r="H704" s="65" t="s">
        <v>32</v>
      </c>
      <c r="I704" s="65" t="s">
        <v>50</v>
      </c>
      <c r="J704" s="65" t="s">
        <v>5</v>
      </c>
      <c r="K704" s="65" t="s">
        <v>1847</v>
      </c>
      <c r="L704" s="64" t="s">
        <v>67</v>
      </c>
      <c r="M704" s="58" t="s">
        <v>3</v>
      </c>
      <c r="N704" s="58" t="s">
        <v>2</v>
      </c>
      <c r="O704" s="58">
        <v>5</v>
      </c>
      <c r="P704" s="58">
        <v>0</v>
      </c>
      <c r="Q704" s="58">
        <v>0</v>
      </c>
      <c r="R704" s="58">
        <v>0</v>
      </c>
      <c r="S704" s="58">
        <v>0</v>
      </c>
      <c r="T704" s="58">
        <v>5</v>
      </c>
      <c r="U704" s="58">
        <v>52</v>
      </c>
      <c r="V704" s="62">
        <v>479</v>
      </c>
      <c r="W704" s="62">
        <v>57</v>
      </c>
      <c r="X704" s="63">
        <f>IFERROR(1 -(Master[[#This Row],[Avg Garment Scans per Delivery]]/Master[[#This Row],[Garment Inventory]]), 0)</f>
        <v>0.88100208768267219</v>
      </c>
      <c r="Y704" s="62">
        <v>15</v>
      </c>
      <c r="Z704" s="62">
        <v>516</v>
      </c>
      <c r="AA704" s="53">
        <v>199.49576429980266</v>
      </c>
      <c r="AB704" s="53">
        <v>750.15256903353054</v>
      </c>
      <c r="AC704" s="53">
        <v>321.40479289940833</v>
      </c>
      <c r="AD704" s="53">
        <v>381.0336686390533</v>
      </c>
      <c r="AE704" s="53" t="str">
        <f>_xlfn.XLOOKUP(Master[[#This Row],[cu_id]],'[1]Customer Revenue'!$Q:$Q,'[1]Customer Revenue'!$K:$K, "None")</f>
        <v>None</v>
      </c>
      <c r="AF704" s="53" t="str">
        <f>_xlfn.XLOOKUP(Master[[#This Row],[cu_id]],'[1]Customer Revenue'!$Q:$Q,'[1]Customer Revenue'!$L:$L, "None")</f>
        <v>None</v>
      </c>
      <c r="AG704" s="53">
        <v>184.45920913791298</v>
      </c>
      <c r="AH704" s="53">
        <v>858.66771393901035</v>
      </c>
      <c r="AI704" s="53">
        <v>474.8241666666666</v>
      </c>
      <c r="AJ704" s="53">
        <v>351.21923076923082</v>
      </c>
      <c r="AK704" s="53" t="str">
        <f>_xlfn.XLOOKUP(Master[[#This Row],[cu_id]],'[1]Customer Revenue'!$Q:$Q,'[1]Customer Revenue'!$I:$I, "None")</f>
        <v>None</v>
      </c>
      <c r="AL704" s="53">
        <v>521.56346153846164</v>
      </c>
      <c r="AM704" s="61" t="s">
        <v>36</v>
      </c>
      <c r="AN704" s="60" t="s">
        <v>36</v>
      </c>
      <c r="AO704" s="60" t="s">
        <v>36</v>
      </c>
      <c r="AP704" s="60" t="s">
        <v>36</v>
      </c>
      <c r="AQ704" s="58" t="s">
        <v>308</v>
      </c>
      <c r="AR704" s="58"/>
      <c r="AS704" s="58"/>
      <c r="AT704" s="52">
        <v>0</v>
      </c>
      <c r="AU704" s="52" t="e">
        <f>IF(Master[[#This Row],[RSP StopTime override]] &lt;&gt; "",Master[[#This Row],[RSP StopTime override]],IF(Master[[#This Row],[Avg stop time helper]] &lt;&gt; 0, Master[[#This Row],[Avg stop time helper]],Average_Stop_Time))</f>
        <v>#DIV/0!</v>
      </c>
      <c r="AV704" s="21"/>
      <c r="AW704" s="20">
        <f>Master[[#This Row],[RSP StopTime override]]-Master[[#This Row],[Avg stop time helper]]</f>
        <v>0</v>
      </c>
    </row>
    <row r="705" spans="1:49" x14ac:dyDescent="0.3">
      <c r="A705" s="66" t="s">
        <v>4753</v>
      </c>
      <c r="B705" s="58">
        <v>51</v>
      </c>
      <c r="C705" s="58" t="s">
        <v>15</v>
      </c>
      <c r="D705" s="65">
        <v>99061</v>
      </c>
      <c r="E705" s="65" t="s">
        <v>2132</v>
      </c>
      <c r="F705" s="65" t="s">
        <v>2131</v>
      </c>
      <c r="G705" s="65" t="s">
        <v>2128</v>
      </c>
      <c r="H705" s="65" t="s">
        <v>32</v>
      </c>
      <c r="I705" s="65" t="s">
        <v>50</v>
      </c>
      <c r="J705" s="65" t="s">
        <v>5</v>
      </c>
      <c r="K705" s="65" t="s">
        <v>1847</v>
      </c>
      <c r="L705" s="64" t="s">
        <v>67</v>
      </c>
      <c r="M705" s="58" t="s">
        <v>3</v>
      </c>
      <c r="N705" s="58" t="s">
        <v>2</v>
      </c>
      <c r="O705" s="58">
        <v>45</v>
      </c>
      <c r="P705" s="58">
        <v>0</v>
      </c>
      <c r="Q705" s="58">
        <v>0</v>
      </c>
      <c r="R705" s="58">
        <v>0</v>
      </c>
      <c r="S705" s="58">
        <v>0</v>
      </c>
      <c r="T705" s="58">
        <v>45</v>
      </c>
      <c r="U705" s="58">
        <v>52</v>
      </c>
      <c r="V705" s="62">
        <v>228</v>
      </c>
      <c r="W705" s="62">
        <v>68</v>
      </c>
      <c r="X705" s="63">
        <f>IFERROR(1 -(Master[[#This Row],[Avg Garment Scans per Delivery]]/Master[[#This Row],[Garment Inventory]]), 0)</f>
        <v>0.70175438596491224</v>
      </c>
      <c r="Y705" s="62">
        <v>13</v>
      </c>
      <c r="Z705" s="62">
        <v>238</v>
      </c>
      <c r="AA705" s="53">
        <v>579.1158333333334</v>
      </c>
      <c r="AB705" s="53">
        <v>634.76750000000004</v>
      </c>
      <c r="AC705" s="53">
        <v>548.30747252747256</v>
      </c>
      <c r="AD705" s="53">
        <v>722.60175824175826</v>
      </c>
      <c r="AE705" s="53" t="str">
        <f>_xlfn.XLOOKUP(Master[[#This Row],[cu_id]],'[1]Customer Revenue'!$Q:$Q,'[1]Customer Revenue'!$K:$K, "None")</f>
        <v>None</v>
      </c>
      <c r="AF705" s="53" t="str">
        <f>_xlfn.XLOOKUP(Master[[#This Row],[cu_id]],'[1]Customer Revenue'!$Q:$Q,'[1]Customer Revenue'!$L:$L, "None")</f>
        <v>None</v>
      </c>
      <c r="AG705" s="53">
        <v>574.18047337278097</v>
      </c>
      <c r="AH705" s="53">
        <v>611.54875739644956</v>
      </c>
      <c r="AI705" s="53">
        <v>606.94166666666672</v>
      </c>
      <c r="AJ705" s="53">
        <v>635.45461538461541</v>
      </c>
      <c r="AK705" s="53" t="str">
        <f>_xlfn.XLOOKUP(Master[[#This Row],[cu_id]],'[1]Customer Revenue'!$Q:$Q,'[1]Customer Revenue'!$I:$I, "None")</f>
        <v>None</v>
      </c>
      <c r="AL705" s="53">
        <v>592.86461538461526</v>
      </c>
      <c r="AM705" s="61" t="s">
        <v>36</v>
      </c>
      <c r="AN705" s="60" t="s">
        <v>36</v>
      </c>
      <c r="AO705" s="60" t="s">
        <v>36</v>
      </c>
      <c r="AP705" s="60" t="s">
        <v>36</v>
      </c>
      <c r="AQ705" s="58" t="s">
        <v>308</v>
      </c>
      <c r="AR705" s="58"/>
      <c r="AS705" s="58"/>
      <c r="AT705" s="52">
        <v>0</v>
      </c>
      <c r="AU705" s="52" t="e">
        <f>IF(Master[[#This Row],[RSP StopTime override]] &lt;&gt; "",Master[[#This Row],[RSP StopTime override]],IF(Master[[#This Row],[Avg stop time helper]] &lt;&gt; 0, Master[[#This Row],[Avg stop time helper]],Average_Stop_Time))</f>
        <v>#DIV/0!</v>
      </c>
      <c r="AV705" s="21"/>
      <c r="AW705" s="20">
        <f>Master[[#This Row],[RSP StopTime override]]-Master[[#This Row],[Avg stop time helper]]</f>
        <v>0</v>
      </c>
    </row>
    <row r="706" spans="1:49" x14ac:dyDescent="0.3">
      <c r="A706" s="66" t="s">
        <v>4754</v>
      </c>
      <c r="B706" s="58">
        <v>51</v>
      </c>
      <c r="C706" s="58" t="s">
        <v>15</v>
      </c>
      <c r="D706" s="65">
        <v>99061</v>
      </c>
      <c r="E706" s="65" t="s">
        <v>2130</v>
      </c>
      <c r="F706" s="65" t="s">
        <v>2129</v>
      </c>
      <c r="G706" s="65" t="s">
        <v>2128</v>
      </c>
      <c r="H706" s="65" t="s">
        <v>32</v>
      </c>
      <c r="I706" s="65" t="s">
        <v>50</v>
      </c>
      <c r="J706" s="65" t="s">
        <v>5</v>
      </c>
      <c r="K706" s="65" t="s">
        <v>1847</v>
      </c>
      <c r="L706" s="64" t="s">
        <v>67</v>
      </c>
      <c r="M706" s="58" t="s">
        <v>3</v>
      </c>
      <c r="N706" s="58" t="s">
        <v>2</v>
      </c>
      <c r="O706" s="58">
        <v>135</v>
      </c>
      <c r="P706" s="58">
        <v>0</v>
      </c>
      <c r="Q706" s="58">
        <v>0</v>
      </c>
      <c r="R706" s="58">
        <v>0</v>
      </c>
      <c r="S706" s="58">
        <v>0</v>
      </c>
      <c r="T706" s="58">
        <v>135</v>
      </c>
      <c r="U706" s="58">
        <v>52</v>
      </c>
      <c r="V706" s="62">
        <v>345</v>
      </c>
      <c r="W706" s="62">
        <v>60</v>
      </c>
      <c r="X706" s="63">
        <f>IFERROR(1 -(Master[[#This Row],[Avg Garment Scans per Delivery]]/Master[[#This Row],[Garment Inventory]]), 0)</f>
        <v>0.82608695652173914</v>
      </c>
      <c r="Y706" s="62">
        <v>10</v>
      </c>
      <c r="Z706" s="62">
        <v>339</v>
      </c>
      <c r="AA706" s="53">
        <v>181.63538461538465</v>
      </c>
      <c r="AB706" s="53">
        <v>300.4046153846154</v>
      </c>
      <c r="AC706" s="53">
        <v>192.57420118343197</v>
      </c>
      <c r="AD706" s="53">
        <v>296.76733727810654</v>
      </c>
      <c r="AE706" s="53" t="str">
        <f>_xlfn.XLOOKUP(Master[[#This Row],[cu_id]],'[1]Customer Revenue'!$Q:$Q,'[1]Customer Revenue'!$K:$K, "None")</f>
        <v>None</v>
      </c>
      <c r="AF706" s="53" t="str">
        <f>_xlfn.XLOOKUP(Master[[#This Row],[cu_id]],'[1]Customer Revenue'!$Q:$Q,'[1]Customer Revenue'!$L:$L, "None")</f>
        <v>None</v>
      </c>
      <c r="AG706" s="53">
        <v>145.08676005064896</v>
      </c>
      <c r="AH706" s="53">
        <v>481.52939379550492</v>
      </c>
      <c r="AI706" s="53">
        <v>241.02</v>
      </c>
      <c r="AJ706" s="53">
        <v>244.67076923076925</v>
      </c>
      <c r="AK706" s="53" t="str">
        <f>_xlfn.XLOOKUP(Master[[#This Row],[cu_id]],'[1]Customer Revenue'!$Q:$Q,'[1]Customer Revenue'!$I:$I, "None")</f>
        <v>None</v>
      </c>
      <c r="AL706" s="53">
        <v>313.30807692307695</v>
      </c>
      <c r="AM706" s="61" t="s">
        <v>36</v>
      </c>
      <c r="AN706" s="60" t="s">
        <v>36</v>
      </c>
      <c r="AO706" s="60" t="s">
        <v>36</v>
      </c>
      <c r="AP706" s="60" t="s">
        <v>36</v>
      </c>
      <c r="AQ706" s="58" t="s">
        <v>308</v>
      </c>
      <c r="AR706" s="58"/>
      <c r="AS706" s="58"/>
      <c r="AT706" s="52">
        <v>0</v>
      </c>
      <c r="AU706" s="52" t="e">
        <f>IF(Master[[#This Row],[RSP StopTime override]] &lt;&gt; "",Master[[#This Row],[RSP StopTime override]],IF(Master[[#This Row],[Avg stop time helper]] &lt;&gt; 0, Master[[#This Row],[Avg stop time helper]],Average_Stop_Time))</f>
        <v>#DIV/0!</v>
      </c>
      <c r="AV706" s="21"/>
      <c r="AW706" s="20">
        <f>Master[[#This Row],[RSP StopTime override]]-Master[[#This Row],[Avg stop time helper]]</f>
        <v>0</v>
      </c>
    </row>
    <row r="707" spans="1:49" x14ac:dyDescent="0.3">
      <c r="A707" s="66" t="s">
        <v>4755</v>
      </c>
      <c r="B707" s="58">
        <v>51</v>
      </c>
      <c r="C707" s="58" t="s">
        <v>15</v>
      </c>
      <c r="D707" s="65">
        <v>99061</v>
      </c>
      <c r="E707" s="65" t="s">
        <v>2127</v>
      </c>
      <c r="F707" s="65" t="s">
        <v>2126</v>
      </c>
      <c r="G707" s="65" t="s">
        <v>2123</v>
      </c>
      <c r="H707" s="65" t="s">
        <v>32</v>
      </c>
      <c r="I707" s="65" t="s">
        <v>50</v>
      </c>
      <c r="J707" s="65" t="s">
        <v>5</v>
      </c>
      <c r="K707" s="65" t="s">
        <v>1847</v>
      </c>
      <c r="L707" s="64" t="s">
        <v>67</v>
      </c>
      <c r="M707" s="58" t="s">
        <v>3</v>
      </c>
      <c r="N707" s="58" t="s">
        <v>2</v>
      </c>
      <c r="O707" s="58">
        <v>10</v>
      </c>
      <c r="P707" s="58">
        <v>0</v>
      </c>
      <c r="Q707" s="58">
        <v>0</v>
      </c>
      <c r="R707" s="58">
        <v>0</v>
      </c>
      <c r="S707" s="58">
        <v>0</v>
      </c>
      <c r="T707" s="58">
        <v>10</v>
      </c>
      <c r="U707" s="58">
        <v>52</v>
      </c>
      <c r="V707" s="62">
        <v>166</v>
      </c>
      <c r="W707" s="62">
        <v>4</v>
      </c>
      <c r="X707" s="63">
        <f>IFERROR(1 -(Master[[#This Row],[Avg Garment Scans per Delivery]]/Master[[#This Row],[Garment Inventory]]), 0)</f>
        <v>0.97590361445783136</v>
      </c>
      <c r="Y707" s="62">
        <v>9</v>
      </c>
      <c r="Z707" s="62">
        <v>167</v>
      </c>
      <c r="AA707" s="53">
        <v>59.520416666666662</v>
      </c>
      <c r="AB707" s="53">
        <v>63.27791666666667</v>
      </c>
      <c r="AC707" s="53">
        <v>68.539999999999978</v>
      </c>
      <c r="AD707" s="53">
        <v>68.540000000000006</v>
      </c>
      <c r="AE707" s="53" t="str">
        <f>_xlfn.XLOOKUP(Master[[#This Row],[cu_id]],'[1]Customer Revenue'!$Q:$Q,'[1]Customer Revenue'!$K:$K, "None")</f>
        <v>None</v>
      </c>
      <c r="AF707" s="53" t="str">
        <f>_xlfn.XLOOKUP(Master[[#This Row],[cu_id]],'[1]Customer Revenue'!$Q:$Q,'[1]Customer Revenue'!$L:$L, "None")</f>
        <v>None</v>
      </c>
      <c r="AG707" s="53">
        <v>49.030769230769238</v>
      </c>
      <c r="AH707" s="53">
        <v>62.309230769230766</v>
      </c>
      <c r="AI707" s="53">
        <v>61.399166666666666</v>
      </c>
      <c r="AJ707" s="53">
        <v>68.539999999999992</v>
      </c>
      <c r="AK707" s="53" t="str">
        <f>_xlfn.XLOOKUP(Master[[#This Row],[cu_id]],'[1]Customer Revenue'!$Q:$Q,'[1]Customer Revenue'!$I:$I, "None")</f>
        <v>None</v>
      </c>
      <c r="AL707" s="53">
        <v>55.67</v>
      </c>
      <c r="AM707" s="61" t="s">
        <v>36</v>
      </c>
      <c r="AN707" s="60" t="s">
        <v>36</v>
      </c>
      <c r="AO707" s="60" t="s">
        <v>36</v>
      </c>
      <c r="AP707" s="60" t="s">
        <v>36</v>
      </c>
      <c r="AQ707" s="58" t="s">
        <v>308</v>
      </c>
      <c r="AR707" s="58"/>
      <c r="AS707" s="58"/>
      <c r="AT707" s="52">
        <v>0</v>
      </c>
      <c r="AU707" s="52" t="e">
        <f>IF(Master[[#This Row],[RSP StopTime override]] &lt;&gt; "",Master[[#This Row],[RSP StopTime override]],IF(Master[[#This Row],[Avg stop time helper]] &lt;&gt; 0, Master[[#This Row],[Avg stop time helper]],Average_Stop_Time))</f>
        <v>#DIV/0!</v>
      </c>
      <c r="AV707" s="21"/>
      <c r="AW707" s="20">
        <f>Master[[#This Row],[RSP StopTime override]]-Master[[#This Row],[Avg stop time helper]]</f>
        <v>0</v>
      </c>
    </row>
    <row r="708" spans="1:49" x14ac:dyDescent="0.3">
      <c r="A708" s="66" t="s">
        <v>4756</v>
      </c>
      <c r="B708" s="58">
        <v>51</v>
      </c>
      <c r="C708" s="58" t="s">
        <v>15</v>
      </c>
      <c r="D708" s="65">
        <v>99061</v>
      </c>
      <c r="E708" s="65" t="s">
        <v>2125</v>
      </c>
      <c r="F708" s="65" t="s">
        <v>2124</v>
      </c>
      <c r="G708" s="65" t="s">
        <v>2123</v>
      </c>
      <c r="H708" s="65" t="s">
        <v>32</v>
      </c>
      <c r="I708" s="65" t="s">
        <v>50</v>
      </c>
      <c r="J708" s="65" t="s">
        <v>5</v>
      </c>
      <c r="K708" s="65" t="s">
        <v>1847</v>
      </c>
      <c r="L708" s="64" t="s">
        <v>67</v>
      </c>
      <c r="M708" s="58" t="s">
        <v>3</v>
      </c>
      <c r="N708" s="58" t="s">
        <v>2</v>
      </c>
      <c r="O708" s="58">
        <v>115</v>
      </c>
      <c r="P708" s="58">
        <v>0</v>
      </c>
      <c r="Q708" s="58">
        <v>0</v>
      </c>
      <c r="R708" s="58">
        <v>0</v>
      </c>
      <c r="S708" s="58">
        <v>0</v>
      </c>
      <c r="T708" s="58">
        <v>115</v>
      </c>
      <c r="U708" s="58">
        <v>52</v>
      </c>
      <c r="V708" s="62">
        <v>38</v>
      </c>
      <c r="W708" s="62">
        <v>8</v>
      </c>
      <c r="X708" s="63">
        <f>IFERROR(1 -(Master[[#This Row],[Avg Garment Scans per Delivery]]/Master[[#This Row],[Garment Inventory]]), 0)</f>
        <v>0.78947368421052633</v>
      </c>
      <c r="Y708" s="62">
        <v>1</v>
      </c>
      <c r="Z708" s="62">
        <v>38</v>
      </c>
      <c r="AA708" s="53">
        <v>15</v>
      </c>
      <c r="AB708" s="53">
        <v>15</v>
      </c>
      <c r="AC708" s="53">
        <v>13.697396449704142</v>
      </c>
      <c r="AD708" s="53">
        <v>20.06568047337278</v>
      </c>
      <c r="AE708" s="53" t="str">
        <f>_xlfn.XLOOKUP(Master[[#This Row],[cu_id]],'[1]Customer Revenue'!$Q:$Q,'[1]Customer Revenue'!$K:$K, "None")</f>
        <v>None</v>
      </c>
      <c r="AF708" s="53" t="str">
        <f>_xlfn.XLOOKUP(Master[[#This Row],[cu_id]],'[1]Customer Revenue'!$Q:$Q,'[1]Customer Revenue'!$L:$L, "None")</f>
        <v>None</v>
      </c>
      <c r="AG708" s="53">
        <v>15</v>
      </c>
      <c r="AH708" s="53">
        <v>15</v>
      </c>
      <c r="AI708" s="53">
        <v>15</v>
      </c>
      <c r="AJ708" s="53">
        <v>16.881538461538462</v>
      </c>
      <c r="AK708" s="53" t="str">
        <f>_xlfn.XLOOKUP(Master[[#This Row],[cu_id]],'[1]Customer Revenue'!$Q:$Q,'[1]Customer Revenue'!$I:$I, "None")</f>
        <v>None</v>
      </c>
      <c r="AL708" s="53">
        <v>15</v>
      </c>
      <c r="AM708" s="61" t="s">
        <v>36</v>
      </c>
      <c r="AN708" s="60" t="s">
        <v>36</v>
      </c>
      <c r="AO708" s="60" t="s">
        <v>36</v>
      </c>
      <c r="AP708" s="60" t="s">
        <v>36</v>
      </c>
      <c r="AQ708" s="58" t="s">
        <v>308</v>
      </c>
      <c r="AR708" s="58"/>
      <c r="AS708" s="58"/>
      <c r="AT708" s="52">
        <v>0</v>
      </c>
      <c r="AU708" s="52" t="e">
        <f>IF(Master[[#This Row],[RSP StopTime override]] &lt;&gt; "",Master[[#This Row],[RSP StopTime override]],IF(Master[[#This Row],[Avg stop time helper]] &lt;&gt; 0, Master[[#This Row],[Avg stop time helper]],Average_Stop_Time))</f>
        <v>#DIV/0!</v>
      </c>
      <c r="AV708" s="21"/>
      <c r="AW708" s="20">
        <f>Master[[#This Row],[RSP StopTime override]]-Master[[#This Row],[Avg stop time helper]]</f>
        <v>0</v>
      </c>
    </row>
    <row r="709" spans="1:49" x14ac:dyDescent="0.3">
      <c r="A709" s="66" t="s">
        <v>4757</v>
      </c>
      <c r="B709" s="58">
        <v>51</v>
      </c>
      <c r="C709" s="58" t="s">
        <v>35</v>
      </c>
      <c r="D709" s="65">
        <v>526992</v>
      </c>
      <c r="E709" s="65" t="s">
        <v>42</v>
      </c>
      <c r="F709" s="65" t="s">
        <v>2122</v>
      </c>
      <c r="G709" s="65" t="s">
        <v>2121</v>
      </c>
      <c r="H709" s="65" t="s">
        <v>32</v>
      </c>
      <c r="I709" s="65" t="s">
        <v>2114</v>
      </c>
      <c r="J709" s="65" t="s">
        <v>5</v>
      </c>
      <c r="K709" s="65" t="s">
        <v>1915</v>
      </c>
      <c r="L709" s="64" t="s">
        <v>194</v>
      </c>
      <c r="M709" s="58" t="s">
        <v>193</v>
      </c>
      <c r="N709" s="58" t="s">
        <v>2</v>
      </c>
      <c r="O709" s="58">
        <v>33</v>
      </c>
      <c r="P709" s="58">
        <v>0</v>
      </c>
      <c r="Q709" s="58">
        <v>33</v>
      </c>
      <c r="R709" s="58">
        <v>0</v>
      </c>
      <c r="S709" s="58">
        <v>0</v>
      </c>
      <c r="T709" s="58">
        <v>0</v>
      </c>
      <c r="U709" s="58">
        <v>13</v>
      </c>
      <c r="V709" s="62"/>
      <c r="W709" s="62"/>
      <c r="X709" s="63">
        <f>IFERROR(1 -(Master[[#This Row],[Avg Garment Scans per Delivery]]/Master[[#This Row],[Garment Inventory]]), 0)</f>
        <v>0</v>
      </c>
      <c r="Y709" s="62"/>
      <c r="Z709" s="62"/>
      <c r="AA709" s="53">
        <v>94.188749999999999</v>
      </c>
      <c r="AB709" s="53">
        <v>95.876249999999999</v>
      </c>
      <c r="AC709" s="53">
        <v>89.228888888888889</v>
      </c>
      <c r="AD709" s="53">
        <v>102.18444444444444</v>
      </c>
      <c r="AE709" s="53" t="str">
        <f>_xlfn.XLOOKUP(Master[[#This Row],[cu_id]],'[1]Customer Revenue'!$Q:$Q,'[1]Customer Revenue'!$K:$K, "None")</f>
        <v>None</v>
      </c>
      <c r="AF709" s="53" t="str">
        <f>_xlfn.XLOOKUP(Master[[#This Row],[cu_id]],'[1]Customer Revenue'!$Q:$Q,'[1]Customer Revenue'!$L:$L, "None")</f>
        <v>None</v>
      </c>
      <c r="AG709" s="53">
        <v>94.240408163265315</v>
      </c>
      <c r="AH709" s="53">
        <v>95.34244897959185</v>
      </c>
      <c r="AI709" s="53">
        <v>95.032499999999999</v>
      </c>
      <c r="AJ709" s="53">
        <v>95.706666666666663</v>
      </c>
      <c r="AK709" s="53" t="str">
        <f>_xlfn.XLOOKUP(Master[[#This Row],[cu_id]],'[1]Customer Revenue'!$Q:$Q,'[1]Customer Revenue'!$I:$I, "None")</f>
        <v>None</v>
      </c>
      <c r="AL709" s="53">
        <v>94.791428571428582</v>
      </c>
      <c r="AM709" s="61">
        <v>0.375</v>
      </c>
      <c r="AN709" s="60">
        <v>0.58333333333333337</v>
      </c>
      <c r="AO709" s="60" t="s">
        <v>36</v>
      </c>
      <c r="AP709" s="60" t="s">
        <v>36</v>
      </c>
      <c r="AQ709" s="58" t="s">
        <v>0</v>
      </c>
      <c r="AR709" s="58"/>
      <c r="AS709" s="58"/>
      <c r="AT709" s="52">
        <v>0</v>
      </c>
      <c r="AU709" s="52" t="e">
        <f>IF(Master[[#This Row],[RSP StopTime override]] &lt;&gt; "",Master[[#This Row],[RSP StopTime override]],IF(Master[[#This Row],[Avg stop time helper]] &lt;&gt; 0, Master[[#This Row],[Avg stop time helper]],Average_Stop_Time))</f>
        <v>#DIV/0!</v>
      </c>
      <c r="AV709" s="21"/>
      <c r="AW709" s="20">
        <f>Master[[#This Row],[RSP StopTime override]]-Master[[#This Row],[Avg stop time helper]]</f>
        <v>0</v>
      </c>
    </row>
    <row r="710" spans="1:49" x14ac:dyDescent="0.3">
      <c r="A710" s="66" t="s">
        <v>4758</v>
      </c>
      <c r="B710" s="58">
        <v>51</v>
      </c>
      <c r="C710" s="58" t="s">
        <v>43</v>
      </c>
      <c r="D710" s="65">
        <v>527712</v>
      </c>
      <c r="E710" s="65" t="s">
        <v>42</v>
      </c>
      <c r="F710" s="65" t="s">
        <v>2120</v>
      </c>
      <c r="G710" s="65" t="s">
        <v>2119</v>
      </c>
      <c r="H710" s="65" t="s">
        <v>32</v>
      </c>
      <c r="I710" s="65" t="s">
        <v>2118</v>
      </c>
      <c r="J710" s="65" t="s">
        <v>5</v>
      </c>
      <c r="K710" s="65" t="s">
        <v>1935</v>
      </c>
      <c r="L710" s="64" t="s">
        <v>67</v>
      </c>
      <c r="M710" s="58" t="s">
        <v>3</v>
      </c>
      <c r="N710" s="58" t="s">
        <v>2</v>
      </c>
      <c r="O710" s="58">
        <v>80</v>
      </c>
      <c r="P710" s="58">
        <v>0</v>
      </c>
      <c r="Q710" s="58">
        <v>0</v>
      </c>
      <c r="R710" s="58">
        <v>0</v>
      </c>
      <c r="S710" s="58">
        <v>80</v>
      </c>
      <c r="T710" s="58">
        <v>0</v>
      </c>
      <c r="U710" s="58">
        <v>53</v>
      </c>
      <c r="V710" s="62"/>
      <c r="W710" s="62"/>
      <c r="X710" s="63">
        <f>IFERROR(1 -(Master[[#This Row],[Avg Garment Scans per Delivery]]/Master[[#This Row],[Garment Inventory]]), 0)</f>
        <v>0</v>
      </c>
      <c r="Y710" s="62"/>
      <c r="Z710" s="62"/>
      <c r="AA710" s="53">
        <v>46.376804733727809</v>
      </c>
      <c r="AB710" s="53">
        <v>94.207810650887538</v>
      </c>
      <c r="AC710" s="53">
        <v>54.25917159763312</v>
      </c>
      <c r="AD710" s="53">
        <v>95.033136094674518</v>
      </c>
      <c r="AE710" s="53" t="str">
        <f>_xlfn.XLOOKUP(Master[[#This Row],[cu_id]],'[1]Customer Revenue'!$Q:$Q,'[1]Customer Revenue'!$K:$K, "None")</f>
        <v>None</v>
      </c>
      <c r="AF710" s="53" t="str">
        <f>_xlfn.XLOOKUP(Master[[#This Row],[cu_id]],'[1]Customer Revenue'!$Q:$Q,'[1]Customer Revenue'!$L:$L, "None")</f>
        <v>None</v>
      </c>
      <c r="AG710" s="53">
        <v>46.14147928994084</v>
      </c>
      <c r="AH710" s="53">
        <v>86.405443786982261</v>
      </c>
      <c r="AI710" s="53">
        <v>70.292307692307674</v>
      </c>
      <c r="AJ710" s="53">
        <v>74.646153846153823</v>
      </c>
      <c r="AK710" s="53" t="str">
        <f>_xlfn.XLOOKUP(Master[[#This Row],[cu_id]],'[1]Customer Revenue'!$Q:$Q,'[1]Customer Revenue'!$I:$I, "None")</f>
        <v>None</v>
      </c>
      <c r="AL710" s="53">
        <v>66.273461538461547</v>
      </c>
      <c r="AM710" s="61">
        <v>0.45833333333333331</v>
      </c>
      <c r="AN710" s="60">
        <v>0.91666666666666663</v>
      </c>
      <c r="AO710" s="60" t="s">
        <v>36</v>
      </c>
      <c r="AP710" s="60" t="s">
        <v>36</v>
      </c>
      <c r="AQ710" s="58" t="s">
        <v>0</v>
      </c>
      <c r="AR710" s="58"/>
      <c r="AS710" s="58"/>
      <c r="AT710" s="52">
        <v>0</v>
      </c>
      <c r="AU710" s="52" t="e">
        <f>IF(Master[[#This Row],[RSP StopTime override]] &lt;&gt; "",Master[[#This Row],[RSP StopTime override]],IF(Master[[#This Row],[Avg stop time helper]] &lt;&gt; 0, Master[[#This Row],[Avg stop time helper]],Average_Stop_Time))</f>
        <v>#DIV/0!</v>
      </c>
      <c r="AV710" s="21"/>
      <c r="AW710" s="20">
        <f>Master[[#This Row],[RSP StopTime override]]-Master[[#This Row],[Avg stop time helper]]</f>
        <v>0</v>
      </c>
    </row>
    <row r="711" spans="1:49" x14ac:dyDescent="0.3">
      <c r="A711" s="66" t="s">
        <v>3908</v>
      </c>
      <c r="B711" s="58">
        <v>51</v>
      </c>
      <c r="C711" s="58" t="s">
        <v>35</v>
      </c>
      <c r="D711" s="65">
        <v>99061</v>
      </c>
      <c r="E711" s="65" t="s">
        <v>1969</v>
      </c>
      <c r="F711" s="65" t="s">
        <v>3683</v>
      </c>
      <c r="G711" s="65" t="s">
        <v>1968</v>
      </c>
      <c r="H711" s="65" t="s">
        <v>32</v>
      </c>
      <c r="I711" s="65" t="s">
        <v>1967</v>
      </c>
      <c r="J711" s="65" t="s">
        <v>5</v>
      </c>
      <c r="K711" s="65" t="s">
        <v>1850</v>
      </c>
      <c r="L711" s="64" t="s">
        <v>67</v>
      </c>
      <c r="M711" s="58" t="s">
        <v>3</v>
      </c>
      <c r="N711" s="58" t="s">
        <v>2</v>
      </c>
      <c r="O711" s="58">
        <v>1</v>
      </c>
      <c r="P711" s="58">
        <v>0</v>
      </c>
      <c r="Q711" s="58">
        <v>1</v>
      </c>
      <c r="R711" s="58">
        <v>0</v>
      </c>
      <c r="S711" s="58">
        <v>0</v>
      </c>
      <c r="T711" s="58">
        <v>0</v>
      </c>
      <c r="U711" s="58">
        <v>52</v>
      </c>
      <c r="V711" s="62"/>
      <c r="W711" s="62"/>
      <c r="X711" s="63">
        <f>IFERROR(1 -(Master[[#This Row],[Avg Garment Scans per Delivery]]/Master[[#This Row],[Garment Inventory]]), 0)</f>
        <v>0</v>
      </c>
      <c r="Y711" s="62"/>
      <c r="Z711" s="62"/>
      <c r="AA711" s="53">
        <v>19.333668639053254</v>
      </c>
      <c r="AB711" s="53">
        <v>20.000177514792899</v>
      </c>
      <c r="AC711" s="53">
        <v>22.632603550295858</v>
      </c>
      <c r="AD711" s="53">
        <v>24.519704142011836</v>
      </c>
      <c r="AE711" s="53" t="str">
        <f>_xlfn.XLOOKUP(Master[[#This Row],[cu_id]],'[1]Customer Revenue'!$Q:$Q,'[1]Customer Revenue'!$K:$K, "None")</f>
        <v>None</v>
      </c>
      <c r="AF711" s="53" t="str">
        <f>_xlfn.XLOOKUP(Master[[#This Row],[cu_id]],'[1]Customer Revenue'!$Q:$Q,'[1]Customer Revenue'!$L:$L, "None")</f>
        <v>None</v>
      </c>
      <c r="AG711" s="53">
        <v>18.412781065088769</v>
      </c>
      <c r="AH711" s="53">
        <v>20.045680473372787</v>
      </c>
      <c r="AI711" s="53">
        <v>19.666923076923077</v>
      </c>
      <c r="AJ711" s="53">
        <v>23.576153846153847</v>
      </c>
      <c r="AK711" s="53" t="str">
        <f>_xlfn.XLOOKUP(Master[[#This Row],[cu_id]],'[1]Customer Revenue'!$Q:$Q,'[1]Customer Revenue'!$I:$I, "None")</f>
        <v>None</v>
      </c>
      <c r="AL711" s="53">
        <v>19.229230769230778</v>
      </c>
      <c r="AM711" s="61">
        <v>0.25</v>
      </c>
      <c r="AN711" s="60">
        <v>0.91666666666666663</v>
      </c>
      <c r="AO711" s="60" t="s">
        <v>36</v>
      </c>
      <c r="AP711" s="60" t="s">
        <v>36</v>
      </c>
      <c r="AQ711" s="58" t="s">
        <v>0</v>
      </c>
      <c r="AR711" s="58"/>
      <c r="AS711" s="58"/>
      <c r="AT711" s="52">
        <v>0</v>
      </c>
      <c r="AU711" s="52" t="e">
        <f>IF(Master[[#This Row],[RSP StopTime override]] &lt;&gt; "",Master[[#This Row],[RSP StopTime override]],IF(Master[[#This Row],[Avg stop time helper]] &lt;&gt; 0, Master[[#This Row],[Avg stop time helper]],Average_Stop_Time))</f>
        <v>#DIV/0!</v>
      </c>
      <c r="AV711" s="21"/>
      <c r="AW711" s="20">
        <f>Master[[#This Row],[RSP StopTime override]]-Master[[#This Row],[Avg stop time helper]]</f>
        <v>0</v>
      </c>
    </row>
    <row r="712" spans="1:49" x14ac:dyDescent="0.3">
      <c r="A712" s="66" t="s">
        <v>4759</v>
      </c>
      <c r="B712" s="58">
        <v>51</v>
      </c>
      <c r="C712" s="58" t="s">
        <v>15</v>
      </c>
      <c r="D712" s="65">
        <v>99061</v>
      </c>
      <c r="E712" s="65" t="s">
        <v>2117</v>
      </c>
      <c r="F712" s="65" t="s">
        <v>2116</v>
      </c>
      <c r="G712" s="65" t="s">
        <v>2115</v>
      </c>
      <c r="H712" s="65" t="s">
        <v>32</v>
      </c>
      <c r="I712" s="65" t="s">
        <v>50</v>
      </c>
      <c r="J712" s="65" t="s">
        <v>5</v>
      </c>
      <c r="K712" s="65" t="s">
        <v>1847</v>
      </c>
      <c r="L712" s="64" t="s">
        <v>67</v>
      </c>
      <c r="M712" s="58" t="s">
        <v>3</v>
      </c>
      <c r="N712" s="58" t="s">
        <v>2</v>
      </c>
      <c r="O712" s="58">
        <v>15</v>
      </c>
      <c r="P712" s="58">
        <v>0</v>
      </c>
      <c r="Q712" s="58">
        <v>0</v>
      </c>
      <c r="R712" s="58">
        <v>0</v>
      </c>
      <c r="S712" s="58">
        <v>0</v>
      </c>
      <c r="T712" s="58">
        <v>15</v>
      </c>
      <c r="U712" s="58">
        <v>52</v>
      </c>
      <c r="V712" s="62"/>
      <c r="W712" s="62"/>
      <c r="X712" s="63">
        <f>IFERROR(1 -(Master[[#This Row],[Avg Garment Scans per Delivery]]/Master[[#This Row],[Garment Inventory]]), 0)</f>
        <v>0</v>
      </c>
      <c r="Y712" s="62"/>
      <c r="Z712" s="62"/>
      <c r="AA712" s="53">
        <v>95.14</v>
      </c>
      <c r="AB712" s="53">
        <v>96.39</v>
      </c>
      <c r="AC712" s="53">
        <v>97.64</v>
      </c>
      <c r="AD712" s="53">
        <v>97.640000000000029</v>
      </c>
      <c r="AE712" s="53" t="str">
        <f>_xlfn.XLOOKUP(Master[[#This Row],[cu_id]],'[1]Customer Revenue'!$Q:$Q,'[1]Customer Revenue'!$K:$K, "None")</f>
        <v>None</v>
      </c>
      <c r="AF712" s="53" t="str">
        <f>_xlfn.XLOOKUP(Master[[#This Row],[cu_id]],'[1]Customer Revenue'!$Q:$Q,'[1]Customer Revenue'!$L:$L, "None")</f>
        <v>None</v>
      </c>
      <c r="AG712" s="53">
        <v>91.560414201183448</v>
      </c>
      <c r="AH712" s="53">
        <v>96.096508875739659</v>
      </c>
      <c r="AI712" s="53">
        <v>95.765000000000001</v>
      </c>
      <c r="AJ712" s="53">
        <v>97.640000000000015</v>
      </c>
      <c r="AK712" s="53" t="str">
        <f>_xlfn.XLOOKUP(Master[[#This Row],[cu_id]],'[1]Customer Revenue'!$Q:$Q,'[1]Customer Revenue'!$I:$I, "None")</f>
        <v>None</v>
      </c>
      <c r="AL712" s="53">
        <v>93.828461538461553</v>
      </c>
      <c r="AM712" s="61" t="s">
        <v>36</v>
      </c>
      <c r="AN712" s="60" t="s">
        <v>36</v>
      </c>
      <c r="AO712" s="60" t="s">
        <v>36</v>
      </c>
      <c r="AP712" s="60" t="s">
        <v>36</v>
      </c>
      <c r="AQ712" s="58" t="s">
        <v>308</v>
      </c>
      <c r="AR712" s="58"/>
      <c r="AS712" s="58"/>
      <c r="AT712" s="52">
        <v>0</v>
      </c>
      <c r="AU712" s="52" t="e">
        <f>IF(Master[[#This Row],[RSP StopTime override]] &lt;&gt; "",Master[[#This Row],[RSP StopTime override]],IF(Master[[#This Row],[Avg stop time helper]] &lt;&gt; 0, Master[[#This Row],[Avg stop time helper]],Average_Stop_Time))</f>
        <v>#DIV/0!</v>
      </c>
      <c r="AV712" s="21"/>
      <c r="AW712" s="20">
        <f>Master[[#This Row],[RSP StopTime override]]-Master[[#This Row],[Avg stop time helper]]</f>
        <v>0</v>
      </c>
    </row>
    <row r="713" spans="1:49" x14ac:dyDescent="0.3">
      <c r="A713" s="66" t="s">
        <v>3820</v>
      </c>
      <c r="B713" s="58">
        <v>56</v>
      </c>
      <c r="C713" s="58" t="s">
        <v>43</v>
      </c>
      <c r="D713" s="65">
        <v>99033</v>
      </c>
      <c r="E713" s="65">
        <v>257</v>
      </c>
      <c r="F713" s="65" t="s">
        <v>2488</v>
      </c>
      <c r="G713" s="65" t="s">
        <v>2487</v>
      </c>
      <c r="H713" s="65" t="s">
        <v>7</v>
      </c>
      <c r="I713" s="65" t="s">
        <v>126</v>
      </c>
      <c r="J713" s="65" t="s">
        <v>5</v>
      </c>
      <c r="K713" s="65" t="s">
        <v>2486</v>
      </c>
      <c r="L713" s="64">
        <v>5</v>
      </c>
      <c r="M713" s="58" t="s">
        <v>3</v>
      </c>
      <c r="N713" s="58" t="s">
        <v>2</v>
      </c>
      <c r="O713" s="58">
        <v>20</v>
      </c>
      <c r="P713" s="58">
        <v>20</v>
      </c>
      <c r="Q713" s="58">
        <v>0</v>
      </c>
      <c r="R713" s="58">
        <v>0</v>
      </c>
      <c r="S713" s="58">
        <v>0</v>
      </c>
      <c r="T713" s="58">
        <v>0</v>
      </c>
      <c r="U713" s="58">
        <v>39</v>
      </c>
      <c r="V713" s="62">
        <v>22</v>
      </c>
      <c r="W713" s="62">
        <v>3</v>
      </c>
      <c r="X713" s="63">
        <f>IFERROR(1 -(Master[[#This Row],[Avg Garment Scans per Delivery]]/Master[[#This Row],[Garment Inventory]]), 0)</f>
        <v>0.86363636363636365</v>
      </c>
      <c r="Y713" s="62">
        <v>1</v>
      </c>
      <c r="Z713" s="62">
        <v>22</v>
      </c>
      <c r="AA713" s="53"/>
      <c r="AB713" s="53"/>
      <c r="AC713" s="53"/>
      <c r="AD713" s="53"/>
      <c r="AE713" s="53">
        <v>73.8</v>
      </c>
      <c r="AF713" s="53">
        <v>140</v>
      </c>
      <c r="AG713" s="53"/>
      <c r="AH713" s="53"/>
      <c r="AI713" s="53"/>
      <c r="AJ713" s="53"/>
      <c r="AK713" s="53">
        <v>106.65</v>
      </c>
      <c r="AL713" s="53"/>
      <c r="AM713" s="61">
        <v>0.375</v>
      </c>
      <c r="AN713" s="60">
        <v>0.91666666666666663</v>
      </c>
      <c r="AO713" s="60" t="s">
        <v>36</v>
      </c>
      <c r="AP713" s="60" t="s">
        <v>36</v>
      </c>
      <c r="AQ713" s="58" t="s">
        <v>0</v>
      </c>
      <c r="AR713" s="58"/>
      <c r="AS713" s="58"/>
      <c r="AT713" s="52">
        <v>0</v>
      </c>
      <c r="AU713" s="52">
        <f>IF(Master[[#This Row],[RSP StopTime override]] &lt;&gt; "",Master[[#This Row],[RSP StopTime override]],IF(Master[[#This Row],[Avg stop time helper]] &lt;&gt; 0, Master[[#This Row],[Avg stop time helper]],Average_Stop_Time))</f>
        <v>3</v>
      </c>
      <c r="AV713" s="21">
        <v>3</v>
      </c>
      <c r="AW713" s="20">
        <f>Master[[#This Row],[RSP StopTime override]]-Master[[#This Row],[Avg stop time helper]]</f>
        <v>3</v>
      </c>
    </row>
    <row r="714" spans="1:49" x14ac:dyDescent="0.3">
      <c r="A714" s="66" t="s">
        <v>4760</v>
      </c>
      <c r="B714" s="58">
        <v>51</v>
      </c>
      <c r="C714" s="58" t="s">
        <v>35</v>
      </c>
      <c r="D714" s="65">
        <v>528559</v>
      </c>
      <c r="E714" s="65" t="s">
        <v>42</v>
      </c>
      <c r="F714" s="65" t="s">
        <v>2113</v>
      </c>
      <c r="G714" s="65" t="s">
        <v>2112</v>
      </c>
      <c r="H714" s="65" t="s">
        <v>32</v>
      </c>
      <c r="I714" s="65" t="s">
        <v>2111</v>
      </c>
      <c r="J714" s="65" t="s">
        <v>5</v>
      </c>
      <c r="K714" s="65" t="s">
        <v>78</v>
      </c>
      <c r="L714" s="64" t="s">
        <v>91</v>
      </c>
      <c r="M714" s="58" t="s">
        <v>90</v>
      </c>
      <c r="N714" s="58" t="s">
        <v>2</v>
      </c>
      <c r="O714" s="58">
        <v>80</v>
      </c>
      <c r="P714" s="58">
        <v>0</v>
      </c>
      <c r="Q714" s="58">
        <v>80</v>
      </c>
      <c r="R714" s="58">
        <v>0</v>
      </c>
      <c r="S714" s="58">
        <v>0</v>
      </c>
      <c r="T714" s="58">
        <v>0</v>
      </c>
      <c r="U714" s="58">
        <v>34</v>
      </c>
      <c r="V714" s="62"/>
      <c r="W714" s="62"/>
      <c r="X714" s="63">
        <f>IFERROR(1 -(Master[[#This Row],[Avg Garment Scans per Delivery]]/Master[[#This Row],[Garment Inventory]]), 0)</f>
        <v>0</v>
      </c>
      <c r="Y714" s="62"/>
      <c r="Z714" s="62"/>
      <c r="AA714" s="53">
        <v>132.14888888888888</v>
      </c>
      <c r="AB714" s="53">
        <v>229.88777777777776</v>
      </c>
      <c r="AC714" s="53">
        <v>296.14666666666665</v>
      </c>
      <c r="AD714" s="53">
        <v>550.39333333333332</v>
      </c>
      <c r="AE714" s="53" t="str">
        <f>_xlfn.XLOOKUP(Master[[#This Row],[cu_id]],'[1]Customer Revenue'!$Q:$Q,'[1]Customer Revenue'!$K:$K, "None")</f>
        <v>None</v>
      </c>
      <c r="AF714" s="53" t="str">
        <f>_xlfn.XLOOKUP(Master[[#This Row],[cu_id]],'[1]Customer Revenue'!$Q:$Q,'[1]Customer Revenue'!$L:$L, "None")</f>
        <v>None</v>
      </c>
      <c r="AG714" s="53">
        <v>129.63083333333336</v>
      </c>
      <c r="AH714" s="53">
        <v>251.13250000000002</v>
      </c>
      <c r="AI714" s="53">
        <v>181.01833333333332</v>
      </c>
      <c r="AJ714" s="53">
        <v>423.27</v>
      </c>
      <c r="AK714" s="53" t="str">
        <f>_xlfn.XLOOKUP(Master[[#This Row],[cu_id]],'[1]Customer Revenue'!$Q:$Q,'[1]Customer Revenue'!$I:$I, "None")</f>
        <v>None</v>
      </c>
      <c r="AL714" s="53">
        <v>190.38166666666669</v>
      </c>
      <c r="AM714" s="61">
        <v>0.29166666666666669</v>
      </c>
      <c r="AN714" s="60">
        <v>0.83333333333333337</v>
      </c>
      <c r="AO714" s="60" t="s">
        <v>36</v>
      </c>
      <c r="AP714" s="60" t="s">
        <v>36</v>
      </c>
      <c r="AQ714" s="58" t="s">
        <v>0</v>
      </c>
      <c r="AR714" s="58"/>
      <c r="AS714" s="58"/>
      <c r="AT714" s="52">
        <v>0</v>
      </c>
      <c r="AU714" s="52" t="e">
        <f>IF(Master[[#This Row],[RSP StopTime override]] &lt;&gt; "",Master[[#This Row],[RSP StopTime override]],IF(Master[[#This Row],[Avg stop time helper]] &lt;&gt; 0, Master[[#This Row],[Avg stop time helper]],Average_Stop_Time))</f>
        <v>#DIV/0!</v>
      </c>
      <c r="AV714" s="21"/>
      <c r="AW714" s="20">
        <f>Master[[#This Row],[RSP StopTime override]]-Master[[#This Row],[Avg stop time helper]]</f>
        <v>0</v>
      </c>
    </row>
    <row r="715" spans="1:49" x14ac:dyDescent="0.3">
      <c r="A715" s="66" t="s">
        <v>4761</v>
      </c>
      <c r="B715" s="58">
        <v>51</v>
      </c>
      <c r="C715" s="58" t="s">
        <v>35</v>
      </c>
      <c r="D715" s="65">
        <v>528814</v>
      </c>
      <c r="E715" s="65" t="s">
        <v>42</v>
      </c>
      <c r="F715" s="65" t="s">
        <v>2110</v>
      </c>
      <c r="G715" s="65" t="s">
        <v>2109</v>
      </c>
      <c r="H715" s="65" t="s">
        <v>32</v>
      </c>
      <c r="I715" s="65" t="s">
        <v>1916</v>
      </c>
      <c r="J715" s="65" t="s">
        <v>5</v>
      </c>
      <c r="K715" s="65" t="s">
        <v>1915</v>
      </c>
      <c r="L715" s="64" t="s">
        <v>145</v>
      </c>
      <c r="M715" s="58" t="s">
        <v>123</v>
      </c>
      <c r="N715" s="58" t="s">
        <v>144</v>
      </c>
      <c r="O715" s="58">
        <v>45</v>
      </c>
      <c r="P715" s="58">
        <v>0</v>
      </c>
      <c r="Q715" s="58">
        <v>45</v>
      </c>
      <c r="R715" s="58">
        <v>0</v>
      </c>
      <c r="S715" s="58">
        <v>0</v>
      </c>
      <c r="T715" s="58">
        <v>0</v>
      </c>
      <c r="U715" s="58">
        <v>2</v>
      </c>
      <c r="V715" s="62"/>
      <c r="W715" s="62"/>
      <c r="X715" s="63">
        <f>IFERROR(1 -(Master[[#This Row],[Avg Garment Scans per Delivery]]/Master[[#This Row],[Garment Inventory]]), 0)</f>
        <v>0</v>
      </c>
      <c r="Y715" s="62"/>
      <c r="Z715" s="62"/>
      <c r="AA715" s="53">
        <v>127.28</v>
      </c>
      <c r="AB715" s="53">
        <v>127.28</v>
      </c>
      <c r="AC715" s="53"/>
      <c r="AD715" s="53"/>
      <c r="AE715" s="53" t="str">
        <f>_xlfn.XLOOKUP(Master[[#This Row],[cu_id]],'[1]Customer Revenue'!$Q:$Q,'[1]Customer Revenue'!$K:$K, "None")</f>
        <v>None</v>
      </c>
      <c r="AF715" s="53" t="str">
        <f>_xlfn.XLOOKUP(Master[[#This Row],[cu_id]],'[1]Customer Revenue'!$Q:$Q,'[1]Customer Revenue'!$L:$L, "None")</f>
        <v>None</v>
      </c>
      <c r="AG715" s="53">
        <v>127.28</v>
      </c>
      <c r="AH715" s="53">
        <v>127.28</v>
      </c>
      <c r="AI715" s="53">
        <v>127.28</v>
      </c>
      <c r="AJ715" s="53"/>
      <c r="AK715" s="53" t="str">
        <f>_xlfn.XLOOKUP(Master[[#This Row],[cu_id]],'[1]Customer Revenue'!$Q:$Q,'[1]Customer Revenue'!$I:$I, "None")</f>
        <v>None</v>
      </c>
      <c r="AL715" s="53">
        <v>127.28</v>
      </c>
      <c r="AM715" s="61" t="s">
        <v>36</v>
      </c>
      <c r="AN715" s="60" t="s">
        <v>36</v>
      </c>
      <c r="AO715" s="60" t="s">
        <v>36</v>
      </c>
      <c r="AP715" s="60" t="s">
        <v>36</v>
      </c>
      <c r="AQ715" s="58" t="s">
        <v>0</v>
      </c>
      <c r="AR715" s="58"/>
      <c r="AS715" s="58"/>
      <c r="AT715" s="52">
        <v>0</v>
      </c>
      <c r="AU715" s="52" t="e">
        <f>IF(Master[[#This Row],[RSP StopTime override]] &lt;&gt; "",Master[[#This Row],[RSP StopTime override]],IF(Master[[#This Row],[Avg stop time helper]] &lt;&gt; 0, Master[[#This Row],[Avg stop time helper]],Average_Stop_Time))</f>
        <v>#DIV/0!</v>
      </c>
      <c r="AV715" s="21"/>
      <c r="AW715" s="20">
        <f>Master[[#This Row],[RSP StopTime override]]-Master[[#This Row],[Avg stop time helper]]</f>
        <v>0</v>
      </c>
    </row>
    <row r="716" spans="1:49" x14ac:dyDescent="0.3">
      <c r="A716" s="66" t="s">
        <v>3876</v>
      </c>
      <c r="B716" s="58">
        <v>51</v>
      </c>
      <c r="C716" s="58" t="s">
        <v>24</v>
      </c>
      <c r="D716" s="65">
        <v>99061</v>
      </c>
      <c r="E716" s="65" t="s">
        <v>1989</v>
      </c>
      <c r="F716" s="65" t="s">
        <v>3684</v>
      </c>
      <c r="G716" s="65" t="s">
        <v>1988</v>
      </c>
      <c r="H716" s="65" t="s">
        <v>32</v>
      </c>
      <c r="I716" s="65" t="s">
        <v>12</v>
      </c>
      <c r="J716" s="65" t="s">
        <v>5</v>
      </c>
      <c r="K716" s="65" t="s">
        <v>20</v>
      </c>
      <c r="L716" s="64" t="s">
        <v>67</v>
      </c>
      <c r="M716" s="58" t="s">
        <v>3</v>
      </c>
      <c r="N716" s="58" t="s">
        <v>2</v>
      </c>
      <c r="O716" s="58">
        <v>5</v>
      </c>
      <c r="P716" s="58">
        <v>5</v>
      </c>
      <c r="Q716" s="58">
        <v>0</v>
      </c>
      <c r="R716" s="58">
        <v>0</v>
      </c>
      <c r="S716" s="58">
        <v>0</v>
      </c>
      <c r="T716" s="58">
        <v>0</v>
      </c>
      <c r="U716" s="58">
        <v>52</v>
      </c>
      <c r="V716" s="62"/>
      <c r="W716" s="62"/>
      <c r="X716" s="63">
        <f>IFERROR(1 -(Master[[#This Row],[Avg Garment Scans per Delivery]]/Master[[#This Row],[Garment Inventory]]), 0)</f>
        <v>0</v>
      </c>
      <c r="Y716" s="62"/>
      <c r="Z716" s="62"/>
      <c r="AA716" s="53">
        <v>67.189822485207102</v>
      </c>
      <c r="AB716" s="53">
        <v>72.311715976331342</v>
      </c>
      <c r="AC716" s="53">
        <v>24.304142011834323</v>
      </c>
      <c r="AD716" s="53">
        <v>78.646627218934924</v>
      </c>
      <c r="AE716" s="53" t="str">
        <f>_xlfn.XLOOKUP(Master[[#This Row],[cu_id]],'[1]Customer Revenue'!$Q:$Q,'[1]Customer Revenue'!$K:$K, "None")</f>
        <v>None</v>
      </c>
      <c r="AF716" s="53" t="str">
        <f>_xlfn.XLOOKUP(Master[[#This Row],[cu_id]],'[1]Customer Revenue'!$Q:$Q,'[1]Customer Revenue'!$L:$L, "None")</f>
        <v>None</v>
      </c>
      <c r="AG716" s="53">
        <v>58.99689349112424</v>
      </c>
      <c r="AH716" s="53">
        <v>72.546952662721878</v>
      </c>
      <c r="AI716" s="53">
        <v>69.750769230769222</v>
      </c>
      <c r="AJ716" s="53">
        <v>51.47538461538462</v>
      </c>
      <c r="AK716" s="53" t="str">
        <f>_xlfn.XLOOKUP(Master[[#This Row],[cu_id]],'[1]Customer Revenue'!$Q:$Q,'[1]Customer Revenue'!$I:$I, "None")</f>
        <v>None</v>
      </c>
      <c r="AL716" s="53">
        <v>65.771923076923059</v>
      </c>
      <c r="AM716" s="61">
        <v>0.25</v>
      </c>
      <c r="AN716" s="60">
        <v>0.875</v>
      </c>
      <c r="AO716" s="60" t="s">
        <v>36</v>
      </c>
      <c r="AP716" s="60" t="s">
        <v>36</v>
      </c>
      <c r="AQ716" s="58" t="s">
        <v>308</v>
      </c>
      <c r="AR716" s="58"/>
      <c r="AS716" s="58"/>
      <c r="AT716" s="52">
        <v>0</v>
      </c>
      <c r="AU716" s="52" t="e">
        <f>IF(Master[[#This Row],[RSP StopTime override]] &lt;&gt; "",Master[[#This Row],[RSP StopTime override]],IF(Master[[#This Row],[Avg stop time helper]] &lt;&gt; 0, Master[[#This Row],[Avg stop time helper]],Average_Stop_Time))</f>
        <v>#DIV/0!</v>
      </c>
      <c r="AV716" s="21"/>
      <c r="AW716" s="20">
        <f>Master[[#This Row],[RSP StopTime override]]-Master[[#This Row],[Avg stop time helper]]</f>
        <v>0</v>
      </c>
    </row>
    <row r="717" spans="1:49" x14ac:dyDescent="0.3">
      <c r="A717" s="66" t="s">
        <v>3881</v>
      </c>
      <c r="B717" s="58">
        <v>51</v>
      </c>
      <c r="C717" s="58" t="s">
        <v>24</v>
      </c>
      <c r="D717" s="65">
        <v>99061</v>
      </c>
      <c r="E717" s="65" t="s">
        <v>1328</v>
      </c>
      <c r="F717" s="65" t="s">
        <v>3685</v>
      </c>
      <c r="G717" s="65" t="s">
        <v>1988</v>
      </c>
      <c r="H717" s="65" t="s">
        <v>32</v>
      </c>
      <c r="I717" s="65" t="s">
        <v>12</v>
      </c>
      <c r="J717" s="65" t="s">
        <v>5</v>
      </c>
      <c r="K717" s="65" t="s">
        <v>20</v>
      </c>
      <c r="L717" s="64" t="s">
        <v>67</v>
      </c>
      <c r="M717" s="58" t="s">
        <v>3</v>
      </c>
      <c r="N717" s="58" t="s">
        <v>2</v>
      </c>
      <c r="O717" s="58">
        <v>10</v>
      </c>
      <c r="P717" s="58">
        <v>10</v>
      </c>
      <c r="Q717" s="58">
        <v>0</v>
      </c>
      <c r="R717" s="58">
        <v>0</v>
      </c>
      <c r="S717" s="58">
        <v>0</v>
      </c>
      <c r="T717" s="58">
        <v>0</v>
      </c>
      <c r="U717" s="58">
        <v>52</v>
      </c>
      <c r="V717" s="62"/>
      <c r="W717" s="62"/>
      <c r="X717" s="63">
        <f>IFERROR(1 -(Master[[#This Row],[Avg Garment Scans per Delivery]]/Master[[#This Row],[Garment Inventory]]), 0)</f>
        <v>0</v>
      </c>
      <c r="Y717" s="62"/>
      <c r="Z717" s="62"/>
      <c r="AA717" s="53">
        <v>9.0299999999999994</v>
      </c>
      <c r="AB717" s="53">
        <v>9.0299999999999994</v>
      </c>
      <c r="AC717" s="53">
        <v>9.3828402366863894</v>
      </c>
      <c r="AD717" s="53">
        <v>10.841775147928994</v>
      </c>
      <c r="AE717" s="53" t="str">
        <f>_xlfn.XLOOKUP(Master[[#This Row],[cu_id]],'[1]Customer Revenue'!$Q:$Q,'[1]Customer Revenue'!$K:$K, "None")</f>
        <v>None</v>
      </c>
      <c r="AF717" s="53" t="str">
        <f>_xlfn.XLOOKUP(Master[[#This Row],[cu_id]],'[1]Customer Revenue'!$Q:$Q,'[1]Customer Revenue'!$L:$L, "None")</f>
        <v>None</v>
      </c>
      <c r="AG717" s="53">
        <v>8.7897633136094697</v>
      </c>
      <c r="AH717" s="53">
        <v>9.0548520710059179</v>
      </c>
      <c r="AI717" s="53">
        <v>9.0299999999999994</v>
      </c>
      <c r="AJ717" s="53">
        <v>10.112307692307692</v>
      </c>
      <c r="AK717" s="53" t="str">
        <f>_xlfn.XLOOKUP(Master[[#This Row],[cu_id]],'[1]Customer Revenue'!$Q:$Q,'[1]Customer Revenue'!$I:$I, "None")</f>
        <v>None</v>
      </c>
      <c r="AL717" s="53">
        <v>8.9223076923076938</v>
      </c>
      <c r="AM717" s="61">
        <v>0.25</v>
      </c>
      <c r="AN717" s="60">
        <v>0.875</v>
      </c>
      <c r="AO717" s="60" t="s">
        <v>36</v>
      </c>
      <c r="AP717" s="60" t="s">
        <v>36</v>
      </c>
      <c r="AQ717" s="58" t="s">
        <v>308</v>
      </c>
      <c r="AR717" s="58"/>
      <c r="AS717" s="58"/>
      <c r="AT717" s="52">
        <v>0</v>
      </c>
      <c r="AU717" s="52" t="e">
        <f>IF(Master[[#This Row],[RSP StopTime override]] &lt;&gt; "",Master[[#This Row],[RSP StopTime override]],IF(Master[[#This Row],[Avg stop time helper]] &lt;&gt; 0, Master[[#This Row],[Avg stop time helper]],Average_Stop_Time))</f>
        <v>#DIV/0!</v>
      </c>
      <c r="AV717" s="21"/>
      <c r="AW717" s="20">
        <f>Master[[#This Row],[RSP StopTime override]]-Master[[#This Row],[Avg stop time helper]]</f>
        <v>0</v>
      </c>
    </row>
    <row r="718" spans="1:49" x14ac:dyDescent="0.3">
      <c r="A718" s="66" t="s">
        <v>3883</v>
      </c>
      <c r="B718" s="58">
        <v>51</v>
      </c>
      <c r="C718" s="58" t="s">
        <v>24</v>
      </c>
      <c r="D718" s="65">
        <v>99061</v>
      </c>
      <c r="E718" s="65" t="s">
        <v>1804</v>
      </c>
      <c r="F718" s="65" t="s">
        <v>3686</v>
      </c>
      <c r="G718" s="65" t="s">
        <v>1988</v>
      </c>
      <c r="H718" s="65" t="s">
        <v>32</v>
      </c>
      <c r="I718" s="65" t="s">
        <v>12</v>
      </c>
      <c r="J718" s="65" t="s">
        <v>5</v>
      </c>
      <c r="K718" s="65" t="s">
        <v>20</v>
      </c>
      <c r="L718" s="64" t="s">
        <v>67</v>
      </c>
      <c r="M718" s="58" t="s">
        <v>3</v>
      </c>
      <c r="N718" s="58" t="s">
        <v>2</v>
      </c>
      <c r="O718" s="58">
        <v>15</v>
      </c>
      <c r="P718" s="58">
        <v>15</v>
      </c>
      <c r="Q718" s="58">
        <v>0</v>
      </c>
      <c r="R718" s="58">
        <v>0</v>
      </c>
      <c r="S718" s="58">
        <v>0</v>
      </c>
      <c r="T718" s="58">
        <v>0</v>
      </c>
      <c r="U718" s="58">
        <v>52</v>
      </c>
      <c r="V718" s="62"/>
      <c r="W718" s="62"/>
      <c r="X718" s="63">
        <f>IFERROR(1 -(Master[[#This Row],[Avg Garment Scans per Delivery]]/Master[[#This Row],[Garment Inventory]]), 0)</f>
        <v>0</v>
      </c>
      <c r="Y718" s="62"/>
      <c r="Z718" s="62"/>
      <c r="AA718" s="53">
        <v>45.22</v>
      </c>
      <c r="AB718" s="53">
        <v>45.220000000000027</v>
      </c>
      <c r="AC718" s="53">
        <v>46.191301775147942</v>
      </c>
      <c r="AD718" s="53">
        <v>49.299467455621304</v>
      </c>
      <c r="AE718" s="53" t="str">
        <f>_xlfn.XLOOKUP(Master[[#This Row],[cu_id]],'[1]Customer Revenue'!$Q:$Q,'[1]Customer Revenue'!$K:$K, "None")</f>
        <v>None</v>
      </c>
      <c r="AF718" s="53" t="str">
        <f>_xlfn.XLOOKUP(Master[[#This Row],[cu_id]],'[1]Customer Revenue'!$Q:$Q,'[1]Customer Revenue'!$L:$L, "None")</f>
        <v>None</v>
      </c>
      <c r="AG718" s="53">
        <v>44.001656804733749</v>
      </c>
      <c r="AH718" s="53">
        <v>45.346035502958593</v>
      </c>
      <c r="AI718" s="53">
        <v>45.220000000000013</v>
      </c>
      <c r="AJ718" s="53">
        <v>47.745384615384623</v>
      </c>
      <c r="AK718" s="53" t="str">
        <f>_xlfn.XLOOKUP(Master[[#This Row],[cu_id]],'[1]Customer Revenue'!$Q:$Q,'[1]Customer Revenue'!$I:$I, "None")</f>
        <v>None</v>
      </c>
      <c r="AL718" s="53">
        <v>44.673846153846171</v>
      </c>
      <c r="AM718" s="61">
        <v>0.25</v>
      </c>
      <c r="AN718" s="60">
        <v>0.875</v>
      </c>
      <c r="AO718" s="60" t="s">
        <v>36</v>
      </c>
      <c r="AP718" s="60" t="s">
        <v>36</v>
      </c>
      <c r="AQ718" s="58" t="s">
        <v>308</v>
      </c>
      <c r="AR718" s="58"/>
      <c r="AS718" s="58"/>
      <c r="AT718" s="52">
        <v>0</v>
      </c>
      <c r="AU718" s="52" t="e">
        <f>IF(Master[[#This Row],[RSP StopTime override]] &lt;&gt; "",Master[[#This Row],[RSP StopTime override]],IF(Master[[#This Row],[Avg stop time helper]] &lt;&gt; 0, Master[[#This Row],[Avg stop time helper]],Average_Stop_Time))</f>
        <v>#DIV/0!</v>
      </c>
      <c r="AV718" s="21"/>
      <c r="AW718" s="20">
        <f>Master[[#This Row],[RSP StopTime override]]-Master[[#This Row],[Avg stop time helper]]</f>
        <v>0</v>
      </c>
    </row>
    <row r="719" spans="1:49" x14ac:dyDescent="0.3">
      <c r="A719" s="66" t="s">
        <v>3887</v>
      </c>
      <c r="B719" s="58">
        <v>51</v>
      </c>
      <c r="C719" s="58" t="s">
        <v>24</v>
      </c>
      <c r="D719" s="65">
        <v>99061</v>
      </c>
      <c r="E719" s="65" t="s">
        <v>1360</v>
      </c>
      <c r="F719" s="65" t="s">
        <v>3687</v>
      </c>
      <c r="G719" s="65" t="s">
        <v>1988</v>
      </c>
      <c r="H719" s="65" t="s">
        <v>32</v>
      </c>
      <c r="I719" s="65" t="s">
        <v>12</v>
      </c>
      <c r="J719" s="65" t="s">
        <v>5</v>
      </c>
      <c r="K719" s="65" t="s">
        <v>20</v>
      </c>
      <c r="L719" s="64" t="s">
        <v>67</v>
      </c>
      <c r="M719" s="58" t="s">
        <v>3</v>
      </c>
      <c r="N719" s="58" t="s">
        <v>2</v>
      </c>
      <c r="O719" s="58">
        <v>20</v>
      </c>
      <c r="P719" s="58">
        <v>20</v>
      </c>
      <c r="Q719" s="58">
        <v>0</v>
      </c>
      <c r="R719" s="58">
        <v>0</v>
      </c>
      <c r="S719" s="58">
        <v>0</v>
      </c>
      <c r="T719" s="58">
        <v>0</v>
      </c>
      <c r="U719" s="58">
        <v>51</v>
      </c>
      <c r="V719" s="62"/>
      <c r="W719" s="62"/>
      <c r="X719" s="63">
        <f>IFERROR(1 -(Master[[#This Row],[Avg Garment Scans per Delivery]]/Master[[#This Row],[Garment Inventory]]), 0)</f>
        <v>0</v>
      </c>
      <c r="Y719" s="62"/>
      <c r="Z719" s="62"/>
      <c r="AA719" s="53">
        <v>9.2999999999999972</v>
      </c>
      <c r="AB719" s="53">
        <v>9.3000000000000007</v>
      </c>
      <c r="AC719" s="53">
        <v>9.8233136094674585</v>
      </c>
      <c r="AD719" s="53">
        <v>11.662840236686392</v>
      </c>
      <c r="AE719" s="53" t="str">
        <f>_xlfn.XLOOKUP(Master[[#This Row],[cu_id]],'[1]Customer Revenue'!$Q:$Q,'[1]Customer Revenue'!$K:$K, "None")</f>
        <v>None</v>
      </c>
      <c r="AF719" s="53" t="str">
        <f>_xlfn.XLOOKUP(Master[[#This Row],[cu_id]],'[1]Customer Revenue'!$Q:$Q,'[1]Customer Revenue'!$L:$L, "None")</f>
        <v>None</v>
      </c>
      <c r="AG719" s="53">
        <v>9.0426035502958637</v>
      </c>
      <c r="AH719" s="53">
        <v>9.3266272189349149</v>
      </c>
      <c r="AI719" s="53">
        <v>9.2999999999999989</v>
      </c>
      <c r="AJ719" s="53">
        <v>10.743076923076925</v>
      </c>
      <c r="AK719" s="53" t="str">
        <f>_xlfn.XLOOKUP(Master[[#This Row],[cu_id]],'[1]Customer Revenue'!$Q:$Q,'[1]Customer Revenue'!$I:$I, "None")</f>
        <v>None</v>
      </c>
      <c r="AL719" s="53">
        <v>9.1846153846153893</v>
      </c>
      <c r="AM719" s="61">
        <v>0.25</v>
      </c>
      <c r="AN719" s="60">
        <v>0.875</v>
      </c>
      <c r="AO719" s="60" t="s">
        <v>36</v>
      </c>
      <c r="AP719" s="60" t="s">
        <v>36</v>
      </c>
      <c r="AQ719" s="58" t="s">
        <v>308</v>
      </c>
      <c r="AR719" s="58"/>
      <c r="AS719" s="58"/>
      <c r="AT719" s="52">
        <v>0</v>
      </c>
      <c r="AU719" s="52" t="e">
        <f>IF(Master[[#This Row],[RSP StopTime override]] &lt;&gt; "",Master[[#This Row],[RSP StopTime override]],IF(Master[[#This Row],[Avg stop time helper]] &lt;&gt; 0, Master[[#This Row],[Avg stop time helper]],Average_Stop_Time))</f>
        <v>#DIV/0!</v>
      </c>
      <c r="AV719" s="21"/>
      <c r="AW719" s="20">
        <f>Master[[#This Row],[RSP StopTime override]]-Master[[#This Row],[Avg stop time helper]]</f>
        <v>0</v>
      </c>
    </row>
    <row r="720" spans="1:49" x14ac:dyDescent="0.3">
      <c r="A720" s="66" t="s">
        <v>3891</v>
      </c>
      <c r="B720" s="58">
        <v>51</v>
      </c>
      <c r="C720" s="58" t="s">
        <v>24</v>
      </c>
      <c r="D720" s="65">
        <v>99061</v>
      </c>
      <c r="E720" s="65" t="s">
        <v>1359</v>
      </c>
      <c r="F720" s="65" t="s">
        <v>3688</v>
      </c>
      <c r="G720" s="65" t="s">
        <v>1988</v>
      </c>
      <c r="H720" s="65" t="s">
        <v>32</v>
      </c>
      <c r="I720" s="65" t="s">
        <v>12</v>
      </c>
      <c r="J720" s="65" t="s">
        <v>5</v>
      </c>
      <c r="K720" s="65" t="s">
        <v>20</v>
      </c>
      <c r="L720" s="64" t="s">
        <v>67</v>
      </c>
      <c r="M720" s="58" t="s">
        <v>3</v>
      </c>
      <c r="N720" s="58" t="s">
        <v>2</v>
      </c>
      <c r="O720" s="58">
        <v>25</v>
      </c>
      <c r="P720" s="58">
        <v>25</v>
      </c>
      <c r="Q720" s="58">
        <v>0</v>
      </c>
      <c r="R720" s="58">
        <v>0</v>
      </c>
      <c r="S720" s="58">
        <v>0</v>
      </c>
      <c r="T720" s="58">
        <v>0</v>
      </c>
      <c r="U720" s="58">
        <v>52</v>
      </c>
      <c r="V720" s="62"/>
      <c r="W720" s="62"/>
      <c r="X720" s="63">
        <f>IFERROR(1 -(Master[[#This Row],[Avg Garment Scans per Delivery]]/Master[[#This Row],[Garment Inventory]]), 0)</f>
        <v>0</v>
      </c>
      <c r="Y720" s="62"/>
      <c r="Z720" s="62"/>
      <c r="AA720" s="53">
        <v>27.855029585798817</v>
      </c>
      <c r="AB720" s="53">
        <v>28.400355029585796</v>
      </c>
      <c r="AC720" s="53">
        <v>15.995384615384618</v>
      </c>
      <c r="AD720" s="53">
        <v>36.964615384615385</v>
      </c>
      <c r="AE720" s="53" t="str">
        <f>_xlfn.XLOOKUP(Master[[#This Row],[cu_id]],'[1]Customer Revenue'!$Q:$Q,'[1]Customer Revenue'!$K:$K, "None")</f>
        <v>None</v>
      </c>
      <c r="AF720" s="53" t="str">
        <f>_xlfn.XLOOKUP(Master[[#This Row],[cu_id]],'[1]Customer Revenue'!$Q:$Q,'[1]Customer Revenue'!$L:$L, "None")</f>
        <v>None</v>
      </c>
      <c r="AG720" s="53">
        <v>24.490591715976343</v>
      </c>
      <c r="AH720" s="53">
        <v>29.261715976331367</v>
      </c>
      <c r="AI720" s="53">
        <v>28.127692307692307</v>
      </c>
      <c r="AJ720" s="53">
        <v>26.48</v>
      </c>
      <c r="AK720" s="53" t="str">
        <f>_xlfn.XLOOKUP(Master[[#This Row],[cu_id]],'[1]Customer Revenue'!$Q:$Q,'[1]Customer Revenue'!$I:$I, "None")</f>
        <v>None</v>
      </c>
      <c r="AL720" s="53">
        <v>26.876153846153855</v>
      </c>
      <c r="AM720" s="61">
        <v>0.25</v>
      </c>
      <c r="AN720" s="60">
        <v>0.875</v>
      </c>
      <c r="AO720" s="60" t="s">
        <v>36</v>
      </c>
      <c r="AP720" s="60" t="s">
        <v>36</v>
      </c>
      <c r="AQ720" s="58" t="s">
        <v>308</v>
      </c>
      <c r="AR720" s="58"/>
      <c r="AS720" s="58"/>
      <c r="AT720" s="52">
        <v>0</v>
      </c>
      <c r="AU720" s="52" t="e">
        <f>IF(Master[[#This Row],[RSP StopTime override]] &lt;&gt; "",Master[[#This Row],[RSP StopTime override]],IF(Master[[#This Row],[Avg stop time helper]] &lt;&gt; 0, Master[[#This Row],[Avg stop time helper]],Average_Stop_Time))</f>
        <v>#DIV/0!</v>
      </c>
      <c r="AV720" s="21"/>
      <c r="AW720" s="20">
        <f>Master[[#This Row],[RSP StopTime override]]-Master[[#This Row],[Avg stop time helper]]</f>
        <v>0</v>
      </c>
    </row>
    <row r="721" spans="1:49" x14ac:dyDescent="0.3">
      <c r="A721" s="66" t="s">
        <v>3893</v>
      </c>
      <c r="B721" s="58">
        <v>51</v>
      </c>
      <c r="C721" s="58" t="s">
        <v>24</v>
      </c>
      <c r="D721" s="65">
        <v>99061</v>
      </c>
      <c r="E721" s="65" t="s">
        <v>1358</v>
      </c>
      <c r="F721" s="65" t="s">
        <v>3689</v>
      </c>
      <c r="G721" s="65" t="s">
        <v>1988</v>
      </c>
      <c r="H721" s="65" t="s">
        <v>32</v>
      </c>
      <c r="I721" s="65" t="s">
        <v>12</v>
      </c>
      <c r="J721" s="65" t="s">
        <v>5</v>
      </c>
      <c r="K721" s="65" t="s">
        <v>20</v>
      </c>
      <c r="L721" s="64" t="s">
        <v>67</v>
      </c>
      <c r="M721" s="58" t="s">
        <v>3</v>
      </c>
      <c r="N721" s="58" t="s">
        <v>2</v>
      </c>
      <c r="O721" s="58">
        <v>30</v>
      </c>
      <c r="P721" s="58">
        <v>30</v>
      </c>
      <c r="Q721" s="58">
        <v>0</v>
      </c>
      <c r="R721" s="58">
        <v>0</v>
      </c>
      <c r="S721" s="58">
        <v>0</v>
      </c>
      <c r="T721" s="58">
        <v>0</v>
      </c>
      <c r="U721" s="58">
        <v>52</v>
      </c>
      <c r="V721" s="62"/>
      <c r="W721" s="62"/>
      <c r="X721" s="63">
        <f>IFERROR(1 -(Master[[#This Row],[Avg Garment Scans per Delivery]]/Master[[#This Row],[Garment Inventory]]), 0)</f>
        <v>0</v>
      </c>
      <c r="Y721" s="62"/>
      <c r="Z721" s="62"/>
      <c r="AA721" s="53">
        <v>39.01</v>
      </c>
      <c r="AB721" s="53">
        <v>39.01</v>
      </c>
      <c r="AC721" s="53">
        <v>45.787041420118342</v>
      </c>
      <c r="AD721" s="53">
        <v>48.356035502958576</v>
      </c>
      <c r="AE721" s="53" t="str">
        <f>_xlfn.XLOOKUP(Master[[#This Row],[cu_id]],'[1]Customer Revenue'!$Q:$Q,'[1]Customer Revenue'!$K:$K, "None")</f>
        <v>None</v>
      </c>
      <c r="AF721" s="53" t="str">
        <f>_xlfn.XLOOKUP(Master[[#This Row],[cu_id]],'[1]Customer Revenue'!$Q:$Q,'[1]Customer Revenue'!$L:$L, "None")</f>
        <v>None</v>
      </c>
      <c r="AG721" s="53">
        <v>37.988994082840229</v>
      </c>
      <c r="AH721" s="53">
        <v>39.115621301775143</v>
      </c>
      <c r="AI721" s="53">
        <v>39.01</v>
      </c>
      <c r="AJ721" s="53">
        <v>47.071538461538459</v>
      </c>
      <c r="AK721" s="53" t="str">
        <f>_xlfn.XLOOKUP(Master[[#This Row],[cu_id]],'[1]Customer Revenue'!$Q:$Q,'[1]Customer Revenue'!$I:$I, "None")</f>
        <v>None</v>
      </c>
      <c r="AL721" s="53">
        <v>38.552307692307686</v>
      </c>
      <c r="AM721" s="61">
        <v>0.25</v>
      </c>
      <c r="AN721" s="60">
        <v>0.875</v>
      </c>
      <c r="AO721" s="60" t="s">
        <v>36</v>
      </c>
      <c r="AP721" s="60" t="s">
        <v>36</v>
      </c>
      <c r="AQ721" s="58" t="s">
        <v>308</v>
      </c>
      <c r="AR721" s="58"/>
      <c r="AS721" s="58"/>
      <c r="AT721" s="52">
        <v>0</v>
      </c>
      <c r="AU721" s="52" t="e">
        <f>IF(Master[[#This Row],[RSP StopTime override]] &lt;&gt; "",Master[[#This Row],[RSP StopTime override]],IF(Master[[#This Row],[Avg stop time helper]] &lt;&gt; 0, Master[[#This Row],[Avg stop time helper]],Average_Stop_Time))</f>
        <v>#DIV/0!</v>
      </c>
      <c r="AV721" s="21"/>
      <c r="AW721" s="20">
        <f>Master[[#This Row],[RSP StopTime override]]-Master[[#This Row],[Avg stop time helper]]</f>
        <v>0</v>
      </c>
    </row>
    <row r="722" spans="1:49" x14ac:dyDescent="0.3">
      <c r="A722" s="66" t="s">
        <v>3895</v>
      </c>
      <c r="B722" s="58">
        <v>51</v>
      </c>
      <c r="C722" s="58" t="s">
        <v>24</v>
      </c>
      <c r="D722" s="65">
        <v>99061</v>
      </c>
      <c r="E722" s="65" t="s">
        <v>1357</v>
      </c>
      <c r="F722" s="65" t="s">
        <v>3690</v>
      </c>
      <c r="G722" s="65" t="s">
        <v>1988</v>
      </c>
      <c r="H722" s="65" t="s">
        <v>32</v>
      </c>
      <c r="I722" s="65" t="s">
        <v>12</v>
      </c>
      <c r="J722" s="65" t="s">
        <v>5</v>
      </c>
      <c r="K722" s="65" t="s">
        <v>20</v>
      </c>
      <c r="L722" s="64" t="s">
        <v>67</v>
      </c>
      <c r="M722" s="58" t="s">
        <v>3</v>
      </c>
      <c r="N722" s="58" t="s">
        <v>2</v>
      </c>
      <c r="O722" s="58">
        <v>40</v>
      </c>
      <c r="P722" s="58">
        <v>40</v>
      </c>
      <c r="Q722" s="58">
        <v>0</v>
      </c>
      <c r="R722" s="58">
        <v>0</v>
      </c>
      <c r="S722" s="58">
        <v>0</v>
      </c>
      <c r="T722" s="58">
        <v>0</v>
      </c>
      <c r="U722" s="58">
        <v>52</v>
      </c>
      <c r="V722" s="62">
        <v>52</v>
      </c>
      <c r="W722" s="62">
        <v>9</v>
      </c>
      <c r="X722" s="63">
        <f>IFERROR(1 -(Master[[#This Row],[Avg Garment Scans per Delivery]]/Master[[#This Row],[Garment Inventory]]), 0)</f>
        <v>0.82692307692307687</v>
      </c>
      <c r="Y722" s="62">
        <v>2</v>
      </c>
      <c r="Z722" s="62">
        <v>57</v>
      </c>
      <c r="AA722" s="53">
        <v>44.020650887573957</v>
      </c>
      <c r="AB722" s="53">
        <v>54.854733727810647</v>
      </c>
      <c r="AC722" s="53">
        <v>40.891656804733728</v>
      </c>
      <c r="AD722" s="53">
        <v>57.085266272189358</v>
      </c>
      <c r="AE722" s="53" t="str">
        <f>_xlfn.XLOOKUP(Master[[#This Row],[cu_id]],'[1]Customer Revenue'!$Q:$Q,'[1]Customer Revenue'!$K:$K, "None")</f>
        <v>None</v>
      </c>
      <c r="AF722" s="53" t="str">
        <f>_xlfn.XLOOKUP(Master[[#This Row],[cu_id]],'[1]Customer Revenue'!$Q:$Q,'[1]Customer Revenue'!$L:$L, "None")</f>
        <v>None</v>
      </c>
      <c r="AG722" s="53">
        <v>42.025976331360937</v>
      </c>
      <c r="AH722" s="53">
        <v>56.7478698224852</v>
      </c>
      <c r="AI722" s="53">
        <v>49.437692307692302</v>
      </c>
      <c r="AJ722" s="53">
        <v>48.988461538461543</v>
      </c>
      <c r="AK722" s="53" t="str">
        <f>_xlfn.XLOOKUP(Master[[#This Row],[cu_id]],'[1]Customer Revenue'!$Q:$Q,'[1]Customer Revenue'!$I:$I, "None")</f>
        <v>None</v>
      </c>
      <c r="AL722" s="53">
        <v>49.386923076923068</v>
      </c>
      <c r="AM722" s="61">
        <v>0.25</v>
      </c>
      <c r="AN722" s="60">
        <v>0.875</v>
      </c>
      <c r="AO722" s="60" t="s">
        <v>36</v>
      </c>
      <c r="AP722" s="60" t="s">
        <v>36</v>
      </c>
      <c r="AQ722" s="58" t="s">
        <v>308</v>
      </c>
      <c r="AR722" s="58"/>
      <c r="AS722" s="58"/>
      <c r="AT722" s="52">
        <v>0</v>
      </c>
      <c r="AU722" s="52" t="e">
        <f>IF(Master[[#This Row],[RSP StopTime override]] &lt;&gt; "",Master[[#This Row],[RSP StopTime override]],IF(Master[[#This Row],[Avg stop time helper]] &lt;&gt; 0, Master[[#This Row],[Avg stop time helper]],Average_Stop_Time))</f>
        <v>#DIV/0!</v>
      </c>
      <c r="AV722" s="21"/>
      <c r="AW722" s="20">
        <f>Master[[#This Row],[RSP StopTime override]]-Master[[#This Row],[Avg stop time helper]]</f>
        <v>0</v>
      </c>
    </row>
    <row r="723" spans="1:49" x14ac:dyDescent="0.3">
      <c r="A723" s="66" t="s">
        <v>4762</v>
      </c>
      <c r="B723" s="58">
        <v>51</v>
      </c>
      <c r="C723" s="58" t="s">
        <v>10</v>
      </c>
      <c r="D723" s="65">
        <v>99059</v>
      </c>
      <c r="E723" s="65" t="s">
        <v>1996</v>
      </c>
      <c r="F723" s="65" t="s">
        <v>3691</v>
      </c>
      <c r="G723" s="65" t="s">
        <v>2108</v>
      </c>
      <c r="H723" s="65" t="s">
        <v>32</v>
      </c>
      <c r="I723" s="65" t="s">
        <v>50</v>
      </c>
      <c r="J723" s="65" t="s">
        <v>5</v>
      </c>
      <c r="K723" s="65" t="s">
        <v>20</v>
      </c>
      <c r="L723" s="64" t="s">
        <v>67</v>
      </c>
      <c r="M723" s="58" t="s">
        <v>3</v>
      </c>
      <c r="N723" s="58" t="s">
        <v>2</v>
      </c>
      <c r="O723" s="58">
        <v>7</v>
      </c>
      <c r="P723" s="58">
        <v>0</v>
      </c>
      <c r="Q723" s="58">
        <v>0</v>
      </c>
      <c r="R723" s="58">
        <v>7</v>
      </c>
      <c r="S723" s="58">
        <v>0</v>
      </c>
      <c r="T723" s="58">
        <v>0</v>
      </c>
      <c r="U723" s="58">
        <v>52</v>
      </c>
      <c r="V723" s="62">
        <v>107</v>
      </c>
      <c r="W723" s="62">
        <v>16</v>
      </c>
      <c r="X723" s="63">
        <f>IFERROR(1 -(Master[[#This Row],[Avg Garment Scans per Delivery]]/Master[[#This Row],[Garment Inventory]]), 0)</f>
        <v>0.85046728971962615</v>
      </c>
      <c r="Y723" s="62">
        <v>10</v>
      </c>
      <c r="Z723" s="62">
        <v>109</v>
      </c>
      <c r="AA723" s="53">
        <v>243.7805325443787</v>
      </c>
      <c r="AB723" s="53">
        <v>248.2548520710059</v>
      </c>
      <c r="AC723" s="53">
        <v>243.61674556213021</v>
      </c>
      <c r="AD723" s="53">
        <v>275.3847928994083</v>
      </c>
      <c r="AE723" s="53" t="str">
        <f>_xlfn.XLOOKUP(Master[[#This Row],[cu_id]],'[1]Customer Revenue'!$Q:$Q,'[1]Customer Revenue'!$K:$K, "None")</f>
        <v>None</v>
      </c>
      <c r="AF723" s="53" t="str">
        <f>_xlfn.XLOOKUP(Master[[#This Row],[cu_id]],'[1]Customer Revenue'!$Q:$Q,'[1]Customer Revenue'!$L:$L, "None")</f>
        <v>None</v>
      </c>
      <c r="AG723" s="53">
        <v>234.25550295857991</v>
      </c>
      <c r="AH723" s="53">
        <v>246.10142011834321</v>
      </c>
      <c r="AI723" s="53">
        <v>246.0176923076923</v>
      </c>
      <c r="AJ723" s="53">
        <v>259.50076923076927</v>
      </c>
      <c r="AK723" s="53" t="str">
        <f>_xlfn.XLOOKUP(Master[[#This Row],[cu_id]],'[1]Customer Revenue'!$Q:$Q,'[1]Customer Revenue'!$I:$I, "None")</f>
        <v>None</v>
      </c>
      <c r="AL723" s="53">
        <v>240.17846153846156</v>
      </c>
      <c r="AM723" s="61">
        <v>0.25</v>
      </c>
      <c r="AN723" s="60">
        <v>0.875</v>
      </c>
      <c r="AO723" s="60" t="s">
        <v>36</v>
      </c>
      <c r="AP723" s="60" t="s">
        <v>36</v>
      </c>
      <c r="AQ723" s="58" t="s">
        <v>0</v>
      </c>
      <c r="AR723" s="58"/>
      <c r="AS723" s="58"/>
      <c r="AT723" s="52">
        <v>0</v>
      </c>
      <c r="AU723" s="52" t="e">
        <f>IF(Master[[#This Row],[RSP StopTime override]] &lt;&gt; "",Master[[#This Row],[RSP StopTime override]],IF(Master[[#This Row],[Avg stop time helper]] &lt;&gt; 0, Master[[#This Row],[Avg stop time helper]],Average_Stop_Time))</f>
        <v>#DIV/0!</v>
      </c>
      <c r="AV723" s="21"/>
      <c r="AW723" s="20">
        <f>Master[[#This Row],[RSP StopTime override]]-Master[[#This Row],[Avg stop time helper]]</f>
        <v>0</v>
      </c>
    </row>
    <row r="724" spans="1:49" x14ac:dyDescent="0.3">
      <c r="A724" s="66" t="s">
        <v>4763</v>
      </c>
      <c r="B724" s="58">
        <v>51</v>
      </c>
      <c r="C724" s="58" t="s">
        <v>24</v>
      </c>
      <c r="D724" s="65">
        <v>99051</v>
      </c>
      <c r="E724" s="65" t="s">
        <v>2107</v>
      </c>
      <c r="F724" s="65" t="s">
        <v>2106</v>
      </c>
      <c r="G724" s="65" t="s">
        <v>2105</v>
      </c>
      <c r="H724" s="65" t="s">
        <v>2104</v>
      </c>
      <c r="I724" s="65" t="s">
        <v>50</v>
      </c>
      <c r="J724" s="65" t="s">
        <v>5</v>
      </c>
      <c r="K724" s="65" t="s">
        <v>20</v>
      </c>
      <c r="L724" s="64" t="s">
        <v>67</v>
      </c>
      <c r="M724" s="58" t="s">
        <v>3</v>
      </c>
      <c r="N724" s="58" t="s">
        <v>2</v>
      </c>
      <c r="O724" s="58">
        <v>135</v>
      </c>
      <c r="P724" s="58">
        <v>135</v>
      </c>
      <c r="Q724" s="58">
        <v>0</v>
      </c>
      <c r="R724" s="58">
        <v>0</v>
      </c>
      <c r="S724" s="58">
        <v>0</v>
      </c>
      <c r="T724" s="58">
        <v>0</v>
      </c>
      <c r="U724" s="58">
        <v>52</v>
      </c>
      <c r="V724" s="62"/>
      <c r="W724" s="62"/>
      <c r="X724" s="63">
        <f>IFERROR(1 -(Master[[#This Row],[Avg Garment Scans per Delivery]]/Master[[#This Row],[Garment Inventory]]), 0)</f>
        <v>0</v>
      </c>
      <c r="Y724" s="62"/>
      <c r="Z724" s="62"/>
      <c r="AA724" s="53">
        <v>57.234201183431956</v>
      </c>
      <c r="AB724" s="53">
        <v>62.571952662721905</v>
      </c>
      <c r="AC724" s="53">
        <v>64.510710059171601</v>
      </c>
      <c r="AD724" s="53">
        <v>65.081597633136113</v>
      </c>
      <c r="AE724" s="53" t="str">
        <f>_xlfn.XLOOKUP(Master[[#This Row],[cu_id]],'[1]Customer Revenue'!$Q:$Q,'[1]Customer Revenue'!$K:$K, "None")</f>
        <v>None</v>
      </c>
      <c r="AF724" s="53" t="str">
        <f>_xlfn.XLOOKUP(Master[[#This Row],[cu_id]],'[1]Customer Revenue'!$Q:$Q,'[1]Customer Revenue'!$L:$L, "None")</f>
        <v>None</v>
      </c>
      <c r="AG724" s="53">
        <v>57.697011834319525</v>
      </c>
      <c r="AH724" s="53">
        <v>60.776065088757392</v>
      </c>
      <c r="AI724" s="53">
        <v>59.903076923076931</v>
      </c>
      <c r="AJ724" s="53">
        <v>64.796153846153857</v>
      </c>
      <c r="AK724" s="53" t="str">
        <f>_xlfn.XLOOKUP(Master[[#This Row],[cu_id]],'[1]Customer Revenue'!$Q:$Q,'[1]Customer Revenue'!$I:$I, "None")</f>
        <v>None</v>
      </c>
      <c r="AL724" s="53">
        <v>59.236538461538458</v>
      </c>
      <c r="AM724" s="61">
        <v>0.375</v>
      </c>
      <c r="AN724" s="60">
        <v>0.875</v>
      </c>
      <c r="AO724" s="60" t="s">
        <v>36</v>
      </c>
      <c r="AP724" s="60" t="s">
        <v>36</v>
      </c>
      <c r="AQ724" s="58" t="s">
        <v>0</v>
      </c>
      <c r="AR724" s="58"/>
      <c r="AS724" s="58"/>
      <c r="AT724" s="52">
        <v>0</v>
      </c>
      <c r="AU724" s="52" t="e">
        <f>IF(Master[[#This Row],[RSP StopTime override]] &lt;&gt; "",Master[[#This Row],[RSP StopTime override]],IF(Master[[#This Row],[Avg stop time helper]] &lt;&gt; 0, Master[[#This Row],[Avg stop time helper]],Average_Stop_Time))</f>
        <v>#DIV/0!</v>
      </c>
      <c r="AV724" s="21"/>
      <c r="AW724" s="20">
        <f>Master[[#This Row],[RSP StopTime override]]-Master[[#This Row],[Avg stop time helper]]</f>
        <v>0</v>
      </c>
    </row>
    <row r="725" spans="1:49" x14ac:dyDescent="0.3">
      <c r="A725" s="66" t="s">
        <v>4764</v>
      </c>
      <c r="B725" s="58">
        <v>51</v>
      </c>
      <c r="C725" s="58" t="s">
        <v>15</v>
      </c>
      <c r="D725" s="65">
        <v>99061</v>
      </c>
      <c r="E725" s="65" t="s">
        <v>2103</v>
      </c>
      <c r="F725" s="65" t="s">
        <v>2102</v>
      </c>
      <c r="G725" s="65" t="s">
        <v>2101</v>
      </c>
      <c r="H725" s="65" t="s">
        <v>7</v>
      </c>
      <c r="I725" s="65" t="s">
        <v>12</v>
      </c>
      <c r="J725" s="65" t="s">
        <v>5</v>
      </c>
      <c r="K725" s="65" t="s">
        <v>1847</v>
      </c>
      <c r="L725" s="64" t="s">
        <v>67</v>
      </c>
      <c r="M725" s="58" t="s">
        <v>3</v>
      </c>
      <c r="N725" s="58" t="s">
        <v>2</v>
      </c>
      <c r="O725" s="58">
        <v>120</v>
      </c>
      <c r="P725" s="58">
        <v>0</v>
      </c>
      <c r="Q725" s="58">
        <v>0</v>
      </c>
      <c r="R725" s="58">
        <v>0</v>
      </c>
      <c r="S725" s="58">
        <v>0</v>
      </c>
      <c r="T725" s="58">
        <v>120</v>
      </c>
      <c r="U725" s="58">
        <v>52</v>
      </c>
      <c r="V725" s="62"/>
      <c r="W725" s="62"/>
      <c r="X725" s="63">
        <f>IFERROR(1 -(Master[[#This Row],[Avg Garment Scans per Delivery]]/Master[[#This Row],[Garment Inventory]]), 0)</f>
        <v>0</v>
      </c>
      <c r="Y725" s="62"/>
      <c r="Z725" s="62"/>
      <c r="AA725" s="53">
        <v>79.739999999999995</v>
      </c>
      <c r="AB725" s="53">
        <v>80.989999999999995</v>
      </c>
      <c r="AC725" s="53">
        <v>82.24</v>
      </c>
      <c r="AD725" s="53">
        <v>82.24</v>
      </c>
      <c r="AE725" s="53" t="str">
        <f>_xlfn.XLOOKUP(Master[[#This Row],[cu_id]],'[1]Customer Revenue'!$Q:$Q,'[1]Customer Revenue'!$K:$K, "None")</f>
        <v>None</v>
      </c>
      <c r="AF725" s="53" t="str">
        <f>_xlfn.XLOOKUP(Master[[#This Row],[cu_id]],'[1]Customer Revenue'!$Q:$Q,'[1]Customer Revenue'!$L:$L, "None")</f>
        <v>None</v>
      </c>
      <c r="AG725" s="53">
        <v>76.752426035502964</v>
      </c>
      <c r="AH725" s="53">
        <v>80.635266272189341</v>
      </c>
      <c r="AI725" s="53">
        <v>80.364999999999995</v>
      </c>
      <c r="AJ725" s="53">
        <v>82.24</v>
      </c>
      <c r="AK725" s="53" t="str">
        <f>_xlfn.XLOOKUP(Master[[#This Row],[cu_id]],'[1]Customer Revenue'!$Q:$Q,'[1]Customer Revenue'!$I:$I, "None")</f>
        <v>None</v>
      </c>
      <c r="AL725" s="53">
        <v>78.693846153846152</v>
      </c>
      <c r="AM725" s="61" t="s">
        <v>36</v>
      </c>
      <c r="AN725" s="60" t="s">
        <v>36</v>
      </c>
      <c r="AO725" s="60" t="s">
        <v>36</v>
      </c>
      <c r="AP725" s="60" t="s">
        <v>36</v>
      </c>
      <c r="AQ725" s="58" t="s">
        <v>308</v>
      </c>
      <c r="AR725" s="58"/>
      <c r="AS725" s="58"/>
      <c r="AT725" s="52">
        <v>0</v>
      </c>
      <c r="AU725" s="52" t="e">
        <f>IF(Master[[#This Row],[RSP StopTime override]] &lt;&gt; "",Master[[#This Row],[RSP StopTime override]],IF(Master[[#This Row],[Avg stop time helper]] &lt;&gt; 0, Master[[#This Row],[Avg stop time helper]],Average_Stop_Time))</f>
        <v>#DIV/0!</v>
      </c>
      <c r="AV725" s="21"/>
      <c r="AW725" s="20">
        <f>Master[[#This Row],[RSP StopTime override]]-Master[[#This Row],[Avg stop time helper]]</f>
        <v>0</v>
      </c>
    </row>
    <row r="726" spans="1:49" x14ac:dyDescent="0.3">
      <c r="A726" s="66" t="s">
        <v>4765</v>
      </c>
      <c r="B726" s="58">
        <v>51</v>
      </c>
      <c r="C726" s="58" t="s">
        <v>35</v>
      </c>
      <c r="D726" s="65">
        <v>529674</v>
      </c>
      <c r="E726" s="65" t="s">
        <v>42</v>
      </c>
      <c r="F726" s="65" t="s">
        <v>2100</v>
      </c>
      <c r="G726" s="65" t="s">
        <v>2099</v>
      </c>
      <c r="H726" s="65" t="s">
        <v>2098</v>
      </c>
      <c r="I726" s="65" t="s">
        <v>79</v>
      </c>
      <c r="J726" s="65" t="s">
        <v>5</v>
      </c>
      <c r="K726" s="65" t="s">
        <v>78</v>
      </c>
      <c r="L726" s="64" t="s">
        <v>67</v>
      </c>
      <c r="M726" s="58" t="s">
        <v>3</v>
      </c>
      <c r="N726" s="58" t="s">
        <v>2</v>
      </c>
      <c r="O726" s="58">
        <v>90</v>
      </c>
      <c r="P726" s="58">
        <v>0</v>
      </c>
      <c r="Q726" s="58">
        <v>90</v>
      </c>
      <c r="R726" s="58">
        <v>0</v>
      </c>
      <c r="S726" s="58">
        <v>0</v>
      </c>
      <c r="T726" s="58">
        <v>0</v>
      </c>
      <c r="U726" s="58">
        <v>50</v>
      </c>
      <c r="V726" s="62"/>
      <c r="W726" s="62"/>
      <c r="X726" s="63">
        <f>IFERROR(1 -(Master[[#This Row],[Avg Garment Scans per Delivery]]/Master[[#This Row],[Garment Inventory]]), 0)</f>
        <v>0</v>
      </c>
      <c r="Y726" s="62"/>
      <c r="Z726" s="62"/>
      <c r="AA726" s="53">
        <v>33.198520710059171</v>
      </c>
      <c r="AB726" s="53">
        <v>58.87686390532545</v>
      </c>
      <c r="AC726" s="53">
        <v>36.409349112426035</v>
      </c>
      <c r="AD726" s="53">
        <v>64.2644970414201</v>
      </c>
      <c r="AE726" s="53" t="str">
        <f>_xlfn.XLOOKUP(Master[[#This Row],[cu_id]],'[1]Customer Revenue'!$Q:$Q,'[1]Customer Revenue'!$K:$K, "None")</f>
        <v>None</v>
      </c>
      <c r="AF726" s="53" t="str">
        <f>_xlfn.XLOOKUP(Master[[#This Row],[cu_id]],'[1]Customer Revenue'!$Q:$Q,'[1]Customer Revenue'!$L:$L, "None")</f>
        <v>None</v>
      </c>
      <c r="AG726" s="53">
        <v>32.57720118343196</v>
      </c>
      <c r="AH726" s="53">
        <v>58.218798816568047</v>
      </c>
      <c r="AI726" s="53">
        <v>46.037692307692311</v>
      </c>
      <c r="AJ726" s="53">
        <v>50.336923076923071</v>
      </c>
      <c r="AK726" s="53" t="str">
        <f>_xlfn.XLOOKUP(Master[[#This Row],[cu_id]],'[1]Customer Revenue'!$Q:$Q,'[1]Customer Revenue'!$I:$I, "None")</f>
        <v>None</v>
      </c>
      <c r="AL726" s="53">
        <v>45.398000000000003</v>
      </c>
      <c r="AM726" s="61">
        <v>0.375</v>
      </c>
      <c r="AN726" s="60">
        <v>0.70833333333333337</v>
      </c>
      <c r="AO726" s="60" t="s">
        <v>36</v>
      </c>
      <c r="AP726" s="60" t="s">
        <v>36</v>
      </c>
      <c r="AQ726" s="58" t="s">
        <v>0</v>
      </c>
      <c r="AR726" s="58"/>
      <c r="AS726" s="58"/>
      <c r="AT726" s="52">
        <v>0</v>
      </c>
      <c r="AU726" s="52" t="e">
        <f>IF(Master[[#This Row],[RSP StopTime override]] &lt;&gt; "",Master[[#This Row],[RSP StopTime override]],IF(Master[[#This Row],[Avg stop time helper]] &lt;&gt; 0, Master[[#This Row],[Avg stop time helper]],Average_Stop_Time))</f>
        <v>#DIV/0!</v>
      </c>
      <c r="AV726" s="21"/>
      <c r="AW726" s="20">
        <f>Master[[#This Row],[RSP StopTime override]]-Master[[#This Row],[Avg stop time helper]]</f>
        <v>0</v>
      </c>
    </row>
    <row r="727" spans="1:49" x14ac:dyDescent="0.3">
      <c r="A727" s="66" t="s">
        <v>4766</v>
      </c>
      <c r="B727" s="58">
        <v>51</v>
      </c>
      <c r="C727" s="58" t="s">
        <v>24</v>
      </c>
      <c r="D727" s="65">
        <v>529687</v>
      </c>
      <c r="E727" s="65" t="s">
        <v>42</v>
      </c>
      <c r="F727" s="65" t="s">
        <v>2097</v>
      </c>
      <c r="G727" s="65" t="s">
        <v>2096</v>
      </c>
      <c r="H727" s="65" t="s">
        <v>7</v>
      </c>
      <c r="I727" s="65" t="s">
        <v>46</v>
      </c>
      <c r="J727" s="65" t="s">
        <v>5</v>
      </c>
      <c r="K727" s="65" t="s">
        <v>2034</v>
      </c>
      <c r="L727" s="64" t="s">
        <v>67</v>
      </c>
      <c r="M727" s="58" t="s">
        <v>3</v>
      </c>
      <c r="N727" s="58" t="s">
        <v>2</v>
      </c>
      <c r="O727" s="58">
        <v>143</v>
      </c>
      <c r="P727" s="58">
        <v>143</v>
      </c>
      <c r="Q727" s="58">
        <v>0</v>
      </c>
      <c r="R727" s="58">
        <v>0</v>
      </c>
      <c r="S727" s="58">
        <v>0</v>
      </c>
      <c r="T727" s="58">
        <v>0</v>
      </c>
      <c r="U727" s="58">
        <v>51</v>
      </c>
      <c r="V727" s="62"/>
      <c r="W727" s="62"/>
      <c r="X727" s="63">
        <f>IFERROR(1 -(Master[[#This Row],[Avg Garment Scans per Delivery]]/Master[[#This Row],[Garment Inventory]]), 0)</f>
        <v>0</v>
      </c>
      <c r="Y727" s="62"/>
      <c r="Z727" s="62"/>
      <c r="AA727" s="53">
        <v>26.123431952662724</v>
      </c>
      <c r="AB727" s="53">
        <v>27.682721893491131</v>
      </c>
      <c r="AC727" s="53">
        <v>28.17</v>
      </c>
      <c r="AD727" s="53">
        <v>28.170000000000023</v>
      </c>
      <c r="AE727" s="53" t="str">
        <f>_xlfn.XLOOKUP(Master[[#This Row],[cu_id]],'[1]Customer Revenue'!$Q:$Q,'[1]Customer Revenue'!$K:$K, "None")</f>
        <v>None</v>
      </c>
      <c r="AF727" s="53" t="str">
        <f>_xlfn.XLOOKUP(Master[[#This Row],[cu_id]],'[1]Customer Revenue'!$Q:$Q,'[1]Customer Revenue'!$L:$L, "None")</f>
        <v>None</v>
      </c>
      <c r="AG727" s="53">
        <v>24.662918343195237</v>
      </c>
      <c r="AH727" s="53">
        <v>28.602681656804734</v>
      </c>
      <c r="AI727" s="53">
        <v>26.903076923076927</v>
      </c>
      <c r="AJ727" s="53">
        <v>28.170000000000012</v>
      </c>
      <c r="AK727" s="53" t="str">
        <f>_xlfn.XLOOKUP(Master[[#This Row],[cu_id]],'[1]Customer Revenue'!$Q:$Q,'[1]Customer Revenue'!$I:$I, "None")</f>
        <v>None</v>
      </c>
      <c r="AL727" s="53">
        <v>26.632799999999985</v>
      </c>
      <c r="AM727" s="61" t="s">
        <v>1</v>
      </c>
      <c r="AN727" s="60" t="s">
        <v>1</v>
      </c>
      <c r="AO727" s="60" t="s">
        <v>36</v>
      </c>
      <c r="AP727" s="60" t="s">
        <v>36</v>
      </c>
      <c r="AQ727" s="58" t="s">
        <v>0</v>
      </c>
      <c r="AR727" s="58"/>
      <c r="AS727" s="58"/>
      <c r="AT727" s="52">
        <v>0</v>
      </c>
      <c r="AU727" s="52" t="e">
        <f>IF(Master[[#This Row],[RSP StopTime override]] &lt;&gt; "",Master[[#This Row],[RSP StopTime override]],IF(Master[[#This Row],[Avg stop time helper]] &lt;&gt; 0, Master[[#This Row],[Avg stop time helper]],Average_Stop_Time))</f>
        <v>#DIV/0!</v>
      </c>
      <c r="AV727" s="21"/>
      <c r="AW727" s="20">
        <f>Master[[#This Row],[RSP StopTime override]]-Master[[#This Row],[Avg stop time helper]]</f>
        <v>0</v>
      </c>
    </row>
    <row r="728" spans="1:49" x14ac:dyDescent="0.3">
      <c r="A728" s="66" t="s">
        <v>4767</v>
      </c>
      <c r="B728" s="58">
        <v>51</v>
      </c>
      <c r="C728" s="58" t="s">
        <v>24</v>
      </c>
      <c r="D728" s="65">
        <v>529771</v>
      </c>
      <c r="E728" s="65" t="s">
        <v>42</v>
      </c>
      <c r="F728" s="65" t="s">
        <v>2095</v>
      </c>
      <c r="G728" s="65" t="s">
        <v>2094</v>
      </c>
      <c r="H728" s="65" t="s">
        <v>7</v>
      </c>
      <c r="I728" s="65" t="s">
        <v>12</v>
      </c>
      <c r="J728" s="65" t="s">
        <v>5</v>
      </c>
      <c r="K728" s="65" t="s">
        <v>20</v>
      </c>
      <c r="L728" s="64" t="s">
        <v>67</v>
      </c>
      <c r="M728" s="58" t="s">
        <v>3</v>
      </c>
      <c r="N728" s="58" t="s">
        <v>2</v>
      </c>
      <c r="O728" s="58">
        <v>120</v>
      </c>
      <c r="P728" s="58">
        <v>120</v>
      </c>
      <c r="Q728" s="58">
        <v>0</v>
      </c>
      <c r="R728" s="58">
        <v>0</v>
      </c>
      <c r="S728" s="58">
        <v>0</v>
      </c>
      <c r="T728" s="58">
        <v>0</v>
      </c>
      <c r="U728" s="58">
        <v>52</v>
      </c>
      <c r="V728" s="62"/>
      <c r="W728" s="62"/>
      <c r="X728" s="63">
        <f>IFERROR(1 -(Master[[#This Row],[Avg Garment Scans per Delivery]]/Master[[#This Row],[Garment Inventory]]), 0)</f>
        <v>0</v>
      </c>
      <c r="Y728" s="62"/>
      <c r="Z728" s="62"/>
      <c r="AA728" s="53">
        <v>348.10449704142013</v>
      </c>
      <c r="AB728" s="53">
        <v>373.42165680473374</v>
      </c>
      <c r="AC728" s="53">
        <v>281.34886495726494</v>
      </c>
      <c r="AD728" s="53">
        <v>450.48344273504279</v>
      </c>
      <c r="AE728" s="53" t="str">
        <f>_xlfn.XLOOKUP(Master[[#This Row],[cu_id]],'[1]Customer Revenue'!$Q:$Q,'[1]Customer Revenue'!$K:$K, "None")</f>
        <v>None</v>
      </c>
      <c r="AF728" s="53" t="str">
        <f>_xlfn.XLOOKUP(Master[[#This Row],[cu_id]],'[1]Customer Revenue'!$Q:$Q,'[1]Customer Revenue'!$L:$L, "None")</f>
        <v>None</v>
      </c>
      <c r="AG728" s="53">
        <v>341.7274260355029</v>
      </c>
      <c r="AH728" s="53">
        <v>367.07642011834304</v>
      </c>
      <c r="AI728" s="53">
        <v>360.76307692307694</v>
      </c>
      <c r="AJ728" s="53">
        <v>365.91615384615386</v>
      </c>
      <c r="AK728" s="53" t="str">
        <f>_xlfn.XLOOKUP(Master[[#This Row],[cu_id]],'[1]Customer Revenue'!$Q:$Q,'[1]Customer Revenue'!$I:$I, "None")</f>
        <v>None</v>
      </c>
      <c r="AL728" s="53">
        <v>354.40192307692297</v>
      </c>
      <c r="AM728" s="61">
        <v>0.29166666666666669</v>
      </c>
      <c r="AN728" s="60">
        <v>0.70833333333333337</v>
      </c>
      <c r="AO728" s="60" t="s">
        <v>36</v>
      </c>
      <c r="AP728" s="60" t="s">
        <v>36</v>
      </c>
      <c r="AQ728" s="58" t="s">
        <v>0</v>
      </c>
      <c r="AR728" s="58"/>
      <c r="AS728" s="58"/>
      <c r="AT728" s="52">
        <v>0</v>
      </c>
      <c r="AU728" s="52" t="e">
        <f>IF(Master[[#This Row],[RSP StopTime override]] &lt;&gt; "",Master[[#This Row],[RSP StopTime override]],IF(Master[[#This Row],[Avg stop time helper]] &lt;&gt; 0, Master[[#This Row],[Avg stop time helper]],Average_Stop_Time))</f>
        <v>#DIV/0!</v>
      </c>
      <c r="AV728" s="21"/>
      <c r="AW728" s="20">
        <f>Master[[#This Row],[RSP StopTime override]]-Master[[#This Row],[Avg stop time helper]]</f>
        <v>0</v>
      </c>
    </row>
    <row r="729" spans="1:49" x14ac:dyDescent="0.3">
      <c r="A729" s="66" t="s">
        <v>4768</v>
      </c>
      <c r="B729" s="58">
        <v>51</v>
      </c>
      <c r="C729" s="58" t="s">
        <v>43</v>
      </c>
      <c r="D729" s="65">
        <v>99031</v>
      </c>
      <c r="E729" s="65" t="s">
        <v>803</v>
      </c>
      <c r="F729" s="65" t="s">
        <v>2093</v>
      </c>
      <c r="G729" s="65" t="s">
        <v>2092</v>
      </c>
      <c r="H729" s="65" t="s">
        <v>1178</v>
      </c>
      <c r="I729" s="65" t="s">
        <v>1844</v>
      </c>
      <c r="J729" s="65" t="s">
        <v>5</v>
      </c>
      <c r="K729" s="65" t="s">
        <v>1843</v>
      </c>
      <c r="L729" s="64" t="s">
        <v>67</v>
      </c>
      <c r="M729" s="58" t="s">
        <v>3</v>
      </c>
      <c r="N729" s="58" t="s">
        <v>2</v>
      </c>
      <c r="O729" s="58">
        <v>30</v>
      </c>
      <c r="P729" s="58">
        <v>0</v>
      </c>
      <c r="Q729" s="58">
        <v>0</v>
      </c>
      <c r="R729" s="58">
        <v>0</v>
      </c>
      <c r="S729" s="58">
        <v>30</v>
      </c>
      <c r="T729" s="58">
        <v>0</v>
      </c>
      <c r="U729" s="58">
        <v>53</v>
      </c>
      <c r="V729" s="62"/>
      <c r="W729" s="62"/>
      <c r="X729" s="63">
        <f>IFERROR(1 -(Master[[#This Row],[Avg Garment Scans per Delivery]]/Master[[#This Row],[Garment Inventory]]), 0)</f>
        <v>0</v>
      </c>
      <c r="Y729" s="62"/>
      <c r="Z729" s="62"/>
      <c r="AA729" s="53">
        <v>32.098047337278103</v>
      </c>
      <c r="AB729" s="53">
        <v>67.272721893491124</v>
      </c>
      <c r="AC729" s="53">
        <v>28.373964497041417</v>
      </c>
      <c r="AD729" s="53">
        <v>78.921420118343192</v>
      </c>
      <c r="AE729" s="53" t="str">
        <f>_xlfn.XLOOKUP(Master[[#This Row],[cu_id]],'[1]Customer Revenue'!$Q:$Q,'[1]Customer Revenue'!$K:$K, "None")</f>
        <v>None</v>
      </c>
      <c r="AF729" s="53" t="str">
        <f>_xlfn.XLOOKUP(Master[[#This Row],[cu_id]],'[1]Customer Revenue'!$Q:$Q,'[1]Customer Revenue'!$L:$L, "None")</f>
        <v>None</v>
      </c>
      <c r="AG729" s="53">
        <v>27.510650887573966</v>
      </c>
      <c r="AH729" s="53">
        <v>65.853964497041432</v>
      </c>
      <c r="AI729" s="53">
        <v>49.685384615384613</v>
      </c>
      <c r="AJ729" s="53">
        <v>53.647692307692303</v>
      </c>
      <c r="AK729" s="53" t="str">
        <f>_xlfn.XLOOKUP(Master[[#This Row],[cu_id]],'[1]Customer Revenue'!$Q:$Q,'[1]Customer Revenue'!$I:$I, "None")</f>
        <v>None</v>
      </c>
      <c r="AL729" s="53">
        <v>46.682307692307695</v>
      </c>
      <c r="AM729" s="61">
        <v>0.25</v>
      </c>
      <c r="AN729" s="60">
        <v>0.95833333333333337</v>
      </c>
      <c r="AO729" s="60" t="s">
        <v>36</v>
      </c>
      <c r="AP729" s="60" t="s">
        <v>36</v>
      </c>
      <c r="AQ729" s="58" t="s">
        <v>0</v>
      </c>
      <c r="AR729" s="58"/>
      <c r="AS729" s="58"/>
      <c r="AT729" s="52">
        <v>0</v>
      </c>
      <c r="AU729" s="52" t="e">
        <f>IF(Master[[#This Row],[RSP StopTime override]] &lt;&gt; "",Master[[#This Row],[RSP StopTime override]],IF(Master[[#This Row],[Avg stop time helper]] &lt;&gt; 0, Master[[#This Row],[Avg stop time helper]],Average_Stop_Time))</f>
        <v>#DIV/0!</v>
      </c>
      <c r="AV729" s="21"/>
      <c r="AW729" s="20">
        <f>Master[[#This Row],[RSP StopTime override]]-Master[[#This Row],[Avg stop time helper]]</f>
        <v>0</v>
      </c>
    </row>
    <row r="730" spans="1:49" x14ac:dyDescent="0.3">
      <c r="A730" s="66" t="s">
        <v>4769</v>
      </c>
      <c r="B730" s="58">
        <v>51</v>
      </c>
      <c r="C730" s="58" t="s">
        <v>43</v>
      </c>
      <c r="D730" s="65">
        <v>99031</v>
      </c>
      <c r="E730" s="65" t="s">
        <v>1343</v>
      </c>
      <c r="F730" s="65" t="s">
        <v>2091</v>
      </c>
      <c r="G730" s="65" t="s">
        <v>2090</v>
      </c>
      <c r="H730" s="65" t="s">
        <v>1178</v>
      </c>
      <c r="I730" s="65" t="s">
        <v>1936</v>
      </c>
      <c r="J730" s="65" t="s">
        <v>5</v>
      </c>
      <c r="K730" s="65" t="s">
        <v>1935</v>
      </c>
      <c r="L730" s="64" t="s">
        <v>67</v>
      </c>
      <c r="M730" s="58" t="s">
        <v>3</v>
      </c>
      <c r="N730" s="58" t="s">
        <v>2</v>
      </c>
      <c r="O730" s="58">
        <v>75</v>
      </c>
      <c r="P730" s="58">
        <v>0</v>
      </c>
      <c r="Q730" s="58">
        <v>0</v>
      </c>
      <c r="R730" s="58">
        <v>0</v>
      </c>
      <c r="S730" s="58">
        <v>75</v>
      </c>
      <c r="T730" s="58">
        <v>0</v>
      </c>
      <c r="U730" s="58">
        <v>54</v>
      </c>
      <c r="V730" s="62"/>
      <c r="W730" s="62"/>
      <c r="X730" s="63">
        <f>IFERROR(1 -(Master[[#This Row],[Avg Garment Scans per Delivery]]/Master[[#This Row],[Garment Inventory]]), 0)</f>
        <v>0</v>
      </c>
      <c r="Y730" s="62"/>
      <c r="Z730" s="62"/>
      <c r="AA730" s="53">
        <v>52.021420118343201</v>
      </c>
      <c r="AB730" s="53">
        <v>74.02781065088756</v>
      </c>
      <c r="AC730" s="53">
        <v>53.049526627218938</v>
      </c>
      <c r="AD730" s="53">
        <v>82.195088757396462</v>
      </c>
      <c r="AE730" s="53" t="str">
        <f>_xlfn.XLOOKUP(Master[[#This Row],[cu_id]],'[1]Customer Revenue'!$Q:$Q,'[1]Customer Revenue'!$K:$K, "None")</f>
        <v>None</v>
      </c>
      <c r="AF730" s="53" t="str">
        <f>_xlfn.XLOOKUP(Master[[#This Row],[cu_id]],'[1]Customer Revenue'!$Q:$Q,'[1]Customer Revenue'!$L:$L, "None")</f>
        <v>None</v>
      </c>
      <c r="AG730" s="53">
        <v>51.085355029585791</v>
      </c>
      <c r="AH730" s="53">
        <v>72.136952662721882</v>
      </c>
      <c r="AI730" s="53">
        <v>63.02461538461538</v>
      </c>
      <c r="AJ730" s="53">
        <v>67.6223076923077</v>
      </c>
      <c r="AK730" s="53" t="str">
        <f>_xlfn.XLOOKUP(Master[[#This Row],[cu_id]],'[1]Customer Revenue'!$Q:$Q,'[1]Customer Revenue'!$I:$I, "None")</f>
        <v>None</v>
      </c>
      <c r="AL730" s="53">
        <v>61.61115384615384</v>
      </c>
      <c r="AM730" s="61">
        <v>0.25</v>
      </c>
      <c r="AN730" s="60">
        <v>0.95833333333333337</v>
      </c>
      <c r="AO730" s="60" t="s">
        <v>36</v>
      </c>
      <c r="AP730" s="60" t="s">
        <v>36</v>
      </c>
      <c r="AQ730" s="58" t="s">
        <v>0</v>
      </c>
      <c r="AR730" s="58"/>
      <c r="AS730" s="58"/>
      <c r="AT730" s="52">
        <v>0</v>
      </c>
      <c r="AU730" s="52" t="e">
        <f>IF(Master[[#This Row],[RSP StopTime override]] &lt;&gt; "",Master[[#This Row],[RSP StopTime override]],IF(Master[[#This Row],[Avg stop time helper]] &lt;&gt; 0, Master[[#This Row],[Avg stop time helper]],Average_Stop_Time))</f>
        <v>#DIV/0!</v>
      </c>
      <c r="AV730" s="21"/>
      <c r="AW730" s="20">
        <f>Master[[#This Row],[RSP StopTime override]]-Master[[#This Row],[Avg stop time helper]]</f>
        <v>0</v>
      </c>
    </row>
    <row r="731" spans="1:49" x14ac:dyDescent="0.3">
      <c r="A731" s="66" t="s">
        <v>4770</v>
      </c>
      <c r="B731" s="58">
        <v>51</v>
      </c>
      <c r="C731" s="58" t="s">
        <v>35</v>
      </c>
      <c r="D731" s="65">
        <v>99062</v>
      </c>
      <c r="E731" s="65" t="s">
        <v>1910</v>
      </c>
      <c r="F731" s="65" t="s">
        <v>2089</v>
      </c>
      <c r="G731" s="65" t="s">
        <v>1908</v>
      </c>
      <c r="H731" s="65" t="s">
        <v>7</v>
      </c>
      <c r="I731" s="65" t="s">
        <v>1907</v>
      </c>
      <c r="J731" s="65" t="s">
        <v>5</v>
      </c>
      <c r="K731" s="65" t="s">
        <v>1906</v>
      </c>
      <c r="L731" s="64" t="s">
        <v>67</v>
      </c>
      <c r="M731" s="58" t="s">
        <v>3</v>
      </c>
      <c r="N731" s="58" t="s">
        <v>2</v>
      </c>
      <c r="O731" s="58">
        <v>65</v>
      </c>
      <c r="P731" s="58">
        <v>0</v>
      </c>
      <c r="Q731" s="58">
        <v>65</v>
      </c>
      <c r="R731" s="58">
        <v>0</v>
      </c>
      <c r="S731" s="58">
        <v>0</v>
      </c>
      <c r="T731" s="58">
        <v>0</v>
      </c>
      <c r="U731" s="58">
        <v>52</v>
      </c>
      <c r="V731" s="62"/>
      <c r="W731" s="62"/>
      <c r="X731" s="63">
        <f>IFERROR(1 -(Master[[#This Row],[Avg Garment Scans per Delivery]]/Master[[#This Row],[Garment Inventory]]), 0)</f>
        <v>0</v>
      </c>
      <c r="Y731" s="62"/>
      <c r="Z731" s="62"/>
      <c r="AA731" s="53">
        <v>120.41485207100591</v>
      </c>
      <c r="AB731" s="53">
        <v>157.2328402366864</v>
      </c>
      <c r="AC731" s="53">
        <v>132.0117159763314</v>
      </c>
      <c r="AD731" s="53">
        <v>199.28366863905325</v>
      </c>
      <c r="AE731" s="53" t="str">
        <f>_xlfn.XLOOKUP(Master[[#This Row],[cu_id]],'[1]Customer Revenue'!$Q:$Q,'[1]Customer Revenue'!$K:$K, "None")</f>
        <v>None</v>
      </c>
      <c r="AF731" s="53" t="str">
        <f>_xlfn.XLOOKUP(Master[[#This Row],[cu_id]],'[1]Customer Revenue'!$Q:$Q,'[1]Customer Revenue'!$L:$L, "None")</f>
        <v>None</v>
      </c>
      <c r="AG731" s="53">
        <v>119.87289940828401</v>
      </c>
      <c r="AH731" s="53">
        <v>155.84786982248522</v>
      </c>
      <c r="AI731" s="53">
        <v>138.82384615384615</v>
      </c>
      <c r="AJ731" s="53">
        <v>165.64769230769232</v>
      </c>
      <c r="AK731" s="53" t="str">
        <f>_xlfn.XLOOKUP(Master[[#This Row],[cu_id]],'[1]Customer Revenue'!$Q:$Q,'[1]Customer Revenue'!$I:$I, "None")</f>
        <v>None</v>
      </c>
      <c r="AL731" s="53">
        <v>137.86038461538462</v>
      </c>
      <c r="AM731" s="61">
        <v>0.29166666666666669</v>
      </c>
      <c r="AN731" s="60">
        <v>0.875</v>
      </c>
      <c r="AO731" s="60" t="s">
        <v>36</v>
      </c>
      <c r="AP731" s="60" t="s">
        <v>36</v>
      </c>
      <c r="AQ731" s="58" t="s">
        <v>308</v>
      </c>
      <c r="AR731" s="58"/>
      <c r="AS731" s="58"/>
      <c r="AT731" s="52">
        <v>0</v>
      </c>
      <c r="AU731" s="52" t="e">
        <f>IF(Master[[#This Row],[RSP StopTime override]] &lt;&gt; "",Master[[#This Row],[RSP StopTime override]],IF(Master[[#This Row],[Avg stop time helper]] &lt;&gt; 0, Master[[#This Row],[Avg stop time helper]],Average_Stop_Time))</f>
        <v>#DIV/0!</v>
      </c>
      <c r="AV731" s="21"/>
      <c r="AW731" s="20">
        <f>Master[[#This Row],[RSP StopTime override]]-Master[[#This Row],[Avg stop time helper]]</f>
        <v>0</v>
      </c>
    </row>
    <row r="732" spans="1:49" x14ac:dyDescent="0.3">
      <c r="A732" s="66" t="s">
        <v>4771</v>
      </c>
      <c r="B732" s="58">
        <v>51</v>
      </c>
      <c r="C732" s="58" t="s">
        <v>15</v>
      </c>
      <c r="D732" s="65">
        <v>530306</v>
      </c>
      <c r="E732" s="65" t="s">
        <v>42</v>
      </c>
      <c r="F732" s="65" t="s">
        <v>2088</v>
      </c>
      <c r="G732" s="65" t="s">
        <v>2087</v>
      </c>
      <c r="H732" s="65" t="s">
        <v>7</v>
      </c>
      <c r="I732" s="65" t="s">
        <v>1955</v>
      </c>
      <c r="J732" s="65" t="s">
        <v>5</v>
      </c>
      <c r="K732" s="65" t="s">
        <v>1954</v>
      </c>
      <c r="L732" s="64">
        <v>1</v>
      </c>
      <c r="M732" s="58" t="s">
        <v>90</v>
      </c>
      <c r="N732" s="58" t="s">
        <v>2</v>
      </c>
      <c r="O732" s="58">
        <v>150</v>
      </c>
      <c r="P732" s="58">
        <v>0</v>
      </c>
      <c r="Q732" s="58">
        <v>0</v>
      </c>
      <c r="R732" s="58">
        <v>0</v>
      </c>
      <c r="S732" s="58">
        <v>0</v>
      </c>
      <c r="T732" s="58">
        <v>150</v>
      </c>
      <c r="U732" s="58">
        <v>6</v>
      </c>
      <c r="V732" s="62">
        <v>20</v>
      </c>
      <c r="W732" s="62">
        <v>5</v>
      </c>
      <c r="X732" s="63">
        <f>IFERROR(1 -(Master[[#This Row],[Avg Garment Scans per Delivery]]/Master[[#This Row],[Garment Inventory]]), 0)</f>
        <v>0.75</v>
      </c>
      <c r="Y732" s="62">
        <v>1</v>
      </c>
      <c r="Z732" s="62">
        <v>20</v>
      </c>
      <c r="AA732" s="53">
        <v>29.231250000000003</v>
      </c>
      <c r="AB732" s="53">
        <v>64.308750000000003</v>
      </c>
      <c r="AC732" s="53">
        <v>28.307551020408162</v>
      </c>
      <c r="AD732" s="53">
        <v>67.352448979591827</v>
      </c>
      <c r="AE732" s="53" t="str">
        <f>_xlfn.XLOOKUP(Master[[#This Row],[cu_id]],'[1]Customer Revenue'!$Q:$Q,'[1]Customer Revenue'!$K:$K, "None")</f>
        <v>None</v>
      </c>
      <c r="AF732" s="53" t="str">
        <f>_xlfn.XLOOKUP(Master[[#This Row],[cu_id]],'[1]Customer Revenue'!$Q:$Q,'[1]Customer Revenue'!$L:$L, "None")</f>
        <v>None</v>
      </c>
      <c r="AG732" s="53">
        <v>31.639669421487611</v>
      </c>
      <c r="AH732" s="53">
        <v>58.440330578512402</v>
      </c>
      <c r="AI732" s="53">
        <v>46.77</v>
      </c>
      <c r="AJ732" s="53">
        <v>47.83</v>
      </c>
      <c r="AK732" s="53" t="str">
        <f>_xlfn.XLOOKUP(Master[[#This Row],[cu_id]],'[1]Customer Revenue'!$Q:$Q,'[1]Customer Revenue'!$I:$I, "None")</f>
        <v>None</v>
      </c>
      <c r="AL732" s="53">
        <v>45.040000000000006</v>
      </c>
      <c r="AM732" s="61">
        <v>0.375</v>
      </c>
      <c r="AN732" s="60">
        <v>0.79166666666666663</v>
      </c>
      <c r="AO732" s="60" t="s">
        <v>36</v>
      </c>
      <c r="AP732" s="60" t="s">
        <v>36</v>
      </c>
      <c r="AQ732" s="58" t="s">
        <v>0</v>
      </c>
      <c r="AR732" s="58"/>
      <c r="AS732" s="58"/>
      <c r="AT732" s="52">
        <v>0</v>
      </c>
      <c r="AU732" s="52" t="e">
        <f>IF(Master[[#This Row],[RSP StopTime override]] &lt;&gt; "",Master[[#This Row],[RSP StopTime override]],IF(Master[[#This Row],[Avg stop time helper]] &lt;&gt; 0, Master[[#This Row],[Avg stop time helper]],Average_Stop_Time))</f>
        <v>#DIV/0!</v>
      </c>
      <c r="AV732" s="21"/>
      <c r="AW732" s="20">
        <f>Master[[#This Row],[RSP StopTime override]]-Master[[#This Row],[Avg stop time helper]]</f>
        <v>0</v>
      </c>
    </row>
    <row r="733" spans="1:49" x14ac:dyDescent="0.3">
      <c r="A733" s="66" t="s">
        <v>4772</v>
      </c>
      <c r="B733" s="58">
        <v>51</v>
      </c>
      <c r="C733" s="58" t="s">
        <v>24</v>
      </c>
      <c r="D733" s="65">
        <v>530405</v>
      </c>
      <c r="E733" s="65" t="s">
        <v>42</v>
      </c>
      <c r="F733" s="65" t="s">
        <v>2086</v>
      </c>
      <c r="G733" s="65" t="s">
        <v>2085</v>
      </c>
      <c r="H733" s="65" t="s">
        <v>7</v>
      </c>
      <c r="I733" s="65" t="s">
        <v>12</v>
      </c>
      <c r="J733" s="65" t="s">
        <v>5</v>
      </c>
      <c r="K733" s="65" t="s">
        <v>20</v>
      </c>
      <c r="L733" s="64" t="s">
        <v>67</v>
      </c>
      <c r="M733" s="58" t="s">
        <v>3</v>
      </c>
      <c r="N733" s="58" t="s">
        <v>2</v>
      </c>
      <c r="O733" s="58">
        <v>50</v>
      </c>
      <c r="P733" s="58">
        <v>50</v>
      </c>
      <c r="Q733" s="58">
        <v>0</v>
      </c>
      <c r="R733" s="58">
        <v>0</v>
      </c>
      <c r="S733" s="58">
        <v>0</v>
      </c>
      <c r="T733" s="58">
        <v>0</v>
      </c>
      <c r="U733" s="58">
        <v>52</v>
      </c>
      <c r="V733" s="62"/>
      <c r="W733" s="62"/>
      <c r="X733" s="63">
        <f>IFERROR(1 -(Master[[#This Row],[Avg Garment Scans per Delivery]]/Master[[#This Row],[Garment Inventory]]), 0)</f>
        <v>0</v>
      </c>
      <c r="Y733" s="62"/>
      <c r="Z733" s="62"/>
      <c r="AA733" s="53">
        <v>96.597692307692299</v>
      </c>
      <c r="AB733" s="53">
        <v>105.58230769230768</v>
      </c>
      <c r="AC733" s="53">
        <v>111.07378698224849</v>
      </c>
      <c r="AD733" s="53">
        <v>122.41390532544378</v>
      </c>
      <c r="AE733" s="53" t="str">
        <f>_xlfn.XLOOKUP(Master[[#This Row],[cu_id]],'[1]Customer Revenue'!$Q:$Q,'[1]Customer Revenue'!$K:$K, "None")</f>
        <v>None</v>
      </c>
      <c r="AF733" s="53" t="str">
        <f>_xlfn.XLOOKUP(Master[[#This Row],[cu_id]],'[1]Customer Revenue'!$Q:$Q,'[1]Customer Revenue'!$L:$L, "None")</f>
        <v>None</v>
      </c>
      <c r="AG733" s="53">
        <v>96.316923076923104</v>
      </c>
      <c r="AH733" s="53">
        <v>102.21307692307704</v>
      </c>
      <c r="AI733" s="53">
        <v>101.08999999999999</v>
      </c>
      <c r="AJ733" s="53">
        <v>116.74384615384614</v>
      </c>
      <c r="AK733" s="53" t="str">
        <f>_xlfn.XLOOKUP(Master[[#This Row],[cu_id]],'[1]Customer Revenue'!$Q:$Q,'[1]Customer Revenue'!$I:$I, "None")</f>
        <v>None</v>
      </c>
      <c r="AL733" s="53">
        <v>99.265000000000072</v>
      </c>
      <c r="AM733" s="61">
        <v>0.29166666666666669</v>
      </c>
      <c r="AN733" s="60">
        <v>0.875</v>
      </c>
      <c r="AO733" s="60" t="s">
        <v>36</v>
      </c>
      <c r="AP733" s="60" t="s">
        <v>36</v>
      </c>
      <c r="AQ733" s="58" t="s">
        <v>308</v>
      </c>
      <c r="AR733" s="58"/>
      <c r="AS733" s="58"/>
      <c r="AT733" s="52">
        <v>0</v>
      </c>
      <c r="AU733" s="52" t="e">
        <f>IF(Master[[#This Row],[RSP StopTime override]] &lt;&gt; "",Master[[#This Row],[RSP StopTime override]],IF(Master[[#This Row],[Avg stop time helper]] &lt;&gt; 0, Master[[#This Row],[Avg stop time helper]],Average_Stop_Time))</f>
        <v>#DIV/0!</v>
      </c>
      <c r="AV733" s="21"/>
      <c r="AW733" s="20">
        <f>Master[[#This Row],[RSP StopTime override]]-Master[[#This Row],[Avg stop time helper]]</f>
        <v>0</v>
      </c>
    </row>
    <row r="734" spans="1:49" x14ac:dyDescent="0.3">
      <c r="A734" s="66" t="s">
        <v>4773</v>
      </c>
      <c r="B734" s="58">
        <v>51</v>
      </c>
      <c r="C734" s="58" t="s">
        <v>10</v>
      </c>
      <c r="D734" s="65">
        <v>99051</v>
      </c>
      <c r="E734" s="65" t="s">
        <v>2084</v>
      </c>
      <c r="F734" s="65" t="s">
        <v>2083</v>
      </c>
      <c r="G734" s="65" t="s">
        <v>2082</v>
      </c>
      <c r="H734" s="65" t="s">
        <v>7</v>
      </c>
      <c r="I734" s="65" t="s">
        <v>2081</v>
      </c>
      <c r="J734" s="65" t="s">
        <v>5</v>
      </c>
      <c r="K734" s="65" t="s">
        <v>2080</v>
      </c>
      <c r="L734" s="64" t="s">
        <v>67</v>
      </c>
      <c r="M734" s="58" t="s">
        <v>3</v>
      </c>
      <c r="N734" s="58" t="s">
        <v>2</v>
      </c>
      <c r="O734" s="58">
        <v>170</v>
      </c>
      <c r="P734" s="58">
        <v>0</v>
      </c>
      <c r="Q734" s="58">
        <v>0</v>
      </c>
      <c r="R734" s="58">
        <v>170</v>
      </c>
      <c r="S734" s="58">
        <v>0</v>
      </c>
      <c r="T734" s="58">
        <v>0</v>
      </c>
      <c r="U734" s="58">
        <v>52</v>
      </c>
      <c r="V734" s="62"/>
      <c r="W734" s="62"/>
      <c r="X734" s="63">
        <f>IFERROR(1 -(Master[[#This Row],[Avg Garment Scans per Delivery]]/Master[[#This Row],[Garment Inventory]]), 0)</f>
        <v>0</v>
      </c>
      <c r="Y734" s="62"/>
      <c r="Z734" s="62"/>
      <c r="AA734" s="53">
        <v>42.8194674556213</v>
      </c>
      <c r="AB734" s="53">
        <v>62.862071005917137</v>
      </c>
      <c r="AC734" s="53">
        <v>46.262307692307687</v>
      </c>
      <c r="AD734" s="53">
        <v>68.597692307692299</v>
      </c>
      <c r="AE734" s="53" t="str">
        <f>_xlfn.XLOOKUP(Master[[#This Row],[cu_id]],'[1]Customer Revenue'!$Q:$Q,'[1]Customer Revenue'!$K:$K, "None")</f>
        <v>None</v>
      </c>
      <c r="AF734" s="53" t="str">
        <f>_xlfn.XLOOKUP(Master[[#This Row],[cu_id]],'[1]Customer Revenue'!$Q:$Q,'[1]Customer Revenue'!$L:$L, "None")</f>
        <v>None</v>
      </c>
      <c r="AG734" s="53">
        <v>42.117366863905318</v>
      </c>
      <c r="AH734" s="53">
        <v>61.048017751479264</v>
      </c>
      <c r="AI734" s="53">
        <v>52.840769230769219</v>
      </c>
      <c r="AJ734" s="53">
        <v>57.429999999999993</v>
      </c>
      <c r="AK734" s="53" t="str">
        <f>_xlfn.XLOOKUP(Master[[#This Row],[cu_id]],'[1]Customer Revenue'!$Q:$Q,'[1]Customer Revenue'!$I:$I, "None")</f>
        <v>None</v>
      </c>
      <c r="AL734" s="53">
        <v>51.582692307692291</v>
      </c>
      <c r="AM734" s="61">
        <v>0.33333333333333331</v>
      </c>
      <c r="AN734" s="60">
        <v>0.875</v>
      </c>
      <c r="AO734" s="60" t="s">
        <v>36</v>
      </c>
      <c r="AP734" s="60" t="s">
        <v>36</v>
      </c>
      <c r="AQ734" s="58" t="s">
        <v>0</v>
      </c>
      <c r="AR734" s="58"/>
      <c r="AS734" s="58"/>
      <c r="AT734" s="52">
        <v>0</v>
      </c>
      <c r="AU734" s="52" t="e">
        <f>IF(Master[[#This Row],[RSP StopTime override]] &lt;&gt; "",Master[[#This Row],[RSP StopTime override]],IF(Master[[#This Row],[Avg stop time helper]] &lt;&gt; 0, Master[[#This Row],[Avg stop time helper]],Average_Stop_Time))</f>
        <v>#DIV/0!</v>
      </c>
      <c r="AV734" s="21"/>
      <c r="AW734" s="20">
        <f>Master[[#This Row],[RSP StopTime override]]-Master[[#This Row],[Avg stop time helper]]</f>
        <v>0</v>
      </c>
    </row>
    <row r="735" spans="1:49" x14ac:dyDescent="0.3">
      <c r="A735" s="66" t="s">
        <v>4774</v>
      </c>
      <c r="B735" s="58">
        <v>51</v>
      </c>
      <c r="C735" s="58" t="s">
        <v>43</v>
      </c>
      <c r="D735" s="65">
        <v>530525</v>
      </c>
      <c r="E735" s="65" t="s">
        <v>42</v>
      </c>
      <c r="F735" s="65" t="s">
        <v>2079</v>
      </c>
      <c r="G735" s="65" t="s">
        <v>2078</v>
      </c>
      <c r="H735" s="65" t="s">
        <v>7</v>
      </c>
      <c r="I735" s="65" t="s">
        <v>1860</v>
      </c>
      <c r="J735" s="65" t="s">
        <v>5</v>
      </c>
      <c r="K735" s="65" t="s">
        <v>1843</v>
      </c>
      <c r="L735" s="64" t="s">
        <v>77</v>
      </c>
      <c r="M735" s="58" t="s">
        <v>29</v>
      </c>
      <c r="N735" s="58" t="s">
        <v>2</v>
      </c>
      <c r="O735" s="58">
        <v>10</v>
      </c>
      <c r="P735" s="58">
        <v>0</v>
      </c>
      <c r="Q735" s="58">
        <v>0</v>
      </c>
      <c r="R735" s="58">
        <v>0</v>
      </c>
      <c r="S735" s="58">
        <v>10</v>
      </c>
      <c r="T735" s="58">
        <v>0</v>
      </c>
      <c r="U735" s="58">
        <v>26</v>
      </c>
      <c r="V735" s="62"/>
      <c r="W735" s="62"/>
      <c r="X735" s="63">
        <f>IFERROR(1 -(Master[[#This Row],[Avg Garment Scans per Delivery]]/Master[[#This Row],[Garment Inventory]]), 0)</f>
        <v>0</v>
      </c>
      <c r="Y735" s="62"/>
      <c r="Z735" s="62"/>
      <c r="AA735" s="53">
        <v>122.35333333333331</v>
      </c>
      <c r="AB735" s="53">
        <v>277.92666666666668</v>
      </c>
      <c r="AC735" s="53">
        <v>176.41408163265308</v>
      </c>
      <c r="AD735" s="53">
        <v>306.50306122448978</v>
      </c>
      <c r="AE735" s="53" t="str">
        <f>_xlfn.XLOOKUP(Master[[#This Row],[cu_id]],'[1]Customer Revenue'!$Q:$Q,'[1]Customer Revenue'!$K:$K, "None")</f>
        <v>None</v>
      </c>
      <c r="AF735" s="53" t="str">
        <f>_xlfn.XLOOKUP(Master[[#This Row],[cu_id]],'[1]Customer Revenue'!$Q:$Q,'[1]Customer Revenue'!$L:$L, "None")</f>
        <v>None</v>
      </c>
      <c r="AG735" s="53">
        <v>100.72431952662726</v>
      </c>
      <c r="AH735" s="53">
        <v>221.10491124260358</v>
      </c>
      <c r="AI735" s="53">
        <v>200.14</v>
      </c>
      <c r="AJ735" s="53">
        <v>241.45857142857145</v>
      </c>
      <c r="AK735" s="53" t="str">
        <f>_xlfn.XLOOKUP(Master[[#This Row],[cu_id]],'[1]Customer Revenue'!$Q:$Q,'[1]Customer Revenue'!$I:$I, "None")</f>
        <v>None</v>
      </c>
      <c r="AL735" s="53">
        <v>160.91461538461542</v>
      </c>
      <c r="AM735" s="61">
        <v>0.33333333333333331</v>
      </c>
      <c r="AN735" s="60">
        <v>0.79166666666666663</v>
      </c>
      <c r="AO735" s="60" t="s">
        <v>36</v>
      </c>
      <c r="AP735" s="60" t="s">
        <v>36</v>
      </c>
      <c r="AQ735" s="58" t="s">
        <v>0</v>
      </c>
      <c r="AR735" s="58"/>
      <c r="AS735" s="58"/>
      <c r="AT735" s="52">
        <v>0</v>
      </c>
      <c r="AU735" s="52" t="e">
        <f>IF(Master[[#This Row],[RSP StopTime override]] &lt;&gt; "",Master[[#This Row],[RSP StopTime override]],IF(Master[[#This Row],[Avg stop time helper]] &lt;&gt; 0, Master[[#This Row],[Avg stop time helper]],Average_Stop_Time))</f>
        <v>#DIV/0!</v>
      </c>
      <c r="AV735" s="21"/>
      <c r="AW735" s="20">
        <f>Master[[#This Row],[RSP StopTime override]]-Master[[#This Row],[Avg stop time helper]]</f>
        <v>0</v>
      </c>
    </row>
    <row r="736" spans="1:49" x14ac:dyDescent="0.3">
      <c r="A736" s="66" t="s">
        <v>4775</v>
      </c>
      <c r="B736" s="58">
        <v>51</v>
      </c>
      <c r="C736" s="58" t="s">
        <v>43</v>
      </c>
      <c r="D736" s="65">
        <v>530541</v>
      </c>
      <c r="E736" s="65" t="s">
        <v>42</v>
      </c>
      <c r="F736" s="65" t="s">
        <v>2077</v>
      </c>
      <c r="G736" s="65" t="s">
        <v>2076</v>
      </c>
      <c r="H736" s="65" t="s">
        <v>7</v>
      </c>
      <c r="I736" s="65" t="s">
        <v>1844</v>
      </c>
      <c r="J736" s="65" t="s">
        <v>5</v>
      </c>
      <c r="K736" s="65" t="s">
        <v>1843</v>
      </c>
      <c r="L736" s="64" t="s">
        <v>67</v>
      </c>
      <c r="M736" s="58" t="s">
        <v>3</v>
      </c>
      <c r="N736" s="58" t="s">
        <v>2</v>
      </c>
      <c r="O736" s="58">
        <v>35</v>
      </c>
      <c r="P736" s="58">
        <v>0</v>
      </c>
      <c r="Q736" s="58">
        <v>0</v>
      </c>
      <c r="R736" s="58">
        <v>0</v>
      </c>
      <c r="S736" s="58">
        <v>35</v>
      </c>
      <c r="T736" s="58">
        <v>0</v>
      </c>
      <c r="U736" s="58">
        <v>53</v>
      </c>
      <c r="V736" s="62"/>
      <c r="W736" s="62"/>
      <c r="X736" s="63">
        <f>IFERROR(1 -(Master[[#This Row],[Avg Garment Scans per Delivery]]/Master[[#This Row],[Garment Inventory]]), 0)</f>
        <v>0</v>
      </c>
      <c r="Y736" s="62"/>
      <c r="Z736" s="62"/>
      <c r="AA736" s="53">
        <v>118.60573964497041</v>
      </c>
      <c r="AB736" s="53">
        <v>216.75579881656802</v>
      </c>
      <c r="AC736" s="53">
        <v>120.82863905325446</v>
      </c>
      <c r="AD736" s="53">
        <v>239.6144378698225</v>
      </c>
      <c r="AE736" s="53" t="str">
        <f>_xlfn.XLOOKUP(Master[[#This Row],[cu_id]],'[1]Customer Revenue'!$Q:$Q,'[1]Customer Revenue'!$K:$K, "None")</f>
        <v>None</v>
      </c>
      <c r="AF736" s="53" t="str">
        <f>_xlfn.XLOOKUP(Master[[#This Row],[cu_id]],'[1]Customer Revenue'!$Q:$Q,'[1]Customer Revenue'!$L:$L, "None")</f>
        <v>None</v>
      </c>
      <c r="AG736" s="53">
        <v>124.38118343195273</v>
      </c>
      <c r="AH736" s="53">
        <v>215.96112426035515</v>
      </c>
      <c r="AI736" s="53">
        <v>167.68076923076922</v>
      </c>
      <c r="AJ736" s="53">
        <v>180.22153846153847</v>
      </c>
      <c r="AK736" s="53" t="str">
        <f>_xlfn.XLOOKUP(Master[[#This Row],[cu_id]],'[1]Customer Revenue'!$Q:$Q,'[1]Customer Revenue'!$I:$I, "None")</f>
        <v>None</v>
      </c>
      <c r="AL736" s="53">
        <v>170.17115384615394</v>
      </c>
      <c r="AM736" s="61">
        <v>0.375</v>
      </c>
      <c r="AN736" s="60">
        <v>0.875</v>
      </c>
      <c r="AO736" s="60" t="s">
        <v>36</v>
      </c>
      <c r="AP736" s="60" t="s">
        <v>36</v>
      </c>
      <c r="AQ736" s="58" t="s">
        <v>1440</v>
      </c>
      <c r="AR736" s="58"/>
      <c r="AS736" s="58"/>
      <c r="AT736" s="52">
        <v>0</v>
      </c>
      <c r="AU736" s="52" t="e">
        <f>IF(Master[[#This Row],[RSP StopTime override]] &lt;&gt; "",Master[[#This Row],[RSP StopTime override]],IF(Master[[#This Row],[Avg stop time helper]] &lt;&gt; 0, Master[[#This Row],[Avg stop time helper]],Average_Stop_Time))</f>
        <v>#DIV/0!</v>
      </c>
      <c r="AV736" s="21"/>
      <c r="AW736" s="20">
        <f>Master[[#This Row],[RSP StopTime override]]-Master[[#This Row],[Avg stop time helper]]</f>
        <v>0</v>
      </c>
    </row>
    <row r="737" spans="1:49" x14ac:dyDescent="0.3">
      <c r="A737" s="66" t="s">
        <v>4776</v>
      </c>
      <c r="B737" s="58">
        <v>51</v>
      </c>
      <c r="C737" s="58" t="s">
        <v>10</v>
      </c>
      <c r="D737" s="65">
        <v>530641</v>
      </c>
      <c r="E737" s="65" t="s">
        <v>42</v>
      </c>
      <c r="F737" s="65" t="s">
        <v>2075</v>
      </c>
      <c r="G737" s="65" t="s">
        <v>2074</v>
      </c>
      <c r="H737" s="65" t="s">
        <v>7</v>
      </c>
      <c r="I737" s="65" t="s">
        <v>12</v>
      </c>
      <c r="J737" s="65" t="s">
        <v>5</v>
      </c>
      <c r="K737" s="65" t="s">
        <v>1578</v>
      </c>
      <c r="L737" s="64" t="s">
        <v>91</v>
      </c>
      <c r="M737" s="58" t="s">
        <v>90</v>
      </c>
      <c r="N737" s="58" t="s">
        <v>2</v>
      </c>
      <c r="O737" s="58">
        <v>140</v>
      </c>
      <c r="P737" s="58">
        <v>0</v>
      </c>
      <c r="Q737" s="58">
        <v>0</v>
      </c>
      <c r="R737" s="58">
        <v>140</v>
      </c>
      <c r="S737" s="58">
        <v>0</v>
      </c>
      <c r="T737" s="58">
        <v>0</v>
      </c>
      <c r="U737" s="58">
        <v>25</v>
      </c>
      <c r="V737" s="62"/>
      <c r="W737" s="62"/>
      <c r="X737" s="63">
        <f>IFERROR(1 -(Master[[#This Row],[Avg Garment Scans per Delivery]]/Master[[#This Row],[Garment Inventory]]), 0)</f>
        <v>0</v>
      </c>
      <c r="Y737" s="62"/>
      <c r="Z737" s="62"/>
      <c r="AA737" s="53">
        <v>55.605714285714285</v>
      </c>
      <c r="AB737" s="53">
        <v>91.674285714285716</v>
      </c>
      <c r="AC737" s="53">
        <v>74.813333333333333</v>
      </c>
      <c r="AD737" s="53">
        <v>77.426666666666648</v>
      </c>
      <c r="AE737" s="53" t="str">
        <f>_xlfn.XLOOKUP(Master[[#This Row],[cu_id]],'[1]Customer Revenue'!$Q:$Q,'[1]Customer Revenue'!$K:$K, "None")</f>
        <v>None</v>
      </c>
      <c r="AF737" s="53" t="str">
        <f>_xlfn.XLOOKUP(Master[[#This Row],[cu_id]],'[1]Customer Revenue'!$Q:$Q,'[1]Customer Revenue'!$L:$L, "None")</f>
        <v>None</v>
      </c>
      <c r="AG737" s="53">
        <v>62.365729783037452</v>
      </c>
      <c r="AH737" s="53">
        <v>83.010936883629185</v>
      </c>
      <c r="AI737" s="53">
        <v>73.64</v>
      </c>
      <c r="AJ737" s="53">
        <v>76.11999999999999</v>
      </c>
      <c r="AK737" s="53" t="str">
        <f>_xlfn.XLOOKUP(Master[[#This Row],[cu_id]],'[1]Customer Revenue'!$Q:$Q,'[1]Customer Revenue'!$I:$I, "None")</f>
        <v>None</v>
      </c>
      <c r="AL737" s="53">
        <v>72.688333333333318</v>
      </c>
      <c r="AM737" s="61">
        <v>0.41666666666666669</v>
      </c>
      <c r="AN737" s="60">
        <v>0.75</v>
      </c>
      <c r="AO737" s="60" t="s">
        <v>36</v>
      </c>
      <c r="AP737" s="60" t="s">
        <v>36</v>
      </c>
      <c r="AQ737" s="58" t="s">
        <v>589</v>
      </c>
      <c r="AR737" s="58"/>
      <c r="AS737" s="58"/>
      <c r="AT737" s="52">
        <v>0</v>
      </c>
      <c r="AU737" s="52" t="e">
        <f>IF(Master[[#This Row],[RSP StopTime override]] &lt;&gt; "",Master[[#This Row],[RSP StopTime override]],IF(Master[[#This Row],[Avg stop time helper]] &lt;&gt; 0, Master[[#This Row],[Avg stop time helper]],Average_Stop_Time))</f>
        <v>#DIV/0!</v>
      </c>
      <c r="AV737" s="21"/>
      <c r="AW737" s="20">
        <f>Master[[#This Row],[RSP StopTime override]]-Master[[#This Row],[Avg stop time helper]]</f>
        <v>0</v>
      </c>
    </row>
    <row r="738" spans="1:49" x14ac:dyDescent="0.3">
      <c r="A738" s="66" t="s">
        <v>4777</v>
      </c>
      <c r="B738" s="58">
        <v>51</v>
      </c>
      <c r="C738" s="58" t="s">
        <v>15</v>
      </c>
      <c r="D738" s="65">
        <v>99061</v>
      </c>
      <c r="E738" s="65" t="s">
        <v>2073</v>
      </c>
      <c r="F738" s="65" t="s">
        <v>2072</v>
      </c>
      <c r="G738" s="65" t="s">
        <v>2071</v>
      </c>
      <c r="H738" s="65" t="s">
        <v>7</v>
      </c>
      <c r="I738" s="65" t="s">
        <v>12</v>
      </c>
      <c r="J738" s="65" t="s">
        <v>5</v>
      </c>
      <c r="K738" s="65" t="s">
        <v>1847</v>
      </c>
      <c r="L738" s="64" t="s">
        <v>67</v>
      </c>
      <c r="M738" s="58" t="s">
        <v>3</v>
      </c>
      <c r="N738" s="58" t="s">
        <v>2</v>
      </c>
      <c r="O738" s="58">
        <v>90</v>
      </c>
      <c r="P738" s="58">
        <v>0</v>
      </c>
      <c r="Q738" s="58">
        <v>0</v>
      </c>
      <c r="R738" s="58">
        <v>0</v>
      </c>
      <c r="S738" s="58">
        <v>0</v>
      </c>
      <c r="T738" s="58">
        <v>90</v>
      </c>
      <c r="U738" s="58">
        <v>52</v>
      </c>
      <c r="V738" s="62">
        <v>220</v>
      </c>
      <c r="W738" s="62">
        <v>1</v>
      </c>
      <c r="X738" s="63">
        <f>IFERROR(1 -(Master[[#This Row],[Avg Garment Scans per Delivery]]/Master[[#This Row],[Garment Inventory]]), 0)</f>
        <v>0.99545454545454548</v>
      </c>
      <c r="Y738" s="62">
        <v>8</v>
      </c>
      <c r="Z738" s="62">
        <v>193</v>
      </c>
      <c r="AA738" s="53">
        <v>86.32</v>
      </c>
      <c r="AB738" s="53">
        <v>87.569999999999965</v>
      </c>
      <c r="AC738" s="53">
        <v>84.841893491124267</v>
      </c>
      <c r="AD738" s="53">
        <v>88.967337278106498</v>
      </c>
      <c r="AE738" s="53" t="str">
        <f>_xlfn.XLOOKUP(Master[[#This Row],[cu_id]],'[1]Customer Revenue'!$Q:$Q,'[1]Customer Revenue'!$K:$K, "None")</f>
        <v>None</v>
      </c>
      <c r="AF738" s="53" t="str">
        <f>_xlfn.XLOOKUP(Master[[#This Row],[cu_id]],'[1]Customer Revenue'!$Q:$Q,'[1]Customer Revenue'!$L:$L, "None")</f>
        <v>None</v>
      </c>
      <c r="AG738" s="53">
        <v>67.547130177514788</v>
      </c>
      <c r="AH738" s="53">
        <v>122.71056213017755</v>
      </c>
      <c r="AI738" s="53">
        <v>86.944999999999979</v>
      </c>
      <c r="AJ738" s="53">
        <v>86.904615384615383</v>
      </c>
      <c r="AK738" s="53" t="str">
        <f>_xlfn.XLOOKUP(Master[[#This Row],[cu_id]],'[1]Customer Revenue'!$Q:$Q,'[1]Customer Revenue'!$I:$I, "None")</f>
        <v>None</v>
      </c>
      <c r="AL738" s="53">
        <v>95.128846153846169</v>
      </c>
      <c r="AM738" s="61" t="s">
        <v>36</v>
      </c>
      <c r="AN738" s="60" t="s">
        <v>36</v>
      </c>
      <c r="AO738" s="60" t="s">
        <v>36</v>
      </c>
      <c r="AP738" s="60" t="s">
        <v>36</v>
      </c>
      <c r="AQ738" s="58" t="s">
        <v>308</v>
      </c>
      <c r="AR738" s="58"/>
      <c r="AS738" s="58"/>
      <c r="AT738" s="52">
        <v>0</v>
      </c>
      <c r="AU738" s="52" t="e">
        <f>IF(Master[[#This Row],[RSP StopTime override]] &lt;&gt; "",Master[[#This Row],[RSP StopTime override]],IF(Master[[#This Row],[Avg stop time helper]] &lt;&gt; 0, Master[[#This Row],[Avg stop time helper]],Average_Stop_Time))</f>
        <v>#DIV/0!</v>
      </c>
      <c r="AV738" s="21"/>
      <c r="AW738" s="20">
        <f>Master[[#This Row],[RSP StopTime override]]-Master[[#This Row],[Avg stop time helper]]</f>
        <v>0</v>
      </c>
    </row>
    <row r="739" spans="1:49" x14ac:dyDescent="0.3">
      <c r="A739" s="66" t="s">
        <v>4076</v>
      </c>
      <c r="B739" s="58">
        <v>51</v>
      </c>
      <c r="C739" s="58" t="s">
        <v>43</v>
      </c>
      <c r="D739" s="65">
        <v>530905</v>
      </c>
      <c r="E739" s="65" t="s">
        <v>42</v>
      </c>
      <c r="F739" s="65" t="s">
        <v>2070</v>
      </c>
      <c r="G739" s="65" t="s">
        <v>2069</v>
      </c>
      <c r="H739" s="65" t="s">
        <v>7</v>
      </c>
      <c r="I739" s="65" t="s">
        <v>1844</v>
      </c>
      <c r="J739" s="65" t="s">
        <v>5</v>
      </c>
      <c r="K739" s="65" t="s">
        <v>1843</v>
      </c>
      <c r="L739" s="64" t="s">
        <v>67</v>
      </c>
      <c r="M739" s="58" t="s">
        <v>3</v>
      </c>
      <c r="N739" s="58" t="s">
        <v>2</v>
      </c>
      <c r="O739" s="58">
        <v>20</v>
      </c>
      <c r="P739" s="58">
        <v>0</v>
      </c>
      <c r="Q739" s="58">
        <v>0</v>
      </c>
      <c r="R739" s="58">
        <v>0</v>
      </c>
      <c r="S739" s="58">
        <v>20</v>
      </c>
      <c r="T739" s="58">
        <v>0</v>
      </c>
      <c r="U739" s="58">
        <v>52</v>
      </c>
      <c r="V739" s="62"/>
      <c r="W739" s="62"/>
      <c r="X739" s="63">
        <f>IFERROR(1 -(Master[[#This Row],[Avg Garment Scans per Delivery]]/Master[[#This Row],[Garment Inventory]]), 0)</f>
        <v>0</v>
      </c>
      <c r="Y739" s="62"/>
      <c r="Z739" s="62"/>
      <c r="AA739" s="53">
        <v>27.709822485207098</v>
      </c>
      <c r="AB739" s="53">
        <v>30.336331360946744</v>
      </c>
      <c r="AC739" s="53">
        <v>26.93224852071004</v>
      </c>
      <c r="AD739" s="53">
        <v>35.84775147928994</v>
      </c>
      <c r="AE739" s="53" t="str">
        <f>_xlfn.XLOOKUP(Master[[#This Row],[cu_id]],'[1]Customer Revenue'!$Q:$Q,'[1]Customer Revenue'!$K:$K, "None")</f>
        <v>None</v>
      </c>
      <c r="AF739" s="53" t="str">
        <f>_xlfn.XLOOKUP(Master[[#This Row],[cu_id]],'[1]Customer Revenue'!$Q:$Q,'[1]Customer Revenue'!$L:$L, "None")</f>
        <v>None</v>
      </c>
      <c r="AG739" s="53">
        <v>26.528549112426017</v>
      </c>
      <c r="AH739" s="53">
        <v>31.869850887573964</v>
      </c>
      <c r="AI739" s="53">
        <v>29.023076923076921</v>
      </c>
      <c r="AJ739" s="53">
        <v>31.38999999999999</v>
      </c>
      <c r="AK739" s="53" t="str">
        <f>_xlfn.XLOOKUP(Master[[#This Row],[cu_id]],'[1]Customer Revenue'!$Q:$Q,'[1]Customer Revenue'!$I:$I, "None")</f>
        <v>None</v>
      </c>
      <c r="AL739" s="53">
        <v>29.19919999999999</v>
      </c>
      <c r="AM739" s="61">
        <v>0.45833333333333331</v>
      </c>
      <c r="AN739" s="60">
        <v>0.75</v>
      </c>
      <c r="AO739" s="60" t="s">
        <v>36</v>
      </c>
      <c r="AP739" s="60" t="s">
        <v>36</v>
      </c>
      <c r="AQ739" s="58" t="s">
        <v>0</v>
      </c>
      <c r="AR739" s="58"/>
      <c r="AS739" s="58"/>
      <c r="AT739" s="52">
        <v>0</v>
      </c>
      <c r="AU739" s="52" t="e">
        <f>IF(Master[[#This Row],[RSP StopTime override]] &lt;&gt; "",Master[[#This Row],[RSP StopTime override]],IF(Master[[#This Row],[Avg stop time helper]] &lt;&gt; 0, Master[[#This Row],[Avg stop time helper]],Average_Stop_Time))</f>
        <v>#DIV/0!</v>
      </c>
      <c r="AV739" s="21"/>
      <c r="AW739" s="20">
        <f>Master[[#This Row],[RSP StopTime override]]-Master[[#This Row],[Avg stop time helper]]</f>
        <v>0</v>
      </c>
    </row>
    <row r="740" spans="1:49" x14ac:dyDescent="0.3">
      <c r="A740" s="66" t="s">
        <v>4778</v>
      </c>
      <c r="B740" s="58">
        <v>51</v>
      </c>
      <c r="C740" s="58" t="s">
        <v>43</v>
      </c>
      <c r="D740" s="65">
        <v>530906</v>
      </c>
      <c r="E740" s="65" t="s">
        <v>42</v>
      </c>
      <c r="F740" s="65" t="s">
        <v>2068</v>
      </c>
      <c r="G740" s="65" t="s">
        <v>2067</v>
      </c>
      <c r="H740" s="65" t="s">
        <v>7</v>
      </c>
      <c r="I740" s="65" t="s">
        <v>1844</v>
      </c>
      <c r="J740" s="65" t="s">
        <v>5</v>
      </c>
      <c r="K740" s="65" t="s">
        <v>1843</v>
      </c>
      <c r="L740" s="64" t="s">
        <v>67</v>
      </c>
      <c r="M740" s="58" t="s">
        <v>3</v>
      </c>
      <c r="N740" s="58" t="s">
        <v>2</v>
      </c>
      <c r="O740" s="58">
        <v>12</v>
      </c>
      <c r="P740" s="58">
        <v>0</v>
      </c>
      <c r="Q740" s="58">
        <v>0</v>
      </c>
      <c r="R740" s="58">
        <v>0</v>
      </c>
      <c r="S740" s="58">
        <v>12</v>
      </c>
      <c r="T740" s="58">
        <v>0</v>
      </c>
      <c r="U740" s="58">
        <v>53</v>
      </c>
      <c r="V740" s="62"/>
      <c r="W740" s="62"/>
      <c r="X740" s="63">
        <f>IFERROR(1 -(Master[[#This Row],[Avg Garment Scans per Delivery]]/Master[[#This Row],[Garment Inventory]]), 0)</f>
        <v>0</v>
      </c>
      <c r="Y740" s="62"/>
      <c r="Z740" s="62"/>
      <c r="AA740" s="53">
        <v>46.763609467455623</v>
      </c>
      <c r="AB740" s="53">
        <v>47.828698224852076</v>
      </c>
      <c r="AC740" s="53">
        <v>48.316863905325441</v>
      </c>
      <c r="AD740" s="53">
        <v>49.736982248520711</v>
      </c>
      <c r="AE740" s="53" t="str">
        <f>_xlfn.XLOOKUP(Master[[#This Row],[cu_id]],'[1]Customer Revenue'!$Q:$Q,'[1]Customer Revenue'!$K:$K, "None")</f>
        <v>None</v>
      </c>
      <c r="AF740" s="53" t="str">
        <f>_xlfn.XLOOKUP(Master[[#This Row],[cu_id]],'[1]Customer Revenue'!$Q:$Q,'[1]Customer Revenue'!$L:$L, "None")</f>
        <v>None</v>
      </c>
      <c r="AG740" s="53">
        <v>46.816863905325448</v>
      </c>
      <c r="AH740" s="53">
        <v>47.42928994082844</v>
      </c>
      <c r="AI740" s="53">
        <v>47.29615384615385</v>
      </c>
      <c r="AJ740" s="53">
        <v>49.026923076923076</v>
      </c>
      <c r="AK740" s="53" t="str">
        <f>_xlfn.XLOOKUP(Master[[#This Row],[cu_id]],'[1]Customer Revenue'!$Q:$Q,'[1]Customer Revenue'!$I:$I, "None")</f>
        <v>None</v>
      </c>
      <c r="AL740" s="53">
        <v>47.123076923076944</v>
      </c>
      <c r="AM740" s="61">
        <v>0.29166666666666669</v>
      </c>
      <c r="AN740" s="60">
        <v>0.875</v>
      </c>
      <c r="AO740" s="60" t="s">
        <v>36</v>
      </c>
      <c r="AP740" s="60" t="s">
        <v>36</v>
      </c>
      <c r="AQ740" s="58" t="s">
        <v>0</v>
      </c>
      <c r="AR740" s="58"/>
      <c r="AS740" s="58"/>
      <c r="AT740" s="52">
        <v>0</v>
      </c>
      <c r="AU740" s="52" t="e">
        <f>IF(Master[[#This Row],[RSP StopTime override]] &lt;&gt; "",Master[[#This Row],[RSP StopTime override]],IF(Master[[#This Row],[Avg stop time helper]] &lt;&gt; 0, Master[[#This Row],[Avg stop time helper]],Average_Stop_Time))</f>
        <v>#DIV/0!</v>
      </c>
      <c r="AV740" s="21"/>
      <c r="AW740" s="20">
        <f>Master[[#This Row],[RSP StopTime override]]-Master[[#This Row],[Avg stop time helper]]</f>
        <v>0</v>
      </c>
    </row>
    <row r="741" spans="1:49" x14ac:dyDescent="0.3">
      <c r="A741" s="66" t="s">
        <v>4779</v>
      </c>
      <c r="B741" s="58">
        <v>51</v>
      </c>
      <c r="C741" s="58" t="s">
        <v>43</v>
      </c>
      <c r="D741" s="65">
        <v>99062</v>
      </c>
      <c r="E741" s="65" t="s">
        <v>1505</v>
      </c>
      <c r="F741" s="65" t="s">
        <v>2066</v>
      </c>
      <c r="G741" s="65" t="s">
        <v>1948</v>
      </c>
      <c r="H741" s="65" t="s">
        <v>7</v>
      </c>
      <c r="I741" s="65" t="s">
        <v>1844</v>
      </c>
      <c r="J741" s="65" t="s">
        <v>5</v>
      </c>
      <c r="K741" s="65" t="s">
        <v>1843</v>
      </c>
      <c r="L741" s="64" t="s">
        <v>67</v>
      </c>
      <c r="M741" s="58" t="s">
        <v>3</v>
      </c>
      <c r="N741" s="58" t="s">
        <v>2</v>
      </c>
      <c r="O741" s="58">
        <v>15</v>
      </c>
      <c r="P741" s="58">
        <v>0</v>
      </c>
      <c r="Q741" s="58">
        <v>0</v>
      </c>
      <c r="R741" s="58">
        <v>0</v>
      </c>
      <c r="S741" s="58">
        <v>15</v>
      </c>
      <c r="T741" s="58">
        <v>0</v>
      </c>
      <c r="U741" s="58">
        <v>53</v>
      </c>
      <c r="V741" s="62">
        <v>53</v>
      </c>
      <c r="W741" s="62">
        <v>4</v>
      </c>
      <c r="X741" s="63">
        <f>IFERROR(1 -(Master[[#This Row],[Avg Garment Scans per Delivery]]/Master[[#This Row],[Garment Inventory]]), 0)</f>
        <v>0.92452830188679247</v>
      </c>
      <c r="Y741" s="62">
        <v>3</v>
      </c>
      <c r="Z741" s="62">
        <v>52</v>
      </c>
      <c r="AA741" s="53">
        <v>219.4984023668639</v>
      </c>
      <c r="AB741" s="53">
        <v>258.42313609467453</v>
      </c>
      <c r="AC741" s="53">
        <v>226.65207100591715</v>
      </c>
      <c r="AD741" s="53">
        <v>278.03408284023669</v>
      </c>
      <c r="AE741" s="53" t="str">
        <f>_xlfn.XLOOKUP(Master[[#This Row],[cu_id]],'[1]Customer Revenue'!$Q:$Q,'[1]Customer Revenue'!$K:$K, "None")</f>
        <v>None</v>
      </c>
      <c r="AF741" s="53" t="str">
        <f>_xlfn.XLOOKUP(Master[[#This Row],[cu_id]],'[1]Customer Revenue'!$Q:$Q,'[1]Customer Revenue'!$L:$L, "None")</f>
        <v>None</v>
      </c>
      <c r="AG741" s="53">
        <v>213.42588757396447</v>
      </c>
      <c r="AH741" s="53">
        <v>263.86103550295854</v>
      </c>
      <c r="AI741" s="53">
        <v>238.96076923076922</v>
      </c>
      <c r="AJ741" s="53">
        <v>252.34307692307692</v>
      </c>
      <c r="AK741" s="53" t="str">
        <f>_xlfn.XLOOKUP(Master[[#This Row],[cu_id]],'[1]Customer Revenue'!$Q:$Q,'[1]Customer Revenue'!$I:$I, "None")</f>
        <v>None</v>
      </c>
      <c r="AL741" s="53">
        <v>238.64346153846151</v>
      </c>
      <c r="AM741" s="61">
        <v>0.29166666666666669</v>
      </c>
      <c r="AN741" s="60">
        <v>0.91666666666666663</v>
      </c>
      <c r="AO741" s="60" t="s">
        <v>36</v>
      </c>
      <c r="AP741" s="60" t="s">
        <v>36</v>
      </c>
      <c r="AQ741" s="58" t="s">
        <v>44</v>
      </c>
      <c r="AR741" s="58"/>
      <c r="AS741" s="58"/>
      <c r="AT741" s="52">
        <v>0</v>
      </c>
      <c r="AU741" s="52" t="e">
        <f>IF(Master[[#This Row],[RSP StopTime override]] &lt;&gt; "",Master[[#This Row],[RSP StopTime override]],IF(Master[[#This Row],[Avg stop time helper]] &lt;&gt; 0, Master[[#This Row],[Avg stop time helper]],Average_Stop_Time))</f>
        <v>#DIV/0!</v>
      </c>
      <c r="AV741" s="21"/>
      <c r="AW741" s="20">
        <f>Master[[#This Row],[RSP StopTime override]]-Master[[#This Row],[Avg stop time helper]]</f>
        <v>0</v>
      </c>
    </row>
    <row r="742" spans="1:49" x14ac:dyDescent="0.3">
      <c r="A742" s="66" t="s">
        <v>4780</v>
      </c>
      <c r="B742" s="58">
        <v>51</v>
      </c>
      <c r="C742" s="58" t="s">
        <v>35</v>
      </c>
      <c r="D742" s="65">
        <v>531132</v>
      </c>
      <c r="E742" s="65" t="s">
        <v>42</v>
      </c>
      <c r="F742" s="65" t="s">
        <v>2065</v>
      </c>
      <c r="G742" s="65" t="s">
        <v>2064</v>
      </c>
      <c r="H742" s="65" t="s">
        <v>7</v>
      </c>
      <c r="I742" s="65" t="s">
        <v>1907</v>
      </c>
      <c r="J742" s="65" t="s">
        <v>5</v>
      </c>
      <c r="K742" s="65" t="s">
        <v>1906</v>
      </c>
      <c r="L742" s="64" t="s">
        <v>67</v>
      </c>
      <c r="M742" s="58" t="s">
        <v>3</v>
      </c>
      <c r="N742" s="58" t="s">
        <v>2</v>
      </c>
      <c r="O742" s="58">
        <v>70</v>
      </c>
      <c r="P742" s="58">
        <v>0</v>
      </c>
      <c r="Q742" s="58">
        <v>70</v>
      </c>
      <c r="R742" s="58">
        <v>0</v>
      </c>
      <c r="S742" s="58">
        <v>0</v>
      </c>
      <c r="T742" s="58">
        <v>0</v>
      </c>
      <c r="U742" s="58">
        <v>52</v>
      </c>
      <c r="V742" s="62"/>
      <c r="W742" s="62"/>
      <c r="X742" s="63">
        <f>IFERROR(1 -(Master[[#This Row],[Avg Garment Scans per Delivery]]/Master[[#This Row],[Garment Inventory]]), 0)</f>
        <v>0</v>
      </c>
      <c r="Y742" s="62"/>
      <c r="Z742" s="62"/>
      <c r="AA742" s="53">
        <v>61.429881656804739</v>
      </c>
      <c r="AB742" s="53">
        <v>85.836272189349117</v>
      </c>
      <c r="AC742" s="53">
        <v>74.074970414201189</v>
      </c>
      <c r="AD742" s="53">
        <v>96.926568047337284</v>
      </c>
      <c r="AE742" s="53" t="str">
        <f>_xlfn.XLOOKUP(Master[[#This Row],[cu_id]],'[1]Customer Revenue'!$Q:$Q,'[1]Customer Revenue'!$K:$K, "None")</f>
        <v>None</v>
      </c>
      <c r="AF742" s="53" t="str">
        <f>_xlfn.XLOOKUP(Master[[#This Row],[cu_id]],'[1]Customer Revenue'!$Q:$Q,'[1]Customer Revenue'!$L:$L, "None")</f>
        <v>None</v>
      </c>
      <c r="AG742" s="53">
        <v>58.150443786982237</v>
      </c>
      <c r="AH742" s="53">
        <v>82.947248520710048</v>
      </c>
      <c r="AI742" s="53">
        <v>73.633076923076928</v>
      </c>
      <c r="AJ742" s="53">
        <v>85.500769230769237</v>
      </c>
      <c r="AK742" s="53" t="str">
        <f>_xlfn.XLOOKUP(Master[[#This Row],[cu_id]],'[1]Customer Revenue'!$Q:$Q,'[1]Customer Revenue'!$I:$I, "None")</f>
        <v>None</v>
      </c>
      <c r="AL742" s="53">
        <v>70.548846153846142</v>
      </c>
      <c r="AM742" s="61">
        <v>0.29166666666666669</v>
      </c>
      <c r="AN742" s="60">
        <v>0.875</v>
      </c>
      <c r="AO742" s="60" t="s">
        <v>36</v>
      </c>
      <c r="AP742" s="60" t="s">
        <v>36</v>
      </c>
      <c r="AQ742" s="58" t="s">
        <v>0</v>
      </c>
      <c r="AR742" s="58"/>
      <c r="AS742" s="58"/>
      <c r="AT742" s="52">
        <v>0</v>
      </c>
      <c r="AU742" s="52" t="e">
        <f>IF(Master[[#This Row],[RSP StopTime override]] &lt;&gt; "",Master[[#This Row],[RSP StopTime override]],IF(Master[[#This Row],[Avg stop time helper]] &lt;&gt; 0, Master[[#This Row],[Avg stop time helper]],Average_Stop_Time))</f>
        <v>#DIV/0!</v>
      </c>
      <c r="AV742" s="21"/>
      <c r="AW742" s="20">
        <f>Master[[#This Row],[RSP StopTime override]]-Master[[#This Row],[Avg stop time helper]]</f>
        <v>0</v>
      </c>
    </row>
    <row r="743" spans="1:49" x14ac:dyDescent="0.3">
      <c r="A743" s="66" t="s">
        <v>4781</v>
      </c>
      <c r="B743" s="58">
        <v>51</v>
      </c>
      <c r="C743" s="58" t="s">
        <v>35</v>
      </c>
      <c r="D743" s="65">
        <v>531422</v>
      </c>
      <c r="E743" s="65" t="s">
        <v>686</v>
      </c>
      <c r="F743" s="65" t="s">
        <v>2063</v>
      </c>
      <c r="G743" s="65" t="s">
        <v>2062</v>
      </c>
      <c r="H743" s="65" t="s">
        <v>7</v>
      </c>
      <c r="I743" s="65" t="s">
        <v>79</v>
      </c>
      <c r="J743" s="65" t="s">
        <v>5</v>
      </c>
      <c r="K743" s="65" t="s">
        <v>78</v>
      </c>
      <c r="L743" s="64" t="s">
        <v>67</v>
      </c>
      <c r="M743" s="58" t="s">
        <v>3</v>
      </c>
      <c r="N743" s="58" t="s">
        <v>2</v>
      </c>
      <c r="O743" s="58">
        <v>105</v>
      </c>
      <c r="P743" s="58">
        <v>0</v>
      </c>
      <c r="Q743" s="58">
        <v>105</v>
      </c>
      <c r="R743" s="58">
        <v>0</v>
      </c>
      <c r="S743" s="58">
        <v>0</v>
      </c>
      <c r="T743" s="58">
        <v>0</v>
      </c>
      <c r="U743" s="58">
        <v>52</v>
      </c>
      <c r="V743" s="62">
        <v>30</v>
      </c>
      <c r="W743" s="62">
        <v>10</v>
      </c>
      <c r="X743" s="63">
        <f>IFERROR(1 -(Master[[#This Row],[Avg Garment Scans per Delivery]]/Master[[#This Row],[Garment Inventory]]), 0)</f>
        <v>0.66666666666666674</v>
      </c>
      <c r="Y743" s="62">
        <v>2</v>
      </c>
      <c r="Z743" s="62">
        <v>47</v>
      </c>
      <c r="AA743" s="53">
        <v>73.660414201183443</v>
      </c>
      <c r="AB743" s="53">
        <v>75.258047337278128</v>
      </c>
      <c r="AC743" s="53">
        <v>75.932011834319525</v>
      </c>
      <c r="AD743" s="53">
        <v>77.789526627218947</v>
      </c>
      <c r="AE743" s="53" t="str">
        <f>_xlfn.XLOOKUP(Master[[#This Row],[cu_id]],'[1]Customer Revenue'!$Q:$Q,'[1]Customer Revenue'!$K:$K, "None")</f>
        <v>None</v>
      </c>
      <c r="AF743" s="53" t="str">
        <f>_xlfn.XLOOKUP(Master[[#This Row],[cu_id]],'[1]Customer Revenue'!$Q:$Q,'[1]Customer Revenue'!$L:$L, "None")</f>
        <v>None</v>
      </c>
      <c r="AG743" s="53">
        <v>73.740295857988173</v>
      </c>
      <c r="AH743" s="53">
        <v>74.658934911242682</v>
      </c>
      <c r="AI743" s="53">
        <v>74.459230769230786</v>
      </c>
      <c r="AJ743" s="53">
        <v>76.860769230769236</v>
      </c>
      <c r="AK743" s="53" t="str">
        <f>_xlfn.XLOOKUP(Master[[#This Row],[cu_id]],'[1]Customer Revenue'!$Q:$Q,'[1]Customer Revenue'!$I:$I, "None")</f>
        <v>None</v>
      </c>
      <c r="AL743" s="53">
        <v>74.199615384615427</v>
      </c>
      <c r="AM743" s="61">
        <v>0.33333333333333331</v>
      </c>
      <c r="AN743" s="60">
        <v>0.875</v>
      </c>
      <c r="AO743" s="60" t="s">
        <v>36</v>
      </c>
      <c r="AP743" s="60" t="s">
        <v>36</v>
      </c>
      <c r="AQ743" s="58" t="s">
        <v>308</v>
      </c>
      <c r="AR743" s="58"/>
      <c r="AS743" s="58"/>
      <c r="AT743" s="52">
        <v>0</v>
      </c>
      <c r="AU743" s="52" t="e">
        <f>IF(Master[[#This Row],[RSP StopTime override]] &lt;&gt; "",Master[[#This Row],[RSP StopTime override]],IF(Master[[#This Row],[Avg stop time helper]] &lt;&gt; 0, Master[[#This Row],[Avg stop time helper]],Average_Stop_Time))</f>
        <v>#DIV/0!</v>
      </c>
      <c r="AV743" s="21"/>
      <c r="AW743" s="20">
        <f>Master[[#This Row],[RSP StopTime override]]-Master[[#This Row],[Avg stop time helper]]</f>
        <v>0</v>
      </c>
    </row>
    <row r="744" spans="1:49" x14ac:dyDescent="0.3">
      <c r="A744" s="66" t="s">
        <v>4782</v>
      </c>
      <c r="B744" s="58">
        <v>51</v>
      </c>
      <c r="C744" s="58" t="s">
        <v>10</v>
      </c>
      <c r="D744" s="65">
        <v>531482</v>
      </c>
      <c r="E744" s="65" t="s">
        <v>42</v>
      </c>
      <c r="F744" s="65" t="s">
        <v>2061</v>
      </c>
      <c r="G744" s="65" t="s">
        <v>2060</v>
      </c>
      <c r="H744" s="65" t="s">
        <v>7</v>
      </c>
      <c r="I744" s="65" t="s">
        <v>46</v>
      </c>
      <c r="J744" s="65" t="s">
        <v>5</v>
      </c>
      <c r="K744" s="65" t="s">
        <v>2034</v>
      </c>
      <c r="L744" s="64" t="s">
        <v>67</v>
      </c>
      <c r="M744" s="58" t="s">
        <v>3</v>
      </c>
      <c r="N744" s="58" t="s">
        <v>2</v>
      </c>
      <c r="O744" s="58">
        <v>175</v>
      </c>
      <c r="P744" s="58">
        <v>0</v>
      </c>
      <c r="Q744" s="58">
        <v>0</v>
      </c>
      <c r="R744" s="58">
        <v>175</v>
      </c>
      <c r="S744" s="58">
        <v>0</v>
      </c>
      <c r="T744" s="58">
        <v>0</v>
      </c>
      <c r="U744" s="58">
        <v>56</v>
      </c>
      <c r="V744" s="62"/>
      <c r="W744" s="62"/>
      <c r="X744" s="63">
        <f>IFERROR(1 -(Master[[#This Row],[Avg Garment Scans per Delivery]]/Master[[#This Row],[Garment Inventory]]), 0)</f>
        <v>0</v>
      </c>
      <c r="Y744" s="62"/>
      <c r="Z744" s="62"/>
      <c r="AA744" s="53">
        <v>321.24875739644978</v>
      </c>
      <c r="AB744" s="53">
        <v>326.23739644970414</v>
      </c>
      <c r="AC744" s="53">
        <v>323.29266272189346</v>
      </c>
      <c r="AD744" s="53">
        <v>330.34426035502958</v>
      </c>
      <c r="AE744" s="53" t="str">
        <f>_xlfn.XLOOKUP(Master[[#This Row],[cu_id]],'[1]Customer Revenue'!$Q:$Q,'[1]Customer Revenue'!$K:$K, "None")</f>
        <v>None</v>
      </c>
      <c r="AF744" s="53" t="str">
        <f>_xlfn.XLOOKUP(Master[[#This Row],[cu_id]],'[1]Customer Revenue'!$Q:$Q,'[1]Customer Revenue'!$L:$L, "None")</f>
        <v>None</v>
      </c>
      <c r="AG744" s="53">
        <v>313.0956508875741</v>
      </c>
      <c r="AH744" s="53">
        <v>330.36819526627227</v>
      </c>
      <c r="AI744" s="53">
        <v>323.74307692307696</v>
      </c>
      <c r="AJ744" s="53">
        <v>326.81846153846152</v>
      </c>
      <c r="AK744" s="53" t="str">
        <f>_xlfn.XLOOKUP(Master[[#This Row],[cu_id]],'[1]Customer Revenue'!$Q:$Q,'[1]Customer Revenue'!$I:$I, "None")</f>
        <v>None</v>
      </c>
      <c r="AL744" s="53">
        <v>321.73192307692318</v>
      </c>
      <c r="AM744" s="61">
        <v>0.45833333333333331</v>
      </c>
      <c r="AN744" s="60">
        <v>0.54166666666666663</v>
      </c>
      <c r="AO744" s="60" t="s">
        <v>36</v>
      </c>
      <c r="AP744" s="60" t="s">
        <v>36</v>
      </c>
      <c r="AQ744" s="58" t="s">
        <v>308</v>
      </c>
      <c r="AR744" s="58"/>
      <c r="AS744" s="58"/>
      <c r="AT744" s="52">
        <v>0</v>
      </c>
      <c r="AU744" s="52" t="e">
        <f>IF(Master[[#This Row],[RSP StopTime override]] &lt;&gt; "",Master[[#This Row],[RSP StopTime override]],IF(Master[[#This Row],[Avg stop time helper]] &lt;&gt; 0, Master[[#This Row],[Avg stop time helper]],Average_Stop_Time))</f>
        <v>#DIV/0!</v>
      </c>
      <c r="AV744" s="21"/>
      <c r="AW744" s="20">
        <f>Master[[#This Row],[RSP StopTime override]]-Master[[#This Row],[Avg stop time helper]]</f>
        <v>0</v>
      </c>
    </row>
    <row r="745" spans="1:49" x14ac:dyDescent="0.3">
      <c r="A745" s="66" t="s">
        <v>4783</v>
      </c>
      <c r="B745" s="58">
        <v>51</v>
      </c>
      <c r="C745" s="58" t="s">
        <v>43</v>
      </c>
      <c r="D745" s="65">
        <v>531558</v>
      </c>
      <c r="E745" s="65" t="s">
        <v>42</v>
      </c>
      <c r="F745" s="65" t="s">
        <v>2059</v>
      </c>
      <c r="G745" s="65" t="s">
        <v>1865</v>
      </c>
      <c r="H745" s="65" t="s">
        <v>7</v>
      </c>
      <c r="I745" s="65" t="s">
        <v>1844</v>
      </c>
      <c r="J745" s="65" t="s">
        <v>5</v>
      </c>
      <c r="K745" s="65" t="s">
        <v>1843</v>
      </c>
      <c r="L745" s="64" t="s">
        <v>67</v>
      </c>
      <c r="M745" s="58" t="s">
        <v>3</v>
      </c>
      <c r="N745" s="58" t="s">
        <v>2</v>
      </c>
      <c r="O745" s="58">
        <v>8</v>
      </c>
      <c r="P745" s="58">
        <v>0</v>
      </c>
      <c r="Q745" s="58">
        <v>0</v>
      </c>
      <c r="R745" s="58">
        <v>0</v>
      </c>
      <c r="S745" s="58">
        <v>8</v>
      </c>
      <c r="T745" s="58">
        <v>0</v>
      </c>
      <c r="U745" s="58">
        <v>31</v>
      </c>
      <c r="V745" s="62"/>
      <c r="W745" s="62"/>
      <c r="X745" s="63">
        <f>IFERROR(1 -(Master[[#This Row],[Avg Garment Scans per Delivery]]/Master[[#This Row],[Garment Inventory]]), 0)</f>
        <v>0</v>
      </c>
      <c r="Y745" s="62"/>
      <c r="Z745" s="62"/>
      <c r="AA745" s="53"/>
      <c r="AB745" s="53"/>
      <c r="AC745" s="53">
        <v>55.862958579881642</v>
      </c>
      <c r="AD745" s="53">
        <v>71.773964497041405</v>
      </c>
      <c r="AE745" s="53" t="str">
        <f>_xlfn.XLOOKUP(Master[[#This Row],[cu_id]],'[1]Customer Revenue'!$Q:$Q,'[1]Customer Revenue'!$K:$K, "None")</f>
        <v>None</v>
      </c>
      <c r="AF745" s="53" t="str">
        <f>_xlfn.XLOOKUP(Master[[#This Row],[cu_id]],'[1]Customer Revenue'!$Q:$Q,'[1]Customer Revenue'!$L:$L, "None")</f>
        <v>None</v>
      </c>
      <c r="AG745" s="53">
        <v>35.612000000000002</v>
      </c>
      <c r="AH745" s="53">
        <v>84.731999999999999</v>
      </c>
      <c r="AI745" s="53"/>
      <c r="AJ745" s="53">
        <v>63.818461538461527</v>
      </c>
      <c r="AK745" s="53" t="str">
        <f>_xlfn.XLOOKUP(Master[[#This Row],[cu_id]],'[1]Customer Revenue'!$Q:$Q,'[1]Customer Revenue'!$I:$I, "None")</f>
        <v>None</v>
      </c>
      <c r="AL745" s="53">
        <v>60.172000000000004</v>
      </c>
      <c r="AM745" s="61">
        <v>0.29166666666666669</v>
      </c>
      <c r="AN745" s="60">
        <v>0.83333333333333337</v>
      </c>
      <c r="AO745" s="60" t="s">
        <v>36</v>
      </c>
      <c r="AP745" s="60" t="s">
        <v>36</v>
      </c>
      <c r="AQ745" s="58" t="s">
        <v>0</v>
      </c>
      <c r="AR745" s="58"/>
      <c r="AS745" s="58"/>
      <c r="AT745" s="52">
        <v>0</v>
      </c>
      <c r="AU745" s="52" t="e">
        <f>IF(Master[[#This Row],[RSP StopTime override]] &lt;&gt; "",Master[[#This Row],[RSP StopTime override]],IF(Master[[#This Row],[Avg stop time helper]] &lt;&gt; 0, Master[[#This Row],[Avg stop time helper]],Average_Stop_Time))</f>
        <v>#DIV/0!</v>
      </c>
      <c r="AV745" s="21"/>
      <c r="AW745" s="20">
        <f>Master[[#This Row],[RSP StopTime override]]-Master[[#This Row],[Avg stop time helper]]</f>
        <v>0</v>
      </c>
    </row>
    <row r="746" spans="1:49" x14ac:dyDescent="0.3">
      <c r="A746" s="66" t="s">
        <v>4784</v>
      </c>
      <c r="B746" s="58">
        <v>47</v>
      </c>
      <c r="C746" s="58" t="s">
        <v>43</v>
      </c>
      <c r="D746" s="65">
        <v>99035</v>
      </c>
      <c r="E746" s="65" t="s">
        <v>1360</v>
      </c>
      <c r="F746" s="65" t="s">
        <v>2695</v>
      </c>
      <c r="G746" s="65" t="s">
        <v>2694</v>
      </c>
      <c r="H746" s="65" t="s">
        <v>7</v>
      </c>
      <c r="I746" s="65" t="s">
        <v>2621</v>
      </c>
      <c r="J746" s="65" t="s">
        <v>5</v>
      </c>
      <c r="K746" s="65" t="s">
        <v>2620</v>
      </c>
      <c r="L746" s="64">
        <v>7</v>
      </c>
      <c r="M746" s="58" t="s">
        <v>205</v>
      </c>
      <c r="N746" s="58" t="s">
        <v>2</v>
      </c>
      <c r="O746" s="58">
        <v>206</v>
      </c>
      <c r="P746" s="58">
        <v>0</v>
      </c>
      <c r="Q746" s="58">
        <v>0</v>
      </c>
      <c r="R746" s="58">
        <v>0</v>
      </c>
      <c r="S746" s="58">
        <v>206</v>
      </c>
      <c r="T746" s="58">
        <v>0</v>
      </c>
      <c r="U746" s="58">
        <v>29</v>
      </c>
      <c r="V746" s="62"/>
      <c r="W746" s="62"/>
      <c r="X746" s="63">
        <f>IFERROR(1 -(Master[[#This Row],[Avg Garment Scans per Delivery]]/Master[[#This Row],[Garment Inventory]]), 0)</f>
        <v>0</v>
      </c>
      <c r="Y746" s="62"/>
      <c r="Z746" s="62"/>
      <c r="AA746" s="53">
        <v>38.83041420118343</v>
      </c>
      <c r="AB746" s="53">
        <v>40.428047337278116</v>
      </c>
      <c r="AC746" s="53">
        <v>31.038399999999996</v>
      </c>
      <c r="AD746" s="53">
        <v>51.249600000000001</v>
      </c>
      <c r="AE746" s="53" t="str">
        <f>_xlfn.XLOOKUP(Master[[#This Row],[cu_id]],'[1]Customer Revenue'!$Q:$Q,'[1]Customer Revenue'!$K:$K, "None")</f>
        <v>None</v>
      </c>
      <c r="AF746" s="53" t="str">
        <f>_xlfn.XLOOKUP(Master[[#This Row],[cu_id]],'[1]Customer Revenue'!$Q:$Q,'[1]Customer Revenue'!$L:$L, "None")</f>
        <v>None</v>
      </c>
      <c r="AG746" s="53">
        <v>38.893081285444239</v>
      </c>
      <c r="AH746" s="53">
        <v>39.913875236294913</v>
      </c>
      <c r="AI746" s="53">
        <v>39.629230769230773</v>
      </c>
      <c r="AJ746" s="53">
        <v>41.143999999999998</v>
      </c>
      <c r="AK746" s="53" t="str">
        <f>_xlfn.XLOOKUP(Master[[#This Row],[cu_id]],'[1]Customer Revenue'!$Q:$Q,'[1]Customer Revenue'!$I:$I, "None")</f>
        <v>None</v>
      </c>
      <c r="AL746" s="53">
        <v>39.403478260869576</v>
      </c>
      <c r="AM746" s="61">
        <v>0.375</v>
      </c>
      <c r="AN746" s="60">
        <v>0.70833333333333337</v>
      </c>
      <c r="AO746" s="60" t="s">
        <v>36</v>
      </c>
      <c r="AP746" s="60" t="s">
        <v>36</v>
      </c>
      <c r="AQ746" s="58" t="s">
        <v>0</v>
      </c>
      <c r="AR746" s="58"/>
      <c r="AS746" s="58"/>
      <c r="AT746" s="52">
        <v>0</v>
      </c>
      <c r="AU746" s="52" t="e">
        <f>IF(Master[[#This Row],[RSP StopTime override]] &lt;&gt; "",Master[[#This Row],[RSP StopTime override]],IF(Master[[#This Row],[Avg stop time helper]] &lt;&gt; 0, Master[[#This Row],[Avg stop time helper]],Average_Stop_Time))</f>
        <v>#DIV/0!</v>
      </c>
      <c r="AV746" s="21"/>
      <c r="AW746" s="20">
        <f>Master[[#This Row],[RSP StopTime override]]-Master[[#This Row],[Avg stop time helper]]</f>
        <v>0</v>
      </c>
    </row>
    <row r="747" spans="1:49" x14ac:dyDescent="0.3">
      <c r="A747" s="66" t="s">
        <v>4785</v>
      </c>
      <c r="B747" s="58">
        <v>47</v>
      </c>
      <c r="C747" s="58" t="s">
        <v>35</v>
      </c>
      <c r="D747" s="65">
        <v>99035</v>
      </c>
      <c r="E747" s="65" t="s">
        <v>1358</v>
      </c>
      <c r="F747" s="65" t="s">
        <v>2862</v>
      </c>
      <c r="G747" s="65" t="s">
        <v>2861</v>
      </c>
      <c r="H747" s="65" t="s">
        <v>7</v>
      </c>
      <c r="I747" s="65" t="s">
        <v>2797</v>
      </c>
      <c r="J747" s="65" t="s">
        <v>5</v>
      </c>
      <c r="K747" s="65" t="s">
        <v>2860</v>
      </c>
      <c r="L747" s="64">
        <v>7</v>
      </c>
      <c r="M747" s="58" t="s">
        <v>205</v>
      </c>
      <c r="N747" s="58" t="s">
        <v>2</v>
      </c>
      <c r="O747" s="58">
        <v>90</v>
      </c>
      <c r="P747" s="58">
        <v>0</v>
      </c>
      <c r="Q747" s="58">
        <v>90</v>
      </c>
      <c r="R747" s="58">
        <v>0</v>
      </c>
      <c r="S747" s="58">
        <v>0</v>
      </c>
      <c r="T747" s="58">
        <v>0</v>
      </c>
      <c r="U747" s="58">
        <v>29</v>
      </c>
      <c r="V747" s="62"/>
      <c r="W747" s="62"/>
      <c r="X747" s="63">
        <f>IFERROR(1 -(Master[[#This Row],[Avg Garment Scans per Delivery]]/Master[[#This Row],[Garment Inventory]]), 0)</f>
        <v>0</v>
      </c>
      <c r="Y747" s="62"/>
      <c r="Z747" s="62"/>
      <c r="AA747" s="53">
        <v>85.450414201183435</v>
      </c>
      <c r="AB747" s="53">
        <v>87.048047337278092</v>
      </c>
      <c r="AC747" s="53">
        <v>71.607200000000006</v>
      </c>
      <c r="AD747" s="53">
        <v>125.48080000000002</v>
      </c>
      <c r="AE747" s="53" t="str">
        <f>_xlfn.XLOOKUP(Master[[#This Row],[cu_id]],'[1]Customer Revenue'!$Q:$Q,'[1]Customer Revenue'!$K:$K, "None")</f>
        <v>None</v>
      </c>
      <c r="AF747" s="53" t="str">
        <f>_xlfn.XLOOKUP(Master[[#This Row],[cu_id]],'[1]Customer Revenue'!$Q:$Q,'[1]Customer Revenue'!$L:$L, "None")</f>
        <v>None</v>
      </c>
      <c r="AG747" s="53">
        <v>85.513081285444244</v>
      </c>
      <c r="AH747" s="53">
        <v>86.53387523629489</v>
      </c>
      <c r="AI747" s="53">
        <v>86.249230769230763</v>
      </c>
      <c r="AJ747" s="53">
        <v>98.544000000000011</v>
      </c>
      <c r="AK747" s="53" t="str">
        <f>_xlfn.XLOOKUP(Master[[#This Row],[cu_id]],'[1]Customer Revenue'!$Q:$Q,'[1]Customer Revenue'!$I:$I, "None")</f>
        <v>None</v>
      </c>
      <c r="AL747" s="53">
        <v>86.023478260869567</v>
      </c>
      <c r="AM747" s="61">
        <v>0.375</v>
      </c>
      <c r="AN747" s="60">
        <v>0.20833333333333334</v>
      </c>
      <c r="AO747" s="60" t="s">
        <v>36</v>
      </c>
      <c r="AP747" s="60" t="s">
        <v>36</v>
      </c>
      <c r="AQ747" s="58" t="s">
        <v>0</v>
      </c>
      <c r="AR747" s="58"/>
      <c r="AS747" s="58"/>
      <c r="AT747" s="52">
        <v>0</v>
      </c>
      <c r="AU747" s="52" t="e">
        <f>IF(Master[[#This Row],[RSP StopTime override]] &lt;&gt; "",Master[[#This Row],[RSP StopTime override]],IF(Master[[#This Row],[Avg stop time helper]] &lt;&gt; 0, Master[[#This Row],[Avg stop time helper]],Average_Stop_Time))</f>
        <v>#DIV/0!</v>
      </c>
      <c r="AV747" s="21"/>
      <c r="AW747" s="20">
        <f>Master[[#This Row],[RSP StopTime override]]-Master[[#This Row],[Avg stop time helper]]</f>
        <v>0</v>
      </c>
    </row>
    <row r="748" spans="1:49" x14ac:dyDescent="0.3">
      <c r="A748" s="66" t="s">
        <v>4786</v>
      </c>
      <c r="B748" s="58">
        <v>47</v>
      </c>
      <c r="C748" s="58" t="s">
        <v>43</v>
      </c>
      <c r="D748" s="65">
        <v>99035</v>
      </c>
      <c r="E748" s="65" t="s">
        <v>1357</v>
      </c>
      <c r="F748" s="65" t="s">
        <v>2693</v>
      </c>
      <c r="G748" s="65" t="s">
        <v>2692</v>
      </c>
      <c r="H748" s="65" t="s">
        <v>7</v>
      </c>
      <c r="I748" s="65" t="s">
        <v>2691</v>
      </c>
      <c r="J748" s="65" t="s">
        <v>5</v>
      </c>
      <c r="K748" s="65" t="s">
        <v>2690</v>
      </c>
      <c r="L748" s="64">
        <v>7</v>
      </c>
      <c r="M748" s="58" t="s">
        <v>205</v>
      </c>
      <c r="N748" s="58" t="s">
        <v>2</v>
      </c>
      <c r="O748" s="58">
        <v>231</v>
      </c>
      <c r="P748" s="58">
        <v>0</v>
      </c>
      <c r="Q748" s="58">
        <v>0</v>
      </c>
      <c r="R748" s="58">
        <v>0</v>
      </c>
      <c r="S748" s="58">
        <v>231</v>
      </c>
      <c r="T748" s="58">
        <v>0</v>
      </c>
      <c r="U748" s="58">
        <v>29</v>
      </c>
      <c r="V748" s="62"/>
      <c r="W748" s="62"/>
      <c r="X748" s="63">
        <f>IFERROR(1 -(Master[[#This Row],[Avg Garment Scans per Delivery]]/Master[[#This Row],[Garment Inventory]]), 0)</f>
        <v>0</v>
      </c>
      <c r="Y748" s="62"/>
      <c r="Z748" s="62"/>
      <c r="AA748" s="53">
        <v>58.810414201183441</v>
      </c>
      <c r="AB748" s="53">
        <v>60.408047337278141</v>
      </c>
      <c r="AC748" s="53">
        <v>39.759599999999992</v>
      </c>
      <c r="AD748" s="53">
        <v>72.852400000000003</v>
      </c>
      <c r="AE748" s="53" t="str">
        <f>_xlfn.XLOOKUP(Master[[#This Row],[cu_id]],'[1]Customer Revenue'!$Q:$Q,'[1]Customer Revenue'!$K:$K, "None")</f>
        <v>None</v>
      </c>
      <c r="AF748" s="53" t="str">
        <f>_xlfn.XLOOKUP(Master[[#This Row],[cu_id]],'[1]Customer Revenue'!$Q:$Q,'[1]Customer Revenue'!$L:$L, "None")</f>
        <v>None</v>
      </c>
      <c r="AG748" s="53">
        <v>58.873081285444236</v>
      </c>
      <c r="AH748" s="53">
        <v>59.893875236294882</v>
      </c>
      <c r="AI748" s="53">
        <v>59.609230769230791</v>
      </c>
      <c r="AJ748" s="53">
        <v>56.305999999999997</v>
      </c>
      <c r="AK748" s="53" t="str">
        <f>_xlfn.XLOOKUP(Master[[#This Row],[cu_id]],'[1]Customer Revenue'!$Q:$Q,'[1]Customer Revenue'!$I:$I, "None")</f>
        <v>None</v>
      </c>
      <c r="AL748" s="53">
        <v>59.383478260869559</v>
      </c>
      <c r="AM748" s="61">
        <v>0.375</v>
      </c>
      <c r="AN748" s="60">
        <v>0.70833333333333337</v>
      </c>
      <c r="AO748" s="60" t="s">
        <v>36</v>
      </c>
      <c r="AP748" s="60" t="s">
        <v>36</v>
      </c>
      <c r="AQ748" s="58" t="s">
        <v>0</v>
      </c>
      <c r="AR748" s="58"/>
      <c r="AS748" s="58"/>
      <c r="AT748" s="52">
        <v>0</v>
      </c>
      <c r="AU748" s="52" t="e">
        <f>IF(Master[[#This Row],[RSP StopTime override]] &lt;&gt; "",Master[[#This Row],[RSP StopTime override]],IF(Master[[#This Row],[Avg stop time helper]] &lt;&gt; 0, Master[[#This Row],[Avg stop time helper]],Average_Stop_Time))</f>
        <v>#DIV/0!</v>
      </c>
      <c r="AV748" s="21"/>
      <c r="AW748" s="20">
        <f>Master[[#This Row],[RSP StopTime override]]-Master[[#This Row],[Avg stop time helper]]</f>
        <v>0</v>
      </c>
    </row>
    <row r="749" spans="1:49" x14ac:dyDescent="0.3">
      <c r="A749" s="66" t="s">
        <v>4787</v>
      </c>
      <c r="B749" s="58">
        <v>51</v>
      </c>
      <c r="C749" s="58" t="s">
        <v>35</v>
      </c>
      <c r="D749" s="65">
        <v>531665</v>
      </c>
      <c r="E749" s="65" t="s">
        <v>686</v>
      </c>
      <c r="F749" s="65" t="s">
        <v>2051</v>
      </c>
      <c r="G749" s="65" t="s">
        <v>2050</v>
      </c>
      <c r="H749" s="65" t="s">
        <v>7</v>
      </c>
      <c r="I749" s="65" t="s">
        <v>1851</v>
      </c>
      <c r="J749" s="65" t="s">
        <v>5</v>
      </c>
      <c r="K749" s="65" t="s">
        <v>1850</v>
      </c>
      <c r="L749" s="64" t="s">
        <v>67</v>
      </c>
      <c r="M749" s="58" t="s">
        <v>3</v>
      </c>
      <c r="N749" s="58" t="s">
        <v>2</v>
      </c>
      <c r="O749" s="58">
        <v>30</v>
      </c>
      <c r="P749" s="58">
        <v>0</v>
      </c>
      <c r="Q749" s="58">
        <v>30</v>
      </c>
      <c r="R749" s="58">
        <v>0</v>
      </c>
      <c r="S749" s="58">
        <v>0</v>
      </c>
      <c r="T749" s="58">
        <v>0</v>
      </c>
      <c r="U749" s="58">
        <v>52</v>
      </c>
      <c r="V749" s="62">
        <v>145</v>
      </c>
      <c r="W749" s="62">
        <v>18</v>
      </c>
      <c r="X749" s="63">
        <f>IFERROR(1 -(Master[[#This Row],[Avg Garment Scans per Delivery]]/Master[[#This Row],[Garment Inventory]]), 0)</f>
        <v>0.87586206896551722</v>
      </c>
      <c r="Y749" s="62">
        <v>8</v>
      </c>
      <c r="Z749" s="62">
        <v>152</v>
      </c>
      <c r="AA749" s="53">
        <v>332.94857988165683</v>
      </c>
      <c r="AB749" s="53">
        <v>345.68988165680474</v>
      </c>
      <c r="AC749" s="53">
        <v>354.39940828402371</v>
      </c>
      <c r="AD749" s="53">
        <v>372.80982248520706</v>
      </c>
      <c r="AE749" s="53" t="str">
        <f>_xlfn.XLOOKUP(Master[[#This Row],[cu_id]],'[1]Customer Revenue'!$Q:$Q,'[1]Customer Revenue'!$K:$K, "None")</f>
        <v>None</v>
      </c>
      <c r="AF749" s="53" t="str">
        <f>_xlfn.XLOOKUP(Master[[#This Row],[cu_id]],'[1]Customer Revenue'!$Q:$Q,'[1]Customer Revenue'!$L:$L, "None")</f>
        <v>None</v>
      </c>
      <c r="AG749" s="53">
        <v>336.90742603550297</v>
      </c>
      <c r="AH749" s="53">
        <v>346.39026627218931</v>
      </c>
      <c r="AI749" s="53">
        <v>339.31923076923078</v>
      </c>
      <c r="AJ749" s="53">
        <v>363.60461538461539</v>
      </c>
      <c r="AK749" s="53" t="str">
        <f>_xlfn.XLOOKUP(Master[[#This Row],[cu_id]],'[1]Customer Revenue'!$Q:$Q,'[1]Customer Revenue'!$I:$I, "None")</f>
        <v>None</v>
      </c>
      <c r="AL749" s="53">
        <v>341.64884615384614</v>
      </c>
      <c r="AM749" s="61">
        <v>0.33333333333333331</v>
      </c>
      <c r="AN749" s="60">
        <v>0.91666666666666663</v>
      </c>
      <c r="AO749" s="60" t="s">
        <v>36</v>
      </c>
      <c r="AP749" s="60" t="s">
        <v>36</v>
      </c>
      <c r="AQ749" s="58" t="s">
        <v>0</v>
      </c>
      <c r="AR749" s="58"/>
      <c r="AS749" s="58"/>
      <c r="AT749" s="52">
        <v>0</v>
      </c>
      <c r="AU749" s="52" t="e">
        <f>IF(Master[[#This Row],[RSP StopTime override]] &lt;&gt; "",Master[[#This Row],[RSP StopTime override]],IF(Master[[#This Row],[Avg stop time helper]] &lt;&gt; 0, Master[[#This Row],[Avg stop time helper]],Average_Stop_Time))</f>
        <v>#DIV/0!</v>
      </c>
      <c r="AV749" s="21"/>
      <c r="AW749" s="20">
        <f>Master[[#This Row],[RSP StopTime override]]-Master[[#This Row],[Avg stop time helper]]</f>
        <v>0</v>
      </c>
    </row>
    <row r="750" spans="1:49" x14ac:dyDescent="0.3">
      <c r="A750" s="66" t="s">
        <v>4788</v>
      </c>
      <c r="B750" s="58">
        <v>51</v>
      </c>
      <c r="C750" s="58" t="s">
        <v>35</v>
      </c>
      <c r="D750" s="65">
        <v>531665</v>
      </c>
      <c r="E750" s="65" t="s">
        <v>42</v>
      </c>
      <c r="F750" s="65" t="s">
        <v>2049</v>
      </c>
      <c r="G750" s="65" t="s">
        <v>2048</v>
      </c>
      <c r="H750" s="65" t="s">
        <v>7</v>
      </c>
      <c r="I750" s="65" t="s">
        <v>1851</v>
      </c>
      <c r="J750" s="65" t="s">
        <v>5</v>
      </c>
      <c r="K750" s="65" t="s">
        <v>1850</v>
      </c>
      <c r="L750" s="64" t="s">
        <v>67</v>
      </c>
      <c r="M750" s="58" t="s">
        <v>3</v>
      </c>
      <c r="N750" s="58" t="s">
        <v>2</v>
      </c>
      <c r="O750" s="58">
        <v>20</v>
      </c>
      <c r="P750" s="58">
        <v>0</v>
      </c>
      <c r="Q750" s="58">
        <v>20</v>
      </c>
      <c r="R750" s="58">
        <v>0</v>
      </c>
      <c r="S750" s="58">
        <v>0</v>
      </c>
      <c r="T750" s="58">
        <v>0</v>
      </c>
      <c r="U750" s="58">
        <v>53</v>
      </c>
      <c r="V750" s="62">
        <v>398</v>
      </c>
      <c r="W750" s="62">
        <v>25</v>
      </c>
      <c r="X750" s="63">
        <f>IFERROR(1 -(Master[[#This Row],[Avg Garment Scans per Delivery]]/Master[[#This Row],[Garment Inventory]]), 0)</f>
        <v>0.93718592964824121</v>
      </c>
      <c r="Y750" s="62">
        <v>21</v>
      </c>
      <c r="Z750" s="62">
        <v>408</v>
      </c>
      <c r="AA750" s="53">
        <v>1117.4463905325442</v>
      </c>
      <c r="AB750" s="53">
        <v>1191.8182248520707</v>
      </c>
      <c r="AC750" s="53">
        <v>1116.0434722222221</v>
      </c>
      <c r="AD750" s="53">
        <v>1484.8881944444443</v>
      </c>
      <c r="AE750" s="53" t="str">
        <f>_xlfn.XLOOKUP(Master[[#This Row],[cu_id]],'[1]Customer Revenue'!$Q:$Q,'[1]Customer Revenue'!$K:$K, "None")</f>
        <v>None</v>
      </c>
      <c r="AF750" s="53" t="str">
        <f>_xlfn.XLOOKUP(Master[[#This Row],[cu_id]],'[1]Customer Revenue'!$Q:$Q,'[1]Customer Revenue'!$L:$L, "None")</f>
        <v>None</v>
      </c>
      <c r="AG750" s="53">
        <v>1056.812573071647</v>
      </c>
      <c r="AH750" s="53">
        <v>1219.1589653898914</v>
      </c>
      <c r="AI750" s="53">
        <v>1154.6323076923074</v>
      </c>
      <c r="AJ750" s="53">
        <v>1300.4658333333332</v>
      </c>
      <c r="AK750" s="53" t="str">
        <f>_xlfn.XLOOKUP(Master[[#This Row],[cu_id]],'[1]Customer Revenue'!$Q:$Q,'[1]Customer Revenue'!$I:$I, "None")</f>
        <v>None</v>
      </c>
      <c r="AL750" s="53">
        <v>1137.9857692307692</v>
      </c>
      <c r="AM750" s="61">
        <v>0.33333333333333331</v>
      </c>
      <c r="AN750" s="60">
        <v>0.91666666666666663</v>
      </c>
      <c r="AO750" s="60" t="s">
        <v>36</v>
      </c>
      <c r="AP750" s="60" t="s">
        <v>36</v>
      </c>
      <c r="AQ750" s="58" t="s">
        <v>0</v>
      </c>
      <c r="AR750" s="58"/>
      <c r="AS750" s="58"/>
      <c r="AT750" s="52">
        <v>0</v>
      </c>
      <c r="AU750" s="52" t="e">
        <f>IF(Master[[#This Row],[RSP StopTime override]] &lt;&gt; "",Master[[#This Row],[RSP StopTime override]],IF(Master[[#This Row],[Avg stop time helper]] &lt;&gt; 0, Master[[#This Row],[Avg stop time helper]],Average_Stop_Time))</f>
        <v>#DIV/0!</v>
      </c>
      <c r="AV750" s="21"/>
      <c r="AW750" s="20">
        <f>Master[[#This Row],[RSP StopTime override]]-Master[[#This Row],[Avg stop time helper]]</f>
        <v>0</v>
      </c>
    </row>
    <row r="751" spans="1:49" x14ac:dyDescent="0.3">
      <c r="A751" s="66" t="s">
        <v>4789</v>
      </c>
      <c r="B751" s="58">
        <v>51</v>
      </c>
      <c r="C751" s="58" t="s">
        <v>35</v>
      </c>
      <c r="D751" s="65">
        <v>531665</v>
      </c>
      <c r="E751" s="65" t="s">
        <v>1455</v>
      </c>
      <c r="F751" s="65" t="s">
        <v>2047</v>
      </c>
      <c r="G751" s="65" t="s">
        <v>2046</v>
      </c>
      <c r="H751" s="65" t="s">
        <v>7</v>
      </c>
      <c r="I751" s="65" t="s">
        <v>1851</v>
      </c>
      <c r="J751" s="65" t="s">
        <v>5</v>
      </c>
      <c r="K751" s="65" t="s">
        <v>1850</v>
      </c>
      <c r="L751" s="64" t="s">
        <v>67</v>
      </c>
      <c r="M751" s="58" t="s">
        <v>3</v>
      </c>
      <c r="N751" s="58" t="s">
        <v>2</v>
      </c>
      <c r="O751" s="58">
        <v>20</v>
      </c>
      <c r="P751" s="58">
        <v>0</v>
      </c>
      <c r="Q751" s="58">
        <v>20</v>
      </c>
      <c r="R751" s="58">
        <v>0</v>
      </c>
      <c r="S751" s="58">
        <v>0</v>
      </c>
      <c r="T751" s="58">
        <v>0</v>
      </c>
      <c r="U751" s="58">
        <v>52</v>
      </c>
      <c r="V751" s="62"/>
      <c r="W751" s="62"/>
      <c r="X751" s="63">
        <f>IFERROR(1 -(Master[[#This Row],[Avg Garment Scans per Delivery]]/Master[[#This Row],[Garment Inventory]]), 0)</f>
        <v>0</v>
      </c>
      <c r="Y751" s="62"/>
      <c r="Z751" s="62"/>
      <c r="AA751" s="53">
        <v>362.35023668639059</v>
      </c>
      <c r="AB751" s="53">
        <v>381.33437869822495</v>
      </c>
      <c r="AC751" s="53">
        <v>384.55035502958577</v>
      </c>
      <c r="AD751" s="53">
        <v>386.99579881656808</v>
      </c>
      <c r="AE751" s="53" t="str">
        <f>_xlfn.XLOOKUP(Master[[#This Row],[cu_id]],'[1]Customer Revenue'!$Q:$Q,'[1]Customer Revenue'!$K:$K, "None")</f>
        <v>None</v>
      </c>
      <c r="AF751" s="53" t="str">
        <f>_xlfn.XLOOKUP(Master[[#This Row],[cu_id]],'[1]Customer Revenue'!$Q:$Q,'[1]Customer Revenue'!$L:$L, "None")</f>
        <v>None</v>
      </c>
      <c r="AG751" s="53">
        <v>361.75698224852067</v>
      </c>
      <c r="AH751" s="53">
        <v>374.21532544378692</v>
      </c>
      <c r="AI751" s="53">
        <v>371.84230769230777</v>
      </c>
      <c r="AJ751" s="53">
        <v>385.77307692307693</v>
      </c>
      <c r="AK751" s="53" t="str">
        <f>_xlfn.XLOOKUP(Master[[#This Row],[cu_id]],'[1]Customer Revenue'!$Q:$Q,'[1]Customer Revenue'!$I:$I, "None")</f>
        <v>None</v>
      </c>
      <c r="AL751" s="53">
        <v>367.9861538461538</v>
      </c>
      <c r="AM751" s="61">
        <v>0.20833333333333334</v>
      </c>
      <c r="AN751" s="60">
        <v>0.91666666666666663</v>
      </c>
      <c r="AO751" s="60" t="s">
        <v>36</v>
      </c>
      <c r="AP751" s="60" t="s">
        <v>36</v>
      </c>
      <c r="AQ751" s="58" t="s">
        <v>0</v>
      </c>
      <c r="AR751" s="58"/>
      <c r="AS751" s="58"/>
      <c r="AT751" s="52">
        <v>0</v>
      </c>
      <c r="AU751" s="52" t="e">
        <f>IF(Master[[#This Row],[RSP StopTime override]] &lt;&gt; "",Master[[#This Row],[RSP StopTime override]],IF(Master[[#This Row],[Avg stop time helper]] &lt;&gt; 0, Master[[#This Row],[Avg stop time helper]],Average_Stop_Time))</f>
        <v>#DIV/0!</v>
      </c>
      <c r="AV751" s="21"/>
      <c r="AW751" s="20">
        <f>Master[[#This Row],[RSP StopTime override]]-Master[[#This Row],[Avg stop time helper]]</f>
        <v>0</v>
      </c>
    </row>
    <row r="752" spans="1:49" x14ac:dyDescent="0.3">
      <c r="A752" s="66" t="s">
        <v>4790</v>
      </c>
      <c r="B752" s="58">
        <v>51</v>
      </c>
      <c r="C752" s="58" t="s">
        <v>10</v>
      </c>
      <c r="D752" s="65">
        <v>599000</v>
      </c>
      <c r="E752" s="65" t="s">
        <v>1517</v>
      </c>
      <c r="F752" s="65" t="s">
        <v>1645</v>
      </c>
      <c r="G752" s="65" t="s">
        <v>2045</v>
      </c>
      <c r="H752" s="65" t="s">
        <v>32</v>
      </c>
      <c r="I752" s="65" t="s">
        <v>12</v>
      </c>
      <c r="J752" s="65" t="s">
        <v>5</v>
      </c>
      <c r="K752" s="65" t="s">
        <v>20</v>
      </c>
      <c r="L752" s="64" t="s">
        <v>67</v>
      </c>
      <c r="M752" s="58" t="s">
        <v>3</v>
      </c>
      <c r="N752" s="58" t="s">
        <v>2</v>
      </c>
      <c r="O752" s="58">
        <v>10</v>
      </c>
      <c r="P752" s="58">
        <v>0</v>
      </c>
      <c r="Q752" s="58">
        <v>0</v>
      </c>
      <c r="R752" s="58">
        <v>10</v>
      </c>
      <c r="S752" s="58">
        <v>0</v>
      </c>
      <c r="T752" s="58">
        <v>0</v>
      </c>
      <c r="U752" s="58">
        <v>52</v>
      </c>
      <c r="V752" s="62">
        <v>60</v>
      </c>
      <c r="W752" s="62">
        <v>19</v>
      </c>
      <c r="X752" s="63">
        <f>IFERROR(1 -(Master[[#This Row],[Avg Garment Scans per Delivery]]/Master[[#This Row],[Garment Inventory]]), 0)</f>
        <v>0.68333333333333335</v>
      </c>
      <c r="Y752" s="62">
        <v>1</v>
      </c>
      <c r="Z752" s="62">
        <v>66</v>
      </c>
      <c r="AA752" s="53">
        <v>53.015917159763312</v>
      </c>
      <c r="AB752" s="53">
        <v>54.096390532544369</v>
      </c>
      <c r="AC752" s="53">
        <v>54.141124260355028</v>
      </c>
      <c r="AD752" s="53">
        <v>56.23579881656805</v>
      </c>
      <c r="AE752" s="53" t="str">
        <f>_xlfn.XLOOKUP(Master[[#This Row],[cu_id]],'[1]Customer Revenue'!$Q:$Q,'[1]Customer Revenue'!$K:$K, "None")</f>
        <v>None</v>
      </c>
      <c r="AF752" s="53" t="str">
        <f>_xlfn.XLOOKUP(Master[[#This Row],[cu_id]],'[1]Customer Revenue'!$Q:$Q,'[1]Customer Revenue'!$L:$L, "None")</f>
        <v>None</v>
      </c>
      <c r="AG752" s="53">
        <v>52.698195266272194</v>
      </c>
      <c r="AH752" s="53">
        <v>53.614881656804741</v>
      </c>
      <c r="AI752" s="53">
        <v>53.55615384615384</v>
      </c>
      <c r="AJ752" s="53">
        <v>55.188461538461539</v>
      </c>
      <c r="AK752" s="53" t="str">
        <f>_xlfn.XLOOKUP(Master[[#This Row],[cu_id]],'[1]Customer Revenue'!$Q:$Q,'[1]Customer Revenue'!$I:$I, "None")</f>
        <v>None</v>
      </c>
      <c r="AL752" s="53">
        <v>53.156538461538467</v>
      </c>
      <c r="AM752" s="61">
        <v>0.25</v>
      </c>
      <c r="AN752" s="60">
        <v>0.625</v>
      </c>
      <c r="AO752" s="60" t="s">
        <v>36</v>
      </c>
      <c r="AP752" s="60" t="s">
        <v>36</v>
      </c>
      <c r="AQ752" s="58" t="s">
        <v>0</v>
      </c>
      <c r="AR752" s="58"/>
      <c r="AS752" s="58"/>
      <c r="AT752" s="52">
        <v>0</v>
      </c>
      <c r="AU752" s="52" t="e">
        <f>IF(Master[[#This Row],[RSP StopTime override]] &lt;&gt; "",Master[[#This Row],[RSP StopTime override]],IF(Master[[#This Row],[Avg stop time helper]] &lt;&gt; 0, Master[[#This Row],[Avg stop time helper]],Average_Stop_Time))</f>
        <v>#DIV/0!</v>
      </c>
      <c r="AV752" s="21"/>
      <c r="AW752" s="20">
        <f>Master[[#This Row],[RSP StopTime override]]-Master[[#This Row],[Avg stop time helper]]</f>
        <v>0</v>
      </c>
    </row>
    <row r="753" spans="1:49" x14ac:dyDescent="0.3">
      <c r="A753" s="66" t="s">
        <v>4791</v>
      </c>
      <c r="B753" s="58">
        <v>51</v>
      </c>
      <c r="C753" s="58" t="s">
        <v>15</v>
      </c>
      <c r="D753" s="65">
        <v>99061</v>
      </c>
      <c r="E753" s="65" t="s">
        <v>1984</v>
      </c>
      <c r="F753" s="65" t="s">
        <v>2044</v>
      </c>
      <c r="G753" s="65" t="s">
        <v>1982</v>
      </c>
      <c r="H753" s="65" t="s">
        <v>32</v>
      </c>
      <c r="I753" s="65" t="s">
        <v>12</v>
      </c>
      <c r="J753" s="65" t="s">
        <v>5</v>
      </c>
      <c r="K753" s="65" t="s">
        <v>1847</v>
      </c>
      <c r="L753" s="64" t="s">
        <v>67</v>
      </c>
      <c r="M753" s="58" t="s">
        <v>3</v>
      </c>
      <c r="N753" s="58" t="s">
        <v>2</v>
      </c>
      <c r="O753" s="58">
        <v>30</v>
      </c>
      <c r="P753" s="58">
        <v>0</v>
      </c>
      <c r="Q753" s="58">
        <v>0</v>
      </c>
      <c r="R753" s="58">
        <v>0</v>
      </c>
      <c r="S753" s="58">
        <v>0</v>
      </c>
      <c r="T753" s="58">
        <v>30</v>
      </c>
      <c r="U753" s="58">
        <v>53</v>
      </c>
      <c r="V753" s="62">
        <v>1494</v>
      </c>
      <c r="W753" s="62">
        <v>25</v>
      </c>
      <c r="X753" s="63">
        <f>IFERROR(1 -(Master[[#This Row],[Avg Garment Scans per Delivery]]/Master[[#This Row],[Garment Inventory]]), 0)</f>
        <v>0.98326639892904955</v>
      </c>
      <c r="Y753" s="62">
        <v>135</v>
      </c>
      <c r="Z753" s="62">
        <v>1456</v>
      </c>
      <c r="AA753" s="53">
        <v>334.50083333333328</v>
      </c>
      <c r="AB753" s="53">
        <v>783.36916666666662</v>
      </c>
      <c r="AC753" s="53">
        <v>444.92455621301769</v>
      </c>
      <c r="AD753" s="53">
        <v>515.26775147928981</v>
      </c>
      <c r="AE753" s="53" t="str">
        <f>_xlfn.XLOOKUP(Master[[#This Row],[cu_id]],'[1]Customer Revenue'!$Q:$Q,'[1]Customer Revenue'!$K:$K, "None")</f>
        <v>None</v>
      </c>
      <c r="AF753" s="53" t="str">
        <f>_xlfn.XLOOKUP(Master[[#This Row],[cu_id]],'[1]Customer Revenue'!$Q:$Q,'[1]Customer Revenue'!$L:$L, "None")</f>
        <v>None</v>
      </c>
      <c r="AG753" s="53">
        <v>357.24284023668633</v>
      </c>
      <c r="AH753" s="53">
        <v>723.21408284023687</v>
      </c>
      <c r="AI753" s="53">
        <v>558.93499999999995</v>
      </c>
      <c r="AJ753" s="53">
        <v>480.09615384615375</v>
      </c>
      <c r="AK753" s="53" t="str">
        <f>_xlfn.XLOOKUP(Master[[#This Row],[cu_id]],'[1]Customer Revenue'!$Q:$Q,'[1]Customer Revenue'!$I:$I, "None")</f>
        <v>None</v>
      </c>
      <c r="AL753" s="53">
        <v>540.2284615384616</v>
      </c>
      <c r="AM753" s="61" t="s">
        <v>36</v>
      </c>
      <c r="AN753" s="60" t="s">
        <v>36</v>
      </c>
      <c r="AO753" s="60" t="s">
        <v>36</v>
      </c>
      <c r="AP753" s="60" t="s">
        <v>36</v>
      </c>
      <c r="AQ753" s="58" t="s">
        <v>308</v>
      </c>
      <c r="AR753" s="58"/>
      <c r="AS753" s="58"/>
      <c r="AT753" s="52">
        <v>0</v>
      </c>
      <c r="AU753" s="52" t="e">
        <f>IF(Master[[#This Row],[RSP StopTime override]] &lt;&gt; "",Master[[#This Row],[RSP StopTime override]],IF(Master[[#This Row],[Avg stop time helper]] &lt;&gt; 0, Master[[#This Row],[Avg stop time helper]],Average_Stop_Time))</f>
        <v>#DIV/0!</v>
      </c>
      <c r="AV753" s="21"/>
      <c r="AW753" s="20">
        <f>Master[[#This Row],[RSP StopTime override]]-Master[[#This Row],[Avg stop time helper]]</f>
        <v>0</v>
      </c>
    </row>
    <row r="754" spans="1:49" x14ac:dyDescent="0.3">
      <c r="A754" s="66" t="s">
        <v>4792</v>
      </c>
      <c r="B754" s="58">
        <v>51</v>
      </c>
      <c r="C754" s="58" t="s">
        <v>15</v>
      </c>
      <c r="D754" s="65">
        <v>99061</v>
      </c>
      <c r="E754" s="65" t="s">
        <v>2043</v>
      </c>
      <c r="F754" s="65" t="s">
        <v>2042</v>
      </c>
      <c r="G754" s="65" t="s">
        <v>1982</v>
      </c>
      <c r="H754" s="65" t="s">
        <v>32</v>
      </c>
      <c r="I754" s="65" t="s">
        <v>12</v>
      </c>
      <c r="J754" s="65" t="s">
        <v>5</v>
      </c>
      <c r="K754" s="65" t="s">
        <v>1847</v>
      </c>
      <c r="L754" s="64" t="s">
        <v>67</v>
      </c>
      <c r="M754" s="58" t="s">
        <v>3</v>
      </c>
      <c r="N754" s="58" t="s">
        <v>2</v>
      </c>
      <c r="O754" s="58">
        <v>35</v>
      </c>
      <c r="P754" s="58">
        <v>0</v>
      </c>
      <c r="Q754" s="58">
        <v>0</v>
      </c>
      <c r="R754" s="58">
        <v>0</v>
      </c>
      <c r="S754" s="58">
        <v>0</v>
      </c>
      <c r="T754" s="58">
        <v>35</v>
      </c>
      <c r="U754" s="58">
        <v>52</v>
      </c>
      <c r="V754" s="62">
        <v>196</v>
      </c>
      <c r="W754" s="62">
        <v>57</v>
      </c>
      <c r="X754" s="63">
        <f>IFERROR(1 -(Master[[#This Row],[Avg Garment Scans per Delivery]]/Master[[#This Row],[Garment Inventory]]), 0)</f>
        <v>0.70918367346938771</v>
      </c>
      <c r="Y754" s="62">
        <v>6</v>
      </c>
      <c r="Z754" s="62">
        <v>174</v>
      </c>
      <c r="AA754" s="53">
        <v>15.287514792899458</v>
      </c>
      <c r="AB754" s="53">
        <v>336.17248520710058</v>
      </c>
      <c r="AC754" s="53">
        <v>90.786982248520701</v>
      </c>
      <c r="AD754" s="53">
        <v>153.33917159763314</v>
      </c>
      <c r="AE754" s="53" t="str">
        <f>_xlfn.XLOOKUP(Master[[#This Row],[cu_id]],'[1]Customer Revenue'!$Q:$Q,'[1]Customer Revenue'!$K:$K, "None")</f>
        <v>None</v>
      </c>
      <c r="AF754" s="53" t="str">
        <f>_xlfn.XLOOKUP(Master[[#This Row],[cu_id]],'[1]Customer Revenue'!$Q:$Q,'[1]Customer Revenue'!$L:$L, "None")</f>
        <v>None</v>
      </c>
      <c r="AG754" s="53">
        <v>42.228405085997622</v>
      </c>
      <c r="AH754" s="53">
        <v>276.98621029861778</v>
      </c>
      <c r="AI754" s="53">
        <v>175.73000000000002</v>
      </c>
      <c r="AJ754" s="53">
        <v>122.06307692307692</v>
      </c>
      <c r="AK754" s="53" t="str">
        <f>_xlfn.XLOOKUP(Master[[#This Row],[cu_id]],'[1]Customer Revenue'!$Q:$Q,'[1]Customer Revenue'!$I:$I, "None")</f>
        <v>None</v>
      </c>
      <c r="AL754" s="53">
        <v>159.6073076923077</v>
      </c>
      <c r="AM754" s="61" t="s">
        <v>36</v>
      </c>
      <c r="AN754" s="60" t="s">
        <v>36</v>
      </c>
      <c r="AO754" s="60" t="s">
        <v>36</v>
      </c>
      <c r="AP754" s="60" t="s">
        <v>36</v>
      </c>
      <c r="AQ754" s="58" t="s">
        <v>308</v>
      </c>
      <c r="AR754" s="58"/>
      <c r="AS754" s="58"/>
      <c r="AT754" s="52">
        <v>0</v>
      </c>
      <c r="AU754" s="52" t="e">
        <f>IF(Master[[#This Row],[RSP StopTime override]] &lt;&gt; "",Master[[#This Row],[RSP StopTime override]],IF(Master[[#This Row],[Avg stop time helper]] &lt;&gt; 0, Master[[#This Row],[Avg stop time helper]],Average_Stop_Time))</f>
        <v>#DIV/0!</v>
      </c>
      <c r="AV754" s="21"/>
      <c r="AW754" s="20">
        <f>Master[[#This Row],[RSP StopTime override]]-Master[[#This Row],[Avg stop time helper]]</f>
        <v>0</v>
      </c>
    </row>
    <row r="755" spans="1:49" x14ac:dyDescent="0.3">
      <c r="A755" s="66" t="s">
        <v>4793</v>
      </c>
      <c r="B755" s="58">
        <v>51</v>
      </c>
      <c r="C755" s="58" t="s">
        <v>43</v>
      </c>
      <c r="D755" s="65">
        <v>531928</v>
      </c>
      <c r="E755" s="65" t="s">
        <v>42</v>
      </c>
      <c r="F755" s="65" t="s">
        <v>2041</v>
      </c>
      <c r="G755" s="65" t="s">
        <v>2040</v>
      </c>
      <c r="H755" s="65" t="s">
        <v>7</v>
      </c>
      <c r="I755" s="65" t="s">
        <v>1880</v>
      </c>
      <c r="J755" s="65" t="s">
        <v>5</v>
      </c>
      <c r="K755" s="65" t="s">
        <v>1879</v>
      </c>
      <c r="L755" s="64" t="s">
        <v>67</v>
      </c>
      <c r="M755" s="58" t="s">
        <v>3</v>
      </c>
      <c r="N755" s="58" t="s">
        <v>2</v>
      </c>
      <c r="O755" s="58">
        <v>100</v>
      </c>
      <c r="P755" s="58">
        <v>0</v>
      </c>
      <c r="Q755" s="58">
        <v>0</v>
      </c>
      <c r="R755" s="58">
        <v>0</v>
      </c>
      <c r="S755" s="58">
        <v>100</v>
      </c>
      <c r="T755" s="58">
        <v>0</v>
      </c>
      <c r="U755" s="58">
        <v>51</v>
      </c>
      <c r="V755" s="62"/>
      <c r="W755" s="62"/>
      <c r="X755" s="63">
        <f>IFERROR(1 -(Master[[#This Row],[Avg Garment Scans per Delivery]]/Master[[#This Row],[Garment Inventory]]), 0)</f>
        <v>0</v>
      </c>
      <c r="Y755" s="62"/>
      <c r="Z755" s="62"/>
      <c r="AA755" s="53">
        <v>35</v>
      </c>
      <c r="AB755" s="53">
        <v>35</v>
      </c>
      <c r="AC755" s="53">
        <v>34.948520710059171</v>
      </c>
      <c r="AD755" s="53">
        <v>35.497633136094663</v>
      </c>
      <c r="AE755" s="53" t="str">
        <f>_xlfn.XLOOKUP(Master[[#This Row],[cu_id]],'[1]Customer Revenue'!$Q:$Q,'[1]Customer Revenue'!$K:$K, "None")</f>
        <v>None</v>
      </c>
      <c r="AF755" s="53" t="str">
        <f>_xlfn.XLOOKUP(Master[[#This Row],[cu_id]],'[1]Customer Revenue'!$Q:$Q,'[1]Customer Revenue'!$L:$L, "None")</f>
        <v>None</v>
      </c>
      <c r="AG755" s="53">
        <v>32.411242603550292</v>
      </c>
      <c r="AH755" s="53">
        <v>37.588757396449708</v>
      </c>
      <c r="AI755" s="53">
        <v>35</v>
      </c>
      <c r="AJ755" s="53">
        <v>35.223076923076917</v>
      </c>
      <c r="AK755" s="53" t="str">
        <f>_xlfn.XLOOKUP(Master[[#This Row],[cu_id]],'[1]Customer Revenue'!$Q:$Q,'[1]Customer Revenue'!$I:$I, "None")</f>
        <v>None</v>
      </c>
      <c r="AL755" s="53">
        <v>35</v>
      </c>
      <c r="AM755" s="61">
        <v>0.41666666666666669</v>
      </c>
      <c r="AN755" s="60">
        <v>0.70833333333333337</v>
      </c>
      <c r="AO755" s="60" t="s">
        <v>36</v>
      </c>
      <c r="AP755" s="60" t="s">
        <v>36</v>
      </c>
      <c r="AQ755" s="58" t="s">
        <v>0</v>
      </c>
      <c r="AR755" s="58"/>
      <c r="AS755" s="58"/>
      <c r="AT755" s="52">
        <v>0</v>
      </c>
      <c r="AU755" s="52" t="e">
        <f>IF(Master[[#This Row],[RSP StopTime override]] &lt;&gt; "",Master[[#This Row],[RSP StopTime override]],IF(Master[[#This Row],[Avg stop time helper]] &lt;&gt; 0, Master[[#This Row],[Avg stop time helper]],Average_Stop_Time))</f>
        <v>#DIV/0!</v>
      </c>
      <c r="AV755" s="21"/>
      <c r="AW755" s="20">
        <f>Master[[#This Row],[RSP StopTime override]]-Master[[#This Row],[Avg stop time helper]]</f>
        <v>0</v>
      </c>
    </row>
    <row r="756" spans="1:49" x14ac:dyDescent="0.3">
      <c r="A756" s="66" t="s">
        <v>4794</v>
      </c>
      <c r="B756" s="58">
        <v>51</v>
      </c>
      <c r="C756" s="58" t="s">
        <v>43</v>
      </c>
      <c r="D756" s="65">
        <v>531934</v>
      </c>
      <c r="E756" s="65" t="s">
        <v>42</v>
      </c>
      <c r="F756" s="65" t="s">
        <v>2039</v>
      </c>
      <c r="G756" s="65" t="s">
        <v>2038</v>
      </c>
      <c r="H756" s="65" t="s">
        <v>7</v>
      </c>
      <c r="I756" s="65" t="s">
        <v>1936</v>
      </c>
      <c r="J756" s="65" t="s">
        <v>5</v>
      </c>
      <c r="K756" s="65" t="s">
        <v>1935</v>
      </c>
      <c r="L756" s="64" t="s">
        <v>67</v>
      </c>
      <c r="M756" s="58" t="s">
        <v>3</v>
      </c>
      <c r="N756" s="58" t="s">
        <v>2</v>
      </c>
      <c r="O756" s="58">
        <v>85</v>
      </c>
      <c r="P756" s="58">
        <v>0</v>
      </c>
      <c r="Q756" s="58">
        <v>0</v>
      </c>
      <c r="R756" s="58">
        <v>0</v>
      </c>
      <c r="S756" s="58">
        <v>85</v>
      </c>
      <c r="T756" s="58">
        <v>0</v>
      </c>
      <c r="U756" s="58">
        <v>53</v>
      </c>
      <c r="V756" s="62">
        <v>270</v>
      </c>
      <c r="W756" s="62">
        <v>81</v>
      </c>
      <c r="X756" s="63">
        <f>IFERROR(1 -(Master[[#This Row],[Avg Garment Scans per Delivery]]/Master[[#This Row],[Garment Inventory]]), 0)</f>
        <v>0.7</v>
      </c>
      <c r="Y756" s="62">
        <v>10</v>
      </c>
      <c r="Z756" s="62">
        <v>253</v>
      </c>
      <c r="AA756" s="53">
        <v>330.87035502958582</v>
      </c>
      <c r="AB756" s="53">
        <v>348.73118343195262</v>
      </c>
      <c r="AC756" s="53">
        <v>339.37538461538463</v>
      </c>
      <c r="AD756" s="53">
        <v>350.38461538461536</v>
      </c>
      <c r="AE756" s="53" t="str">
        <f>_xlfn.XLOOKUP(Master[[#This Row],[cu_id]],'[1]Customer Revenue'!$Q:$Q,'[1]Customer Revenue'!$K:$K, "None")</f>
        <v>None</v>
      </c>
      <c r="AF756" s="53" t="str">
        <f>_xlfn.XLOOKUP(Master[[#This Row],[cu_id]],'[1]Customer Revenue'!$Q:$Q,'[1]Customer Revenue'!$L:$L, "None")</f>
        <v>None</v>
      </c>
      <c r="AG756" s="53">
        <v>326.32538461538473</v>
      </c>
      <c r="AH756" s="53">
        <v>340.20076923076937</v>
      </c>
      <c r="AI756" s="53">
        <v>339.80076923076922</v>
      </c>
      <c r="AJ756" s="53">
        <v>344.88</v>
      </c>
      <c r="AK756" s="53" t="str">
        <f>_xlfn.XLOOKUP(Master[[#This Row],[cu_id]],'[1]Customer Revenue'!$Q:$Q,'[1]Customer Revenue'!$I:$I, "None")</f>
        <v>None</v>
      </c>
      <c r="AL756" s="53">
        <v>333.26307692307705</v>
      </c>
      <c r="AM756" s="61">
        <v>0.25</v>
      </c>
      <c r="AN756" s="60">
        <v>0.91666666666666663</v>
      </c>
      <c r="AO756" s="60" t="s">
        <v>36</v>
      </c>
      <c r="AP756" s="60" t="s">
        <v>36</v>
      </c>
      <c r="AQ756" s="58" t="s">
        <v>308</v>
      </c>
      <c r="AR756" s="58"/>
      <c r="AS756" s="58"/>
      <c r="AT756" s="52">
        <v>0</v>
      </c>
      <c r="AU756" s="52" t="e">
        <f>IF(Master[[#This Row],[RSP StopTime override]] &lt;&gt; "",Master[[#This Row],[RSP StopTime override]],IF(Master[[#This Row],[Avg stop time helper]] &lt;&gt; 0, Master[[#This Row],[Avg stop time helper]],Average_Stop_Time))</f>
        <v>#DIV/0!</v>
      </c>
      <c r="AV756" s="21"/>
      <c r="AW756" s="20">
        <f>Master[[#This Row],[RSP StopTime override]]-Master[[#This Row],[Avg stop time helper]]</f>
        <v>0</v>
      </c>
    </row>
    <row r="757" spans="1:49" x14ac:dyDescent="0.3">
      <c r="A757" s="66" t="s">
        <v>4795</v>
      </c>
      <c r="B757" s="58">
        <v>51</v>
      </c>
      <c r="C757" s="58" t="s">
        <v>10</v>
      </c>
      <c r="D757" s="65">
        <v>99033</v>
      </c>
      <c r="E757" s="65" t="s">
        <v>2037</v>
      </c>
      <c r="F757" s="65" t="s">
        <v>2036</v>
      </c>
      <c r="G757" s="65" t="s">
        <v>2035</v>
      </c>
      <c r="H757" s="65" t="s">
        <v>32</v>
      </c>
      <c r="I757" s="65" t="s">
        <v>46</v>
      </c>
      <c r="J757" s="65" t="s">
        <v>5</v>
      </c>
      <c r="K757" s="65" t="s">
        <v>2034</v>
      </c>
      <c r="L757" s="64" t="s">
        <v>124</v>
      </c>
      <c r="M757" s="58" t="s">
        <v>123</v>
      </c>
      <c r="N757" s="58" t="s">
        <v>2</v>
      </c>
      <c r="O757" s="58">
        <v>85</v>
      </c>
      <c r="P757" s="58">
        <v>0</v>
      </c>
      <c r="Q757" s="58">
        <v>0</v>
      </c>
      <c r="R757" s="58">
        <v>85</v>
      </c>
      <c r="S757" s="58">
        <v>0</v>
      </c>
      <c r="T757" s="58">
        <v>0</v>
      </c>
      <c r="U757" s="58">
        <v>15</v>
      </c>
      <c r="V757" s="62"/>
      <c r="W757" s="62"/>
      <c r="X757" s="63">
        <f>IFERROR(1 -(Master[[#This Row],[Avg Garment Scans per Delivery]]/Master[[#This Row],[Garment Inventory]]), 0)</f>
        <v>0</v>
      </c>
      <c r="Y757" s="62"/>
      <c r="Z757" s="62"/>
      <c r="AA757" s="53">
        <v>69.06</v>
      </c>
      <c r="AB757" s="53">
        <v>125.82499999999999</v>
      </c>
      <c r="AC757" s="53">
        <v>66.437777777777796</v>
      </c>
      <c r="AD757" s="53">
        <v>149.01555555555555</v>
      </c>
      <c r="AE757" s="53" t="str">
        <f>_xlfn.XLOOKUP(Master[[#This Row],[cu_id]],'[1]Customer Revenue'!$Q:$Q,'[1]Customer Revenue'!$K:$K, "None")</f>
        <v>None</v>
      </c>
      <c r="AF757" s="53" t="str">
        <f>_xlfn.XLOOKUP(Master[[#This Row],[cu_id]],'[1]Customer Revenue'!$Q:$Q,'[1]Customer Revenue'!$L:$L, "None")</f>
        <v>None</v>
      </c>
      <c r="AG757" s="53">
        <v>71.578163265306131</v>
      </c>
      <c r="AH757" s="53">
        <v>111.03040816326529</v>
      </c>
      <c r="AI757" s="53">
        <v>97.442499999999995</v>
      </c>
      <c r="AJ757" s="53">
        <v>107.72666666666667</v>
      </c>
      <c r="AK757" s="53" t="str">
        <f>_xlfn.XLOOKUP(Master[[#This Row],[cu_id]],'[1]Customer Revenue'!$Q:$Q,'[1]Customer Revenue'!$I:$I, "None")</f>
        <v>None</v>
      </c>
      <c r="AL757" s="53">
        <v>91.304285714285712</v>
      </c>
      <c r="AM757" s="61">
        <v>0.33333333333333331</v>
      </c>
      <c r="AN757" s="60">
        <v>0.70833333333333337</v>
      </c>
      <c r="AO757" s="60" t="s">
        <v>36</v>
      </c>
      <c r="AP757" s="60" t="s">
        <v>36</v>
      </c>
      <c r="AQ757" s="58" t="s">
        <v>0</v>
      </c>
      <c r="AR757" s="58"/>
      <c r="AS757" s="58"/>
      <c r="AT757" s="52">
        <v>0</v>
      </c>
      <c r="AU757" s="52" t="e">
        <f>IF(Master[[#This Row],[RSP StopTime override]] &lt;&gt; "",Master[[#This Row],[RSP StopTime override]],IF(Master[[#This Row],[Avg stop time helper]] &lt;&gt; 0, Master[[#This Row],[Avg stop time helper]],Average_Stop_Time))</f>
        <v>#DIV/0!</v>
      </c>
      <c r="AV757" s="21"/>
      <c r="AW757" s="20">
        <f>Master[[#This Row],[RSP StopTime override]]-Master[[#This Row],[Avg stop time helper]]</f>
        <v>0</v>
      </c>
    </row>
    <row r="758" spans="1:49" x14ac:dyDescent="0.3">
      <c r="A758" s="66" t="s">
        <v>4796</v>
      </c>
      <c r="B758" s="58">
        <v>51</v>
      </c>
      <c r="C758" s="58" t="s">
        <v>15</v>
      </c>
      <c r="D758" s="65">
        <v>532109</v>
      </c>
      <c r="E758" s="65" t="s">
        <v>42</v>
      </c>
      <c r="F758" s="65" t="s">
        <v>2033</v>
      </c>
      <c r="G758" s="65" t="s">
        <v>2032</v>
      </c>
      <c r="H758" s="65" t="s">
        <v>7</v>
      </c>
      <c r="I758" s="65" t="s">
        <v>12</v>
      </c>
      <c r="J758" s="65" t="s">
        <v>5</v>
      </c>
      <c r="K758" s="65" t="s">
        <v>2031</v>
      </c>
      <c r="L758" s="64" t="s">
        <v>67</v>
      </c>
      <c r="M758" s="58" t="s">
        <v>3</v>
      </c>
      <c r="N758" s="58" t="s">
        <v>2</v>
      </c>
      <c r="O758" s="58">
        <v>152</v>
      </c>
      <c r="P758" s="58">
        <v>0</v>
      </c>
      <c r="Q758" s="58">
        <v>0</v>
      </c>
      <c r="R758" s="58">
        <v>0</v>
      </c>
      <c r="S758" s="58">
        <v>0</v>
      </c>
      <c r="T758" s="58">
        <v>152</v>
      </c>
      <c r="U758" s="58">
        <v>50</v>
      </c>
      <c r="V758" s="62"/>
      <c r="W758" s="62"/>
      <c r="X758" s="63">
        <f>IFERROR(1 -(Master[[#This Row],[Avg Garment Scans per Delivery]]/Master[[#This Row],[Garment Inventory]]), 0)</f>
        <v>0</v>
      </c>
      <c r="Y758" s="62"/>
      <c r="Z758" s="62"/>
      <c r="AA758" s="53">
        <v>39.351249999999993</v>
      </c>
      <c r="AB758" s="53">
        <v>42.673749999999998</v>
      </c>
      <c r="AC758" s="53">
        <v>34.990595238095246</v>
      </c>
      <c r="AD758" s="53">
        <v>59.987738095238093</v>
      </c>
      <c r="AE758" s="53" t="str">
        <f>_xlfn.XLOOKUP(Master[[#This Row],[cu_id]],'[1]Customer Revenue'!$Q:$Q,'[1]Customer Revenue'!$K:$K, "None")</f>
        <v>None</v>
      </c>
      <c r="AF758" s="53" t="str">
        <f>_xlfn.XLOOKUP(Master[[#This Row],[cu_id]],'[1]Customer Revenue'!$Q:$Q,'[1]Customer Revenue'!$L:$L, "None")</f>
        <v>None</v>
      </c>
      <c r="AG758" s="53">
        <v>36.753757849293571</v>
      </c>
      <c r="AH758" s="53">
        <v>49.059319073783364</v>
      </c>
      <c r="AI758" s="53">
        <v>41.012499999999996</v>
      </c>
      <c r="AJ758" s="53">
        <v>47.489166666666669</v>
      </c>
      <c r="AK758" s="53" t="str">
        <f>_xlfn.XLOOKUP(Master[[#This Row],[cu_id]],'[1]Customer Revenue'!$Q:$Q,'[1]Customer Revenue'!$I:$I, "None")</f>
        <v>None</v>
      </c>
      <c r="AL758" s="53">
        <v>42.906538461538467</v>
      </c>
      <c r="AM758" s="61">
        <v>0.33333333333333331</v>
      </c>
      <c r="AN758" s="60">
        <v>0.79166666666666663</v>
      </c>
      <c r="AO758" s="60" t="s">
        <v>36</v>
      </c>
      <c r="AP758" s="60" t="s">
        <v>36</v>
      </c>
      <c r="AQ758" s="58" t="s">
        <v>0</v>
      </c>
      <c r="AR758" s="58"/>
      <c r="AS758" s="58"/>
      <c r="AT758" s="52">
        <v>0</v>
      </c>
      <c r="AU758" s="52" t="e">
        <f>IF(Master[[#This Row],[RSP StopTime override]] &lt;&gt; "",Master[[#This Row],[RSP StopTime override]],IF(Master[[#This Row],[Avg stop time helper]] &lt;&gt; 0, Master[[#This Row],[Avg stop time helper]],Average_Stop_Time))</f>
        <v>#DIV/0!</v>
      </c>
      <c r="AV758" s="21"/>
      <c r="AW758" s="20">
        <f>Master[[#This Row],[RSP StopTime override]]-Master[[#This Row],[Avg stop time helper]]</f>
        <v>0</v>
      </c>
    </row>
    <row r="759" spans="1:49" x14ac:dyDescent="0.3">
      <c r="A759" s="66" t="s">
        <v>4797</v>
      </c>
      <c r="B759" s="58">
        <v>51</v>
      </c>
      <c r="C759" s="58" t="s">
        <v>10</v>
      </c>
      <c r="D759" s="65">
        <v>532113</v>
      </c>
      <c r="E759" s="65" t="s">
        <v>42</v>
      </c>
      <c r="F759" s="65" t="s">
        <v>2030</v>
      </c>
      <c r="G759" s="65" t="s">
        <v>2029</v>
      </c>
      <c r="H759" s="65" t="s">
        <v>7</v>
      </c>
      <c r="I759" s="65" t="s">
        <v>12</v>
      </c>
      <c r="J759" s="65" t="s">
        <v>5</v>
      </c>
      <c r="K759" s="65" t="s">
        <v>20</v>
      </c>
      <c r="L759" s="64" t="s">
        <v>91</v>
      </c>
      <c r="M759" s="58" t="s">
        <v>90</v>
      </c>
      <c r="N759" s="58" t="s">
        <v>2</v>
      </c>
      <c r="O759" s="58">
        <v>120</v>
      </c>
      <c r="P759" s="58">
        <v>0</v>
      </c>
      <c r="Q759" s="58">
        <v>0</v>
      </c>
      <c r="R759" s="58">
        <v>120</v>
      </c>
      <c r="S759" s="58">
        <v>0</v>
      </c>
      <c r="T759" s="58">
        <v>0</v>
      </c>
      <c r="U759" s="58">
        <v>27</v>
      </c>
      <c r="V759" s="62"/>
      <c r="W759" s="62"/>
      <c r="X759" s="63">
        <f>IFERROR(1 -(Master[[#This Row],[Avg Garment Scans per Delivery]]/Master[[#This Row],[Garment Inventory]]), 0)</f>
        <v>0</v>
      </c>
      <c r="Y759" s="62"/>
      <c r="Z759" s="62"/>
      <c r="AA759" s="53">
        <v>23.881428571428572</v>
      </c>
      <c r="AB759" s="53">
        <v>45.778571428571425</v>
      </c>
      <c r="AC759" s="53">
        <v>24.150000000000006</v>
      </c>
      <c r="AD759" s="53">
        <v>28.430000000000007</v>
      </c>
      <c r="AE759" s="53" t="str">
        <f>_xlfn.XLOOKUP(Master[[#This Row],[cu_id]],'[1]Customer Revenue'!$Q:$Q,'[1]Customer Revenue'!$K:$K, "None")</f>
        <v>None</v>
      </c>
      <c r="AF759" s="53" t="str">
        <f>_xlfn.XLOOKUP(Master[[#This Row],[cu_id]],'[1]Customer Revenue'!$Q:$Q,'[1]Customer Revenue'!$L:$L, "None")</f>
        <v>None</v>
      </c>
      <c r="AG759" s="53">
        <v>22.73023668639053</v>
      </c>
      <c r="AH759" s="53">
        <v>37.117455621301772</v>
      </c>
      <c r="AI759" s="53">
        <v>34.83</v>
      </c>
      <c r="AJ759" s="53">
        <v>26.290000000000006</v>
      </c>
      <c r="AK759" s="53" t="str">
        <f>_xlfn.XLOOKUP(Master[[#This Row],[cu_id]],'[1]Customer Revenue'!$Q:$Q,'[1]Customer Revenue'!$I:$I, "None")</f>
        <v>None</v>
      </c>
      <c r="AL759" s="53">
        <v>29.923846153846153</v>
      </c>
      <c r="AM759" s="61">
        <v>0.25</v>
      </c>
      <c r="AN759" s="60">
        <v>0.5625</v>
      </c>
      <c r="AO759" s="60" t="s">
        <v>36</v>
      </c>
      <c r="AP759" s="60" t="s">
        <v>36</v>
      </c>
      <c r="AQ759" s="58" t="s">
        <v>0</v>
      </c>
      <c r="AR759" s="58"/>
      <c r="AS759" s="58"/>
      <c r="AT759" s="52">
        <v>0</v>
      </c>
      <c r="AU759" s="52" t="e">
        <f>IF(Master[[#This Row],[RSP StopTime override]] &lt;&gt; "",Master[[#This Row],[RSP StopTime override]],IF(Master[[#This Row],[Avg stop time helper]] &lt;&gt; 0, Master[[#This Row],[Avg stop time helper]],Average_Stop_Time))</f>
        <v>#DIV/0!</v>
      </c>
      <c r="AV759" s="21"/>
      <c r="AW759" s="20">
        <f>Master[[#This Row],[RSP StopTime override]]-Master[[#This Row],[Avg stop time helper]]</f>
        <v>0</v>
      </c>
    </row>
    <row r="760" spans="1:49" x14ac:dyDescent="0.3">
      <c r="A760" s="66" t="s">
        <v>4798</v>
      </c>
      <c r="B760" s="58">
        <v>51</v>
      </c>
      <c r="C760" s="58" t="s">
        <v>24</v>
      </c>
      <c r="D760" s="65">
        <v>499014</v>
      </c>
      <c r="E760" s="65" t="s">
        <v>1634</v>
      </c>
      <c r="F760" s="65" t="s">
        <v>1149</v>
      </c>
      <c r="G760" s="65" t="s">
        <v>2028</v>
      </c>
      <c r="H760" s="65" t="s">
        <v>32</v>
      </c>
      <c r="I760" s="65" t="s">
        <v>12</v>
      </c>
      <c r="J760" s="65" t="s">
        <v>5</v>
      </c>
      <c r="K760" s="65" t="s">
        <v>20</v>
      </c>
      <c r="L760" s="64" t="s">
        <v>77</v>
      </c>
      <c r="M760" s="58" t="s">
        <v>29</v>
      </c>
      <c r="N760" s="58" t="s">
        <v>2</v>
      </c>
      <c r="O760" s="58">
        <v>90</v>
      </c>
      <c r="P760" s="58">
        <v>90</v>
      </c>
      <c r="Q760" s="58">
        <v>0</v>
      </c>
      <c r="R760" s="58">
        <v>0</v>
      </c>
      <c r="S760" s="58">
        <v>0</v>
      </c>
      <c r="T760" s="58">
        <v>0</v>
      </c>
      <c r="U760" s="58">
        <v>37</v>
      </c>
      <c r="V760" s="62"/>
      <c r="W760" s="62"/>
      <c r="X760" s="63">
        <f>IFERROR(1 -(Master[[#This Row],[Avg Garment Scans per Delivery]]/Master[[#This Row],[Garment Inventory]]), 0)</f>
        <v>0</v>
      </c>
      <c r="Y760" s="62"/>
      <c r="Z760" s="62"/>
      <c r="AA760" s="53">
        <v>45.648888888888891</v>
      </c>
      <c r="AB760" s="53">
        <v>84.104444444444439</v>
      </c>
      <c r="AC760" s="53">
        <v>12.994081632653078</v>
      </c>
      <c r="AD760" s="53">
        <v>252.61448979591836</v>
      </c>
      <c r="AE760" s="53" t="str">
        <f>_xlfn.XLOOKUP(Master[[#This Row],[cu_id]],'[1]Customer Revenue'!$Q:$Q,'[1]Customer Revenue'!$K:$K, "None")</f>
        <v>None</v>
      </c>
      <c r="AF760" s="53" t="str">
        <f>_xlfn.XLOOKUP(Master[[#This Row],[cu_id]],'[1]Customer Revenue'!$Q:$Q,'[1]Customer Revenue'!$L:$L, "None")</f>
        <v>None</v>
      </c>
      <c r="AG760" s="53">
        <v>46.178742857142865</v>
      </c>
      <c r="AH760" s="53">
        <v>79.255542857142842</v>
      </c>
      <c r="AI760" s="53">
        <v>64.876666666666665</v>
      </c>
      <c r="AJ760" s="53">
        <v>132.80428571428573</v>
      </c>
      <c r="AK760" s="53" t="str">
        <f>_xlfn.XLOOKUP(Master[[#This Row],[cu_id]],'[1]Customer Revenue'!$Q:$Q,'[1]Customer Revenue'!$I:$I, "None")</f>
        <v>None</v>
      </c>
      <c r="AL760" s="53">
        <v>62.717142857142854</v>
      </c>
      <c r="AM760" s="61">
        <v>0.375</v>
      </c>
      <c r="AN760" s="60">
        <v>0.75</v>
      </c>
      <c r="AO760" s="60" t="s">
        <v>36</v>
      </c>
      <c r="AP760" s="60" t="s">
        <v>36</v>
      </c>
      <c r="AQ760" s="58" t="s">
        <v>0</v>
      </c>
      <c r="AR760" s="58"/>
      <c r="AS760" s="58"/>
      <c r="AT760" s="52">
        <v>0</v>
      </c>
      <c r="AU760" s="52" t="e">
        <f>IF(Master[[#This Row],[RSP StopTime override]] &lt;&gt; "",Master[[#This Row],[RSP StopTime override]],IF(Master[[#This Row],[Avg stop time helper]] &lt;&gt; 0, Master[[#This Row],[Avg stop time helper]],Average_Stop_Time))</f>
        <v>#DIV/0!</v>
      </c>
      <c r="AV760" s="21"/>
      <c r="AW760" s="20">
        <f>Master[[#This Row],[RSP StopTime override]]-Master[[#This Row],[Avg stop time helper]]</f>
        <v>0</v>
      </c>
    </row>
    <row r="761" spans="1:49" x14ac:dyDescent="0.3">
      <c r="A761" s="66" t="s">
        <v>4799</v>
      </c>
      <c r="B761" s="58">
        <v>51</v>
      </c>
      <c r="C761" s="58" t="s">
        <v>35</v>
      </c>
      <c r="D761" s="65">
        <v>532156</v>
      </c>
      <c r="E761" s="65" t="s">
        <v>42</v>
      </c>
      <c r="F761" s="65" t="s">
        <v>2027</v>
      </c>
      <c r="G761" s="65" t="s">
        <v>2026</v>
      </c>
      <c r="H761" s="65" t="s">
        <v>7</v>
      </c>
      <c r="I761" s="65" t="s">
        <v>12</v>
      </c>
      <c r="J761" s="65" t="s">
        <v>5</v>
      </c>
      <c r="K761" s="65" t="s">
        <v>30</v>
      </c>
      <c r="L761" s="64" t="s">
        <v>91</v>
      </c>
      <c r="M761" s="58" t="s">
        <v>90</v>
      </c>
      <c r="N761" s="58" t="s">
        <v>2</v>
      </c>
      <c r="O761" s="58">
        <v>500</v>
      </c>
      <c r="P761" s="58">
        <v>0</v>
      </c>
      <c r="Q761" s="58">
        <v>500</v>
      </c>
      <c r="R761" s="58">
        <v>0</v>
      </c>
      <c r="S761" s="58">
        <v>0</v>
      </c>
      <c r="T761" s="58">
        <v>0</v>
      </c>
      <c r="U761" s="58">
        <v>26</v>
      </c>
      <c r="V761" s="62"/>
      <c r="W761" s="62"/>
      <c r="X761" s="63">
        <f>IFERROR(1 -(Master[[#This Row],[Avg Garment Scans per Delivery]]/Master[[#This Row],[Garment Inventory]]), 0)</f>
        <v>0</v>
      </c>
      <c r="Y761" s="62"/>
      <c r="Z761" s="62"/>
      <c r="AA761" s="53">
        <v>220.89693877551019</v>
      </c>
      <c r="AB761" s="53">
        <v>233.49448979591835</v>
      </c>
      <c r="AC761" s="53">
        <v>226.47000000000003</v>
      </c>
      <c r="AD761" s="53">
        <v>234.53000000000003</v>
      </c>
      <c r="AE761" s="53" t="str">
        <f>_xlfn.XLOOKUP(Master[[#This Row],[cu_id]],'[1]Customer Revenue'!$Q:$Q,'[1]Customer Revenue'!$K:$K, "None")</f>
        <v>None</v>
      </c>
      <c r="AF761" s="53" t="str">
        <f>_xlfn.XLOOKUP(Master[[#This Row],[cu_id]],'[1]Customer Revenue'!$Q:$Q,'[1]Customer Revenue'!$L:$L, "None")</f>
        <v>None</v>
      </c>
      <c r="AG761" s="53">
        <v>187.47554160125583</v>
      </c>
      <c r="AH761" s="53">
        <v>262.8967660910518</v>
      </c>
      <c r="AI761" s="53">
        <v>227.19571428571427</v>
      </c>
      <c r="AJ761" s="53">
        <v>230.50000000000003</v>
      </c>
      <c r="AK761" s="53" t="str">
        <f>_xlfn.XLOOKUP(Master[[#This Row],[cu_id]],'[1]Customer Revenue'!$Q:$Q,'[1]Customer Revenue'!$I:$I, "None")</f>
        <v>None</v>
      </c>
      <c r="AL761" s="53">
        <v>225.18615384615381</v>
      </c>
      <c r="AM761" s="61">
        <v>0.29166666666666669</v>
      </c>
      <c r="AN761" s="60">
        <v>0.66666666666666663</v>
      </c>
      <c r="AO761" s="60" t="s">
        <v>36</v>
      </c>
      <c r="AP761" s="60" t="s">
        <v>36</v>
      </c>
      <c r="AQ761" s="58" t="s">
        <v>0</v>
      </c>
      <c r="AR761" s="58"/>
      <c r="AS761" s="58"/>
      <c r="AT761" s="52">
        <v>0</v>
      </c>
      <c r="AU761" s="52" t="e">
        <f>IF(Master[[#This Row],[RSP StopTime override]] &lt;&gt; "",Master[[#This Row],[RSP StopTime override]],IF(Master[[#This Row],[Avg stop time helper]] &lt;&gt; 0, Master[[#This Row],[Avg stop time helper]],Average_Stop_Time))</f>
        <v>#DIV/0!</v>
      </c>
      <c r="AV761" s="21"/>
      <c r="AW761" s="20">
        <f>Master[[#This Row],[RSP StopTime override]]-Master[[#This Row],[Avg stop time helper]]</f>
        <v>0</v>
      </c>
    </row>
    <row r="762" spans="1:49" x14ac:dyDescent="0.3">
      <c r="A762" s="66" t="s">
        <v>4800</v>
      </c>
      <c r="B762" s="58">
        <v>51</v>
      </c>
      <c r="C762" s="58" t="s">
        <v>43</v>
      </c>
      <c r="D762" s="65">
        <v>532189</v>
      </c>
      <c r="E762" s="65" t="s">
        <v>42</v>
      </c>
      <c r="F762" s="65" t="s">
        <v>2025</v>
      </c>
      <c r="G762" s="65" t="s">
        <v>1865</v>
      </c>
      <c r="H762" s="65" t="s">
        <v>7</v>
      </c>
      <c r="I762" s="65" t="s">
        <v>1844</v>
      </c>
      <c r="J762" s="65" t="s">
        <v>5</v>
      </c>
      <c r="K762" s="65" t="s">
        <v>1843</v>
      </c>
      <c r="L762" s="64" t="s">
        <v>67</v>
      </c>
      <c r="M762" s="58" t="s">
        <v>3</v>
      </c>
      <c r="N762" s="58" t="s">
        <v>2</v>
      </c>
      <c r="O762" s="58">
        <v>7</v>
      </c>
      <c r="P762" s="58">
        <v>0</v>
      </c>
      <c r="Q762" s="58">
        <v>0</v>
      </c>
      <c r="R762" s="58">
        <v>0</v>
      </c>
      <c r="S762" s="58">
        <v>7</v>
      </c>
      <c r="T762" s="58">
        <v>0</v>
      </c>
      <c r="U762" s="58">
        <v>56</v>
      </c>
      <c r="V762" s="62"/>
      <c r="W762" s="62"/>
      <c r="X762" s="63">
        <f>IFERROR(1 -(Master[[#This Row],[Avg Garment Scans per Delivery]]/Master[[#This Row],[Garment Inventory]]), 0)</f>
        <v>0</v>
      </c>
      <c r="Y762" s="62"/>
      <c r="Z762" s="62"/>
      <c r="AA762" s="53">
        <v>248.18380177514803</v>
      </c>
      <c r="AB762" s="53">
        <v>330.34119822485206</v>
      </c>
      <c r="AC762" s="53">
        <v>302.21976331360946</v>
      </c>
      <c r="AD762" s="53">
        <v>453.10639053254437</v>
      </c>
      <c r="AE762" s="53" t="str">
        <f>_xlfn.XLOOKUP(Master[[#This Row],[cu_id]],'[1]Customer Revenue'!$Q:$Q,'[1]Customer Revenue'!$K:$K, "None")</f>
        <v>None</v>
      </c>
      <c r="AF762" s="53" t="str">
        <f>_xlfn.XLOOKUP(Master[[#This Row],[cu_id]],'[1]Customer Revenue'!$Q:$Q,'[1]Customer Revenue'!$L:$L, "None")</f>
        <v>None</v>
      </c>
      <c r="AG762" s="53">
        <v>266.58310532544374</v>
      </c>
      <c r="AH762" s="53">
        <v>340.1752946745562</v>
      </c>
      <c r="AI762" s="53">
        <v>289.26250000000005</v>
      </c>
      <c r="AJ762" s="53">
        <v>377.66307692307691</v>
      </c>
      <c r="AK762" s="53" t="str">
        <f>_xlfn.XLOOKUP(Master[[#This Row],[cu_id]],'[1]Customer Revenue'!$Q:$Q,'[1]Customer Revenue'!$I:$I, "None")</f>
        <v>None</v>
      </c>
      <c r="AL762" s="53">
        <v>303.37919999999997</v>
      </c>
      <c r="AM762" s="61">
        <v>0.29166666666666669</v>
      </c>
      <c r="AN762" s="60">
        <v>0.83333333333333337</v>
      </c>
      <c r="AO762" s="60" t="s">
        <v>36</v>
      </c>
      <c r="AP762" s="60" t="s">
        <v>36</v>
      </c>
      <c r="AQ762" s="58" t="s">
        <v>0</v>
      </c>
      <c r="AR762" s="58"/>
      <c r="AS762" s="58"/>
      <c r="AT762" s="52">
        <v>0</v>
      </c>
      <c r="AU762" s="52" t="e">
        <f>IF(Master[[#This Row],[RSP StopTime override]] &lt;&gt; "",Master[[#This Row],[RSP StopTime override]],IF(Master[[#This Row],[Avg stop time helper]] &lt;&gt; 0, Master[[#This Row],[Avg stop time helper]],Average_Stop_Time))</f>
        <v>#DIV/0!</v>
      </c>
      <c r="AV762" s="21"/>
      <c r="AW762" s="20">
        <f>Master[[#This Row],[RSP StopTime override]]-Master[[#This Row],[Avg stop time helper]]</f>
        <v>0</v>
      </c>
    </row>
    <row r="763" spans="1:49" x14ac:dyDescent="0.3">
      <c r="A763" s="66" t="s">
        <v>4801</v>
      </c>
      <c r="B763" s="58">
        <v>51</v>
      </c>
      <c r="C763" s="58" t="s">
        <v>10</v>
      </c>
      <c r="D763" s="65">
        <v>99045</v>
      </c>
      <c r="E763" s="65" t="s">
        <v>1169</v>
      </c>
      <c r="F763" s="65" t="s">
        <v>1464</v>
      </c>
      <c r="G763" s="65" t="s">
        <v>2024</v>
      </c>
      <c r="H763" s="65" t="s">
        <v>7</v>
      </c>
      <c r="I763" s="65" t="s">
        <v>12</v>
      </c>
      <c r="J763" s="65" t="s">
        <v>5</v>
      </c>
      <c r="K763" s="65" t="s">
        <v>20</v>
      </c>
      <c r="L763" s="64" t="s">
        <v>77</v>
      </c>
      <c r="M763" s="58" t="s">
        <v>29</v>
      </c>
      <c r="N763" s="58" t="s">
        <v>2</v>
      </c>
      <c r="O763" s="58">
        <v>125</v>
      </c>
      <c r="P763" s="58">
        <v>0</v>
      </c>
      <c r="Q763" s="58">
        <v>0</v>
      </c>
      <c r="R763" s="58">
        <v>125</v>
      </c>
      <c r="S763" s="58">
        <v>0</v>
      </c>
      <c r="T763" s="58">
        <v>0</v>
      </c>
      <c r="U763" s="58">
        <v>26</v>
      </c>
      <c r="V763" s="62"/>
      <c r="W763" s="62"/>
      <c r="X763" s="63">
        <f>IFERROR(1 -(Master[[#This Row],[Avg Garment Scans per Delivery]]/Master[[#This Row],[Garment Inventory]]), 0)</f>
        <v>0</v>
      </c>
      <c r="Y763" s="62"/>
      <c r="Z763" s="62"/>
      <c r="AA763" s="53">
        <v>36.54</v>
      </c>
      <c r="AB763" s="53">
        <v>37.79</v>
      </c>
      <c r="AC763" s="53">
        <v>17.10612244897959</v>
      </c>
      <c r="AD763" s="53">
        <v>40.459591836734695</v>
      </c>
      <c r="AE763" s="53" t="str">
        <f>_xlfn.XLOOKUP(Master[[#This Row],[cu_id]],'[1]Customer Revenue'!$Q:$Q,'[1]Customer Revenue'!$K:$K, "None")</f>
        <v>None</v>
      </c>
      <c r="AF763" s="53" t="str">
        <f>_xlfn.XLOOKUP(Master[[#This Row],[cu_id]],'[1]Customer Revenue'!$Q:$Q,'[1]Customer Revenue'!$L:$L, "None")</f>
        <v>None</v>
      </c>
      <c r="AG763" s="53">
        <v>36.643550295857992</v>
      </c>
      <c r="AH763" s="53">
        <v>37.282603550295875</v>
      </c>
      <c r="AI763" s="53">
        <v>37.164999999999999</v>
      </c>
      <c r="AJ763" s="53">
        <v>28.782857142857143</v>
      </c>
      <c r="AK763" s="53" t="str">
        <f>_xlfn.XLOOKUP(Master[[#This Row],[cu_id]],'[1]Customer Revenue'!$Q:$Q,'[1]Customer Revenue'!$I:$I, "None")</f>
        <v>None</v>
      </c>
      <c r="AL763" s="53">
        <v>36.963076923076933</v>
      </c>
      <c r="AM763" s="61">
        <v>0.375</v>
      </c>
      <c r="AN763" s="60">
        <v>0.70833333333333337</v>
      </c>
      <c r="AO763" s="60" t="s">
        <v>36</v>
      </c>
      <c r="AP763" s="60" t="s">
        <v>36</v>
      </c>
      <c r="AQ763" s="58" t="s">
        <v>0</v>
      </c>
      <c r="AR763" s="58"/>
      <c r="AS763" s="58"/>
      <c r="AT763" s="52">
        <v>0</v>
      </c>
      <c r="AU763" s="52" t="e">
        <f>IF(Master[[#This Row],[RSP StopTime override]] &lt;&gt; "",Master[[#This Row],[RSP StopTime override]],IF(Master[[#This Row],[Avg stop time helper]] &lt;&gt; 0, Master[[#This Row],[Avg stop time helper]],Average_Stop_Time))</f>
        <v>#DIV/0!</v>
      </c>
      <c r="AV763" s="21"/>
      <c r="AW763" s="20">
        <f>Master[[#This Row],[RSP StopTime override]]-Master[[#This Row],[Avg stop time helper]]</f>
        <v>0</v>
      </c>
    </row>
    <row r="764" spans="1:49" x14ac:dyDescent="0.3">
      <c r="A764" s="66" t="s">
        <v>4802</v>
      </c>
      <c r="B764" s="58">
        <v>51</v>
      </c>
      <c r="C764" s="58" t="s">
        <v>43</v>
      </c>
      <c r="D764" s="65">
        <v>532314</v>
      </c>
      <c r="E764" s="65" t="s">
        <v>42</v>
      </c>
      <c r="F764" s="65" t="s">
        <v>2023</v>
      </c>
      <c r="G764" s="65" t="s">
        <v>2022</v>
      </c>
      <c r="H764" s="65" t="s">
        <v>7</v>
      </c>
      <c r="I764" s="65" t="s">
        <v>1844</v>
      </c>
      <c r="J764" s="65" t="s">
        <v>5</v>
      </c>
      <c r="K764" s="65" t="s">
        <v>1843</v>
      </c>
      <c r="L764" s="64" t="s">
        <v>141</v>
      </c>
      <c r="M764" s="58" t="s">
        <v>140</v>
      </c>
      <c r="N764" s="58" t="s">
        <v>2</v>
      </c>
      <c r="O764" s="58">
        <v>68</v>
      </c>
      <c r="P764" s="58">
        <v>0</v>
      </c>
      <c r="Q764" s="58">
        <v>0</v>
      </c>
      <c r="R764" s="58">
        <v>0</v>
      </c>
      <c r="S764" s="58">
        <v>68</v>
      </c>
      <c r="T764" s="58">
        <v>0</v>
      </c>
      <c r="U764" s="58">
        <v>13</v>
      </c>
      <c r="V764" s="62"/>
      <c r="W764" s="62"/>
      <c r="X764" s="63">
        <f>IFERROR(1 -(Master[[#This Row],[Avg Garment Scans per Delivery]]/Master[[#This Row],[Garment Inventory]]), 0)</f>
        <v>0</v>
      </c>
      <c r="Y764" s="62"/>
      <c r="Z764" s="62"/>
      <c r="AA764" s="53">
        <v>61.471249999999998</v>
      </c>
      <c r="AB764" s="53">
        <v>65.543749999999989</v>
      </c>
      <c r="AC764" s="53">
        <v>61.912222222222219</v>
      </c>
      <c r="AD764" s="53">
        <v>63.814444444444455</v>
      </c>
      <c r="AE764" s="53" t="str">
        <f>_xlfn.XLOOKUP(Master[[#This Row],[cu_id]],'[1]Customer Revenue'!$Q:$Q,'[1]Customer Revenue'!$K:$K, "None")</f>
        <v>None</v>
      </c>
      <c r="AF764" s="53" t="str">
        <f>_xlfn.XLOOKUP(Master[[#This Row],[cu_id]],'[1]Customer Revenue'!$Q:$Q,'[1]Customer Revenue'!$L:$L, "None")</f>
        <v>None</v>
      </c>
      <c r="AG764" s="53">
        <v>61.595918367346933</v>
      </c>
      <c r="AH764" s="53">
        <v>64.255510204081617</v>
      </c>
      <c r="AI764" s="53">
        <v>63.507499999999993</v>
      </c>
      <c r="AJ764" s="53">
        <v>62.863333333333337</v>
      </c>
      <c r="AK764" s="53" t="str">
        <f>_xlfn.XLOOKUP(Master[[#This Row],[cu_id]],'[1]Customer Revenue'!$Q:$Q,'[1]Customer Revenue'!$I:$I, "None")</f>
        <v>None</v>
      </c>
      <c r="AL764" s="53">
        <v>62.925714285714278</v>
      </c>
      <c r="AM764" s="61">
        <v>0.33333333333333331</v>
      </c>
      <c r="AN764" s="60">
        <v>0.83333333333333337</v>
      </c>
      <c r="AO764" s="60" t="s">
        <v>36</v>
      </c>
      <c r="AP764" s="60" t="s">
        <v>36</v>
      </c>
      <c r="AQ764" s="58" t="s">
        <v>0</v>
      </c>
      <c r="AR764" s="58"/>
      <c r="AS764" s="58"/>
      <c r="AT764" s="52">
        <v>0</v>
      </c>
      <c r="AU764" s="52" t="e">
        <f>IF(Master[[#This Row],[RSP StopTime override]] &lt;&gt; "",Master[[#This Row],[RSP StopTime override]],IF(Master[[#This Row],[Avg stop time helper]] &lt;&gt; 0, Master[[#This Row],[Avg stop time helper]],Average_Stop_Time))</f>
        <v>#DIV/0!</v>
      </c>
      <c r="AV764" s="21"/>
      <c r="AW764" s="20">
        <f>Master[[#This Row],[RSP StopTime override]]-Master[[#This Row],[Avg stop time helper]]</f>
        <v>0</v>
      </c>
    </row>
    <row r="765" spans="1:49" x14ac:dyDescent="0.3">
      <c r="A765" s="66" t="s">
        <v>4803</v>
      </c>
      <c r="B765" s="58">
        <v>51</v>
      </c>
      <c r="C765" s="58" t="s">
        <v>43</v>
      </c>
      <c r="D765" s="65">
        <v>532328</v>
      </c>
      <c r="E765" s="65" t="s">
        <v>42</v>
      </c>
      <c r="F765" s="65" t="s">
        <v>2021</v>
      </c>
      <c r="G765" s="65" t="s">
        <v>2020</v>
      </c>
      <c r="H765" s="65" t="s">
        <v>7</v>
      </c>
      <c r="I765" s="65" t="s">
        <v>1844</v>
      </c>
      <c r="J765" s="65" t="s">
        <v>5</v>
      </c>
      <c r="K765" s="65" t="s">
        <v>1843</v>
      </c>
      <c r="L765" s="64" t="s">
        <v>67</v>
      </c>
      <c r="M765" s="58" t="s">
        <v>3</v>
      </c>
      <c r="N765" s="58" t="s">
        <v>2</v>
      </c>
      <c r="O765" s="58">
        <v>25</v>
      </c>
      <c r="P765" s="58">
        <v>0</v>
      </c>
      <c r="Q765" s="58">
        <v>0</v>
      </c>
      <c r="R765" s="58">
        <v>0</v>
      </c>
      <c r="S765" s="58">
        <v>25</v>
      </c>
      <c r="T765" s="58">
        <v>0</v>
      </c>
      <c r="U765" s="58">
        <v>53</v>
      </c>
      <c r="V765" s="62">
        <v>52</v>
      </c>
      <c r="W765" s="62">
        <v>11</v>
      </c>
      <c r="X765" s="63">
        <f>IFERROR(1 -(Master[[#This Row],[Avg Garment Scans per Delivery]]/Master[[#This Row],[Garment Inventory]]), 0)</f>
        <v>0.78846153846153844</v>
      </c>
      <c r="Y765" s="62">
        <v>2</v>
      </c>
      <c r="Z765" s="62">
        <v>53</v>
      </c>
      <c r="AA765" s="53">
        <v>69.460414201183426</v>
      </c>
      <c r="AB765" s="53">
        <v>71.058047337278111</v>
      </c>
      <c r="AC765" s="53">
        <v>77.432603550295852</v>
      </c>
      <c r="AD765" s="53">
        <v>78.984319526627218</v>
      </c>
      <c r="AE765" s="53" t="str">
        <f>_xlfn.XLOOKUP(Master[[#This Row],[cu_id]],'[1]Customer Revenue'!$Q:$Q,'[1]Customer Revenue'!$K:$K, "None")</f>
        <v>None</v>
      </c>
      <c r="AF765" s="53" t="str">
        <f>_xlfn.XLOOKUP(Master[[#This Row],[cu_id]],'[1]Customer Revenue'!$Q:$Q,'[1]Customer Revenue'!$L:$L, "None")</f>
        <v>None</v>
      </c>
      <c r="AG765" s="53">
        <v>69.540295857988156</v>
      </c>
      <c r="AH765" s="53">
        <v>70.458934911242608</v>
      </c>
      <c r="AI765" s="53">
        <v>70.259230769230768</v>
      </c>
      <c r="AJ765" s="53">
        <v>78.208461538461535</v>
      </c>
      <c r="AK765" s="53" t="str">
        <f>_xlfn.XLOOKUP(Master[[#This Row],[cu_id]],'[1]Customer Revenue'!$Q:$Q,'[1]Customer Revenue'!$I:$I, "None")</f>
        <v>None</v>
      </c>
      <c r="AL765" s="53">
        <v>69.999615384615382</v>
      </c>
      <c r="AM765" s="61">
        <v>0.29166666666666669</v>
      </c>
      <c r="AN765" s="60">
        <v>0.70833333333333337</v>
      </c>
      <c r="AO765" s="60" t="s">
        <v>36</v>
      </c>
      <c r="AP765" s="60" t="s">
        <v>36</v>
      </c>
      <c r="AQ765" s="58" t="s">
        <v>0</v>
      </c>
      <c r="AR765" s="58"/>
      <c r="AS765" s="58"/>
      <c r="AT765" s="52">
        <v>0</v>
      </c>
      <c r="AU765" s="52" t="e">
        <f>IF(Master[[#This Row],[RSP StopTime override]] &lt;&gt; "",Master[[#This Row],[RSP StopTime override]],IF(Master[[#This Row],[Avg stop time helper]] &lt;&gt; 0, Master[[#This Row],[Avg stop time helper]],Average_Stop_Time))</f>
        <v>#DIV/0!</v>
      </c>
      <c r="AV765" s="21"/>
      <c r="AW765" s="20">
        <f>Master[[#This Row],[RSP StopTime override]]-Master[[#This Row],[Avg stop time helper]]</f>
        <v>0</v>
      </c>
    </row>
    <row r="766" spans="1:49" x14ac:dyDescent="0.3">
      <c r="A766" s="66" t="s">
        <v>4804</v>
      </c>
      <c r="B766" s="58">
        <v>51</v>
      </c>
      <c r="C766" s="58" t="s">
        <v>15</v>
      </c>
      <c r="D766" s="65">
        <v>99088</v>
      </c>
      <c r="E766" s="65" t="s">
        <v>1455</v>
      </c>
      <c r="F766" s="65" t="s">
        <v>2019</v>
      </c>
      <c r="G766" s="65" t="s">
        <v>2018</v>
      </c>
      <c r="H766" s="65" t="s">
        <v>7</v>
      </c>
      <c r="I766" s="65" t="s">
        <v>1955</v>
      </c>
      <c r="J766" s="65" t="s">
        <v>5</v>
      </c>
      <c r="K766" s="65" t="s">
        <v>1954</v>
      </c>
      <c r="L766" s="64" t="s">
        <v>67</v>
      </c>
      <c r="M766" s="58" t="s">
        <v>3</v>
      </c>
      <c r="N766" s="58" t="s">
        <v>2</v>
      </c>
      <c r="O766" s="58">
        <v>153</v>
      </c>
      <c r="P766" s="58">
        <v>0</v>
      </c>
      <c r="Q766" s="58">
        <v>0</v>
      </c>
      <c r="R766" s="58">
        <v>0</v>
      </c>
      <c r="S766" s="58">
        <v>0</v>
      </c>
      <c r="T766" s="58">
        <v>153</v>
      </c>
      <c r="U766" s="58">
        <v>52</v>
      </c>
      <c r="V766" s="62">
        <v>428</v>
      </c>
      <c r="W766" s="62">
        <v>63</v>
      </c>
      <c r="X766" s="63">
        <f>IFERROR(1 -(Master[[#This Row],[Avg Garment Scans per Delivery]]/Master[[#This Row],[Garment Inventory]]), 0)</f>
        <v>0.85280373831775702</v>
      </c>
      <c r="Y766" s="62">
        <v>19</v>
      </c>
      <c r="Z766" s="62">
        <v>443</v>
      </c>
      <c r="AA766" s="53">
        <v>182.48305555555558</v>
      </c>
      <c r="AB766" s="53">
        <v>205.64027777777781</v>
      </c>
      <c r="AC766" s="53">
        <v>158.29417582417588</v>
      </c>
      <c r="AD766" s="53">
        <v>207.62274725274725</v>
      </c>
      <c r="AE766" s="53" t="str">
        <f>_xlfn.XLOOKUP(Master[[#This Row],[cu_id]],'[1]Customer Revenue'!$Q:$Q,'[1]Customer Revenue'!$K:$K, "None")</f>
        <v>None</v>
      </c>
      <c r="AF766" s="53" t="str">
        <f>_xlfn.XLOOKUP(Master[[#This Row],[cu_id]],'[1]Customer Revenue'!$Q:$Q,'[1]Customer Revenue'!$L:$L, "None")</f>
        <v>None</v>
      </c>
      <c r="AG766" s="53">
        <v>171.31318681318683</v>
      </c>
      <c r="AH766" s="53">
        <v>226.73604395604397</v>
      </c>
      <c r="AI766" s="53">
        <v>194.0616666666667</v>
      </c>
      <c r="AJ766" s="53">
        <v>182.95846153846156</v>
      </c>
      <c r="AK766" s="53" t="str">
        <f>_xlfn.XLOOKUP(Master[[#This Row],[cu_id]],'[1]Customer Revenue'!$Q:$Q,'[1]Customer Revenue'!$I:$I, "None")</f>
        <v>None</v>
      </c>
      <c r="AL766" s="53">
        <v>199.0246153846154</v>
      </c>
      <c r="AM766" s="61">
        <v>0.25</v>
      </c>
      <c r="AN766" s="60">
        <v>0.70833333333333337</v>
      </c>
      <c r="AO766" s="60" t="s">
        <v>36</v>
      </c>
      <c r="AP766" s="60" t="s">
        <v>36</v>
      </c>
      <c r="AQ766" s="58" t="s">
        <v>0</v>
      </c>
      <c r="AR766" s="58"/>
      <c r="AS766" s="58"/>
      <c r="AT766" s="52">
        <v>0</v>
      </c>
      <c r="AU766" s="52" t="e">
        <f>IF(Master[[#This Row],[RSP StopTime override]] &lt;&gt; "",Master[[#This Row],[RSP StopTime override]],IF(Master[[#This Row],[Avg stop time helper]] &lt;&gt; 0, Master[[#This Row],[Avg stop time helper]],Average_Stop_Time))</f>
        <v>#DIV/0!</v>
      </c>
      <c r="AV766" s="21"/>
      <c r="AW766" s="20">
        <f>Master[[#This Row],[RSP StopTime override]]-Master[[#This Row],[Avg stop time helper]]</f>
        <v>0</v>
      </c>
    </row>
    <row r="767" spans="1:49" x14ac:dyDescent="0.3">
      <c r="A767" s="66" t="s">
        <v>4805</v>
      </c>
      <c r="B767" s="58">
        <v>51</v>
      </c>
      <c r="C767" s="58" t="s">
        <v>43</v>
      </c>
      <c r="D767" s="65">
        <v>99088</v>
      </c>
      <c r="E767" s="65" t="s">
        <v>64</v>
      </c>
      <c r="F767" s="65" t="s">
        <v>2017</v>
      </c>
      <c r="G767" s="65" t="s">
        <v>2016</v>
      </c>
      <c r="H767" s="65" t="s">
        <v>7</v>
      </c>
      <c r="I767" s="65" t="s">
        <v>1844</v>
      </c>
      <c r="J767" s="65" t="s">
        <v>5</v>
      </c>
      <c r="K767" s="65" t="s">
        <v>1843</v>
      </c>
      <c r="L767" s="64" t="s">
        <v>67</v>
      </c>
      <c r="M767" s="58" t="s">
        <v>3</v>
      </c>
      <c r="N767" s="58" t="s">
        <v>2</v>
      </c>
      <c r="O767" s="58">
        <v>3</v>
      </c>
      <c r="P767" s="58">
        <v>0</v>
      </c>
      <c r="Q767" s="58">
        <v>0</v>
      </c>
      <c r="R767" s="58">
        <v>0</v>
      </c>
      <c r="S767" s="58">
        <v>3</v>
      </c>
      <c r="T767" s="58">
        <v>0</v>
      </c>
      <c r="U767" s="58">
        <v>54</v>
      </c>
      <c r="V767" s="62">
        <v>159</v>
      </c>
      <c r="W767" s="62">
        <v>13</v>
      </c>
      <c r="X767" s="63">
        <f>IFERROR(1 -(Master[[#This Row],[Avg Garment Scans per Delivery]]/Master[[#This Row],[Garment Inventory]]), 0)</f>
        <v>0.91823899371069184</v>
      </c>
      <c r="Y767" s="62">
        <v>7</v>
      </c>
      <c r="Z767" s="62">
        <v>148</v>
      </c>
      <c r="AA767" s="53">
        <v>56.939408284023678</v>
      </c>
      <c r="AB767" s="53">
        <v>63.971360946745584</v>
      </c>
      <c r="AC767" s="53">
        <v>47.233491124260354</v>
      </c>
      <c r="AD767" s="53">
        <v>63.849585798816577</v>
      </c>
      <c r="AE767" s="53" t="str">
        <f>_xlfn.XLOOKUP(Master[[#This Row],[cu_id]],'[1]Customer Revenue'!$Q:$Q,'[1]Customer Revenue'!$K:$K, "None")</f>
        <v>None</v>
      </c>
      <c r="AF767" s="53" t="str">
        <f>_xlfn.XLOOKUP(Master[[#This Row],[cu_id]],'[1]Customer Revenue'!$Q:$Q,'[1]Customer Revenue'!$L:$L, "None")</f>
        <v>None</v>
      </c>
      <c r="AG767" s="53">
        <v>60.342958579881653</v>
      </c>
      <c r="AH767" s="53">
        <v>75.853964497041417</v>
      </c>
      <c r="AI767" s="53">
        <v>60.455384615384631</v>
      </c>
      <c r="AJ767" s="53">
        <v>55.541538461538465</v>
      </c>
      <c r="AK767" s="53" t="str">
        <f>_xlfn.XLOOKUP(Master[[#This Row],[cu_id]],'[1]Customer Revenue'!$Q:$Q,'[1]Customer Revenue'!$I:$I, "None")</f>
        <v>None</v>
      </c>
      <c r="AL767" s="53">
        <v>68.098461538461535</v>
      </c>
      <c r="AM767" s="61">
        <v>0.27083333333333331</v>
      </c>
      <c r="AN767" s="60">
        <v>0.66666666666666663</v>
      </c>
      <c r="AO767" s="60" t="s">
        <v>36</v>
      </c>
      <c r="AP767" s="60" t="s">
        <v>36</v>
      </c>
      <c r="AQ767" s="58" t="s">
        <v>0</v>
      </c>
      <c r="AR767" s="58"/>
      <c r="AS767" s="58"/>
      <c r="AT767" s="52">
        <v>0</v>
      </c>
      <c r="AU767" s="52" t="e">
        <f>IF(Master[[#This Row],[RSP StopTime override]] &lt;&gt; "",Master[[#This Row],[RSP StopTime override]],IF(Master[[#This Row],[Avg stop time helper]] &lt;&gt; 0, Master[[#This Row],[Avg stop time helper]],Average_Stop_Time))</f>
        <v>#DIV/0!</v>
      </c>
      <c r="AV767" s="21"/>
      <c r="AW767" s="20">
        <f>Master[[#This Row],[RSP StopTime override]]-Master[[#This Row],[Avg stop time helper]]</f>
        <v>0</v>
      </c>
    </row>
    <row r="768" spans="1:49" x14ac:dyDescent="0.3">
      <c r="A768" s="66" t="s">
        <v>4806</v>
      </c>
      <c r="B768" s="58">
        <v>51</v>
      </c>
      <c r="C768" s="58" t="s">
        <v>24</v>
      </c>
      <c r="D768" s="65">
        <v>532571</v>
      </c>
      <c r="E768" s="65" t="s">
        <v>42</v>
      </c>
      <c r="F768" s="65" t="s">
        <v>2015</v>
      </c>
      <c r="G768" s="65" t="s">
        <v>2014</v>
      </c>
      <c r="H768" s="65" t="s">
        <v>536</v>
      </c>
      <c r="I768" s="65" t="s">
        <v>12</v>
      </c>
      <c r="J768" s="65" t="s">
        <v>5</v>
      </c>
      <c r="K768" s="65" t="s">
        <v>20</v>
      </c>
      <c r="L768" s="64" t="s">
        <v>67</v>
      </c>
      <c r="M768" s="58" t="s">
        <v>3</v>
      </c>
      <c r="N768" s="58" t="s">
        <v>2</v>
      </c>
      <c r="O768" s="58">
        <v>55</v>
      </c>
      <c r="P768" s="58">
        <v>55</v>
      </c>
      <c r="Q768" s="58">
        <v>0</v>
      </c>
      <c r="R768" s="58">
        <v>0</v>
      </c>
      <c r="S768" s="58">
        <v>0</v>
      </c>
      <c r="T768" s="58">
        <v>0</v>
      </c>
      <c r="U768" s="58">
        <v>59</v>
      </c>
      <c r="V768" s="62"/>
      <c r="W768" s="62"/>
      <c r="X768" s="63">
        <f>IFERROR(1 -(Master[[#This Row],[Avg Garment Scans per Delivery]]/Master[[#This Row],[Garment Inventory]]), 0)</f>
        <v>0</v>
      </c>
      <c r="Y768" s="62"/>
      <c r="Z768" s="62"/>
      <c r="AA768" s="53">
        <v>775.74863905325446</v>
      </c>
      <c r="AB768" s="53">
        <v>912.81751479289937</v>
      </c>
      <c r="AC768" s="53">
        <v>792.73798816568046</v>
      </c>
      <c r="AD768" s="53">
        <v>945.25585798816564</v>
      </c>
      <c r="AE768" s="53" t="str">
        <f>_xlfn.XLOOKUP(Master[[#This Row],[cu_id]],'[1]Customer Revenue'!$Q:$Q,'[1]Customer Revenue'!$K:$K, "None")</f>
        <v>None</v>
      </c>
      <c r="AF768" s="53" t="str">
        <f>_xlfn.XLOOKUP(Master[[#This Row],[cu_id]],'[1]Customer Revenue'!$Q:$Q,'[1]Customer Revenue'!$L:$L, "None")</f>
        <v>None</v>
      </c>
      <c r="AG768" s="53">
        <v>758.62272189349119</v>
      </c>
      <c r="AH768" s="53">
        <v>916.48497041420205</v>
      </c>
      <c r="AI768" s="53">
        <v>844.28307692307692</v>
      </c>
      <c r="AJ768" s="53">
        <v>868.99692307692305</v>
      </c>
      <c r="AK768" s="53" t="str">
        <f>_xlfn.XLOOKUP(Master[[#This Row],[cu_id]],'[1]Customer Revenue'!$Q:$Q,'[1]Customer Revenue'!$I:$I, "None")</f>
        <v>None</v>
      </c>
      <c r="AL768" s="53">
        <v>837.55384615384662</v>
      </c>
      <c r="AM768" s="61">
        <v>0.3125</v>
      </c>
      <c r="AN768" s="60">
        <v>0.6875</v>
      </c>
      <c r="AO768" s="60" t="s">
        <v>36</v>
      </c>
      <c r="AP768" s="60" t="s">
        <v>36</v>
      </c>
      <c r="AQ768" s="58" t="s">
        <v>0</v>
      </c>
      <c r="AR768" s="58"/>
      <c r="AS768" s="58"/>
      <c r="AT768" s="52">
        <v>0</v>
      </c>
      <c r="AU768" s="52" t="e">
        <f>IF(Master[[#This Row],[RSP StopTime override]] &lt;&gt; "",Master[[#This Row],[RSP StopTime override]],IF(Master[[#This Row],[Avg stop time helper]] &lt;&gt; 0, Master[[#This Row],[Avg stop time helper]],Average_Stop_Time))</f>
        <v>#DIV/0!</v>
      </c>
      <c r="AV768" s="21"/>
      <c r="AW768" s="20">
        <f>Master[[#This Row],[RSP StopTime override]]-Master[[#This Row],[Avg stop time helper]]</f>
        <v>0</v>
      </c>
    </row>
    <row r="769" spans="1:49" x14ac:dyDescent="0.3">
      <c r="A769" s="66" t="s">
        <v>4807</v>
      </c>
      <c r="B769" s="58">
        <v>51</v>
      </c>
      <c r="C769" s="58" t="s">
        <v>10</v>
      </c>
      <c r="D769" s="65">
        <v>532579</v>
      </c>
      <c r="E769" s="65" t="s">
        <v>42</v>
      </c>
      <c r="F769" s="65" t="s">
        <v>2013</v>
      </c>
      <c r="G769" s="65" t="s">
        <v>2012</v>
      </c>
      <c r="H769" s="65" t="s">
        <v>7</v>
      </c>
      <c r="I769" s="65" t="s">
        <v>12</v>
      </c>
      <c r="J769" s="65" t="s">
        <v>5</v>
      </c>
      <c r="K769" s="65" t="s">
        <v>20</v>
      </c>
      <c r="L769" s="64" t="s">
        <v>67</v>
      </c>
      <c r="M769" s="58" t="s">
        <v>3</v>
      </c>
      <c r="N769" s="58" t="s">
        <v>2</v>
      </c>
      <c r="O769" s="58">
        <v>130</v>
      </c>
      <c r="P769" s="58">
        <v>0</v>
      </c>
      <c r="Q769" s="58">
        <v>0</v>
      </c>
      <c r="R769" s="58">
        <v>130</v>
      </c>
      <c r="S769" s="58">
        <v>0</v>
      </c>
      <c r="T769" s="58">
        <v>0</v>
      </c>
      <c r="U769" s="58">
        <v>43</v>
      </c>
      <c r="V769" s="62">
        <v>59</v>
      </c>
      <c r="W769" s="62">
        <v>2</v>
      </c>
      <c r="X769" s="63">
        <f>IFERROR(1 -(Master[[#This Row],[Avg Garment Scans per Delivery]]/Master[[#This Row],[Garment Inventory]]), 0)</f>
        <v>0.96610169491525422</v>
      </c>
      <c r="Y769" s="62">
        <v>3</v>
      </c>
      <c r="Z769" s="62">
        <v>71</v>
      </c>
      <c r="AA769" s="53">
        <v>62.342399999999998</v>
      </c>
      <c r="AB769" s="53">
        <v>66.809599999999989</v>
      </c>
      <c r="AC769" s="53">
        <v>66.843999999999994</v>
      </c>
      <c r="AD769" s="53">
        <v>92.075999999999993</v>
      </c>
      <c r="AE769" s="53" t="str">
        <f>_xlfn.XLOOKUP(Master[[#This Row],[cu_id]],'[1]Customer Revenue'!$Q:$Q,'[1]Customer Revenue'!$K:$K, "None")</f>
        <v>None</v>
      </c>
      <c r="AF769" s="53" t="str">
        <f>_xlfn.XLOOKUP(Master[[#This Row],[cu_id]],'[1]Customer Revenue'!$Q:$Q,'[1]Customer Revenue'!$L:$L, "None")</f>
        <v>None</v>
      </c>
      <c r="AG769" s="53">
        <v>58.115185185185176</v>
      </c>
      <c r="AH769" s="53">
        <v>73.215925925925902</v>
      </c>
      <c r="AI769" s="53">
        <v>64.575999999999993</v>
      </c>
      <c r="AJ769" s="53">
        <v>79.459999999999994</v>
      </c>
      <c r="AK769" s="53" t="str">
        <f>_xlfn.XLOOKUP(Master[[#This Row],[cu_id]],'[1]Customer Revenue'!$Q:$Q,'[1]Customer Revenue'!$I:$I, "None")</f>
        <v>None</v>
      </c>
      <c r="AL769" s="53">
        <v>65.665555555555542</v>
      </c>
      <c r="AM769" s="61">
        <v>0.33333333333333331</v>
      </c>
      <c r="AN769" s="60">
        <v>0.75</v>
      </c>
      <c r="AO769" s="60" t="s">
        <v>36</v>
      </c>
      <c r="AP769" s="60" t="s">
        <v>36</v>
      </c>
      <c r="AQ769" s="58" t="s">
        <v>0</v>
      </c>
      <c r="AR769" s="58"/>
      <c r="AS769" s="58"/>
      <c r="AT769" s="52">
        <v>0</v>
      </c>
      <c r="AU769" s="52" t="e">
        <f>IF(Master[[#This Row],[RSP StopTime override]] &lt;&gt; "",Master[[#This Row],[RSP StopTime override]],IF(Master[[#This Row],[Avg stop time helper]] &lt;&gt; 0, Master[[#This Row],[Avg stop time helper]],Average_Stop_Time))</f>
        <v>#DIV/0!</v>
      </c>
      <c r="AV769" s="21"/>
      <c r="AW769" s="20">
        <f>Master[[#This Row],[RSP StopTime override]]-Master[[#This Row],[Avg stop time helper]]</f>
        <v>0</v>
      </c>
    </row>
    <row r="770" spans="1:49" x14ac:dyDescent="0.3">
      <c r="A770" s="66" t="s">
        <v>4808</v>
      </c>
      <c r="B770" s="58">
        <v>51</v>
      </c>
      <c r="C770" s="58" t="s">
        <v>24</v>
      </c>
      <c r="D770" s="65">
        <v>532586</v>
      </c>
      <c r="E770" s="65" t="s">
        <v>42</v>
      </c>
      <c r="F770" s="65" t="s">
        <v>2011</v>
      </c>
      <c r="G770" s="65" t="s">
        <v>2010</v>
      </c>
      <c r="H770" s="65" t="s">
        <v>7</v>
      </c>
      <c r="I770" s="65" t="s">
        <v>12</v>
      </c>
      <c r="J770" s="65" t="s">
        <v>5</v>
      </c>
      <c r="K770" s="65" t="s">
        <v>20</v>
      </c>
      <c r="L770" s="64" t="s">
        <v>67</v>
      </c>
      <c r="M770" s="58" t="s">
        <v>3</v>
      </c>
      <c r="N770" s="58" t="s">
        <v>2</v>
      </c>
      <c r="O770" s="58">
        <v>175</v>
      </c>
      <c r="P770" s="58">
        <v>175</v>
      </c>
      <c r="Q770" s="58">
        <v>0</v>
      </c>
      <c r="R770" s="58">
        <v>0</v>
      </c>
      <c r="S770" s="58">
        <v>0</v>
      </c>
      <c r="T770" s="58">
        <v>0</v>
      </c>
      <c r="U770" s="58">
        <v>52</v>
      </c>
      <c r="V770" s="62">
        <v>63</v>
      </c>
      <c r="W770" s="62">
        <v>19</v>
      </c>
      <c r="X770" s="63">
        <f>IFERROR(1 -(Master[[#This Row],[Avg Garment Scans per Delivery]]/Master[[#This Row],[Garment Inventory]]), 0)</f>
        <v>0.69841269841269837</v>
      </c>
      <c r="Y770" s="62">
        <v>4</v>
      </c>
      <c r="Z770" s="62">
        <v>69</v>
      </c>
      <c r="AA770" s="53">
        <v>84.279289940828392</v>
      </c>
      <c r="AB770" s="53">
        <v>94.954556213017753</v>
      </c>
      <c r="AC770" s="53">
        <v>88.205976331360944</v>
      </c>
      <c r="AD770" s="53">
        <v>90.250946745562146</v>
      </c>
      <c r="AE770" s="53" t="str">
        <f>_xlfn.XLOOKUP(Master[[#This Row],[cu_id]],'[1]Customer Revenue'!$Q:$Q,'[1]Customer Revenue'!$K:$K, "None")</f>
        <v>None</v>
      </c>
      <c r="AF770" s="53" t="str">
        <f>_xlfn.XLOOKUP(Master[[#This Row],[cu_id]],'[1]Customer Revenue'!$Q:$Q,'[1]Customer Revenue'!$L:$L, "None")</f>
        <v>None</v>
      </c>
      <c r="AG770" s="53">
        <v>88.062899408283997</v>
      </c>
      <c r="AH770" s="53">
        <v>94.794023668639042</v>
      </c>
      <c r="AI770" s="53">
        <v>89.616923076923072</v>
      </c>
      <c r="AJ770" s="53">
        <v>89.228461538461545</v>
      </c>
      <c r="AK770" s="53" t="str">
        <f>_xlfn.XLOOKUP(Master[[#This Row],[cu_id]],'[1]Customer Revenue'!$Q:$Q,'[1]Customer Revenue'!$I:$I, "None")</f>
        <v>None</v>
      </c>
      <c r="AL770" s="53">
        <v>91.428461538461519</v>
      </c>
      <c r="AM770" s="61">
        <v>0.33333333333333331</v>
      </c>
      <c r="AN770" s="60">
        <v>0.72916666666666663</v>
      </c>
      <c r="AO770" s="60" t="s">
        <v>36</v>
      </c>
      <c r="AP770" s="60" t="s">
        <v>36</v>
      </c>
      <c r="AQ770" s="58" t="s">
        <v>0</v>
      </c>
      <c r="AR770" s="58"/>
      <c r="AS770" s="58"/>
      <c r="AT770" s="52">
        <v>0</v>
      </c>
      <c r="AU770" s="52" t="e">
        <f>IF(Master[[#This Row],[RSP StopTime override]] &lt;&gt; "",Master[[#This Row],[RSP StopTime override]],IF(Master[[#This Row],[Avg stop time helper]] &lt;&gt; 0, Master[[#This Row],[Avg stop time helper]],Average_Stop_Time))</f>
        <v>#DIV/0!</v>
      </c>
      <c r="AV770" s="21"/>
      <c r="AW770" s="20">
        <f>Master[[#This Row],[RSP StopTime override]]-Master[[#This Row],[Avg stop time helper]]</f>
        <v>0</v>
      </c>
    </row>
    <row r="771" spans="1:49" x14ac:dyDescent="0.3">
      <c r="A771" s="66" t="s">
        <v>4809</v>
      </c>
      <c r="B771" s="58">
        <v>51</v>
      </c>
      <c r="C771" s="58" t="s">
        <v>10</v>
      </c>
      <c r="D771" s="65">
        <v>532693</v>
      </c>
      <c r="E771" s="65" t="s">
        <v>42</v>
      </c>
      <c r="F771" s="65" t="s">
        <v>3692</v>
      </c>
      <c r="G771" s="65" t="s">
        <v>2009</v>
      </c>
      <c r="H771" s="65" t="s">
        <v>7</v>
      </c>
      <c r="I771" s="65" t="s">
        <v>2008</v>
      </c>
      <c r="J771" s="65" t="s">
        <v>5</v>
      </c>
      <c r="K771" s="65" t="s">
        <v>1578</v>
      </c>
      <c r="L771" s="64" t="s">
        <v>67</v>
      </c>
      <c r="M771" s="58" t="s">
        <v>3</v>
      </c>
      <c r="N771" s="58" t="s">
        <v>2</v>
      </c>
      <c r="O771" s="58">
        <v>119</v>
      </c>
      <c r="P771" s="58">
        <v>0</v>
      </c>
      <c r="Q771" s="58">
        <v>0</v>
      </c>
      <c r="R771" s="58">
        <v>119</v>
      </c>
      <c r="S771" s="58">
        <v>0</v>
      </c>
      <c r="T771" s="58">
        <v>0</v>
      </c>
      <c r="U771" s="58">
        <v>53</v>
      </c>
      <c r="V771" s="62"/>
      <c r="W771" s="62"/>
      <c r="X771" s="63">
        <f>IFERROR(1 -(Master[[#This Row],[Avg Garment Scans per Delivery]]/Master[[#This Row],[Garment Inventory]]), 0)</f>
        <v>0</v>
      </c>
      <c r="Y771" s="62"/>
      <c r="Z771" s="62"/>
      <c r="AA771" s="53">
        <v>73.090887573964508</v>
      </c>
      <c r="AB771" s="53">
        <v>146.72142011834319</v>
      </c>
      <c r="AC771" s="53">
        <v>78.68204081632652</v>
      </c>
      <c r="AD771" s="53">
        <v>89.843673469387738</v>
      </c>
      <c r="AE771" s="53" t="str">
        <f>_xlfn.XLOOKUP(Master[[#This Row],[cu_id]],'[1]Customer Revenue'!$Q:$Q,'[1]Customer Revenue'!$K:$K, "None")</f>
        <v>None</v>
      </c>
      <c r="AF771" s="53" t="str">
        <f>_xlfn.XLOOKUP(Master[[#This Row],[cu_id]],'[1]Customer Revenue'!$Q:$Q,'[1]Customer Revenue'!$L:$L, "None")</f>
        <v>None</v>
      </c>
      <c r="AG771" s="53">
        <v>70.064497041420168</v>
      </c>
      <c r="AH771" s="53">
        <v>138.18011834319532</v>
      </c>
      <c r="AI771" s="53">
        <v>109.90615384615386</v>
      </c>
      <c r="AJ771" s="53">
        <v>84.262857142857129</v>
      </c>
      <c r="AK771" s="53" t="str">
        <f>_xlfn.XLOOKUP(Master[[#This Row],[cu_id]],'[1]Customer Revenue'!$Q:$Q,'[1]Customer Revenue'!$I:$I, "None")</f>
        <v>None</v>
      </c>
      <c r="AL771" s="53">
        <v>104.12230769230774</v>
      </c>
      <c r="AM771" s="61">
        <v>0.375</v>
      </c>
      <c r="AN771" s="60">
        <v>0.79166666666666663</v>
      </c>
      <c r="AO771" s="60" t="s">
        <v>36</v>
      </c>
      <c r="AP771" s="60" t="s">
        <v>36</v>
      </c>
      <c r="AQ771" s="58" t="s">
        <v>0</v>
      </c>
      <c r="AR771" s="58"/>
      <c r="AS771" s="58"/>
      <c r="AT771" s="52">
        <v>0</v>
      </c>
      <c r="AU771" s="52" t="e">
        <f>IF(Master[[#This Row],[RSP StopTime override]] &lt;&gt; "",Master[[#This Row],[RSP StopTime override]],IF(Master[[#This Row],[Avg stop time helper]] &lt;&gt; 0, Master[[#This Row],[Avg stop time helper]],Average_Stop_Time))</f>
        <v>#DIV/0!</v>
      </c>
      <c r="AV771" s="21"/>
      <c r="AW771" s="20">
        <f>Master[[#This Row],[RSP StopTime override]]-Master[[#This Row],[Avg stop time helper]]</f>
        <v>0</v>
      </c>
    </row>
    <row r="772" spans="1:49" x14ac:dyDescent="0.3">
      <c r="A772" s="66" t="s">
        <v>4810</v>
      </c>
      <c r="B772" s="58">
        <v>51</v>
      </c>
      <c r="C772" s="58" t="s">
        <v>35</v>
      </c>
      <c r="D772" s="65">
        <v>99094</v>
      </c>
      <c r="E772" s="65" t="s">
        <v>1996</v>
      </c>
      <c r="F772" s="65" t="s">
        <v>2007</v>
      </c>
      <c r="G772" s="65" t="s">
        <v>2006</v>
      </c>
      <c r="H772" s="65" t="s">
        <v>7</v>
      </c>
      <c r="I772" s="65" t="s">
        <v>79</v>
      </c>
      <c r="J772" s="65" t="s">
        <v>5</v>
      </c>
      <c r="K772" s="65" t="s">
        <v>78</v>
      </c>
      <c r="L772" s="64" t="s">
        <v>67</v>
      </c>
      <c r="M772" s="58" t="s">
        <v>3</v>
      </c>
      <c r="N772" s="58" t="s">
        <v>2</v>
      </c>
      <c r="O772" s="58">
        <v>115</v>
      </c>
      <c r="P772" s="58">
        <v>0</v>
      </c>
      <c r="Q772" s="58">
        <v>115</v>
      </c>
      <c r="R772" s="58">
        <v>0</v>
      </c>
      <c r="S772" s="58">
        <v>0</v>
      </c>
      <c r="T772" s="58">
        <v>0</v>
      </c>
      <c r="U772" s="58">
        <v>37</v>
      </c>
      <c r="V772" s="62"/>
      <c r="W772" s="62"/>
      <c r="X772" s="63">
        <f>IFERROR(1 -(Master[[#This Row],[Avg Garment Scans per Delivery]]/Master[[#This Row],[Garment Inventory]]), 0)</f>
        <v>0</v>
      </c>
      <c r="Y772" s="62"/>
      <c r="Z772" s="62"/>
      <c r="AA772" s="53">
        <v>26.270414201183435</v>
      </c>
      <c r="AB772" s="53">
        <v>27.868047337278121</v>
      </c>
      <c r="AC772" s="53">
        <v>19.584</v>
      </c>
      <c r="AD772" s="53">
        <v>38.016000000000005</v>
      </c>
      <c r="AE772" s="53" t="str">
        <f>_xlfn.XLOOKUP(Master[[#This Row],[cu_id]],'[1]Customer Revenue'!$Q:$Q,'[1]Customer Revenue'!$K:$K, "None")</f>
        <v>None</v>
      </c>
      <c r="AF772" s="53" t="str">
        <f>_xlfn.XLOOKUP(Master[[#This Row],[cu_id]],'[1]Customer Revenue'!$Q:$Q,'[1]Customer Revenue'!$L:$L, "None")</f>
        <v>None</v>
      </c>
      <c r="AG772" s="53">
        <v>26.339062500000001</v>
      </c>
      <c r="AH772" s="53">
        <v>27.323437499999994</v>
      </c>
      <c r="AI772" s="53">
        <v>27.069230769230778</v>
      </c>
      <c r="AJ772" s="53">
        <v>28.8</v>
      </c>
      <c r="AK772" s="53" t="str">
        <f>_xlfn.XLOOKUP(Master[[#This Row],[cu_id]],'[1]Customer Revenue'!$Q:$Q,'[1]Customer Revenue'!$I:$I, "None")</f>
        <v>None</v>
      </c>
      <c r="AL772" s="53">
        <v>26.831249999999997</v>
      </c>
      <c r="AM772" s="61">
        <v>0.375</v>
      </c>
      <c r="AN772" s="60">
        <v>0.70833333333333337</v>
      </c>
      <c r="AO772" s="60" t="s">
        <v>36</v>
      </c>
      <c r="AP772" s="60" t="s">
        <v>36</v>
      </c>
      <c r="AQ772" s="58" t="s">
        <v>0</v>
      </c>
      <c r="AR772" s="58"/>
      <c r="AS772" s="58"/>
      <c r="AT772" s="52">
        <v>0</v>
      </c>
      <c r="AU772" s="52" t="e">
        <f>IF(Master[[#This Row],[RSP StopTime override]] &lt;&gt; "",Master[[#This Row],[RSP StopTime override]],IF(Master[[#This Row],[Avg stop time helper]] &lt;&gt; 0, Master[[#This Row],[Avg stop time helper]],Average_Stop_Time))</f>
        <v>#DIV/0!</v>
      </c>
      <c r="AV772" s="21"/>
      <c r="AW772" s="20">
        <f>Master[[#This Row],[RSP StopTime override]]-Master[[#This Row],[Avg stop time helper]]</f>
        <v>0</v>
      </c>
    </row>
    <row r="773" spans="1:49" x14ac:dyDescent="0.3">
      <c r="A773" s="66" t="s">
        <v>4811</v>
      </c>
      <c r="B773" s="58">
        <v>51</v>
      </c>
      <c r="C773" s="58" t="s">
        <v>15</v>
      </c>
      <c r="D773" s="65">
        <v>99094</v>
      </c>
      <c r="E773" s="65" t="s">
        <v>1529</v>
      </c>
      <c r="F773" s="65" t="s">
        <v>2005</v>
      </c>
      <c r="G773" s="65" t="s">
        <v>2004</v>
      </c>
      <c r="H773" s="65" t="s">
        <v>7</v>
      </c>
      <c r="I773" s="65" t="s">
        <v>1955</v>
      </c>
      <c r="J773" s="65" t="s">
        <v>5</v>
      </c>
      <c r="K773" s="65" t="s">
        <v>1954</v>
      </c>
      <c r="L773" s="64" t="s">
        <v>77</v>
      </c>
      <c r="M773" s="58" t="s">
        <v>29</v>
      </c>
      <c r="N773" s="58" t="s">
        <v>2</v>
      </c>
      <c r="O773" s="58">
        <v>155</v>
      </c>
      <c r="P773" s="58">
        <v>0</v>
      </c>
      <c r="Q773" s="58">
        <v>0</v>
      </c>
      <c r="R773" s="58">
        <v>0</v>
      </c>
      <c r="S773" s="58">
        <v>0</v>
      </c>
      <c r="T773" s="58">
        <v>155</v>
      </c>
      <c r="U773" s="58">
        <v>36</v>
      </c>
      <c r="V773" s="62"/>
      <c r="W773" s="62"/>
      <c r="X773" s="63">
        <f>IFERROR(1 -(Master[[#This Row],[Avg Garment Scans per Delivery]]/Master[[#This Row],[Garment Inventory]]), 0)</f>
        <v>0</v>
      </c>
      <c r="Y773" s="62"/>
      <c r="Z773" s="62"/>
      <c r="AA773" s="53">
        <v>20</v>
      </c>
      <c r="AB773" s="53">
        <v>20</v>
      </c>
      <c r="AC773" s="53">
        <v>11.111111111111112</v>
      </c>
      <c r="AD773" s="53">
        <v>28.888888888888886</v>
      </c>
      <c r="AE773" s="53" t="str">
        <f>_xlfn.XLOOKUP(Master[[#This Row],[cu_id]],'[1]Customer Revenue'!$Q:$Q,'[1]Customer Revenue'!$K:$K, "None")</f>
        <v>None</v>
      </c>
      <c r="AF773" s="53" t="str">
        <f>_xlfn.XLOOKUP(Master[[#This Row],[cu_id]],'[1]Customer Revenue'!$Q:$Q,'[1]Customer Revenue'!$L:$L, "None")</f>
        <v>None</v>
      </c>
      <c r="AG773" s="53">
        <v>20</v>
      </c>
      <c r="AH773" s="53">
        <v>20</v>
      </c>
      <c r="AI773" s="53">
        <v>20</v>
      </c>
      <c r="AJ773" s="53">
        <v>20</v>
      </c>
      <c r="AK773" s="53" t="str">
        <f>_xlfn.XLOOKUP(Master[[#This Row],[cu_id]],'[1]Customer Revenue'!$Q:$Q,'[1]Customer Revenue'!$I:$I, "None")</f>
        <v>None</v>
      </c>
      <c r="AL773" s="53">
        <v>20</v>
      </c>
      <c r="AM773" s="61">
        <v>0.375</v>
      </c>
      <c r="AN773" s="60">
        <v>0.70833333333333337</v>
      </c>
      <c r="AO773" s="60" t="s">
        <v>36</v>
      </c>
      <c r="AP773" s="60" t="s">
        <v>36</v>
      </c>
      <c r="AQ773" s="58" t="s">
        <v>0</v>
      </c>
      <c r="AR773" s="58"/>
      <c r="AS773" s="58"/>
      <c r="AT773" s="52">
        <v>0</v>
      </c>
      <c r="AU773" s="52" t="e">
        <f>IF(Master[[#This Row],[RSP StopTime override]] &lt;&gt; "",Master[[#This Row],[RSP StopTime override]],IF(Master[[#This Row],[Avg stop time helper]] &lt;&gt; 0, Master[[#This Row],[Avg stop time helper]],Average_Stop_Time))</f>
        <v>#DIV/0!</v>
      </c>
      <c r="AV773" s="21"/>
      <c r="AW773" s="20">
        <f>Master[[#This Row],[RSP StopTime override]]-Master[[#This Row],[Avg stop time helper]]</f>
        <v>0</v>
      </c>
    </row>
    <row r="774" spans="1:49" x14ac:dyDescent="0.3">
      <c r="A774" s="66" t="s">
        <v>4812</v>
      </c>
      <c r="B774" s="58">
        <v>51</v>
      </c>
      <c r="C774" s="58" t="s">
        <v>24</v>
      </c>
      <c r="D774" s="65">
        <v>99094</v>
      </c>
      <c r="E774" s="65" t="s">
        <v>1338</v>
      </c>
      <c r="F774" s="65" t="s">
        <v>2003</v>
      </c>
      <c r="G774" s="65" t="s">
        <v>2002</v>
      </c>
      <c r="H774" s="65" t="s">
        <v>7</v>
      </c>
      <c r="I774" s="65" t="s">
        <v>12</v>
      </c>
      <c r="J774" s="65" t="s">
        <v>5</v>
      </c>
      <c r="K774" s="65" t="s">
        <v>20</v>
      </c>
      <c r="L774" s="64" t="s">
        <v>91</v>
      </c>
      <c r="M774" s="58" t="s">
        <v>90</v>
      </c>
      <c r="N774" s="58" t="s">
        <v>2</v>
      </c>
      <c r="O774" s="58">
        <v>100</v>
      </c>
      <c r="P774" s="58">
        <v>100</v>
      </c>
      <c r="Q774" s="58">
        <v>0</v>
      </c>
      <c r="R774" s="58">
        <v>0</v>
      </c>
      <c r="S774" s="58">
        <v>0</v>
      </c>
      <c r="T774" s="58">
        <v>0</v>
      </c>
      <c r="U774" s="58">
        <v>21</v>
      </c>
      <c r="V774" s="62"/>
      <c r="W774" s="62"/>
      <c r="X774" s="63">
        <f>IFERROR(1 -(Master[[#This Row],[Avg Garment Scans per Delivery]]/Master[[#This Row],[Garment Inventory]]), 0)</f>
        <v>0</v>
      </c>
      <c r="Y774" s="62"/>
      <c r="Z774" s="62"/>
      <c r="AA774" s="53">
        <v>30.186804733727815</v>
      </c>
      <c r="AB774" s="53">
        <v>33.463964497041424</v>
      </c>
      <c r="AC774" s="53">
        <v>19.12777777777778</v>
      </c>
      <c r="AD774" s="53">
        <v>49.732222222222219</v>
      </c>
      <c r="AE774" s="53" t="str">
        <f>_xlfn.XLOOKUP(Master[[#This Row],[cu_id]],'[1]Customer Revenue'!$Q:$Q,'[1]Customer Revenue'!$K:$K, "None")</f>
        <v>None</v>
      </c>
      <c r="AF774" s="53" t="str">
        <f>_xlfn.XLOOKUP(Master[[#This Row],[cu_id]],'[1]Customer Revenue'!$Q:$Q,'[1]Customer Revenue'!$L:$L, "None")</f>
        <v>None</v>
      </c>
      <c r="AG774" s="53">
        <v>28.458368752459648</v>
      </c>
      <c r="AH774" s="53">
        <v>35.462583628492716</v>
      </c>
      <c r="AI774" s="53">
        <v>31.825384615384618</v>
      </c>
      <c r="AJ774" s="53">
        <v>34.43</v>
      </c>
      <c r="AK774" s="53" t="str">
        <f>_xlfn.XLOOKUP(Master[[#This Row],[cu_id]],'[1]Customer Revenue'!$Q:$Q,'[1]Customer Revenue'!$I:$I, "None")</f>
        <v>None</v>
      </c>
      <c r="AL774" s="53">
        <v>31.960476190476182</v>
      </c>
      <c r="AM774" s="61">
        <v>0.375</v>
      </c>
      <c r="AN774" s="60">
        <v>0.70833333333333337</v>
      </c>
      <c r="AO774" s="60" t="s">
        <v>36</v>
      </c>
      <c r="AP774" s="60" t="s">
        <v>36</v>
      </c>
      <c r="AQ774" s="58" t="s">
        <v>0</v>
      </c>
      <c r="AR774" s="58"/>
      <c r="AS774" s="58"/>
      <c r="AT774" s="52">
        <v>0</v>
      </c>
      <c r="AU774" s="52" t="e">
        <f>IF(Master[[#This Row],[RSP StopTime override]] &lt;&gt; "",Master[[#This Row],[RSP StopTime override]],IF(Master[[#This Row],[Avg stop time helper]] &lt;&gt; 0, Master[[#This Row],[Avg stop time helper]],Average_Stop_Time))</f>
        <v>#DIV/0!</v>
      </c>
      <c r="AV774" s="21"/>
      <c r="AW774" s="20">
        <f>Master[[#This Row],[RSP StopTime override]]-Master[[#This Row],[Avg stop time helper]]</f>
        <v>0</v>
      </c>
    </row>
    <row r="775" spans="1:49" x14ac:dyDescent="0.3">
      <c r="A775" s="66" t="s">
        <v>4813</v>
      </c>
      <c r="B775" s="58">
        <v>51</v>
      </c>
      <c r="C775" s="58" t="s">
        <v>24</v>
      </c>
      <c r="D775" s="65">
        <v>99094</v>
      </c>
      <c r="E775" s="65" t="s">
        <v>1829</v>
      </c>
      <c r="F775" s="65" t="s">
        <v>2001</v>
      </c>
      <c r="G775" s="65" t="s">
        <v>2000</v>
      </c>
      <c r="H775" s="65" t="s">
        <v>7</v>
      </c>
      <c r="I775" s="65" t="s">
        <v>12</v>
      </c>
      <c r="J775" s="65" t="s">
        <v>5</v>
      </c>
      <c r="K775" s="65" t="s">
        <v>1999</v>
      </c>
      <c r="L775" s="64" t="s">
        <v>91</v>
      </c>
      <c r="M775" s="58" t="s">
        <v>90</v>
      </c>
      <c r="N775" s="58" t="s">
        <v>2</v>
      </c>
      <c r="O775" s="58">
        <v>160</v>
      </c>
      <c r="P775" s="58">
        <v>160</v>
      </c>
      <c r="Q775" s="58">
        <v>0</v>
      </c>
      <c r="R775" s="58">
        <v>0</v>
      </c>
      <c r="S775" s="58">
        <v>0</v>
      </c>
      <c r="T775" s="58">
        <v>0</v>
      </c>
      <c r="U775" s="58">
        <v>22</v>
      </c>
      <c r="V775" s="62"/>
      <c r="W775" s="62"/>
      <c r="X775" s="63">
        <f>IFERROR(1 -(Master[[#This Row],[Avg Garment Scans per Delivery]]/Master[[#This Row],[Garment Inventory]]), 0)</f>
        <v>0</v>
      </c>
      <c r="Y775" s="62"/>
      <c r="Z775" s="62"/>
      <c r="AA775" s="53">
        <v>32.989053254437863</v>
      </c>
      <c r="AB775" s="53">
        <v>37.341715976331358</v>
      </c>
      <c r="AC775" s="53">
        <v>21.322222222222226</v>
      </c>
      <c r="AD775" s="53">
        <v>55.437777777777782</v>
      </c>
      <c r="AE775" s="53" t="str">
        <f>_xlfn.XLOOKUP(Master[[#This Row],[cu_id]],'[1]Customer Revenue'!$Q:$Q,'[1]Customer Revenue'!$K:$K, "None")</f>
        <v>None</v>
      </c>
      <c r="AF775" s="53" t="str">
        <f>_xlfn.XLOOKUP(Master[[#This Row],[cu_id]],'[1]Customer Revenue'!$Q:$Q,'[1]Customer Revenue'!$L:$L, "None")</f>
        <v>None</v>
      </c>
      <c r="AG775" s="53">
        <v>31.035314836678481</v>
      </c>
      <c r="AH775" s="53">
        <v>39.489447068083436</v>
      </c>
      <c r="AI775" s="53">
        <v>35.16538461538461</v>
      </c>
      <c r="AJ775" s="53">
        <v>38.380000000000003</v>
      </c>
      <c r="AK775" s="53" t="str">
        <f>_xlfn.XLOOKUP(Master[[#This Row],[cu_id]],'[1]Customer Revenue'!$Q:$Q,'[1]Customer Revenue'!$I:$I, "None")</f>
        <v>None</v>
      </c>
      <c r="AL775" s="53">
        <v>35.262380952380958</v>
      </c>
      <c r="AM775" s="61">
        <v>0.375</v>
      </c>
      <c r="AN775" s="60">
        <v>0.70833333333333337</v>
      </c>
      <c r="AO775" s="60" t="s">
        <v>36</v>
      </c>
      <c r="AP775" s="60" t="s">
        <v>36</v>
      </c>
      <c r="AQ775" s="58" t="s">
        <v>0</v>
      </c>
      <c r="AR775" s="58"/>
      <c r="AS775" s="58"/>
      <c r="AT775" s="52">
        <v>0</v>
      </c>
      <c r="AU775" s="52" t="e">
        <f>IF(Master[[#This Row],[RSP StopTime override]] &lt;&gt; "",Master[[#This Row],[RSP StopTime override]],IF(Master[[#This Row],[Avg stop time helper]] &lt;&gt; 0, Master[[#This Row],[Avg stop time helper]],Average_Stop_Time))</f>
        <v>#DIV/0!</v>
      </c>
      <c r="AV775" s="21"/>
      <c r="AW775" s="20">
        <f>Master[[#This Row],[RSP StopTime override]]-Master[[#This Row],[Avg stop time helper]]</f>
        <v>0</v>
      </c>
    </row>
    <row r="776" spans="1:49" x14ac:dyDescent="0.3">
      <c r="A776" s="66" t="s">
        <v>4814</v>
      </c>
      <c r="B776" s="58">
        <v>51</v>
      </c>
      <c r="C776" s="58" t="s">
        <v>10</v>
      </c>
      <c r="D776" s="65">
        <v>99094</v>
      </c>
      <c r="E776" s="65" t="s">
        <v>1826</v>
      </c>
      <c r="F776" s="65" t="s">
        <v>1998</v>
      </c>
      <c r="G776" s="65" t="s">
        <v>1997</v>
      </c>
      <c r="H776" s="65" t="s">
        <v>7</v>
      </c>
      <c r="I776" s="65" t="s">
        <v>12</v>
      </c>
      <c r="J776" s="65" t="s">
        <v>5</v>
      </c>
      <c r="K776" s="65" t="s">
        <v>1578</v>
      </c>
      <c r="L776" s="64" t="s">
        <v>91</v>
      </c>
      <c r="M776" s="58" t="s">
        <v>90</v>
      </c>
      <c r="N776" s="58" t="s">
        <v>2</v>
      </c>
      <c r="O776" s="58">
        <v>145</v>
      </c>
      <c r="P776" s="58">
        <v>0</v>
      </c>
      <c r="Q776" s="58">
        <v>0</v>
      </c>
      <c r="R776" s="58">
        <v>145</v>
      </c>
      <c r="S776" s="58">
        <v>0</v>
      </c>
      <c r="T776" s="58">
        <v>0</v>
      </c>
      <c r="U776" s="58">
        <v>28</v>
      </c>
      <c r="V776" s="62"/>
      <c r="W776" s="62"/>
      <c r="X776" s="63">
        <f>IFERROR(1 -(Master[[#This Row],[Avg Garment Scans per Delivery]]/Master[[#This Row],[Garment Inventory]]), 0)</f>
        <v>0</v>
      </c>
      <c r="Y776" s="62"/>
      <c r="Z776" s="62"/>
      <c r="AA776" s="53">
        <v>26.963254437869828</v>
      </c>
      <c r="AB776" s="53">
        <v>34.918284023668647</v>
      </c>
      <c r="AC776" s="53">
        <v>35.86</v>
      </c>
      <c r="AD776" s="53">
        <v>35.86</v>
      </c>
      <c r="AE776" s="53" t="str">
        <f>_xlfn.XLOOKUP(Master[[#This Row],[cu_id]],'[1]Customer Revenue'!$Q:$Q,'[1]Customer Revenue'!$K:$K, "None")</f>
        <v>None</v>
      </c>
      <c r="AF776" s="53" t="str">
        <f>_xlfn.XLOOKUP(Master[[#This Row],[cu_id]],'[1]Customer Revenue'!$Q:$Q,'[1]Customer Revenue'!$L:$L, "None")</f>
        <v>None</v>
      </c>
      <c r="AG776" s="53">
        <v>20.603541666666668</v>
      </c>
      <c r="AH776" s="53">
        <v>32.211458333333333</v>
      </c>
      <c r="AI776" s="53">
        <v>30.940769230769238</v>
      </c>
      <c r="AJ776" s="53">
        <v>35.86</v>
      </c>
      <c r="AK776" s="53" t="str">
        <f>_xlfn.XLOOKUP(Master[[#This Row],[cu_id]],'[1]Customer Revenue'!$Q:$Q,'[1]Customer Revenue'!$I:$I, "None")</f>
        <v>None</v>
      </c>
      <c r="AL776" s="53">
        <v>26.407500000000002</v>
      </c>
      <c r="AM776" s="61">
        <v>0.375</v>
      </c>
      <c r="AN776" s="60">
        <v>0.70833333333333337</v>
      </c>
      <c r="AO776" s="60" t="s">
        <v>36</v>
      </c>
      <c r="AP776" s="60" t="s">
        <v>36</v>
      </c>
      <c r="AQ776" s="58" t="s">
        <v>0</v>
      </c>
      <c r="AR776" s="58"/>
      <c r="AS776" s="58"/>
      <c r="AT776" s="52">
        <v>0</v>
      </c>
      <c r="AU776" s="52" t="e">
        <f>IF(Master[[#This Row],[RSP StopTime override]] &lt;&gt; "",Master[[#This Row],[RSP StopTime override]],IF(Master[[#This Row],[Avg stop time helper]] &lt;&gt; 0, Master[[#This Row],[Avg stop time helper]],Average_Stop_Time))</f>
        <v>#DIV/0!</v>
      </c>
      <c r="AV776" s="21"/>
      <c r="AW776" s="20">
        <f>Master[[#This Row],[RSP StopTime override]]-Master[[#This Row],[Avg stop time helper]]</f>
        <v>0</v>
      </c>
    </row>
    <row r="777" spans="1:49" x14ac:dyDescent="0.3">
      <c r="A777" s="66" t="s">
        <v>4815</v>
      </c>
      <c r="B777" s="58">
        <v>51</v>
      </c>
      <c r="C777" s="58" t="s">
        <v>10</v>
      </c>
      <c r="D777" s="65">
        <v>99095</v>
      </c>
      <c r="E777" s="65" t="s">
        <v>1996</v>
      </c>
      <c r="F777" s="65" t="s">
        <v>1995</v>
      </c>
      <c r="G777" s="65" t="s">
        <v>1994</v>
      </c>
      <c r="H777" s="65" t="s">
        <v>7</v>
      </c>
      <c r="I777" s="65" t="s">
        <v>12</v>
      </c>
      <c r="J777" s="65" t="s">
        <v>5</v>
      </c>
      <c r="K777" s="65" t="s">
        <v>20</v>
      </c>
      <c r="L777" s="64">
        <v>6</v>
      </c>
      <c r="M777" s="58" t="s">
        <v>205</v>
      </c>
      <c r="N777" s="58" t="s">
        <v>2</v>
      </c>
      <c r="O777" s="58">
        <v>110</v>
      </c>
      <c r="P777" s="58">
        <v>0</v>
      </c>
      <c r="Q777" s="58">
        <v>0</v>
      </c>
      <c r="R777" s="58">
        <v>110</v>
      </c>
      <c r="S777" s="58">
        <v>0</v>
      </c>
      <c r="T777" s="58">
        <v>0</v>
      </c>
      <c r="U777" s="58">
        <v>26</v>
      </c>
      <c r="V777" s="62"/>
      <c r="W777" s="62"/>
      <c r="X777" s="63">
        <f>IFERROR(1 -(Master[[#This Row],[Avg Garment Scans per Delivery]]/Master[[#This Row],[Garment Inventory]]), 0)</f>
        <v>0</v>
      </c>
      <c r="Y777" s="62"/>
      <c r="Z777" s="62"/>
      <c r="AA777" s="53">
        <v>24.763333333333335</v>
      </c>
      <c r="AB777" s="53">
        <v>25.596666666666671</v>
      </c>
      <c r="AC777" s="53">
        <v>32.159999999999997</v>
      </c>
      <c r="AD777" s="53">
        <v>33.69</v>
      </c>
      <c r="AE777" s="53" t="str">
        <f>_xlfn.XLOOKUP(Master[[#This Row],[cu_id]],'[1]Customer Revenue'!$Q:$Q,'[1]Customer Revenue'!$K:$K, "None")</f>
        <v>None</v>
      </c>
      <c r="AF777" s="53" t="str">
        <f>_xlfn.XLOOKUP(Master[[#This Row],[cu_id]],'[1]Customer Revenue'!$Q:$Q,'[1]Customer Revenue'!$L:$L, "None")</f>
        <v>None</v>
      </c>
      <c r="AG777" s="53">
        <v>24.425857988165689</v>
      </c>
      <c r="AH777" s="53">
        <v>25.231065088757397</v>
      </c>
      <c r="AI777" s="53">
        <v>25.180000000000003</v>
      </c>
      <c r="AJ777" s="53">
        <v>32.924999999999997</v>
      </c>
      <c r="AK777" s="53" t="str">
        <f>_xlfn.XLOOKUP(Master[[#This Row],[cu_id]],'[1]Customer Revenue'!$Q:$Q,'[1]Customer Revenue'!$I:$I, "None")</f>
        <v>None</v>
      </c>
      <c r="AL777" s="53">
        <v>24.828461538461543</v>
      </c>
      <c r="AM777" s="61">
        <v>0.41666666666666669</v>
      </c>
      <c r="AN777" s="60">
        <v>0.83333333333333337</v>
      </c>
      <c r="AO777" s="60" t="s">
        <v>36</v>
      </c>
      <c r="AP777" s="60" t="s">
        <v>36</v>
      </c>
      <c r="AQ777" s="58" t="s">
        <v>0</v>
      </c>
      <c r="AR777" s="58"/>
      <c r="AS777" s="58"/>
      <c r="AT777" s="52">
        <v>0</v>
      </c>
      <c r="AU777" s="52" t="e">
        <f>IF(Master[[#This Row],[RSP StopTime override]] &lt;&gt; "",Master[[#This Row],[RSP StopTime override]],IF(Master[[#This Row],[Avg stop time helper]] &lt;&gt; 0, Master[[#This Row],[Avg stop time helper]],Average_Stop_Time))</f>
        <v>#DIV/0!</v>
      </c>
      <c r="AV777" s="21"/>
      <c r="AW777" s="20">
        <f>Master[[#This Row],[RSP StopTime override]]-Master[[#This Row],[Avg stop time helper]]</f>
        <v>0</v>
      </c>
    </row>
    <row r="778" spans="1:49" x14ac:dyDescent="0.3">
      <c r="A778" s="66" t="s">
        <v>4816</v>
      </c>
      <c r="B778" s="58">
        <v>51</v>
      </c>
      <c r="C778" s="58" t="s">
        <v>43</v>
      </c>
      <c r="D778" s="65">
        <v>532820</v>
      </c>
      <c r="E778" s="65" t="s">
        <v>42</v>
      </c>
      <c r="F778" s="65" t="s">
        <v>1993</v>
      </c>
      <c r="G778" s="65" t="s">
        <v>1992</v>
      </c>
      <c r="H778" s="65" t="s">
        <v>7</v>
      </c>
      <c r="I778" s="65" t="s">
        <v>1844</v>
      </c>
      <c r="J778" s="65" t="s">
        <v>5</v>
      </c>
      <c r="K778" s="65" t="s">
        <v>1843</v>
      </c>
      <c r="L778" s="64" t="s">
        <v>124</v>
      </c>
      <c r="M778" s="58" t="s">
        <v>123</v>
      </c>
      <c r="N778" s="58" t="s">
        <v>2</v>
      </c>
      <c r="O778" s="58">
        <v>50</v>
      </c>
      <c r="P778" s="58">
        <v>0</v>
      </c>
      <c r="Q778" s="58">
        <v>0</v>
      </c>
      <c r="R778" s="58">
        <v>0</v>
      </c>
      <c r="S778" s="58">
        <v>50</v>
      </c>
      <c r="T778" s="58">
        <v>0</v>
      </c>
      <c r="U778" s="58">
        <v>12</v>
      </c>
      <c r="V778" s="62"/>
      <c r="W778" s="62"/>
      <c r="X778" s="63">
        <f>IFERROR(1 -(Master[[#This Row],[Avg Garment Scans per Delivery]]/Master[[#This Row],[Garment Inventory]]), 0)</f>
        <v>0</v>
      </c>
      <c r="Y778" s="62"/>
      <c r="Z778" s="62"/>
      <c r="AA778" s="53">
        <v>36.51</v>
      </c>
      <c r="AB778" s="53">
        <v>38.51</v>
      </c>
      <c r="AC778" s="53">
        <v>38.731111111111105</v>
      </c>
      <c r="AD778" s="53">
        <v>40.962222222222223</v>
      </c>
      <c r="AE778" s="53" t="str">
        <f>_xlfn.XLOOKUP(Master[[#This Row],[cu_id]],'[1]Customer Revenue'!$Q:$Q,'[1]Customer Revenue'!$K:$K, "None")</f>
        <v>None</v>
      </c>
      <c r="AF778" s="53" t="str">
        <f>_xlfn.XLOOKUP(Master[[#This Row],[cu_id]],'[1]Customer Revenue'!$Q:$Q,'[1]Customer Revenue'!$L:$L, "None")</f>
        <v>None</v>
      </c>
      <c r="AG778" s="53">
        <v>36.11888888888889</v>
      </c>
      <c r="AH778" s="53">
        <v>37.564444444444433</v>
      </c>
      <c r="AI778" s="53">
        <v>37.51</v>
      </c>
      <c r="AJ778" s="53">
        <v>39.846666666666664</v>
      </c>
      <c r="AK778" s="53" t="str">
        <f>_xlfn.XLOOKUP(Master[[#This Row],[cu_id]],'[1]Customer Revenue'!$Q:$Q,'[1]Customer Revenue'!$I:$I, "None")</f>
        <v>None</v>
      </c>
      <c r="AL778" s="53">
        <v>36.841666666666661</v>
      </c>
      <c r="AM778" s="61">
        <v>0.41666666666666669</v>
      </c>
      <c r="AN778" s="60">
        <v>0.79166666666666663</v>
      </c>
      <c r="AO778" s="60" t="s">
        <v>36</v>
      </c>
      <c r="AP778" s="60" t="s">
        <v>36</v>
      </c>
      <c r="AQ778" s="58" t="s">
        <v>0</v>
      </c>
      <c r="AR778" s="58"/>
      <c r="AS778" s="58"/>
      <c r="AT778" s="52">
        <v>0</v>
      </c>
      <c r="AU778" s="52" t="e">
        <f>IF(Master[[#This Row],[RSP StopTime override]] &lt;&gt; "",Master[[#This Row],[RSP StopTime override]],IF(Master[[#This Row],[Avg stop time helper]] &lt;&gt; 0, Master[[#This Row],[Avg stop time helper]],Average_Stop_Time))</f>
        <v>#DIV/0!</v>
      </c>
      <c r="AV778" s="21"/>
      <c r="AW778" s="20">
        <f>Master[[#This Row],[RSP StopTime override]]-Master[[#This Row],[Avg stop time helper]]</f>
        <v>0</v>
      </c>
    </row>
    <row r="779" spans="1:49" x14ac:dyDescent="0.3">
      <c r="A779" s="66" t="s">
        <v>4817</v>
      </c>
      <c r="B779" s="58">
        <v>51</v>
      </c>
      <c r="C779" s="58" t="s">
        <v>10</v>
      </c>
      <c r="D779" s="65">
        <v>532851</v>
      </c>
      <c r="E779" s="65" t="s">
        <v>42</v>
      </c>
      <c r="F779" s="65" t="s">
        <v>1991</v>
      </c>
      <c r="G779" s="65" t="s">
        <v>1990</v>
      </c>
      <c r="H779" s="65" t="s">
        <v>7</v>
      </c>
      <c r="I779" s="65" t="s">
        <v>12</v>
      </c>
      <c r="J779" s="65" t="s">
        <v>5</v>
      </c>
      <c r="K779" s="65" t="s">
        <v>1578</v>
      </c>
      <c r="L779" s="64" t="s">
        <v>91</v>
      </c>
      <c r="M779" s="58" t="s">
        <v>90</v>
      </c>
      <c r="N779" s="58" t="s">
        <v>2</v>
      </c>
      <c r="O779" s="58">
        <v>163</v>
      </c>
      <c r="P779" s="58">
        <v>0</v>
      </c>
      <c r="Q779" s="58">
        <v>0</v>
      </c>
      <c r="R779" s="58">
        <v>163</v>
      </c>
      <c r="S779" s="58">
        <v>0</v>
      </c>
      <c r="T779" s="58">
        <v>0</v>
      </c>
      <c r="U779" s="58">
        <v>26</v>
      </c>
      <c r="V779" s="62"/>
      <c r="W779" s="62"/>
      <c r="X779" s="63">
        <f>IFERROR(1 -(Master[[#This Row],[Avg Garment Scans per Delivery]]/Master[[#This Row],[Garment Inventory]]), 0)</f>
        <v>0</v>
      </c>
      <c r="Y779" s="62"/>
      <c r="Z779" s="62"/>
      <c r="AA779" s="53">
        <v>40.424489795918376</v>
      </c>
      <c r="AB779" s="53">
        <v>44.76408163265306</v>
      </c>
      <c r="AC779" s="53">
        <v>42.583333333333336</v>
      </c>
      <c r="AD779" s="53">
        <v>61.686666666666689</v>
      </c>
      <c r="AE779" s="53" t="str">
        <f>_xlfn.XLOOKUP(Master[[#This Row],[cu_id]],'[1]Customer Revenue'!$Q:$Q,'[1]Customer Revenue'!$K:$K, "None")</f>
        <v>None</v>
      </c>
      <c r="AF779" s="53" t="str">
        <f>_xlfn.XLOOKUP(Master[[#This Row],[cu_id]],'[1]Customer Revenue'!$Q:$Q,'[1]Customer Revenue'!$L:$L, "None")</f>
        <v>None</v>
      </c>
      <c r="AG779" s="53">
        <v>39.357041420118343</v>
      </c>
      <c r="AH779" s="53">
        <v>49.196804733727809</v>
      </c>
      <c r="AI779" s="53">
        <v>42.594285714285718</v>
      </c>
      <c r="AJ779" s="53">
        <v>52.135000000000012</v>
      </c>
      <c r="AK779" s="53" t="str">
        <f>_xlfn.XLOOKUP(Master[[#This Row],[cu_id]],'[1]Customer Revenue'!$Q:$Q,'[1]Customer Revenue'!$I:$I, "None")</f>
        <v>None</v>
      </c>
      <c r="AL779" s="53">
        <v>44.276923076923076</v>
      </c>
      <c r="AM779" s="61">
        <v>0.45833333333333331</v>
      </c>
      <c r="AN779" s="60">
        <v>0.83333333333333337</v>
      </c>
      <c r="AO779" s="60" t="s">
        <v>36</v>
      </c>
      <c r="AP779" s="60" t="s">
        <v>36</v>
      </c>
      <c r="AQ779" s="58" t="s">
        <v>0</v>
      </c>
      <c r="AR779" s="58"/>
      <c r="AS779" s="58"/>
      <c r="AT779" s="52">
        <v>0</v>
      </c>
      <c r="AU779" s="52" t="e">
        <f>IF(Master[[#This Row],[RSP StopTime override]] &lt;&gt; "",Master[[#This Row],[RSP StopTime override]],IF(Master[[#This Row],[Avg stop time helper]] &lt;&gt; 0, Master[[#This Row],[Avg stop time helper]],Average_Stop_Time))</f>
        <v>#DIV/0!</v>
      </c>
      <c r="AV779" s="21"/>
      <c r="AW779" s="20">
        <f>Master[[#This Row],[RSP StopTime override]]-Master[[#This Row],[Avg stop time helper]]</f>
        <v>0</v>
      </c>
    </row>
    <row r="780" spans="1:49" x14ac:dyDescent="0.3">
      <c r="A780" s="66" t="s">
        <v>4022</v>
      </c>
      <c r="B780" s="58">
        <v>51</v>
      </c>
      <c r="C780" s="58" t="s">
        <v>24</v>
      </c>
      <c r="D780" s="65">
        <v>99161</v>
      </c>
      <c r="E780" s="65" t="s">
        <v>1989</v>
      </c>
      <c r="F780" s="65" t="s">
        <v>3693</v>
      </c>
      <c r="G780" s="65" t="s">
        <v>1988</v>
      </c>
      <c r="H780" s="65" t="s">
        <v>7</v>
      </c>
      <c r="I780" s="65" t="s">
        <v>12</v>
      </c>
      <c r="J780" s="65" t="s">
        <v>5</v>
      </c>
      <c r="K780" s="65" t="s">
        <v>20</v>
      </c>
      <c r="L780" s="64" t="s">
        <v>67</v>
      </c>
      <c r="M780" s="58" t="s">
        <v>3</v>
      </c>
      <c r="N780" s="58" t="s">
        <v>2</v>
      </c>
      <c r="O780" s="58">
        <v>1</v>
      </c>
      <c r="P780" s="58">
        <v>1</v>
      </c>
      <c r="Q780" s="58">
        <v>0</v>
      </c>
      <c r="R780" s="58">
        <v>0</v>
      </c>
      <c r="S780" s="58">
        <v>0</v>
      </c>
      <c r="T780" s="58">
        <v>0</v>
      </c>
      <c r="U780" s="58">
        <v>1</v>
      </c>
      <c r="V780" s="62"/>
      <c r="W780" s="62"/>
      <c r="X780" s="63">
        <f>IFERROR(1 -(Master[[#This Row],[Avg Garment Scans per Delivery]]/Master[[#This Row],[Garment Inventory]]), 0)</f>
        <v>0</v>
      </c>
      <c r="Y780" s="62"/>
      <c r="Z780" s="62"/>
      <c r="AA780" s="53"/>
      <c r="AB780" s="53"/>
      <c r="AC780" s="53">
        <v>173.04</v>
      </c>
      <c r="AD780" s="53">
        <v>173.04</v>
      </c>
      <c r="AE780" s="53" t="str">
        <f>_xlfn.XLOOKUP(Master[[#This Row],[cu_id]],'[1]Customer Revenue'!$Q:$Q,'[1]Customer Revenue'!$K:$K, "None")</f>
        <v>None</v>
      </c>
      <c r="AF780" s="53" t="str">
        <f>_xlfn.XLOOKUP(Master[[#This Row],[cu_id]],'[1]Customer Revenue'!$Q:$Q,'[1]Customer Revenue'!$L:$L, "None")</f>
        <v>None</v>
      </c>
      <c r="AG780" s="53">
        <v>272.77</v>
      </c>
      <c r="AH780" s="53">
        <v>272.77</v>
      </c>
      <c r="AI780" s="53"/>
      <c r="AJ780" s="53">
        <v>173.04</v>
      </c>
      <c r="AK780" s="53" t="str">
        <f>_xlfn.XLOOKUP(Master[[#This Row],[cu_id]],'[1]Customer Revenue'!$Q:$Q,'[1]Customer Revenue'!$I:$I, "None")</f>
        <v>None</v>
      </c>
      <c r="AL780" s="53">
        <v>272.77</v>
      </c>
      <c r="AM780" s="61" t="s">
        <v>1</v>
      </c>
      <c r="AN780" s="60" t="s">
        <v>1</v>
      </c>
      <c r="AO780" s="60" t="s">
        <v>36</v>
      </c>
      <c r="AP780" s="60" t="s">
        <v>36</v>
      </c>
      <c r="AQ780" s="58" t="s">
        <v>0</v>
      </c>
      <c r="AR780" s="58"/>
      <c r="AS780" s="58"/>
      <c r="AT780" s="52">
        <v>0</v>
      </c>
      <c r="AU780" s="52" t="e">
        <f>IF(Master[[#This Row],[RSP StopTime override]] &lt;&gt; "",Master[[#This Row],[RSP StopTime override]],IF(Master[[#This Row],[Avg stop time helper]] &lt;&gt; 0, Master[[#This Row],[Avg stop time helper]],Average_Stop_Time))</f>
        <v>#DIV/0!</v>
      </c>
      <c r="AV780" s="21"/>
      <c r="AW780" s="20">
        <f>Master[[#This Row],[RSP StopTime override]]-Master[[#This Row],[Avg stop time helper]]</f>
        <v>0</v>
      </c>
    </row>
    <row r="781" spans="1:49" x14ac:dyDescent="0.3">
      <c r="A781" s="66" t="s">
        <v>4818</v>
      </c>
      <c r="B781" s="58">
        <v>51</v>
      </c>
      <c r="C781" s="58" t="s">
        <v>24</v>
      </c>
      <c r="D781" s="65">
        <v>99161</v>
      </c>
      <c r="E781" s="65" t="s">
        <v>1987</v>
      </c>
      <c r="F781" s="65" t="s">
        <v>1986</v>
      </c>
      <c r="G781" s="65" t="s">
        <v>1985</v>
      </c>
      <c r="H781" s="65" t="s">
        <v>7</v>
      </c>
      <c r="I781" s="65" t="s">
        <v>1582</v>
      </c>
      <c r="J781" s="65" t="s">
        <v>5</v>
      </c>
      <c r="K781" s="65" t="s">
        <v>20</v>
      </c>
      <c r="L781" s="64" t="s">
        <v>67</v>
      </c>
      <c r="M781" s="58" t="s">
        <v>3</v>
      </c>
      <c r="N781" s="58" t="s">
        <v>2</v>
      </c>
      <c r="O781" s="58">
        <v>1</v>
      </c>
      <c r="P781" s="58">
        <v>1</v>
      </c>
      <c r="Q781" s="58">
        <v>0</v>
      </c>
      <c r="R781" s="58">
        <v>0</v>
      </c>
      <c r="S781" s="58">
        <v>0</v>
      </c>
      <c r="T781" s="58">
        <v>0</v>
      </c>
      <c r="U781" s="58">
        <v>4</v>
      </c>
      <c r="V781" s="62"/>
      <c r="W781" s="62"/>
      <c r="X781" s="63">
        <f>IFERROR(1 -(Master[[#This Row],[Avg Garment Scans per Delivery]]/Master[[#This Row],[Garment Inventory]]), 0)</f>
        <v>0</v>
      </c>
      <c r="Y781" s="62"/>
      <c r="Z781" s="62"/>
      <c r="AA781" s="53">
        <v>32.990000000000009</v>
      </c>
      <c r="AB781" s="53">
        <v>89.69</v>
      </c>
      <c r="AC781" s="53"/>
      <c r="AD781" s="53"/>
      <c r="AE781" s="53" t="str">
        <f>_xlfn.XLOOKUP(Master[[#This Row],[cu_id]],'[1]Customer Revenue'!$Q:$Q,'[1]Customer Revenue'!$K:$K, "None")</f>
        <v>None</v>
      </c>
      <c r="AF781" s="53" t="str">
        <f>_xlfn.XLOOKUP(Master[[#This Row],[cu_id]],'[1]Customer Revenue'!$Q:$Q,'[1]Customer Revenue'!$L:$L, "None")</f>
        <v>None</v>
      </c>
      <c r="AG781" s="53">
        <v>20.001111111111111</v>
      </c>
      <c r="AH781" s="53">
        <v>75.752222222222215</v>
      </c>
      <c r="AI781" s="53">
        <v>61.34</v>
      </c>
      <c r="AJ781" s="53"/>
      <c r="AK781" s="53" t="str">
        <f>_xlfn.XLOOKUP(Master[[#This Row],[cu_id]],'[1]Customer Revenue'!$Q:$Q,'[1]Customer Revenue'!$I:$I, "None")</f>
        <v>None</v>
      </c>
      <c r="AL781" s="53">
        <v>47.876666666666665</v>
      </c>
      <c r="AM781" s="61" t="s">
        <v>1</v>
      </c>
      <c r="AN781" s="60" t="s">
        <v>1</v>
      </c>
      <c r="AO781" s="60" t="s">
        <v>36</v>
      </c>
      <c r="AP781" s="60" t="s">
        <v>36</v>
      </c>
      <c r="AQ781" s="58" t="s">
        <v>0</v>
      </c>
      <c r="AR781" s="58"/>
      <c r="AS781" s="58"/>
      <c r="AT781" s="52">
        <v>0</v>
      </c>
      <c r="AU781" s="52" t="e">
        <f>IF(Master[[#This Row],[RSP StopTime override]] &lt;&gt; "",Master[[#This Row],[RSP StopTime override]],IF(Master[[#This Row],[Avg stop time helper]] &lt;&gt; 0, Master[[#This Row],[Avg stop time helper]],Average_Stop_Time))</f>
        <v>#DIV/0!</v>
      </c>
      <c r="AV781" s="21"/>
      <c r="AW781" s="20">
        <f>Master[[#This Row],[RSP StopTime override]]-Master[[#This Row],[Avg stop time helper]]</f>
        <v>0</v>
      </c>
    </row>
    <row r="782" spans="1:49" x14ac:dyDescent="0.3">
      <c r="A782" s="66" t="s">
        <v>4062</v>
      </c>
      <c r="B782" s="58">
        <v>51</v>
      </c>
      <c r="C782" s="58" t="s">
        <v>15</v>
      </c>
      <c r="D782" s="65">
        <v>99161</v>
      </c>
      <c r="E782" s="65" t="s">
        <v>1984</v>
      </c>
      <c r="F782" s="65" t="s">
        <v>1983</v>
      </c>
      <c r="G782" s="65" t="s">
        <v>1982</v>
      </c>
      <c r="H782" s="65" t="s">
        <v>7</v>
      </c>
      <c r="I782" s="65" t="s">
        <v>12</v>
      </c>
      <c r="J782" s="65" t="s">
        <v>5</v>
      </c>
      <c r="K782" s="65" t="s">
        <v>1847</v>
      </c>
      <c r="L782" s="64" t="s">
        <v>67</v>
      </c>
      <c r="M782" s="58" t="s">
        <v>3</v>
      </c>
      <c r="N782" s="58" t="s">
        <v>2</v>
      </c>
      <c r="O782" s="58">
        <v>1</v>
      </c>
      <c r="P782" s="58">
        <v>0</v>
      </c>
      <c r="Q782" s="58">
        <v>0</v>
      </c>
      <c r="R782" s="58">
        <v>0</v>
      </c>
      <c r="S782" s="58">
        <v>0</v>
      </c>
      <c r="T782" s="58">
        <v>1</v>
      </c>
      <c r="U782" s="58">
        <v>17</v>
      </c>
      <c r="V782" s="62"/>
      <c r="W782" s="62"/>
      <c r="X782" s="63">
        <f>IFERROR(1 -(Master[[#This Row],[Avg Garment Scans per Delivery]]/Master[[#This Row],[Garment Inventory]]), 0)</f>
        <v>0</v>
      </c>
      <c r="Y782" s="62"/>
      <c r="Z782" s="62"/>
      <c r="AA782" s="53">
        <v>544.05390532544368</v>
      </c>
      <c r="AB782" s="53">
        <v>1570.726094674556</v>
      </c>
      <c r="AC782" s="53">
        <v>260.1032899408284</v>
      </c>
      <c r="AD782" s="53">
        <v>727.70471005917159</v>
      </c>
      <c r="AE782" s="53" t="str">
        <f>_xlfn.XLOOKUP(Master[[#This Row],[cu_id]],'[1]Customer Revenue'!$Q:$Q,'[1]Customer Revenue'!$K:$K, "None")</f>
        <v>None</v>
      </c>
      <c r="AF782" s="53" t="str">
        <f>_xlfn.XLOOKUP(Master[[#This Row],[cu_id]],'[1]Customer Revenue'!$Q:$Q,'[1]Customer Revenue'!$L:$L, "None")</f>
        <v>None</v>
      </c>
      <c r="AG782" s="53">
        <v>368.38739643347031</v>
      </c>
      <c r="AH782" s="53">
        <v>1085.9486035665295</v>
      </c>
      <c r="AI782" s="53">
        <v>1057.3899999999999</v>
      </c>
      <c r="AJ782" s="53">
        <v>493.904</v>
      </c>
      <c r="AK782" s="53" t="str">
        <f>_xlfn.XLOOKUP(Master[[#This Row],[cu_id]],'[1]Customer Revenue'!$Q:$Q,'[1]Customer Revenue'!$I:$I, "None")</f>
        <v>None</v>
      </c>
      <c r="AL782" s="53">
        <v>727.16799999999989</v>
      </c>
      <c r="AM782" s="61" t="s">
        <v>36</v>
      </c>
      <c r="AN782" s="60" t="s">
        <v>36</v>
      </c>
      <c r="AO782" s="60" t="s">
        <v>36</v>
      </c>
      <c r="AP782" s="60" t="s">
        <v>36</v>
      </c>
      <c r="AQ782" s="58" t="s">
        <v>0</v>
      </c>
      <c r="AR782" s="58"/>
      <c r="AS782" s="58"/>
      <c r="AT782" s="52">
        <v>0</v>
      </c>
      <c r="AU782" s="52" t="e">
        <f>IF(Master[[#This Row],[RSP StopTime override]] &lt;&gt; "",Master[[#This Row],[RSP StopTime override]],IF(Master[[#This Row],[Avg stop time helper]] &lt;&gt; 0, Master[[#This Row],[Avg stop time helper]],Average_Stop_Time))</f>
        <v>#DIV/0!</v>
      </c>
      <c r="AV782" s="21"/>
      <c r="AW782" s="20">
        <f>Master[[#This Row],[RSP StopTime override]]-Master[[#This Row],[Avg stop time helper]]</f>
        <v>0</v>
      </c>
    </row>
    <row r="783" spans="1:49" x14ac:dyDescent="0.3">
      <c r="A783" s="66" t="s">
        <v>4028</v>
      </c>
      <c r="B783" s="58">
        <v>51</v>
      </c>
      <c r="C783" s="58" t="s">
        <v>15</v>
      </c>
      <c r="D783" s="65">
        <v>99161</v>
      </c>
      <c r="E783" s="65" t="s">
        <v>1981</v>
      </c>
      <c r="F783" s="65" t="s">
        <v>3694</v>
      </c>
      <c r="G783" s="65" t="s">
        <v>1980</v>
      </c>
      <c r="H783" s="65" t="s">
        <v>7</v>
      </c>
      <c r="I783" s="65" t="s">
        <v>1979</v>
      </c>
      <c r="J783" s="65" t="s">
        <v>5</v>
      </c>
      <c r="K783" s="65" t="s">
        <v>1954</v>
      </c>
      <c r="L783" s="64" t="s">
        <v>67</v>
      </c>
      <c r="M783" s="58" t="s">
        <v>3</v>
      </c>
      <c r="N783" s="58" t="s">
        <v>2</v>
      </c>
      <c r="O783" s="58">
        <v>1</v>
      </c>
      <c r="P783" s="58">
        <v>0</v>
      </c>
      <c r="Q783" s="58">
        <v>0</v>
      </c>
      <c r="R783" s="58">
        <v>0</v>
      </c>
      <c r="S783" s="58">
        <v>0</v>
      </c>
      <c r="T783" s="58">
        <v>1</v>
      </c>
      <c r="U783" s="58">
        <v>3</v>
      </c>
      <c r="V783" s="62"/>
      <c r="W783" s="62"/>
      <c r="X783" s="63">
        <f>IFERROR(1 -(Master[[#This Row],[Avg Garment Scans per Delivery]]/Master[[#This Row],[Garment Inventory]]), 0)</f>
        <v>0</v>
      </c>
      <c r="Y783" s="62"/>
      <c r="Z783" s="62"/>
      <c r="AA783" s="53">
        <v>46.76</v>
      </c>
      <c r="AB783" s="53">
        <v>46.76</v>
      </c>
      <c r="AC783" s="53"/>
      <c r="AD783" s="53"/>
      <c r="AE783" s="53" t="str">
        <f>_xlfn.XLOOKUP(Master[[#This Row],[cu_id]],'[1]Customer Revenue'!$Q:$Q,'[1]Customer Revenue'!$K:$K, "None")</f>
        <v>None</v>
      </c>
      <c r="AF783" s="53" t="str">
        <f>_xlfn.XLOOKUP(Master[[#This Row],[cu_id]],'[1]Customer Revenue'!$Q:$Q,'[1]Customer Revenue'!$L:$L, "None")</f>
        <v>None</v>
      </c>
      <c r="AG783" s="53">
        <v>33.03</v>
      </c>
      <c r="AH783" s="53">
        <v>46.759999999999991</v>
      </c>
      <c r="AI783" s="53">
        <v>46.76</v>
      </c>
      <c r="AJ783" s="53"/>
      <c r="AK783" s="53" t="str">
        <f>_xlfn.XLOOKUP(Master[[#This Row],[cu_id]],'[1]Customer Revenue'!$Q:$Q,'[1]Customer Revenue'!$I:$I, "None")</f>
        <v>None</v>
      </c>
      <c r="AL783" s="53">
        <v>39.894999999999996</v>
      </c>
      <c r="AM783" s="61" t="s">
        <v>36</v>
      </c>
      <c r="AN783" s="60" t="s">
        <v>36</v>
      </c>
      <c r="AO783" s="60" t="s">
        <v>36</v>
      </c>
      <c r="AP783" s="60" t="s">
        <v>36</v>
      </c>
      <c r="AQ783" s="58" t="s">
        <v>0</v>
      </c>
      <c r="AR783" s="58"/>
      <c r="AS783" s="58"/>
      <c r="AT783" s="52">
        <v>0</v>
      </c>
      <c r="AU783" s="52" t="e">
        <f>IF(Master[[#This Row],[RSP StopTime override]] &lt;&gt; "",Master[[#This Row],[RSP StopTime override]],IF(Master[[#This Row],[Avg stop time helper]] &lt;&gt; 0, Master[[#This Row],[Avg stop time helper]],Average_Stop_Time))</f>
        <v>#DIV/0!</v>
      </c>
      <c r="AV783" s="21"/>
      <c r="AW783" s="20">
        <f>Master[[#This Row],[RSP StopTime override]]-Master[[#This Row],[Avg stop time helper]]</f>
        <v>0</v>
      </c>
    </row>
    <row r="784" spans="1:49" x14ac:dyDescent="0.3">
      <c r="A784" s="66" t="s">
        <v>4819</v>
      </c>
      <c r="B784" s="58">
        <v>51</v>
      </c>
      <c r="C784" s="58" t="s">
        <v>15</v>
      </c>
      <c r="D784" s="65">
        <v>99161</v>
      </c>
      <c r="E784" s="65" t="s">
        <v>1978</v>
      </c>
      <c r="F784" s="65" t="s">
        <v>1977</v>
      </c>
      <c r="G784" s="65" t="s">
        <v>1976</v>
      </c>
      <c r="H784" s="65" t="s">
        <v>7</v>
      </c>
      <c r="I784" s="65" t="s">
        <v>1591</v>
      </c>
      <c r="J784" s="65" t="s">
        <v>5</v>
      </c>
      <c r="K784" s="65" t="s">
        <v>1636</v>
      </c>
      <c r="L784" s="64" t="s">
        <v>67</v>
      </c>
      <c r="M784" s="58" t="s">
        <v>3</v>
      </c>
      <c r="N784" s="58" t="s">
        <v>2</v>
      </c>
      <c r="O784" s="58">
        <v>1</v>
      </c>
      <c r="P784" s="58">
        <v>0</v>
      </c>
      <c r="Q784" s="58">
        <v>0</v>
      </c>
      <c r="R784" s="58">
        <v>0</v>
      </c>
      <c r="S784" s="58">
        <v>0</v>
      </c>
      <c r="T784" s="58">
        <v>1</v>
      </c>
      <c r="U784" s="58">
        <v>1</v>
      </c>
      <c r="V784" s="62"/>
      <c r="W784" s="62"/>
      <c r="X784" s="63">
        <f>IFERROR(1 -(Master[[#This Row],[Avg Garment Scans per Delivery]]/Master[[#This Row],[Garment Inventory]]), 0)</f>
        <v>0</v>
      </c>
      <c r="Y784" s="62"/>
      <c r="Z784" s="62"/>
      <c r="AA784" s="53">
        <v>57.88</v>
      </c>
      <c r="AB784" s="53">
        <v>57.88</v>
      </c>
      <c r="AC784" s="53"/>
      <c r="AD784" s="53"/>
      <c r="AE784" s="53" t="str">
        <f>_xlfn.XLOOKUP(Master[[#This Row],[cu_id]],'[1]Customer Revenue'!$Q:$Q,'[1]Customer Revenue'!$K:$K, "None")</f>
        <v>None</v>
      </c>
      <c r="AF784" s="53" t="str">
        <f>_xlfn.XLOOKUP(Master[[#This Row],[cu_id]],'[1]Customer Revenue'!$Q:$Q,'[1]Customer Revenue'!$L:$L, "None")</f>
        <v>None</v>
      </c>
      <c r="AG784" s="53">
        <v>57.88</v>
      </c>
      <c r="AH784" s="53">
        <v>57.88</v>
      </c>
      <c r="AI784" s="53">
        <v>57.88</v>
      </c>
      <c r="AJ784" s="53"/>
      <c r="AK784" s="53" t="str">
        <f>_xlfn.XLOOKUP(Master[[#This Row],[cu_id]],'[1]Customer Revenue'!$Q:$Q,'[1]Customer Revenue'!$I:$I, "None")</f>
        <v>None</v>
      </c>
      <c r="AL784" s="53">
        <v>57.88</v>
      </c>
      <c r="AM784" s="61" t="s">
        <v>36</v>
      </c>
      <c r="AN784" s="60" t="s">
        <v>36</v>
      </c>
      <c r="AO784" s="60" t="s">
        <v>36</v>
      </c>
      <c r="AP784" s="60" t="s">
        <v>36</v>
      </c>
      <c r="AQ784" s="58" t="s">
        <v>0</v>
      </c>
      <c r="AR784" s="58"/>
      <c r="AS784" s="58"/>
      <c r="AT784" s="52">
        <v>0</v>
      </c>
      <c r="AU784" s="52" t="e">
        <f>IF(Master[[#This Row],[RSP StopTime override]] &lt;&gt; "",Master[[#This Row],[RSP StopTime override]],IF(Master[[#This Row],[Avg stop time helper]] &lt;&gt; 0, Master[[#This Row],[Avg stop time helper]],Average_Stop_Time))</f>
        <v>#DIV/0!</v>
      </c>
      <c r="AV784" s="21"/>
      <c r="AW784" s="20">
        <f>Master[[#This Row],[RSP StopTime override]]-Master[[#This Row],[Avg stop time helper]]</f>
        <v>0</v>
      </c>
    </row>
    <row r="785" spans="1:49" x14ac:dyDescent="0.3">
      <c r="A785" s="66" t="s">
        <v>4820</v>
      </c>
      <c r="B785" s="58">
        <v>51</v>
      </c>
      <c r="C785" s="58" t="s">
        <v>15</v>
      </c>
      <c r="D785" s="65">
        <v>99161</v>
      </c>
      <c r="E785" s="65" t="s">
        <v>1975</v>
      </c>
      <c r="F785" s="65" t="s">
        <v>1974</v>
      </c>
      <c r="G785" s="65" t="s">
        <v>1973</v>
      </c>
      <c r="H785" s="65" t="s">
        <v>7</v>
      </c>
      <c r="I785" s="65" t="s">
        <v>1591</v>
      </c>
      <c r="J785" s="65" t="s">
        <v>5</v>
      </c>
      <c r="K785" s="65" t="s">
        <v>1972</v>
      </c>
      <c r="L785" s="64" t="s">
        <v>67</v>
      </c>
      <c r="M785" s="58" t="s">
        <v>3</v>
      </c>
      <c r="N785" s="58" t="s">
        <v>2</v>
      </c>
      <c r="O785" s="58">
        <v>1</v>
      </c>
      <c r="P785" s="58">
        <v>0</v>
      </c>
      <c r="Q785" s="58">
        <v>0</v>
      </c>
      <c r="R785" s="58">
        <v>0</v>
      </c>
      <c r="S785" s="58">
        <v>0</v>
      </c>
      <c r="T785" s="58">
        <v>1</v>
      </c>
      <c r="U785" s="58">
        <v>1</v>
      </c>
      <c r="V785" s="62"/>
      <c r="W785" s="62"/>
      <c r="X785" s="63">
        <f>IFERROR(1 -(Master[[#This Row],[Avg Garment Scans per Delivery]]/Master[[#This Row],[Garment Inventory]]), 0)</f>
        <v>0</v>
      </c>
      <c r="Y785" s="62"/>
      <c r="Z785" s="62"/>
      <c r="AA785" s="53">
        <v>203.51</v>
      </c>
      <c r="AB785" s="53">
        <v>203.51</v>
      </c>
      <c r="AC785" s="53"/>
      <c r="AD785" s="53"/>
      <c r="AE785" s="53" t="str">
        <f>_xlfn.XLOOKUP(Master[[#This Row],[cu_id]],'[1]Customer Revenue'!$Q:$Q,'[1]Customer Revenue'!$K:$K, "None")</f>
        <v>None</v>
      </c>
      <c r="AF785" s="53" t="str">
        <f>_xlfn.XLOOKUP(Master[[#This Row],[cu_id]],'[1]Customer Revenue'!$Q:$Q,'[1]Customer Revenue'!$L:$L, "None")</f>
        <v>None</v>
      </c>
      <c r="AG785" s="53">
        <v>203.51</v>
      </c>
      <c r="AH785" s="53">
        <v>203.51</v>
      </c>
      <c r="AI785" s="53">
        <v>203.51</v>
      </c>
      <c r="AJ785" s="53"/>
      <c r="AK785" s="53" t="str">
        <f>_xlfn.XLOOKUP(Master[[#This Row],[cu_id]],'[1]Customer Revenue'!$Q:$Q,'[1]Customer Revenue'!$I:$I, "None")</f>
        <v>None</v>
      </c>
      <c r="AL785" s="53">
        <v>203.51</v>
      </c>
      <c r="AM785" s="61" t="s">
        <v>36</v>
      </c>
      <c r="AN785" s="60" t="s">
        <v>36</v>
      </c>
      <c r="AO785" s="60" t="s">
        <v>36</v>
      </c>
      <c r="AP785" s="60" t="s">
        <v>36</v>
      </c>
      <c r="AQ785" s="58" t="s">
        <v>0</v>
      </c>
      <c r="AR785" s="58"/>
      <c r="AS785" s="58"/>
      <c r="AT785" s="52">
        <v>0</v>
      </c>
      <c r="AU785" s="52" t="e">
        <f>IF(Master[[#This Row],[RSP StopTime override]] &lt;&gt; "",Master[[#This Row],[RSP StopTime override]],IF(Master[[#This Row],[Avg stop time helper]] &lt;&gt; 0, Master[[#This Row],[Avg stop time helper]],Average_Stop_Time))</f>
        <v>#DIV/0!</v>
      </c>
      <c r="AV785" s="21"/>
      <c r="AW785" s="20">
        <f>Master[[#This Row],[RSP StopTime override]]-Master[[#This Row],[Avg stop time helper]]</f>
        <v>0</v>
      </c>
    </row>
    <row r="786" spans="1:49" x14ac:dyDescent="0.3">
      <c r="A786" s="66" t="s">
        <v>4054</v>
      </c>
      <c r="B786" s="58">
        <v>51</v>
      </c>
      <c r="C786" s="58" t="s">
        <v>35</v>
      </c>
      <c r="D786" s="65">
        <v>99161</v>
      </c>
      <c r="E786" s="65" t="s">
        <v>1971</v>
      </c>
      <c r="F786" s="65" t="s">
        <v>3695</v>
      </c>
      <c r="G786" s="65" t="s">
        <v>1970</v>
      </c>
      <c r="H786" s="65" t="s">
        <v>7</v>
      </c>
      <c r="I786" s="65" t="s">
        <v>1851</v>
      </c>
      <c r="J786" s="65" t="s">
        <v>5</v>
      </c>
      <c r="K786" s="65" t="s">
        <v>1850</v>
      </c>
      <c r="L786" s="64" t="s">
        <v>67</v>
      </c>
      <c r="M786" s="58" t="s">
        <v>3</v>
      </c>
      <c r="N786" s="58" t="s">
        <v>2</v>
      </c>
      <c r="O786" s="58">
        <v>1</v>
      </c>
      <c r="P786" s="58">
        <v>0</v>
      </c>
      <c r="Q786" s="58">
        <v>1</v>
      </c>
      <c r="R786" s="58">
        <v>0</v>
      </c>
      <c r="S786" s="58">
        <v>0</v>
      </c>
      <c r="T786" s="58">
        <v>0</v>
      </c>
      <c r="U786" s="58">
        <v>1</v>
      </c>
      <c r="V786" s="62"/>
      <c r="W786" s="62"/>
      <c r="X786" s="63">
        <f>IFERROR(1 -(Master[[#This Row],[Avg Garment Scans per Delivery]]/Master[[#This Row],[Garment Inventory]]), 0)</f>
        <v>0</v>
      </c>
      <c r="Y786" s="62"/>
      <c r="Z786" s="62"/>
      <c r="AA786" s="53"/>
      <c r="AB786" s="53"/>
      <c r="AC786" s="53"/>
      <c r="AD786" s="53"/>
      <c r="AE786" s="53" t="str">
        <f>_xlfn.XLOOKUP(Master[[#This Row],[cu_id]],'[1]Customer Revenue'!$Q:$Q,'[1]Customer Revenue'!$K:$K, "None")</f>
        <v>None</v>
      </c>
      <c r="AF786" s="53" t="str">
        <f>_xlfn.XLOOKUP(Master[[#This Row],[cu_id]],'[1]Customer Revenue'!$Q:$Q,'[1]Customer Revenue'!$L:$L, "None")</f>
        <v>None</v>
      </c>
      <c r="AG786" s="53">
        <v>57.88</v>
      </c>
      <c r="AH786" s="53">
        <v>57.88</v>
      </c>
      <c r="AI786" s="53"/>
      <c r="AJ786" s="53"/>
      <c r="AK786" s="53" t="str">
        <f>_xlfn.XLOOKUP(Master[[#This Row],[cu_id]],'[1]Customer Revenue'!$Q:$Q,'[1]Customer Revenue'!$I:$I, "None")</f>
        <v>None</v>
      </c>
      <c r="AL786" s="53">
        <v>57.88</v>
      </c>
      <c r="AM786" s="61">
        <v>0.20833333333333334</v>
      </c>
      <c r="AN786" s="60">
        <v>0.91666666666666663</v>
      </c>
      <c r="AO786" s="60" t="s">
        <v>36</v>
      </c>
      <c r="AP786" s="60" t="s">
        <v>36</v>
      </c>
      <c r="AQ786" s="58" t="s">
        <v>0</v>
      </c>
      <c r="AR786" s="58"/>
      <c r="AS786" s="58"/>
      <c r="AT786" s="52">
        <v>0</v>
      </c>
      <c r="AU786" s="52" t="e">
        <f>IF(Master[[#This Row],[RSP StopTime override]] &lt;&gt; "",Master[[#This Row],[RSP StopTime override]],IF(Master[[#This Row],[Avg stop time helper]] &lt;&gt; 0, Master[[#This Row],[Avg stop time helper]],Average_Stop_Time))</f>
        <v>#DIV/0!</v>
      </c>
      <c r="AV786" s="21"/>
      <c r="AW786" s="20">
        <f>Master[[#This Row],[RSP StopTime override]]-Master[[#This Row],[Avg stop time helper]]</f>
        <v>0</v>
      </c>
    </row>
    <row r="787" spans="1:49" x14ac:dyDescent="0.3">
      <c r="A787" s="73" t="s">
        <v>4038</v>
      </c>
      <c r="B787" s="64">
        <v>51</v>
      </c>
      <c r="C787" s="64" t="s">
        <v>35</v>
      </c>
      <c r="D787" s="65">
        <v>99161</v>
      </c>
      <c r="E787" s="65" t="s">
        <v>1969</v>
      </c>
      <c r="F787" s="65" t="s">
        <v>3696</v>
      </c>
      <c r="G787" s="65" t="s">
        <v>1968</v>
      </c>
      <c r="H787" s="65" t="s">
        <v>7</v>
      </c>
      <c r="I787" s="65" t="s">
        <v>1967</v>
      </c>
      <c r="J787" s="65" t="s">
        <v>5</v>
      </c>
      <c r="K787" s="65" t="s">
        <v>1850</v>
      </c>
      <c r="L787" s="64" t="s">
        <v>67</v>
      </c>
      <c r="M787" s="65" t="s">
        <v>3</v>
      </c>
      <c r="N787" s="65" t="s">
        <v>2</v>
      </c>
      <c r="O787" s="65">
        <v>1</v>
      </c>
      <c r="P787" s="65">
        <v>0</v>
      </c>
      <c r="Q787" s="65">
        <v>1</v>
      </c>
      <c r="R787" s="65">
        <v>0</v>
      </c>
      <c r="S787" s="65">
        <v>0</v>
      </c>
      <c r="T787" s="65">
        <v>0</v>
      </c>
      <c r="U787" s="65"/>
      <c r="V787" s="65"/>
      <c r="W787" s="65"/>
      <c r="X787" s="72">
        <f>IFERROR(1 -(Master[[#This Row],[Avg Garment Scans per Delivery]]/Master[[#This Row],[Garment Inventory]]), 0)</f>
        <v>0</v>
      </c>
      <c r="Y787" s="65"/>
      <c r="Z787" s="65"/>
      <c r="AA787" s="53"/>
      <c r="AB787" s="53"/>
      <c r="AC787" s="53"/>
      <c r="AD787" s="53"/>
      <c r="AE787" s="53" t="str">
        <f>_xlfn.XLOOKUP(Master[[#This Row],[cu_id]],'[1]Customer Revenue'!$Q:$Q,'[1]Customer Revenue'!$K:$K, "None")</f>
        <v>None</v>
      </c>
      <c r="AF787" s="53" t="str">
        <f>_xlfn.XLOOKUP(Master[[#This Row],[cu_id]],'[1]Customer Revenue'!$Q:$Q,'[1]Customer Revenue'!$L:$L, "None")</f>
        <v>None</v>
      </c>
      <c r="AG787" s="53"/>
      <c r="AH787" s="53"/>
      <c r="AI787" s="53"/>
      <c r="AJ787" s="53"/>
      <c r="AK787" s="53" t="str">
        <f>_xlfn.XLOOKUP(Master[[#This Row],[cu_id]],'[1]Customer Revenue'!$Q:$Q,'[1]Customer Revenue'!$I:$I, "None")</f>
        <v>None</v>
      </c>
      <c r="AL787" s="53"/>
      <c r="AM787" s="71" t="s">
        <v>1</v>
      </c>
      <c r="AN787" s="71" t="s">
        <v>1</v>
      </c>
      <c r="AO787" s="71" t="s">
        <v>36</v>
      </c>
      <c r="AP787" s="71" t="s">
        <v>36</v>
      </c>
      <c r="AQ787" s="64" t="s">
        <v>0</v>
      </c>
      <c r="AR787" s="64"/>
      <c r="AS787" s="65"/>
      <c r="AT787" s="52">
        <v>0</v>
      </c>
      <c r="AU787" s="52" t="e">
        <f>IF(Master[[#This Row],[RSP StopTime override]] &lt;&gt; "",Master[[#This Row],[RSP StopTime override]],IF(Master[[#This Row],[Avg stop time helper]] &lt;&gt; 0, Master[[#This Row],[Avg stop time helper]],Average_Stop_Time))</f>
        <v>#DIV/0!</v>
      </c>
      <c r="AV787" s="21"/>
      <c r="AW787" s="20">
        <f>Master[[#This Row],[RSP StopTime override]]-Master[[#This Row],[Avg stop time helper]]</f>
        <v>0</v>
      </c>
    </row>
    <row r="788" spans="1:49" x14ac:dyDescent="0.3">
      <c r="A788" s="81" t="s">
        <v>4821</v>
      </c>
      <c r="B788" s="79">
        <v>51</v>
      </c>
      <c r="C788" s="79" t="s">
        <v>15</v>
      </c>
      <c r="D788" s="80">
        <v>532896</v>
      </c>
      <c r="E788" s="80">
        <v>0</v>
      </c>
      <c r="F788" s="79" t="s">
        <v>1966</v>
      </c>
      <c r="G788" s="79" t="s">
        <v>1965</v>
      </c>
      <c r="H788" s="79" t="s">
        <v>7</v>
      </c>
      <c r="I788" s="79" t="s">
        <v>1955</v>
      </c>
      <c r="J788" s="79" t="s">
        <v>5</v>
      </c>
      <c r="K788" s="79" t="s">
        <v>1954</v>
      </c>
      <c r="L788" s="79">
        <v>5</v>
      </c>
      <c r="M788" s="79" t="s">
        <v>90</v>
      </c>
      <c r="N788" s="79" t="s">
        <v>2</v>
      </c>
      <c r="O788" s="58">
        <v>53</v>
      </c>
      <c r="P788" s="79">
        <v>0</v>
      </c>
      <c r="Q788" s="79">
        <v>0</v>
      </c>
      <c r="R788" s="79">
        <v>0</v>
      </c>
      <c r="S788" s="79">
        <v>0</v>
      </c>
      <c r="T788" s="79">
        <v>53</v>
      </c>
      <c r="U788" s="79"/>
      <c r="V788" s="79"/>
      <c r="W788" s="79"/>
      <c r="X788" s="79"/>
      <c r="Y788" s="79"/>
      <c r="Z788" s="79"/>
      <c r="AA788" s="78">
        <v>41.96</v>
      </c>
      <c r="AB788" s="78"/>
      <c r="AC788" s="78"/>
      <c r="AD788" s="78"/>
      <c r="AE788" s="53" t="str">
        <f>_xlfn.XLOOKUP(Master[[#This Row],[cu_id]],'[1]Customer Revenue'!$Q:$Q,'[1]Customer Revenue'!$K:$K, "None")</f>
        <v>None</v>
      </c>
      <c r="AF788" s="53" t="str">
        <f>_xlfn.XLOOKUP(Master[[#This Row],[cu_id]],'[1]Customer Revenue'!$Q:$Q,'[1]Customer Revenue'!$L:$L, "None")</f>
        <v>None</v>
      </c>
      <c r="AG788" s="78"/>
      <c r="AH788" s="78"/>
      <c r="AI788" s="78"/>
      <c r="AJ788" s="78"/>
      <c r="AK788" s="53" t="str">
        <f>_xlfn.XLOOKUP(Master[[#This Row],[cu_id]],'[1]Customer Revenue'!$Q:$Q,'[1]Customer Revenue'!$I:$I, "None")</f>
        <v>None</v>
      </c>
      <c r="AL788" s="78"/>
      <c r="AM788" s="77" t="s">
        <v>1</v>
      </c>
      <c r="AN788" s="77" t="s">
        <v>1</v>
      </c>
      <c r="AO788" s="77" t="s">
        <v>36</v>
      </c>
      <c r="AP788" s="77" t="s">
        <v>36</v>
      </c>
      <c r="AQ788" s="77" t="s">
        <v>0</v>
      </c>
      <c r="AR788" s="77"/>
      <c r="AS788" s="76"/>
      <c r="AT788" s="76"/>
      <c r="AU788" s="76"/>
      <c r="AV788" s="75"/>
      <c r="AW788" s="20">
        <f>Master[[#This Row],[RSP StopTime override]]-Master[[#This Row],[Avg stop time helper]]</f>
        <v>0</v>
      </c>
    </row>
    <row r="789" spans="1:49" x14ac:dyDescent="0.3">
      <c r="A789" s="66" t="s">
        <v>4822</v>
      </c>
      <c r="B789" s="58">
        <v>51</v>
      </c>
      <c r="C789" s="58" t="s">
        <v>10</v>
      </c>
      <c r="D789" s="65">
        <v>99097</v>
      </c>
      <c r="E789" s="65" t="s">
        <v>1632</v>
      </c>
      <c r="F789" s="65" t="s">
        <v>3697</v>
      </c>
      <c r="G789" s="65" t="s">
        <v>1964</v>
      </c>
      <c r="H789" s="65" t="s">
        <v>7</v>
      </c>
      <c r="I789" s="65" t="s">
        <v>12</v>
      </c>
      <c r="J789" s="65" t="s">
        <v>5</v>
      </c>
      <c r="K789" s="65" t="s">
        <v>1578</v>
      </c>
      <c r="L789" s="64" t="s">
        <v>67</v>
      </c>
      <c r="M789" s="58" t="s">
        <v>3</v>
      </c>
      <c r="N789" s="58" t="s">
        <v>2</v>
      </c>
      <c r="O789" s="58">
        <v>168</v>
      </c>
      <c r="P789" s="58">
        <v>0</v>
      </c>
      <c r="Q789" s="58">
        <v>0</v>
      </c>
      <c r="R789" s="58">
        <v>168</v>
      </c>
      <c r="S789" s="58">
        <v>0</v>
      </c>
      <c r="T789" s="58">
        <v>0</v>
      </c>
      <c r="U789" s="58">
        <v>51</v>
      </c>
      <c r="V789" s="62">
        <v>30</v>
      </c>
      <c r="W789" s="62">
        <v>2</v>
      </c>
      <c r="X789" s="63">
        <f>IFERROR(1 -(Master[[#This Row],[Avg Garment Scans per Delivery]]/Master[[#This Row],[Garment Inventory]]), 0)</f>
        <v>0.93333333333333335</v>
      </c>
      <c r="Y789" s="62">
        <v>1</v>
      </c>
      <c r="Z789" s="62">
        <v>31</v>
      </c>
      <c r="AA789" s="53">
        <v>48.229013806706106</v>
      </c>
      <c r="AB789" s="53">
        <v>67.257652859960558</v>
      </c>
      <c r="AC789" s="53">
        <v>52.560769230769232</v>
      </c>
      <c r="AD789" s="53">
        <v>56.85923076923077</v>
      </c>
      <c r="AE789" s="53" t="str">
        <f>_xlfn.XLOOKUP(Master[[#This Row],[cu_id]],'[1]Customer Revenue'!$Q:$Q,'[1]Customer Revenue'!$K:$K, "None")</f>
        <v>None</v>
      </c>
      <c r="AF789" s="53" t="str">
        <f>_xlfn.XLOOKUP(Master[[#This Row],[cu_id]],'[1]Customer Revenue'!$Q:$Q,'[1]Customer Revenue'!$L:$L, "None")</f>
        <v>None</v>
      </c>
      <c r="AG789" s="53">
        <v>50.392128994082832</v>
      </c>
      <c r="AH789" s="53">
        <v>62.066271005917152</v>
      </c>
      <c r="AI789" s="53">
        <v>57.743333333333332</v>
      </c>
      <c r="AJ789" s="53">
        <v>54.71</v>
      </c>
      <c r="AK789" s="53" t="str">
        <f>_xlfn.XLOOKUP(Master[[#This Row],[cu_id]],'[1]Customer Revenue'!$Q:$Q,'[1]Customer Revenue'!$I:$I, "None")</f>
        <v>None</v>
      </c>
      <c r="AL789" s="53">
        <v>56.229199999999992</v>
      </c>
      <c r="AM789" s="61">
        <v>0.41666666666666669</v>
      </c>
      <c r="AN789" s="60">
        <v>0.91666666666666663</v>
      </c>
      <c r="AO789" s="60" t="s">
        <v>36</v>
      </c>
      <c r="AP789" s="60" t="s">
        <v>36</v>
      </c>
      <c r="AQ789" s="58" t="s">
        <v>0</v>
      </c>
      <c r="AR789" s="58"/>
      <c r="AS789" s="58"/>
      <c r="AT789" s="52">
        <v>0</v>
      </c>
      <c r="AU789" s="52" t="e">
        <f>IF(Master[[#This Row],[RSP StopTime override]] &lt;&gt; "",Master[[#This Row],[RSP StopTime override]],IF(Master[[#This Row],[Avg stop time helper]] &lt;&gt; 0, Master[[#This Row],[Avg stop time helper]],Average_Stop_Time))</f>
        <v>#DIV/0!</v>
      </c>
      <c r="AV789" s="21"/>
      <c r="AW789" s="20">
        <f>Master[[#This Row],[RSP StopTime override]]-Master[[#This Row],[Avg stop time helper]]</f>
        <v>0</v>
      </c>
    </row>
    <row r="790" spans="1:49" x14ac:dyDescent="0.3">
      <c r="A790" s="66" t="s">
        <v>4823</v>
      </c>
      <c r="B790" s="58">
        <v>51</v>
      </c>
      <c r="C790" s="58" t="s">
        <v>15</v>
      </c>
      <c r="D790" s="65">
        <v>532905</v>
      </c>
      <c r="E790" s="65" t="s">
        <v>42</v>
      </c>
      <c r="F790" s="65" t="s">
        <v>1963</v>
      </c>
      <c r="G790" s="65" t="s">
        <v>1962</v>
      </c>
      <c r="H790" s="65" t="s">
        <v>7</v>
      </c>
      <c r="I790" s="65" t="s">
        <v>1955</v>
      </c>
      <c r="J790" s="65" t="s">
        <v>5</v>
      </c>
      <c r="K790" s="65" t="s">
        <v>1954</v>
      </c>
      <c r="L790" s="64" t="s">
        <v>67</v>
      </c>
      <c r="M790" s="58" t="s">
        <v>3</v>
      </c>
      <c r="N790" s="58" t="s">
        <v>2</v>
      </c>
      <c r="O790" s="58">
        <v>140</v>
      </c>
      <c r="P790" s="58">
        <v>0</v>
      </c>
      <c r="Q790" s="58">
        <v>0</v>
      </c>
      <c r="R790" s="58">
        <v>0</v>
      </c>
      <c r="S790" s="58">
        <v>0</v>
      </c>
      <c r="T790" s="58">
        <v>140</v>
      </c>
      <c r="U790" s="58">
        <v>52</v>
      </c>
      <c r="V790" s="62">
        <v>22</v>
      </c>
      <c r="W790" s="62">
        <v>1</v>
      </c>
      <c r="X790" s="63">
        <f>IFERROR(1 -(Master[[#This Row],[Avg Garment Scans per Delivery]]/Master[[#This Row],[Garment Inventory]]), 0)</f>
        <v>0.95454545454545459</v>
      </c>
      <c r="Y790" s="62">
        <v>1</v>
      </c>
      <c r="Z790" s="62">
        <v>22</v>
      </c>
      <c r="AA790" s="53">
        <v>111.88458333333334</v>
      </c>
      <c r="AB790" s="53">
        <v>141.18375000000003</v>
      </c>
      <c r="AC790" s="53">
        <v>104.35197802197801</v>
      </c>
      <c r="AD790" s="53">
        <v>139.58340659340658</v>
      </c>
      <c r="AE790" s="53" t="str">
        <f>_xlfn.XLOOKUP(Master[[#This Row],[cu_id]],'[1]Customer Revenue'!$Q:$Q,'[1]Customer Revenue'!$K:$K, "None")</f>
        <v>None</v>
      </c>
      <c r="AF790" s="53" t="str">
        <f>_xlfn.XLOOKUP(Master[[#This Row],[cu_id]],'[1]Customer Revenue'!$Q:$Q,'[1]Customer Revenue'!$L:$L, "None")</f>
        <v>None</v>
      </c>
      <c r="AG790" s="53">
        <v>97.310416012558846</v>
      </c>
      <c r="AH790" s="53">
        <v>138.20266091051803</v>
      </c>
      <c r="AI790" s="53">
        <v>126.53416666666668</v>
      </c>
      <c r="AJ790" s="53">
        <v>121.9676923076923</v>
      </c>
      <c r="AK790" s="53" t="str">
        <f>_xlfn.XLOOKUP(Master[[#This Row],[cu_id]],'[1]Customer Revenue'!$Q:$Q,'[1]Customer Revenue'!$I:$I, "None")</f>
        <v>None</v>
      </c>
      <c r="AL790" s="53">
        <v>117.75653846153844</v>
      </c>
      <c r="AM790" s="61">
        <v>0.33333333333333331</v>
      </c>
      <c r="AN790" s="60">
        <v>0.70833333333333337</v>
      </c>
      <c r="AO790" s="60" t="s">
        <v>36</v>
      </c>
      <c r="AP790" s="60" t="s">
        <v>36</v>
      </c>
      <c r="AQ790" s="58" t="s">
        <v>0</v>
      </c>
      <c r="AR790" s="58"/>
      <c r="AS790" s="58"/>
      <c r="AT790" s="52">
        <v>0</v>
      </c>
      <c r="AU790" s="52" t="e">
        <f>IF(Master[[#This Row],[RSP StopTime override]] &lt;&gt; "",Master[[#This Row],[RSP StopTime override]],IF(Master[[#This Row],[Avg stop time helper]] &lt;&gt; 0, Master[[#This Row],[Avg stop time helper]],Average_Stop_Time))</f>
        <v>#DIV/0!</v>
      </c>
      <c r="AV790" s="21"/>
      <c r="AW790" s="20">
        <f>Master[[#This Row],[RSP StopTime override]]-Master[[#This Row],[Avg stop time helper]]</f>
        <v>0</v>
      </c>
    </row>
    <row r="791" spans="1:49" x14ac:dyDescent="0.3">
      <c r="A791" s="95" t="s">
        <v>4824</v>
      </c>
      <c r="B791" s="96">
        <v>52</v>
      </c>
      <c r="C791" s="104" t="s">
        <v>24</v>
      </c>
      <c r="D791" s="97">
        <v>531819</v>
      </c>
      <c r="E791" s="97" t="s">
        <v>42</v>
      </c>
      <c r="F791" s="97" t="s">
        <v>60</v>
      </c>
      <c r="G791" s="65" t="s">
        <v>59</v>
      </c>
      <c r="H791" s="65" t="s">
        <v>58</v>
      </c>
      <c r="I791" s="65" t="s">
        <v>12</v>
      </c>
      <c r="J791" s="65" t="s">
        <v>5</v>
      </c>
      <c r="K791" s="65" t="s">
        <v>57</v>
      </c>
      <c r="L791" s="64">
        <v>7</v>
      </c>
      <c r="M791" s="58" t="s">
        <v>3</v>
      </c>
      <c r="N791" s="58" t="s">
        <v>2</v>
      </c>
      <c r="O791" s="58">
        <v>90</v>
      </c>
      <c r="P791" s="58">
        <v>90</v>
      </c>
      <c r="Q791" s="58">
        <v>0</v>
      </c>
      <c r="R791" s="58">
        <v>0</v>
      </c>
      <c r="S791" s="58">
        <v>0</v>
      </c>
      <c r="T791" s="58">
        <v>31</v>
      </c>
      <c r="U791" s="58">
        <v>75</v>
      </c>
      <c r="V791" s="62"/>
      <c r="W791" s="62"/>
      <c r="X791" s="63">
        <v>0</v>
      </c>
      <c r="Y791" s="62"/>
      <c r="Z791" s="62"/>
      <c r="AA791" s="53"/>
      <c r="AB791" s="53"/>
      <c r="AC791" s="53">
        <v>200</v>
      </c>
      <c r="AD791" s="53">
        <v>200</v>
      </c>
      <c r="AE791" s="53">
        <v>70</v>
      </c>
      <c r="AF791" s="53">
        <v>184.7</v>
      </c>
      <c r="AG791" s="53"/>
      <c r="AH791" s="53"/>
      <c r="AI791" s="53"/>
      <c r="AJ791" s="53">
        <v>69.057500000000019</v>
      </c>
      <c r="AK791" s="53">
        <v>127</v>
      </c>
      <c r="AL791" s="53">
        <v>74.112727272727241</v>
      </c>
      <c r="AM791" s="61">
        <v>0.33333333333333331</v>
      </c>
      <c r="AN791" s="60">
        <v>0.70833333333333337</v>
      </c>
      <c r="AO791" s="60" t="s">
        <v>36</v>
      </c>
      <c r="AP791" s="60" t="s">
        <v>36</v>
      </c>
      <c r="AQ791" s="99" t="s">
        <v>0</v>
      </c>
      <c r="AR791" s="99"/>
      <c r="AS791" s="99"/>
      <c r="AT791" s="52">
        <v>0</v>
      </c>
      <c r="AU791" s="100"/>
      <c r="AV791" s="21">
        <v>0</v>
      </c>
    </row>
    <row r="792" spans="1:49" x14ac:dyDescent="0.3">
      <c r="A792" s="66" t="s">
        <v>4825</v>
      </c>
      <c r="B792" s="58">
        <v>51</v>
      </c>
      <c r="C792" s="58" t="s">
        <v>35</v>
      </c>
      <c r="D792" s="65">
        <v>532981</v>
      </c>
      <c r="E792" s="65" t="s">
        <v>42</v>
      </c>
      <c r="F792" s="65" t="s">
        <v>1953</v>
      </c>
      <c r="G792" s="65" t="s">
        <v>1952</v>
      </c>
      <c r="H792" s="65" t="s">
        <v>7</v>
      </c>
      <c r="I792" s="65" t="s">
        <v>1951</v>
      </c>
      <c r="J792" s="65" t="s">
        <v>5</v>
      </c>
      <c r="K792" s="65" t="s">
        <v>1950</v>
      </c>
      <c r="L792" s="64">
        <v>6</v>
      </c>
      <c r="M792" s="58" t="s">
        <v>90</v>
      </c>
      <c r="N792" s="58" t="s">
        <v>2</v>
      </c>
      <c r="O792" s="58">
        <v>40</v>
      </c>
      <c r="P792" s="58">
        <v>0</v>
      </c>
      <c r="Q792" s="58">
        <v>40</v>
      </c>
      <c r="R792" s="58">
        <v>0</v>
      </c>
      <c r="S792" s="58">
        <v>0</v>
      </c>
      <c r="T792" s="58">
        <v>0</v>
      </c>
      <c r="U792" s="58">
        <v>13</v>
      </c>
      <c r="V792" s="62"/>
      <c r="W792" s="62"/>
      <c r="X792" s="63">
        <f>IFERROR(1 -(Master[[#This Row],[Avg Garment Scans per Delivery]]/Master[[#This Row],[Garment Inventory]]), 0)</f>
        <v>0</v>
      </c>
      <c r="Y792" s="62"/>
      <c r="Z792" s="62"/>
      <c r="AA792" s="53">
        <v>128.19</v>
      </c>
      <c r="AB792" s="53">
        <v>157.47000000000003</v>
      </c>
      <c r="AC792" s="53"/>
      <c r="AD792" s="53"/>
      <c r="AE792" s="53" t="str">
        <f>_xlfn.XLOOKUP(Master[[#This Row],[cu_id]],'[1]Customer Revenue'!$Q:$Q,'[1]Customer Revenue'!$K:$K, "None")</f>
        <v>None</v>
      </c>
      <c r="AF792" s="53" t="str">
        <f>_xlfn.XLOOKUP(Master[[#This Row],[cu_id]],'[1]Customer Revenue'!$Q:$Q,'[1]Customer Revenue'!$L:$L, "None")</f>
        <v>None</v>
      </c>
      <c r="AG792" s="53">
        <v>129.24185185185183</v>
      </c>
      <c r="AH792" s="53">
        <v>181.40481481481481</v>
      </c>
      <c r="AI792" s="53">
        <v>142.83000000000001</v>
      </c>
      <c r="AJ792" s="53"/>
      <c r="AK792" s="53" t="str">
        <f>_xlfn.XLOOKUP(Master[[#This Row],[cu_id]],'[1]Customer Revenue'!$Q:$Q,'[1]Customer Revenue'!$I:$I, "None")</f>
        <v>None</v>
      </c>
      <c r="AL792" s="53">
        <v>155.32333333333332</v>
      </c>
      <c r="AM792" s="61">
        <v>0.33333333333333331</v>
      </c>
      <c r="AN792" s="60">
        <v>0.70833333333333337</v>
      </c>
      <c r="AO792" s="60" t="s">
        <v>36</v>
      </c>
      <c r="AP792" s="60" t="s">
        <v>36</v>
      </c>
      <c r="AQ792" s="58" t="s">
        <v>0</v>
      </c>
      <c r="AR792" s="58"/>
      <c r="AS792" s="58"/>
      <c r="AT792" s="52">
        <v>0</v>
      </c>
      <c r="AU792" s="52" t="e">
        <f>IF(Master[[#This Row],[RSP StopTime override]] &lt;&gt; "",Master[[#This Row],[RSP StopTime override]],IF(Master[[#This Row],[Avg stop time helper]] &lt;&gt; 0, Master[[#This Row],[Avg stop time helper]],Average_Stop_Time))</f>
        <v>#DIV/0!</v>
      </c>
      <c r="AV792" s="21"/>
      <c r="AW792" s="20">
        <f>Master[[#This Row],[RSP StopTime override]]-Master[[#This Row],[Avg stop time helper]]</f>
        <v>0</v>
      </c>
    </row>
    <row r="793" spans="1:49" x14ac:dyDescent="0.3">
      <c r="A793" s="73" t="s">
        <v>4826</v>
      </c>
      <c r="B793" s="64">
        <v>51</v>
      </c>
      <c r="C793" s="64" t="s">
        <v>43</v>
      </c>
      <c r="D793" s="65">
        <v>99161</v>
      </c>
      <c r="E793" s="65" t="s">
        <v>1505</v>
      </c>
      <c r="F793" s="65" t="s">
        <v>1949</v>
      </c>
      <c r="G793" s="65" t="s">
        <v>1948</v>
      </c>
      <c r="H793" s="65" t="s">
        <v>7</v>
      </c>
      <c r="I793" s="65" t="s">
        <v>1844</v>
      </c>
      <c r="J793" s="65" t="s">
        <v>5</v>
      </c>
      <c r="K793" s="65" t="s">
        <v>1843</v>
      </c>
      <c r="L793" s="64" t="s">
        <v>67</v>
      </c>
      <c r="M793" s="65" t="s">
        <v>3</v>
      </c>
      <c r="N793" s="65" t="s">
        <v>2</v>
      </c>
      <c r="O793" s="65">
        <v>14</v>
      </c>
      <c r="P793" s="65">
        <v>0</v>
      </c>
      <c r="Q793" s="65">
        <v>0</v>
      </c>
      <c r="R793" s="65">
        <v>0</v>
      </c>
      <c r="S793" s="65">
        <v>14</v>
      </c>
      <c r="T793" s="65">
        <v>0</v>
      </c>
      <c r="U793" s="65"/>
      <c r="V793" s="65"/>
      <c r="W793" s="65"/>
      <c r="X793" s="72">
        <f>IFERROR(1 -(Master[[#This Row],[Avg Garment Scans per Delivery]]/Master[[#This Row],[Garment Inventory]]), 0)</f>
        <v>0</v>
      </c>
      <c r="Y793" s="65"/>
      <c r="Z793" s="65"/>
      <c r="AA793" s="53"/>
      <c r="AB793" s="53"/>
      <c r="AC793" s="53"/>
      <c r="AD793" s="53"/>
      <c r="AE793" s="53" t="str">
        <f>_xlfn.XLOOKUP(Master[[#This Row],[cu_id]],'[1]Customer Revenue'!$Q:$Q,'[1]Customer Revenue'!$K:$K, "None")</f>
        <v>None</v>
      </c>
      <c r="AF793" s="53" t="str">
        <f>_xlfn.XLOOKUP(Master[[#This Row],[cu_id]],'[1]Customer Revenue'!$Q:$Q,'[1]Customer Revenue'!$L:$L, "None")</f>
        <v>None</v>
      </c>
      <c r="AG793" s="53"/>
      <c r="AH793" s="53"/>
      <c r="AI793" s="53"/>
      <c r="AJ793" s="53"/>
      <c r="AK793" s="53" t="str">
        <f>_xlfn.XLOOKUP(Master[[#This Row],[cu_id]],'[1]Customer Revenue'!$Q:$Q,'[1]Customer Revenue'!$I:$I, "None")</f>
        <v>None</v>
      </c>
      <c r="AL793" s="53"/>
      <c r="AM793" s="71" t="s">
        <v>1</v>
      </c>
      <c r="AN793" s="71" t="s">
        <v>1</v>
      </c>
      <c r="AO793" s="71" t="s">
        <v>36</v>
      </c>
      <c r="AP793" s="71" t="s">
        <v>36</v>
      </c>
      <c r="AQ793" s="64" t="s">
        <v>0</v>
      </c>
      <c r="AR793" s="64"/>
      <c r="AS793" s="65"/>
      <c r="AT793" s="52">
        <v>0</v>
      </c>
      <c r="AU793" s="52" t="e">
        <f>IF(Master[[#This Row],[RSP StopTime override]] &lt;&gt; "",Master[[#This Row],[RSP StopTime override]],IF(Master[[#This Row],[Avg stop time helper]] &lt;&gt; 0, Master[[#This Row],[Avg stop time helper]],Average_Stop_Time))</f>
        <v>#DIV/0!</v>
      </c>
      <c r="AV793" s="21"/>
      <c r="AW793" s="20">
        <f>Master[[#This Row],[RSP StopTime override]]-Master[[#This Row],[Avg stop time helper]]</f>
        <v>0</v>
      </c>
    </row>
    <row r="794" spans="1:49" x14ac:dyDescent="0.3">
      <c r="A794" s="66" t="s">
        <v>4827</v>
      </c>
      <c r="B794" s="58">
        <v>51</v>
      </c>
      <c r="C794" s="58" t="s">
        <v>35</v>
      </c>
      <c r="D794" s="65">
        <v>533043</v>
      </c>
      <c r="E794" s="65" t="s">
        <v>42</v>
      </c>
      <c r="F794" s="65" t="s">
        <v>1947</v>
      </c>
      <c r="G794" s="65" t="s">
        <v>1946</v>
      </c>
      <c r="H794" s="65" t="s">
        <v>7</v>
      </c>
      <c r="I794" s="65" t="s">
        <v>1870</v>
      </c>
      <c r="J794" s="65" t="s">
        <v>5</v>
      </c>
      <c r="K794" s="65" t="s">
        <v>1869</v>
      </c>
      <c r="L794" s="64" t="s">
        <v>206</v>
      </c>
      <c r="M794" s="58" t="s">
        <v>205</v>
      </c>
      <c r="N794" s="58" t="s">
        <v>2</v>
      </c>
      <c r="O794" s="58">
        <v>37</v>
      </c>
      <c r="P794" s="58">
        <v>0</v>
      </c>
      <c r="Q794" s="58">
        <v>37</v>
      </c>
      <c r="R794" s="58">
        <v>0</v>
      </c>
      <c r="S794" s="58">
        <v>0</v>
      </c>
      <c r="T794" s="58">
        <v>0</v>
      </c>
      <c r="U794" s="58">
        <v>7</v>
      </c>
      <c r="V794" s="62"/>
      <c r="W794" s="62"/>
      <c r="X794" s="63">
        <f>IFERROR(1 -(Master[[#This Row],[Avg Garment Scans per Delivery]]/Master[[#This Row],[Garment Inventory]]), 0)</f>
        <v>0</v>
      </c>
      <c r="Y794" s="62"/>
      <c r="Z794" s="62"/>
      <c r="AA794" s="53">
        <v>35</v>
      </c>
      <c r="AB794" s="53">
        <v>283.55</v>
      </c>
      <c r="AC794" s="53"/>
      <c r="AD794" s="53"/>
      <c r="AE794" s="53" t="str">
        <f>_xlfn.XLOOKUP(Master[[#This Row],[cu_id]],'[1]Customer Revenue'!$Q:$Q,'[1]Customer Revenue'!$K:$K, "None")</f>
        <v>None</v>
      </c>
      <c r="AF794" s="53" t="str">
        <f>_xlfn.XLOOKUP(Master[[#This Row],[cu_id]],'[1]Customer Revenue'!$Q:$Q,'[1]Customer Revenue'!$L:$L, "None")</f>
        <v>None</v>
      </c>
      <c r="AG794" s="53">
        <v>48.99799999999999</v>
      </c>
      <c r="AH794" s="53">
        <v>239.822</v>
      </c>
      <c r="AI794" s="53">
        <v>159.27500000000001</v>
      </c>
      <c r="AJ794" s="53"/>
      <c r="AK794" s="53" t="str">
        <f>_xlfn.XLOOKUP(Master[[#This Row],[cu_id]],'[1]Customer Revenue'!$Q:$Q,'[1]Customer Revenue'!$I:$I, "None")</f>
        <v>None</v>
      </c>
      <c r="AL794" s="53">
        <v>144.41</v>
      </c>
      <c r="AM794" s="61">
        <v>0.33333333333333331</v>
      </c>
      <c r="AN794" s="60">
        <v>0.70833333333333337</v>
      </c>
      <c r="AO794" s="60" t="s">
        <v>36</v>
      </c>
      <c r="AP794" s="60" t="s">
        <v>36</v>
      </c>
      <c r="AQ794" s="58" t="s">
        <v>0</v>
      </c>
      <c r="AR794" s="58"/>
      <c r="AS794" s="58"/>
      <c r="AT794" s="52">
        <v>0</v>
      </c>
      <c r="AU794" s="52" t="e">
        <f>IF(Master[[#This Row],[RSP StopTime override]] &lt;&gt; "",Master[[#This Row],[RSP StopTime override]],IF(Master[[#This Row],[Avg stop time helper]] &lt;&gt; 0, Master[[#This Row],[Avg stop time helper]],Average_Stop_Time))</f>
        <v>#DIV/0!</v>
      </c>
      <c r="AV794" s="21"/>
      <c r="AW794" s="20">
        <f>Master[[#This Row],[RSP StopTime override]]-Master[[#This Row],[Avg stop time helper]]</f>
        <v>0</v>
      </c>
    </row>
    <row r="795" spans="1:49" x14ac:dyDescent="0.3">
      <c r="A795" s="66" t="s">
        <v>4828</v>
      </c>
      <c r="B795" s="58">
        <v>51</v>
      </c>
      <c r="C795" s="58" t="s">
        <v>35</v>
      </c>
      <c r="D795" s="65">
        <v>99117</v>
      </c>
      <c r="E795" s="65" t="s">
        <v>1945</v>
      </c>
      <c r="F795" s="65" t="s">
        <v>3698</v>
      </c>
      <c r="G795" s="65" t="s">
        <v>1944</v>
      </c>
      <c r="H795" s="65" t="s">
        <v>1943</v>
      </c>
      <c r="I795" s="65" t="s">
        <v>1907</v>
      </c>
      <c r="J795" s="65" t="s">
        <v>5</v>
      </c>
      <c r="K795" s="65" t="s">
        <v>1906</v>
      </c>
      <c r="L795" s="64" t="s">
        <v>67</v>
      </c>
      <c r="M795" s="58" t="s">
        <v>3</v>
      </c>
      <c r="N795" s="58" t="s">
        <v>2</v>
      </c>
      <c r="O795" s="58">
        <v>60</v>
      </c>
      <c r="P795" s="58">
        <v>0</v>
      </c>
      <c r="Q795" s="58">
        <v>60</v>
      </c>
      <c r="R795" s="58">
        <v>0</v>
      </c>
      <c r="S795" s="58">
        <v>0</v>
      </c>
      <c r="T795" s="58">
        <v>0</v>
      </c>
      <c r="U795" s="58">
        <v>52</v>
      </c>
      <c r="V795" s="62"/>
      <c r="W795" s="62"/>
      <c r="X795" s="63">
        <f>IFERROR(1 -(Master[[#This Row],[Avg Garment Scans per Delivery]]/Master[[#This Row],[Garment Inventory]]), 0)</f>
        <v>0</v>
      </c>
      <c r="Y795" s="62"/>
      <c r="Z795" s="62"/>
      <c r="AA795" s="53">
        <v>54.876508875739638</v>
      </c>
      <c r="AB795" s="53">
        <v>60.977337278106511</v>
      </c>
      <c r="AC795" s="53">
        <v>48.616982248520699</v>
      </c>
      <c r="AD795" s="53">
        <v>58.150710059171587</v>
      </c>
      <c r="AE795" s="53" t="str">
        <f>_xlfn.XLOOKUP(Master[[#This Row],[cu_id]],'[1]Customer Revenue'!$Q:$Q,'[1]Customer Revenue'!$K:$K, "None")</f>
        <v>None</v>
      </c>
      <c r="AF795" s="53" t="str">
        <f>_xlfn.XLOOKUP(Master[[#This Row],[cu_id]],'[1]Customer Revenue'!$Q:$Q,'[1]Customer Revenue'!$L:$L, "None")</f>
        <v>None</v>
      </c>
      <c r="AG795" s="53">
        <v>49.848579881656832</v>
      </c>
      <c r="AH795" s="53">
        <v>58.260650887574016</v>
      </c>
      <c r="AI795" s="53">
        <v>57.926923076923075</v>
      </c>
      <c r="AJ795" s="53">
        <v>53.383846153846143</v>
      </c>
      <c r="AK795" s="53" t="str">
        <f>_xlfn.XLOOKUP(Master[[#This Row],[cu_id]],'[1]Customer Revenue'!$Q:$Q,'[1]Customer Revenue'!$I:$I, "None")</f>
        <v>None</v>
      </c>
      <c r="AL795" s="53">
        <v>54.054615384615424</v>
      </c>
      <c r="AM795" s="61">
        <v>0.20833333333333334</v>
      </c>
      <c r="AN795" s="60">
        <v>0.91666666666666663</v>
      </c>
      <c r="AO795" s="60" t="s">
        <v>36</v>
      </c>
      <c r="AP795" s="60" t="s">
        <v>36</v>
      </c>
      <c r="AQ795" s="58" t="s">
        <v>308</v>
      </c>
      <c r="AR795" s="58"/>
      <c r="AS795" s="58"/>
      <c r="AT795" s="52">
        <v>0</v>
      </c>
      <c r="AU795" s="52" t="e">
        <f>IF(Master[[#This Row],[RSP StopTime override]] &lt;&gt; "",Master[[#This Row],[RSP StopTime override]],IF(Master[[#This Row],[Avg stop time helper]] &lt;&gt; 0, Master[[#This Row],[Avg stop time helper]],Average_Stop_Time))</f>
        <v>#DIV/0!</v>
      </c>
      <c r="AV795" s="21"/>
      <c r="AW795" s="20">
        <f>Master[[#This Row],[RSP StopTime override]]-Master[[#This Row],[Avg stop time helper]]</f>
        <v>0</v>
      </c>
    </row>
    <row r="796" spans="1:49" x14ac:dyDescent="0.3">
      <c r="A796" s="66" t="s">
        <v>4829</v>
      </c>
      <c r="B796" s="58">
        <v>51</v>
      </c>
      <c r="C796" s="58" t="s">
        <v>35</v>
      </c>
      <c r="D796" s="65">
        <v>99117</v>
      </c>
      <c r="E796" s="65" t="s">
        <v>1181</v>
      </c>
      <c r="F796" s="65" t="s">
        <v>3699</v>
      </c>
      <c r="G796" s="65" t="s">
        <v>1942</v>
      </c>
      <c r="H796" s="65" t="s">
        <v>7</v>
      </c>
      <c r="I796" s="65" t="s">
        <v>1851</v>
      </c>
      <c r="J796" s="65" t="s">
        <v>5</v>
      </c>
      <c r="K796" s="65" t="s">
        <v>1850</v>
      </c>
      <c r="L796" s="64" t="s">
        <v>67</v>
      </c>
      <c r="M796" s="58" t="s">
        <v>3</v>
      </c>
      <c r="N796" s="58" t="s">
        <v>2</v>
      </c>
      <c r="O796" s="58">
        <v>10</v>
      </c>
      <c r="P796" s="58">
        <v>0</v>
      </c>
      <c r="Q796" s="58">
        <v>10</v>
      </c>
      <c r="R796" s="58">
        <v>0</v>
      </c>
      <c r="S796" s="58">
        <v>0</v>
      </c>
      <c r="T796" s="58">
        <v>0</v>
      </c>
      <c r="U796" s="58">
        <v>52</v>
      </c>
      <c r="V796" s="62"/>
      <c r="W796" s="62"/>
      <c r="X796" s="63">
        <f>IFERROR(1 -(Master[[#This Row],[Avg Garment Scans per Delivery]]/Master[[#This Row],[Garment Inventory]]), 0)</f>
        <v>0</v>
      </c>
      <c r="Y796" s="62"/>
      <c r="Z796" s="62"/>
      <c r="AA796" s="53">
        <v>54.67739644970414</v>
      </c>
      <c r="AB796" s="53">
        <v>63.974911242603547</v>
      </c>
      <c r="AC796" s="53">
        <v>55.656390532544386</v>
      </c>
      <c r="AD796" s="53">
        <v>62.394378698224862</v>
      </c>
      <c r="AE796" s="53" t="str">
        <f>_xlfn.XLOOKUP(Master[[#This Row],[cu_id]],'[1]Customer Revenue'!$Q:$Q,'[1]Customer Revenue'!$K:$K, "None")</f>
        <v>None</v>
      </c>
      <c r="AF796" s="53" t="str">
        <f>_xlfn.XLOOKUP(Master[[#This Row],[cu_id]],'[1]Customer Revenue'!$Q:$Q,'[1]Customer Revenue'!$L:$L, "None")</f>
        <v>None</v>
      </c>
      <c r="AG796" s="53">
        <v>52.650295857988155</v>
      </c>
      <c r="AH796" s="53">
        <v>60.345088757396425</v>
      </c>
      <c r="AI796" s="53">
        <v>59.326153846153844</v>
      </c>
      <c r="AJ796" s="53">
        <v>59.025384615384624</v>
      </c>
      <c r="AK796" s="53" t="str">
        <f>_xlfn.XLOOKUP(Master[[#This Row],[cu_id]],'[1]Customer Revenue'!$Q:$Q,'[1]Customer Revenue'!$I:$I, "None")</f>
        <v>None</v>
      </c>
      <c r="AL796" s="53">
        <v>56.49769230769229</v>
      </c>
      <c r="AM796" s="61">
        <v>0.20833333333333334</v>
      </c>
      <c r="AN796" s="60">
        <v>0.91666666666666663</v>
      </c>
      <c r="AO796" s="60" t="s">
        <v>36</v>
      </c>
      <c r="AP796" s="60" t="s">
        <v>36</v>
      </c>
      <c r="AQ796" s="58" t="s">
        <v>308</v>
      </c>
      <c r="AR796" s="58"/>
      <c r="AS796" s="58"/>
      <c r="AT796" s="52">
        <v>0</v>
      </c>
      <c r="AU796" s="52" t="e">
        <f>IF(Master[[#This Row],[RSP StopTime override]] &lt;&gt; "",Master[[#This Row],[RSP StopTime override]],IF(Master[[#This Row],[Avg stop time helper]] &lt;&gt; 0, Master[[#This Row],[Avg stop time helper]],Average_Stop_Time))</f>
        <v>#DIV/0!</v>
      </c>
      <c r="AV796" s="21"/>
      <c r="AW796" s="20">
        <f>Master[[#This Row],[RSP StopTime override]]-Master[[#This Row],[Avg stop time helper]]</f>
        <v>0</v>
      </c>
    </row>
    <row r="797" spans="1:49" x14ac:dyDescent="0.3">
      <c r="A797" s="66" t="s">
        <v>4830</v>
      </c>
      <c r="B797" s="58">
        <v>51</v>
      </c>
      <c r="C797" s="58" t="s">
        <v>43</v>
      </c>
      <c r="D797" s="65">
        <v>99117</v>
      </c>
      <c r="E797" s="65" t="s">
        <v>1818</v>
      </c>
      <c r="F797" s="65" t="s">
        <v>3700</v>
      </c>
      <c r="G797" s="65" t="s">
        <v>1941</v>
      </c>
      <c r="H797" s="65" t="s">
        <v>7</v>
      </c>
      <c r="I797" s="65" t="s">
        <v>1844</v>
      </c>
      <c r="J797" s="65" t="s">
        <v>5</v>
      </c>
      <c r="K797" s="65" t="s">
        <v>1843</v>
      </c>
      <c r="L797" s="64" t="s">
        <v>67</v>
      </c>
      <c r="M797" s="58" t="s">
        <v>3</v>
      </c>
      <c r="N797" s="58" t="s">
        <v>2</v>
      </c>
      <c r="O797" s="58">
        <v>65</v>
      </c>
      <c r="P797" s="58">
        <v>0</v>
      </c>
      <c r="Q797" s="58">
        <v>0</v>
      </c>
      <c r="R797" s="58">
        <v>0</v>
      </c>
      <c r="S797" s="58">
        <v>65</v>
      </c>
      <c r="T797" s="58">
        <v>0</v>
      </c>
      <c r="U797" s="58">
        <v>53</v>
      </c>
      <c r="V797" s="62"/>
      <c r="W797" s="62"/>
      <c r="X797" s="63">
        <f>IFERROR(1 -(Master[[#This Row],[Avg Garment Scans per Delivery]]/Master[[#This Row],[Garment Inventory]]), 0)</f>
        <v>0</v>
      </c>
      <c r="Y797" s="62"/>
      <c r="Z797" s="62"/>
      <c r="AA797" s="53">
        <v>139.10360946745561</v>
      </c>
      <c r="AB797" s="53">
        <v>140.16869822485205</v>
      </c>
      <c r="AC797" s="53">
        <v>140.71189349112427</v>
      </c>
      <c r="AD797" s="53">
        <v>141.54502958579883</v>
      </c>
      <c r="AE797" s="53" t="str">
        <f>_xlfn.XLOOKUP(Master[[#This Row],[cu_id]],'[1]Customer Revenue'!$Q:$Q,'[1]Customer Revenue'!$K:$K, "None")</f>
        <v>None</v>
      </c>
      <c r="AF797" s="53" t="str">
        <f>_xlfn.XLOOKUP(Master[[#This Row],[cu_id]],'[1]Customer Revenue'!$Q:$Q,'[1]Customer Revenue'!$L:$L, "None")</f>
        <v>None</v>
      </c>
      <c r="AG797" s="53">
        <v>123.5316863905325</v>
      </c>
      <c r="AH797" s="53">
        <v>142.80600591715975</v>
      </c>
      <c r="AI797" s="53">
        <v>139.63615384615383</v>
      </c>
      <c r="AJ797" s="53">
        <v>141.12846153846155</v>
      </c>
      <c r="AK797" s="53" t="str">
        <f>_xlfn.XLOOKUP(Master[[#This Row],[cu_id]],'[1]Customer Revenue'!$Q:$Q,'[1]Customer Revenue'!$I:$I, "None")</f>
        <v>None</v>
      </c>
      <c r="AL797" s="53">
        <v>133.16884615384612</v>
      </c>
      <c r="AM797" s="61">
        <v>0.20833333333333334</v>
      </c>
      <c r="AN797" s="60">
        <v>0</v>
      </c>
      <c r="AO797" s="60" t="s">
        <v>36</v>
      </c>
      <c r="AP797" s="60" t="s">
        <v>36</v>
      </c>
      <c r="AQ797" s="58" t="s">
        <v>44</v>
      </c>
      <c r="AR797" s="58"/>
      <c r="AS797" s="58"/>
      <c r="AT797" s="52">
        <v>0</v>
      </c>
      <c r="AU797" s="52" t="e">
        <f>IF(Master[[#This Row],[RSP StopTime override]] &lt;&gt; "",Master[[#This Row],[RSP StopTime override]],IF(Master[[#This Row],[Avg stop time helper]] &lt;&gt; 0, Master[[#This Row],[Avg stop time helper]],Average_Stop_Time))</f>
        <v>#DIV/0!</v>
      </c>
      <c r="AV797" s="21"/>
      <c r="AW797" s="20">
        <f>Master[[#This Row],[RSP StopTime override]]-Master[[#This Row],[Avg stop time helper]]</f>
        <v>0</v>
      </c>
    </row>
    <row r="798" spans="1:49" x14ac:dyDescent="0.3">
      <c r="A798" s="66" t="s">
        <v>4831</v>
      </c>
      <c r="B798" s="58">
        <v>51</v>
      </c>
      <c r="C798" s="58" t="s">
        <v>43</v>
      </c>
      <c r="D798" s="65">
        <v>99117</v>
      </c>
      <c r="E798" s="65" t="s">
        <v>1363</v>
      </c>
      <c r="F798" s="65" t="s">
        <v>3701</v>
      </c>
      <c r="G798" s="65" t="s">
        <v>1940</v>
      </c>
      <c r="H798" s="65" t="s">
        <v>7</v>
      </c>
      <c r="I798" s="65" t="s">
        <v>1844</v>
      </c>
      <c r="J798" s="65" t="s">
        <v>5</v>
      </c>
      <c r="K798" s="65" t="s">
        <v>1843</v>
      </c>
      <c r="L798" s="64" t="s">
        <v>67</v>
      </c>
      <c r="M798" s="58" t="s">
        <v>3</v>
      </c>
      <c r="N798" s="58" t="s">
        <v>2</v>
      </c>
      <c r="O798" s="58">
        <v>5</v>
      </c>
      <c r="P798" s="58">
        <v>0</v>
      </c>
      <c r="Q798" s="58">
        <v>0</v>
      </c>
      <c r="R798" s="58">
        <v>0</v>
      </c>
      <c r="S798" s="58">
        <v>5</v>
      </c>
      <c r="T798" s="58">
        <v>0</v>
      </c>
      <c r="U798" s="58">
        <v>54</v>
      </c>
      <c r="V798" s="62"/>
      <c r="W798" s="62"/>
      <c r="X798" s="63">
        <f>IFERROR(1 -(Master[[#This Row],[Avg Garment Scans per Delivery]]/Master[[#This Row],[Garment Inventory]]), 0)</f>
        <v>0</v>
      </c>
      <c r="Y798" s="62"/>
      <c r="Z798" s="62"/>
      <c r="AA798" s="53">
        <v>77.233313609467459</v>
      </c>
      <c r="AB798" s="53">
        <v>89.598994082840235</v>
      </c>
      <c r="AC798" s="53">
        <v>72.491479289940827</v>
      </c>
      <c r="AD798" s="53">
        <v>80.551597633136083</v>
      </c>
      <c r="AE798" s="53" t="str">
        <f>_xlfn.XLOOKUP(Master[[#This Row],[cu_id]],'[1]Customer Revenue'!$Q:$Q,'[1]Customer Revenue'!$K:$K, "None")</f>
        <v>None</v>
      </c>
      <c r="AF798" s="53" t="str">
        <f>_xlfn.XLOOKUP(Master[[#This Row],[cu_id]],'[1]Customer Revenue'!$Q:$Q,'[1]Customer Revenue'!$L:$L, "None")</f>
        <v>None</v>
      </c>
      <c r="AG798" s="53">
        <v>66.263431952662728</v>
      </c>
      <c r="AH798" s="53">
        <v>84.673491124260352</v>
      </c>
      <c r="AI798" s="53">
        <v>83.416153846153847</v>
      </c>
      <c r="AJ798" s="53">
        <v>76.521538461538455</v>
      </c>
      <c r="AK798" s="53" t="str">
        <f>_xlfn.XLOOKUP(Master[[#This Row],[cu_id]],'[1]Customer Revenue'!$Q:$Q,'[1]Customer Revenue'!$I:$I, "None")</f>
        <v>None</v>
      </c>
      <c r="AL798" s="53">
        <v>75.46846153846154</v>
      </c>
      <c r="AM798" s="61">
        <v>0.20833333333333334</v>
      </c>
      <c r="AN798" s="60">
        <v>0</v>
      </c>
      <c r="AO798" s="60" t="s">
        <v>36</v>
      </c>
      <c r="AP798" s="60" t="s">
        <v>36</v>
      </c>
      <c r="AQ798" s="58" t="s">
        <v>44</v>
      </c>
      <c r="AR798" s="58"/>
      <c r="AS798" s="58"/>
      <c r="AT798" s="52">
        <v>0</v>
      </c>
      <c r="AU798" s="52" t="e">
        <f>IF(Master[[#This Row],[RSP StopTime override]] &lt;&gt; "",Master[[#This Row],[RSP StopTime override]],IF(Master[[#This Row],[Avg stop time helper]] &lt;&gt; 0, Master[[#This Row],[Avg stop time helper]],Average_Stop_Time))</f>
        <v>#DIV/0!</v>
      </c>
      <c r="AV798" s="21"/>
      <c r="AW798" s="20">
        <f>Master[[#This Row],[RSP StopTime override]]-Master[[#This Row],[Avg stop time helper]]</f>
        <v>0</v>
      </c>
    </row>
    <row r="799" spans="1:49" x14ac:dyDescent="0.3">
      <c r="A799" s="66" t="s">
        <v>4832</v>
      </c>
      <c r="B799" s="58">
        <v>51</v>
      </c>
      <c r="C799" s="58" t="s">
        <v>43</v>
      </c>
      <c r="D799" s="65">
        <v>99117</v>
      </c>
      <c r="E799" s="65" t="s">
        <v>1939</v>
      </c>
      <c r="F799" s="65" t="s">
        <v>3702</v>
      </c>
      <c r="G799" s="65" t="s">
        <v>1938</v>
      </c>
      <c r="H799" s="65" t="s">
        <v>1937</v>
      </c>
      <c r="I799" s="65" t="s">
        <v>1936</v>
      </c>
      <c r="J799" s="65" t="s">
        <v>5</v>
      </c>
      <c r="K799" s="65" t="s">
        <v>1935</v>
      </c>
      <c r="L799" s="64" t="s">
        <v>67</v>
      </c>
      <c r="M799" s="58" t="s">
        <v>3</v>
      </c>
      <c r="N799" s="58" t="s">
        <v>2</v>
      </c>
      <c r="O799" s="58">
        <v>70</v>
      </c>
      <c r="P799" s="58">
        <v>0</v>
      </c>
      <c r="Q799" s="58">
        <v>0</v>
      </c>
      <c r="R799" s="58">
        <v>0</v>
      </c>
      <c r="S799" s="58">
        <v>70</v>
      </c>
      <c r="T799" s="58">
        <v>0</v>
      </c>
      <c r="U799" s="58">
        <v>53</v>
      </c>
      <c r="V799" s="62"/>
      <c r="W799" s="62"/>
      <c r="X799" s="63">
        <f>IFERROR(1 -(Master[[#This Row],[Avg Garment Scans per Delivery]]/Master[[#This Row],[Garment Inventory]]), 0)</f>
        <v>0</v>
      </c>
      <c r="Y799" s="62"/>
      <c r="Z799" s="62"/>
      <c r="AA799" s="53">
        <v>33.353609467455627</v>
      </c>
      <c r="AB799" s="53">
        <v>34.418698224852079</v>
      </c>
      <c r="AC799" s="53">
        <v>23.811834319526625</v>
      </c>
      <c r="AD799" s="53">
        <v>32.366627218934909</v>
      </c>
      <c r="AE799" s="53" t="str">
        <f>_xlfn.XLOOKUP(Master[[#This Row],[cu_id]],'[1]Customer Revenue'!$Q:$Q,'[1]Customer Revenue'!$K:$K, "None")</f>
        <v>None</v>
      </c>
      <c r="AF799" s="53" t="str">
        <f>_xlfn.XLOOKUP(Master[[#This Row],[cu_id]],'[1]Customer Revenue'!$Q:$Q,'[1]Customer Revenue'!$L:$L, "None")</f>
        <v>None</v>
      </c>
      <c r="AG799" s="53">
        <v>26.25272189349112</v>
      </c>
      <c r="AH799" s="53">
        <v>34.604201183431947</v>
      </c>
      <c r="AI799" s="53">
        <v>33.886153846153853</v>
      </c>
      <c r="AJ799" s="53">
        <v>28.089230769230767</v>
      </c>
      <c r="AK799" s="53" t="str">
        <f>_xlfn.XLOOKUP(Master[[#This Row],[cu_id]],'[1]Customer Revenue'!$Q:$Q,'[1]Customer Revenue'!$I:$I, "None")</f>
        <v>None</v>
      </c>
      <c r="AL799" s="53">
        <v>30.428461538461534</v>
      </c>
      <c r="AM799" s="61">
        <v>0.20833333333333334</v>
      </c>
      <c r="AN799" s="60">
        <v>0</v>
      </c>
      <c r="AO799" s="60" t="s">
        <v>36</v>
      </c>
      <c r="AP799" s="60" t="s">
        <v>36</v>
      </c>
      <c r="AQ799" s="58" t="s">
        <v>44</v>
      </c>
      <c r="AR799" s="58"/>
      <c r="AS799" s="58"/>
      <c r="AT799" s="52">
        <v>0</v>
      </c>
      <c r="AU799" s="52" t="e">
        <f>IF(Master[[#This Row],[RSP StopTime override]] &lt;&gt; "",Master[[#This Row],[RSP StopTime override]],IF(Master[[#This Row],[Avg stop time helper]] &lt;&gt; 0, Master[[#This Row],[Avg stop time helper]],Average_Stop_Time))</f>
        <v>#DIV/0!</v>
      </c>
      <c r="AV799" s="21"/>
      <c r="AW799" s="20">
        <f>Master[[#This Row],[RSP StopTime override]]-Master[[#This Row],[Avg stop time helper]]</f>
        <v>0</v>
      </c>
    </row>
    <row r="800" spans="1:49" x14ac:dyDescent="0.3">
      <c r="A800" s="66" t="s">
        <v>4833</v>
      </c>
      <c r="B800" s="58">
        <v>51</v>
      </c>
      <c r="C800" s="58" t="s">
        <v>43</v>
      </c>
      <c r="D800" s="65">
        <v>99117</v>
      </c>
      <c r="E800" s="65" t="s">
        <v>1696</v>
      </c>
      <c r="F800" s="65" t="s">
        <v>3703</v>
      </c>
      <c r="G800" s="65" t="s">
        <v>1938</v>
      </c>
      <c r="H800" s="65" t="s">
        <v>1937</v>
      </c>
      <c r="I800" s="65" t="s">
        <v>1936</v>
      </c>
      <c r="J800" s="65" t="s">
        <v>5</v>
      </c>
      <c r="K800" s="65" t="s">
        <v>1935</v>
      </c>
      <c r="L800" s="64" t="s">
        <v>67</v>
      </c>
      <c r="M800" s="58" t="s">
        <v>3</v>
      </c>
      <c r="N800" s="58" t="s">
        <v>2</v>
      </c>
      <c r="O800" s="58">
        <v>71</v>
      </c>
      <c r="P800" s="58">
        <v>0</v>
      </c>
      <c r="Q800" s="58">
        <v>0</v>
      </c>
      <c r="R800" s="58">
        <v>0</v>
      </c>
      <c r="S800" s="58">
        <v>71</v>
      </c>
      <c r="T800" s="58">
        <v>0</v>
      </c>
      <c r="U800" s="58">
        <v>52</v>
      </c>
      <c r="V800" s="62"/>
      <c r="W800" s="62"/>
      <c r="X800" s="63">
        <f>IFERROR(1 -(Master[[#This Row],[Avg Garment Scans per Delivery]]/Master[[#This Row],[Garment Inventory]]), 0)</f>
        <v>0</v>
      </c>
      <c r="Y800" s="62"/>
      <c r="Z800" s="62"/>
      <c r="AA800" s="53">
        <v>8.289999999999992</v>
      </c>
      <c r="AB800" s="53">
        <v>8.2899999999999991</v>
      </c>
      <c r="AC800" s="53">
        <v>8.289999999999992</v>
      </c>
      <c r="AD800" s="53">
        <v>8.2899999999999991</v>
      </c>
      <c r="AE800" s="53" t="str">
        <f>_xlfn.XLOOKUP(Master[[#This Row],[cu_id]],'[1]Customer Revenue'!$Q:$Q,'[1]Customer Revenue'!$K:$K, "None")</f>
        <v>None</v>
      </c>
      <c r="AF800" s="53" t="str">
        <f>_xlfn.XLOOKUP(Master[[#This Row],[cu_id]],'[1]Customer Revenue'!$Q:$Q,'[1]Customer Revenue'!$L:$L, "None")</f>
        <v>None</v>
      </c>
      <c r="AG800" s="53">
        <v>8.0994674556212942</v>
      </c>
      <c r="AH800" s="53">
        <v>8.3389940828402338</v>
      </c>
      <c r="AI800" s="53">
        <v>8.2899999999999956</v>
      </c>
      <c r="AJ800" s="53">
        <v>8.2899999999999956</v>
      </c>
      <c r="AK800" s="53" t="str">
        <f>_xlfn.XLOOKUP(Master[[#This Row],[cu_id]],'[1]Customer Revenue'!$Q:$Q,'[1]Customer Revenue'!$I:$I, "None")</f>
        <v>None</v>
      </c>
      <c r="AL800" s="53">
        <v>8.219230769230764</v>
      </c>
      <c r="AM800" s="61">
        <v>0.375</v>
      </c>
      <c r="AN800" s="60">
        <v>0.875</v>
      </c>
      <c r="AO800" s="60" t="s">
        <v>36</v>
      </c>
      <c r="AP800" s="60" t="s">
        <v>36</v>
      </c>
      <c r="AQ800" s="58" t="s">
        <v>0</v>
      </c>
      <c r="AR800" s="58"/>
      <c r="AS800" s="58"/>
      <c r="AT800" s="52">
        <v>0</v>
      </c>
      <c r="AU800" s="52" t="e">
        <f>IF(Master[[#This Row],[RSP StopTime override]] &lt;&gt; "",Master[[#This Row],[RSP StopTime override]],IF(Master[[#This Row],[Avg stop time helper]] &lt;&gt; 0, Master[[#This Row],[Avg stop time helper]],Average_Stop_Time))</f>
        <v>#DIV/0!</v>
      </c>
      <c r="AV800" s="21"/>
      <c r="AW800" s="20">
        <f>Master[[#This Row],[RSP StopTime override]]-Master[[#This Row],[Avg stop time helper]]</f>
        <v>0</v>
      </c>
    </row>
    <row r="801" spans="1:49" x14ac:dyDescent="0.3">
      <c r="A801" s="66" t="s">
        <v>4834</v>
      </c>
      <c r="B801" s="58">
        <v>51</v>
      </c>
      <c r="C801" s="58" t="s">
        <v>10</v>
      </c>
      <c r="D801" s="65">
        <v>533123</v>
      </c>
      <c r="E801" s="65" t="s">
        <v>42</v>
      </c>
      <c r="F801" s="65" t="s">
        <v>1934</v>
      </c>
      <c r="G801" s="65" t="s">
        <v>1933</v>
      </c>
      <c r="H801" s="65" t="s">
        <v>7</v>
      </c>
      <c r="I801" s="65" t="s">
        <v>12</v>
      </c>
      <c r="J801" s="65" t="s">
        <v>5</v>
      </c>
      <c r="K801" s="65" t="s">
        <v>1578</v>
      </c>
      <c r="L801" s="64" t="s">
        <v>141</v>
      </c>
      <c r="M801" s="58" t="s">
        <v>140</v>
      </c>
      <c r="N801" s="58" t="s">
        <v>2</v>
      </c>
      <c r="O801" s="58">
        <v>155</v>
      </c>
      <c r="P801" s="58">
        <v>0</v>
      </c>
      <c r="Q801" s="58">
        <v>0</v>
      </c>
      <c r="R801" s="58">
        <v>155</v>
      </c>
      <c r="S801" s="58">
        <v>0</v>
      </c>
      <c r="T801" s="58">
        <v>0</v>
      </c>
      <c r="U801" s="58">
        <v>14</v>
      </c>
      <c r="V801" s="62">
        <v>72</v>
      </c>
      <c r="W801" s="62">
        <v>25</v>
      </c>
      <c r="X801" s="63">
        <f>IFERROR(1 -(Master[[#This Row],[Avg Garment Scans per Delivery]]/Master[[#This Row],[Garment Inventory]]), 0)</f>
        <v>0.65277777777777779</v>
      </c>
      <c r="Y801" s="62">
        <v>2</v>
      </c>
      <c r="Z801" s="62">
        <v>72</v>
      </c>
      <c r="AA801" s="53">
        <v>116.25555555555556</v>
      </c>
      <c r="AB801" s="53">
        <v>134.07777777777778</v>
      </c>
      <c r="AC801" s="53">
        <v>123.66222222222221</v>
      </c>
      <c r="AD801" s="53">
        <v>319.16444444444443</v>
      </c>
      <c r="AE801" s="53" t="str">
        <f>_xlfn.XLOOKUP(Master[[#This Row],[cu_id]],'[1]Customer Revenue'!$Q:$Q,'[1]Customer Revenue'!$K:$K, "None")</f>
        <v>None</v>
      </c>
      <c r="AF801" s="53" t="str">
        <f>_xlfn.XLOOKUP(Master[[#This Row],[cu_id]],'[1]Customer Revenue'!$Q:$Q,'[1]Customer Revenue'!$L:$L, "None")</f>
        <v>None</v>
      </c>
      <c r="AG801" s="53">
        <v>101.54241071428575</v>
      </c>
      <c r="AH801" s="53">
        <v>206.78616071428573</v>
      </c>
      <c r="AI801" s="53">
        <v>125.16666666666667</v>
      </c>
      <c r="AJ801" s="53">
        <v>221.41333333333333</v>
      </c>
      <c r="AK801" s="53" t="str">
        <f>_xlfn.XLOOKUP(Master[[#This Row],[cu_id]],'[1]Customer Revenue'!$Q:$Q,'[1]Customer Revenue'!$I:$I, "None")</f>
        <v>None</v>
      </c>
      <c r="AL801" s="53">
        <v>154.16428571428574</v>
      </c>
      <c r="AM801" s="61">
        <v>0.33333333333333331</v>
      </c>
      <c r="AN801" s="60">
        <v>0.79166666666666663</v>
      </c>
      <c r="AO801" s="60" t="s">
        <v>36</v>
      </c>
      <c r="AP801" s="60" t="s">
        <v>36</v>
      </c>
      <c r="AQ801" s="58" t="s">
        <v>0</v>
      </c>
      <c r="AR801" s="58"/>
      <c r="AS801" s="58"/>
      <c r="AT801" s="52">
        <v>0</v>
      </c>
      <c r="AU801" s="52" t="e">
        <f>IF(Master[[#This Row],[RSP StopTime override]] &lt;&gt; "",Master[[#This Row],[RSP StopTime override]],IF(Master[[#This Row],[Avg stop time helper]] &lt;&gt; 0, Master[[#This Row],[Avg stop time helper]],Average_Stop_Time))</f>
        <v>#DIV/0!</v>
      </c>
      <c r="AV801" s="21"/>
      <c r="AW801" s="20">
        <f>Master[[#This Row],[RSP StopTime override]]-Master[[#This Row],[Avg stop time helper]]</f>
        <v>0</v>
      </c>
    </row>
    <row r="802" spans="1:49" x14ac:dyDescent="0.3">
      <c r="A802" s="66" t="s">
        <v>4835</v>
      </c>
      <c r="B802" s="58">
        <v>51</v>
      </c>
      <c r="C802" s="58" t="s">
        <v>10</v>
      </c>
      <c r="D802" s="65">
        <v>533182</v>
      </c>
      <c r="E802" s="65" t="s">
        <v>42</v>
      </c>
      <c r="F802" s="65" t="s">
        <v>1932</v>
      </c>
      <c r="G802" s="65" t="s">
        <v>1931</v>
      </c>
      <c r="H802" s="65" t="s">
        <v>7</v>
      </c>
      <c r="I802" s="65" t="s">
        <v>1930</v>
      </c>
      <c r="J802" s="65" t="s">
        <v>5</v>
      </c>
      <c r="K802" s="65" t="s">
        <v>1929</v>
      </c>
      <c r="L802" s="64" t="s">
        <v>67</v>
      </c>
      <c r="M802" s="58" t="s">
        <v>3</v>
      </c>
      <c r="N802" s="58" t="s">
        <v>2</v>
      </c>
      <c r="O802" s="58">
        <v>15</v>
      </c>
      <c r="P802" s="58">
        <v>0</v>
      </c>
      <c r="Q802" s="58">
        <v>0</v>
      </c>
      <c r="R802" s="58">
        <v>15</v>
      </c>
      <c r="S802" s="58">
        <v>0</v>
      </c>
      <c r="T802" s="58">
        <v>0</v>
      </c>
      <c r="U802" s="58">
        <v>59</v>
      </c>
      <c r="V802" s="62"/>
      <c r="W802" s="62"/>
      <c r="X802" s="63">
        <f>IFERROR(1 -(Master[[#This Row],[Avg Garment Scans per Delivery]]/Master[[#This Row],[Garment Inventory]]), 0)</f>
        <v>0</v>
      </c>
      <c r="Y802" s="62"/>
      <c r="Z802" s="62"/>
      <c r="AA802" s="53">
        <v>98.460473372781053</v>
      </c>
      <c r="AB802" s="53">
        <v>161.52721893491122</v>
      </c>
      <c r="AC802" s="53">
        <v>99.332840236686394</v>
      </c>
      <c r="AD802" s="53">
        <v>170.41946745562134</v>
      </c>
      <c r="AE802" s="53" t="str">
        <f>_xlfn.XLOOKUP(Master[[#This Row],[cu_id]],'[1]Customer Revenue'!$Q:$Q,'[1]Customer Revenue'!$K:$K, "None")</f>
        <v>None</v>
      </c>
      <c r="AF802" s="53" t="str">
        <f>_xlfn.XLOOKUP(Master[[#This Row],[cu_id]],'[1]Customer Revenue'!$Q:$Q,'[1]Customer Revenue'!$L:$L, "None")</f>
        <v>None</v>
      </c>
      <c r="AG802" s="53">
        <v>84.598047337278103</v>
      </c>
      <c r="AH802" s="53">
        <v>160.87272189349108</v>
      </c>
      <c r="AI802" s="53">
        <v>129.99384615384614</v>
      </c>
      <c r="AJ802" s="53">
        <v>134.87615384615387</v>
      </c>
      <c r="AK802" s="53" t="str">
        <f>_xlfn.XLOOKUP(Master[[#This Row],[cu_id]],'[1]Customer Revenue'!$Q:$Q,'[1]Customer Revenue'!$I:$I, "None")</f>
        <v>None</v>
      </c>
      <c r="AL802" s="53">
        <v>122.73538461538459</v>
      </c>
      <c r="AM802" s="61">
        <v>0.3125</v>
      </c>
      <c r="AN802" s="60">
        <v>0.75</v>
      </c>
      <c r="AO802" s="60" t="s">
        <v>36</v>
      </c>
      <c r="AP802" s="60" t="s">
        <v>36</v>
      </c>
      <c r="AQ802" s="58" t="s">
        <v>116</v>
      </c>
      <c r="AR802" s="58"/>
      <c r="AS802" s="58"/>
      <c r="AT802" s="52">
        <v>0</v>
      </c>
      <c r="AU802" s="52" t="e">
        <f>IF(Master[[#This Row],[RSP StopTime override]] &lt;&gt; "",Master[[#This Row],[RSP StopTime override]],IF(Master[[#This Row],[Avg stop time helper]] &lt;&gt; 0, Master[[#This Row],[Avg stop time helper]],Average_Stop_Time))</f>
        <v>#DIV/0!</v>
      </c>
      <c r="AV802" s="21"/>
      <c r="AW802" s="20">
        <f>Master[[#This Row],[RSP StopTime override]]-Master[[#This Row],[Avg stop time helper]]</f>
        <v>0</v>
      </c>
    </row>
    <row r="803" spans="1:49" x14ac:dyDescent="0.3">
      <c r="A803" s="66" t="s">
        <v>4836</v>
      </c>
      <c r="B803" s="58">
        <v>51</v>
      </c>
      <c r="C803" s="58" t="s">
        <v>43</v>
      </c>
      <c r="D803" s="65">
        <v>533196</v>
      </c>
      <c r="E803" s="65" t="s">
        <v>42</v>
      </c>
      <c r="F803" s="65" t="s">
        <v>1928</v>
      </c>
      <c r="G803" s="65" t="s">
        <v>1927</v>
      </c>
      <c r="H803" s="65" t="s">
        <v>7</v>
      </c>
      <c r="I803" s="65" t="s">
        <v>1844</v>
      </c>
      <c r="J803" s="65" t="s">
        <v>5</v>
      </c>
      <c r="K803" s="65" t="s">
        <v>1843</v>
      </c>
      <c r="L803" s="64" t="s">
        <v>67</v>
      </c>
      <c r="M803" s="58" t="s">
        <v>3</v>
      </c>
      <c r="N803" s="58" t="s">
        <v>2</v>
      </c>
      <c r="O803" s="58">
        <v>40</v>
      </c>
      <c r="P803" s="58">
        <v>0</v>
      </c>
      <c r="Q803" s="58">
        <v>0</v>
      </c>
      <c r="R803" s="58">
        <v>0</v>
      </c>
      <c r="S803" s="58">
        <v>40</v>
      </c>
      <c r="T803" s="58">
        <v>0</v>
      </c>
      <c r="U803" s="58">
        <v>40</v>
      </c>
      <c r="V803" s="62"/>
      <c r="W803" s="62"/>
      <c r="X803" s="63">
        <f>IFERROR(1 -(Master[[#This Row],[Avg Garment Scans per Delivery]]/Master[[#This Row],[Garment Inventory]]), 0)</f>
        <v>0</v>
      </c>
      <c r="Y803" s="62"/>
      <c r="Z803" s="62"/>
      <c r="AA803" s="53">
        <v>160.33000000000001</v>
      </c>
      <c r="AB803" s="53">
        <v>160.33000000000001</v>
      </c>
      <c r="AC803" s="53">
        <v>61.746515151515155</v>
      </c>
      <c r="AD803" s="53">
        <v>86.609848484848499</v>
      </c>
      <c r="AE803" s="53" t="str">
        <f>_xlfn.XLOOKUP(Master[[#This Row],[cu_id]],'[1]Customer Revenue'!$Q:$Q,'[1]Customer Revenue'!$K:$K, "None")</f>
        <v>None</v>
      </c>
      <c r="AF803" s="53" t="str">
        <f>_xlfn.XLOOKUP(Master[[#This Row],[cu_id]],'[1]Customer Revenue'!$Q:$Q,'[1]Customer Revenue'!$L:$L, "None")</f>
        <v>None</v>
      </c>
      <c r="AG803" s="53">
        <v>80.839081632653048</v>
      </c>
      <c r="AH803" s="53">
        <v>160.15377551020407</v>
      </c>
      <c r="AI803" s="53">
        <v>160.33000000000001</v>
      </c>
      <c r="AJ803" s="53">
        <v>74.178181818181827</v>
      </c>
      <c r="AK803" s="53" t="str">
        <f>_xlfn.XLOOKUP(Master[[#This Row],[cu_id]],'[1]Customer Revenue'!$Q:$Q,'[1]Customer Revenue'!$I:$I, "None")</f>
        <v>None</v>
      </c>
      <c r="AL803" s="53">
        <v>120.49642857142855</v>
      </c>
      <c r="AM803" s="61">
        <v>0.29166666666666669</v>
      </c>
      <c r="AN803" s="60">
        <v>0.83333333333333337</v>
      </c>
      <c r="AO803" s="60" t="s">
        <v>36</v>
      </c>
      <c r="AP803" s="60" t="s">
        <v>36</v>
      </c>
      <c r="AQ803" s="58" t="s">
        <v>0</v>
      </c>
      <c r="AR803" s="58"/>
      <c r="AS803" s="58"/>
      <c r="AT803" s="52">
        <v>0</v>
      </c>
      <c r="AU803" s="52" t="e">
        <f>IF(Master[[#This Row],[RSP StopTime override]] &lt;&gt; "",Master[[#This Row],[RSP StopTime override]],IF(Master[[#This Row],[Avg stop time helper]] &lt;&gt; 0, Master[[#This Row],[Avg stop time helper]],Average_Stop_Time))</f>
        <v>#DIV/0!</v>
      </c>
      <c r="AV803" s="21"/>
      <c r="AW803" s="20">
        <f>Master[[#This Row],[RSP StopTime override]]-Master[[#This Row],[Avg stop time helper]]</f>
        <v>0</v>
      </c>
    </row>
    <row r="804" spans="1:49" x14ac:dyDescent="0.3">
      <c r="A804" s="66" t="s">
        <v>4837</v>
      </c>
      <c r="B804" s="58">
        <v>51</v>
      </c>
      <c r="C804" s="58" t="s">
        <v>43</v>
      </c>
      <c r="D804" s="65">
        <v>533209</v>
      </c>
      <c r="E804" s="65" t="s">
        <v>42</v>
      </c>
      <c r="F804" s="65" t="s">
        <v>1926</v>
      </c>
      <c r="G804" s="65" t="s">
        <v>1925</v>
      </c>
      <c r="H804" s="65" t="s">
        <v>7</v>
      </c>
      <c r="I804" s="65" t="s">
        <v>26</v>
      </c>
      <c r="J804" s="65" t="s">
        <v>5</v>
      </c>
      <c r="K804" s="65" t="s">
        <v>25</v>
      </c>
      <c r="L804" s="64" t="s">
        <v>67</v>
      </c>
      <c r="M804" s="58" t="s">
        <v>3</v>
      </c>
      <c r="N804" s="58" t="s">
        <v>2</v>
      </c>
      <c r="O804" s="58">
        <v>1</v>
      </c>
      <c r="P804" s="58">
        <v>0</v>
      </c>
      <c r="Q804" s="58">
        <v>0</v>
      </c>
      <c r="R804" s="58">
        <v>0</v>
      </c>
      <c r="S804" s="58">
        <v>1</v>
      </c>
      <c r="T804" s="58">
        <v>0</v>
      </c>
      <c r="U804" s="58">
        <v>53</v>
      </c>
      <c r="V804" s="62"/>
      <c r="W804" s="62"/>
      <c r="X804" s="63">
        <f>IFERROR(1 -(Master[[#This Row],[Avg Garment Scans per Delivery]]/Master[[#This Row],[Garment Inventory]]), 0)</f>
        <v>0</v>
      </c>
      <c r="Y804" s="62"/>
      <c r="Z804" s="62"/>
      <c r="AA804" s="53">
        <v>46.118698224852054</v>
      </c>
      <c r="AB804" s="53">
        <v>55.776686390532532</v>
      </c>
      <c r="AC804" s="53">
        <v>49.752958579881657</v>
      </c>
      <c r="AD804" s="53">
        <v>55.411656804733731</v>
      </c>
      <c r="AE804" s="53" t="str">
        <f>_xlfn.XLOOKUP(Master[[#This Row],[cu_id]],'[1]Customer Revenue'!$Q:$Q,'[1]Customer Revenue'!$K:$K, "None")</f>
        <v>None</v>
      </c>
      <c r="AF804" s="53" t="str">
        <f>_xlfn.XLOOKUP(Master[[#This Row],[cu_id]],'[1]Customer Revenue'!$Q:$Q,'[1]Customer Revenue'!$L:$L, "None")</f>
        <v>None</v>
      </c>
      <c r="AG804" s="53">
        <v>42.861952662721897</v>
      </c>
      <c r="AH804" s="53">
        <v>52.011893491124262</v>
      </c>
      <c r="AI804" s="53">
        <v>50.947692307692293</v>
      </c>
      <c r="AJ804" s="53">
        <v>52.582307692307694</v>
      </c>
      <c r="AK804" s="53" t="str">
        <f>_xlfn.XLOOKUP(Master[[#This Row],[cu_id]],'[1]Customer Revenue'!$Q:$Q,'[1]Customer Revenue'!$I:$I, "None")</f>
        <v>None</v>
      </c>
      <c r="AL804" s="53">
        <v>47.43692307692308</v>
      </c>
      <c r="AM804" s="61">
        <v>0.20833333333333334</v>
      </c>
      <c r="AN804" s="60">
        <v>0.70833333333333337</v>
      </c>
      <c r="AO804" s="60" t="s">
        <v>36</v>
      </c>
      <c r="AP804" s="60" t="s">
        <v>36</v>
      </c>
      <c r="AQ804" s="58" t="s">
        <v>308</v>
      </c>
      <c r="AR804" s="58"/>
      <c r="AS804" s="58"/>
      <c r="AT804" s="52">
        <v>0</v>
      </c>
      <c r="AU804" s="52" t="e">
        <f>IF(Master[[#This Row],[RSP StopTime override]] &lt;&gt; "",Master[[#This Row],[RSP StopTime override]],IF(Master[[#This Row],[Avg stop time helper]] &lt;&gt; 0, Master[[#This Row],[Avg stop time helper]],Average_Stop_Time))</f>
        <v>#DIV/0!</v>
      </c>
      <c r="AV804" s="21"/>
      <c r="AW804" s="20">
        <f>Master[[#This Row],[RSP StopTime override]]-Master[[#This Row],[Avg stop time helper]]</f>
        <v>0</v>
      </c>
    </row>
    <row r="805" spans="1:49" x14ac:dyDescent="0.3">
      <c r="A805" s="66" t="s">
        <v>4838</v>
      </c>
      <c r="B805" s="58">
        <v>51</v>
      </c>
      <c r="C805" s="58" t="s">
        <v>43</v>
      </c>
      <c r="D805" s="65">
        <v>533210</v>
      </c>
      <c r="E805" s="65" t="s">
        <v>42</v>
      </c>
      <c r="F805" s="65" t="s">
        <v>1924</v>
      </c>
      <c r="G805" s="65" t="s">
        <v>1923</v>
      </c>
      <c r="H805" s="65" t="s">
        <v>7</v>
      </c>
      <c r="I805" s="65" t="s">
        <v>1844</v>
      </c>
      <c r="J805" s="65" t="s">
        <v>5</v>
      </c>
      <c r="K805" s="65" t="s">
        <v>1843</v>
      </c>
      <c r="L805" s="64" t="s">
        <v>67</v>
      </c>
      <c r="M805" s="58" t="s">
        <v>3</v>
      </c>
      <c r="N805" s="58" t="s">
        <v>2</v>
      </c>
      <c r="O805" s="58">
        <v>67</v>
      </c>
      <c r="P805" s="58">
        <v>0</v>
      </c>
      <c r="Q805" s="58">
        <v>0</v>
      </c>
      <c r="R805" s="58">
        <v>0</v>
      </c>
      <c r="S805" s="58">
        <v>67</v>
      </c>
      <c r="T805" s="58">
        <v>0</v>
      </c>
      <c r="U805" s="58">
        <v>50</v>
      </c>
      <c r="V805" s="62"/>
      <c r="W805" s="62"/>
      <c r="X805" s="63">
        <f>IFERROR(1 -(Master[[#This Row],[Avg Garment Scans per Delivery]]/Master[[#This Row],[Garment Inventory]]), 0)</f>
        <v>0</v>
      </c>
      <c r="Y805" s="62"/>
      <c r="Z805" s="62"/>
      <c r="AA805" s="53">
        <v>44.247164694280066</v>
      </c>
      <c r="AB805" s="53">
        <v>58.894501972386585</v>
      </c>
      <c r="AC805" s="53">
        <v>52.835325443786985</v>
      </c>
      <c r="AD805" s="53">
        <v>63.313905325443784</v>
      </c>
      <c r="AE805" s="53" t="str">
        <f>_xlfn.XLOOKUP(Master[[#This Row],[cu_id]],'[1]Customer Revenue'!$Q:$Q,'[1]Customer Revenue'!$K:$K, "None")</f>
        <v>None</v>
      </c>
      <c r="AF805" s="53" t="str">
        <f>_xlfn.XLOOKUP(Master[[#This Row],[cu_id]],'[1]Customer Revenue'!$Q:$Q,'[1]Customer Revenue'!$L:$L, "None")</f>
        <v>None</v>
      </c>
      <c r="AG805" s="53">
        <v>47.612559763313598</v>
      </c>
      <c r="AH805" s="53">
        <v>59.46824023668637</v>
      </c>
      <c r="AI805" s="53">
        <v>51.570833333333326</v>
      </c>
      <c r="AJ805" s="53">
        <v>58.074615384615385</v>
      </c>
      <c r="AK805" s="53" t="str">
        <f>_xlfn.XLOOKUP(Master[[#This Row],[cu_id]],'[1]Customer Revenue'!$Q:$Q,'[1]Customer Revenue'!$I:$I, "None")</f>
        <v>None</v>
      </c>
      <c r="AL805" s="53">
        <v>53.540399999999984</v>
      </c>
      <c r="AM805" s="61">
        <v>0.25</v>
      </c>
      <c r="AN805" s="60">
        <v>0.79166666666666663</v>
      </c>
      <c r="AO805" s="60" t="s">
        <v>36</v>
      </c>
      <c r="AP805" s="60" t="s">
        <v>36</v>
      </c>
      <c r="AQ805" s="58" t="s">
        <v>44</v>
      </c>
      <c r="AR805" s="58"/>
      <c r="AS805" s="58"/>
      <c r="AT805" s="52">
        <v>0</v>
      </c>
      <c r="AU805" s="52" t="e">
        <f>IF(Master[[#This Row],[RSP StopTime override]] &lt;&gt; "",Master[[#This Row],[RSP StopTime override]],IF(Master[[#This Row],[Avg stop time helper]] &lt;&gt; 0, Master[[#This Row],[Avg stop time helper]],Average_Stop_Time))</f>
        <v>#DIV/0!</v>
      </c>
      <c r="AV805" s="21"/>
      <c r="AW805" s="20">
        <f>Master[[#This Row],[RSP StopTime override]]-Master[[#This Row],[Avg stop time helper]]</f>
        <v>0</v>
      </c>
    </row>
    <row r="806" spans="1:49" x14ac:dyDescent="0.3">
      <c r="A806" s="66" t="s">
        <v>4839</v>
      </c>
      <c r="B806" s="58">
        <v>51</v>
      </c>
      <c r="C806" s="58" t="s">
        <v>15</v>
      </c>
      <c r="D806" s="65">
        <v>533257</v>
      </c>
      <c r="E806" s="65" t="s">
        <v>42</v>
      </c>
      <c r="F806" s="65" t="s">
        <v>1922</v>
      </c>
      <c r="G806" s="65" t="s">
        <v>1921</v>
      </c>
      <c r="H806" s="65" t="s">
        <v>7</v>
      </c>
      <c r="I806" s="65" t="s">
        <v>1920</v>
      </c>
      <c r="J806" s="65" t="s">
        <v>5</v>
      </c>
      <c r="K806" s="65" t="s">
        <v>1919</v>
      </c>
      <c r="L806" s="64" t="s">
        <v>77</v>
      </c>
      <c r="M806" s="58" t="s">
        <v>29</v>
      </c>
      <c r="N806" s="58" t="s">
        <v>2</v>
      </c>
      <c r="O806" s="58">
        <v>157</v>
      </c>
      <c r="P806" s="58">
        <v>0</v>
      </c>
      <c r="Q806" s="58">
        <v>0</v>
      </c>
      <c r="R806" s="58">
        <v>0</v>
      </c>
      <c r="S806" s="58">
        <v>0</v>
      </c>
      <c r="T806" s="58">
        <v>157</v>
      </c>
      <c r="U806" s="58">
        <v>27</v>
      </c>
      <c r="V806" s="62"/>
      <c r="W806" s="62"/>
      <c r="X806" s="63">
        <f>IFERROR(1 -(Master[[#This Row],[Avg Garment Scans per Delivery]]/Master[[#This Row],[Garment Inventory]]), 0)</f>
        <v>0</v>
      </c>
      <c r="Y806" s="62"/>
      <c r="Z806" s="62"/>
      <c r="AA806" s="53">
        <v>61.03</v>
      </c>
      <c r="AB806" s="53">
        <v>62.279999999999987</v>
      </c>
      <c r="AC806" s="53">
        <v>55.311224489795919</v>
      </c>
      <c r="AD806" s="53">
        <v>91.188775510204081</v>
      </c>
      <c r="AE806" s="53" t="str">
        <f>_xlfn.XLOOKUP(Master[[#This Row],[cu_id]],'[1]Customer Revenue'!$Q:$Q,'[1]Customer Revenue'!$K:$K, "None")</f>
        <v>None</v>
      </c>
      <c r="AF806" s="53" t="str">
        <f>_xlfn.XLOOKUP(Master[[#This Row],[cu_id]],'[1]Customer Revenue'!$Q:$Q,'[1]Customer Revenue'!$L:$L, "None")</f>
        <v>None</v>
      </c>
      <c r="AG806" s="53">
        <v>53.535207100591691</v>
      </c>
      <c r="AH806" s="53">
        <v>63.195562130177507</v>
      </c>
      <c r="AI806" s="53">
        <v>61.654999999999994</v>
      </c>
      <c r="AJ806" s="53">
        <v>73.25</v>
      </c>
      <c r="AK806" s="53" t="str">
        <f>_xlfn.XLOOKUP(Master[[#This Row],[cu_id]],'[1]Customer Revenue'!$Q:$Q,'[1]Customer Revenue'!$I:$I, "None")</f>
        <v>None</v>
      </c>
      <c r="AL806" s="53">
        <v>58.365384615384599</v>
      </c>
      <c r="AM806" s="61" t="s">
        <v>36</v>
      </c>
      <c r="AN806" s="60" t="s">
        <v>36</v>
      </c>
      <c r="AO806" s="60" t="s">
        <v>36</v>
      </c>
      <c r="AP806" s="60" t="s">
        <v>36</v>
      </c>
      <c r="AQ806" s="58" t="s">
        <v>308</v>
      </c>
      <c r="AR806" s="58"/>
      <c r="AS806" s="58"/>
      <c r="AT806" s="52">
        <v>0</v>
      </c>
      <c r="AU806" s="52" t="e">
        <f>IF(Master[[#This Row],[RSP StopTime override]] &lt;&gt; "",Master[[#This Row],[RSP StopTime override]],IF(Master[[#This Row],[Avg stop time helper]] &lt;&gt; 0, Master[[#This Row],[Avg stop time helper]],Average_Stop_Time))</f>
        <v>#DIV/0!</v>
      </c>
      <c r="AV806" s="21"/>
      <c r="AW806" s="20">
        <f>Master[[#This Row],[RSP StopTime override]]-Master[[#This Row],[Avg stop time helper]]</f>
        <v>0</v>
      </c>
    </row>
    <row r="807" spans="1:49" x14ac:dyDescent="0.3">
      <c r="A807" s="66" t="s">
        <v>4840</v>
      </c>
      <c r="B807" s="58">
        <v>51</v>
      </c>
      <c r="C807" s="58" t="s">
        <v>35</v>
      </c>
      <c r="D807" s="65">
        <v>99139</v>
      </c>
      <c r="E807" s="65" t="s">
        <v>42</v>
      </c>
      <c r="F807" s="65" t="s">
        <v>1918</v>
      </c>
      <c r="G807" s="65" t="s">
        <v>1917</v>
      </c>
      <c r="H807" s="65" t="s">
        <v>7</v>
      </c>
      <c r="I807" s="65" t="s">
        <v>1916</v>
      </c>
      <c r="J807" s="65" t="s">
        <v>5</v>
      </c>
      <c r="K807" s="65" t="s">
        <v>1915</v>
      </c>
      <c r="L807" s="64" t="s">
        <v>67</v>
      </c>
      <c r="M807" s="58" t="s">
        <v>3</v>
      </c>
      <c r="N807" s="58" t="s">
        <v>2</v>
      </c>
      <c r="O807" s="58">
        <v>37</v>
      </c>
      <c r="P807" s="58">
        <v>0</v>
      </c>
      <c r="Q807" s="58">
        <v>37</v>
      </c>
      <c r="R807" s="58">
        <v>0</v>
      </c>
      <c r="S807" s="58">
        <v>0</v>
      </c>
      <c r="T807" s="58">
        <v>0</v>
      </c>
      <c r="U807" s="58">
        <v>52</v>
      </c>
      <c r="V807" s="62"/>
      <c r="W807" s="62"/>
      <c r="X807" s="63">
        <f>IFERROR(1 -(Master[[#This Row],[Avg Garment Scans per Delivery]]/Master[[#This Row],[Garment Inventory]]), 0)</f>
        <v>0</v>
      </c>
      <c r="Y807" s="62"/>
      <c r="Z807" s="62"/>
      <c r="AA807" s="53">
        <v>34.930059171597634</v>
      </c>
      <c r="AB807" s="53">
        <v>51.325325443786994</v>
      </c>
      <c r="AC807" s="53">
        <v>33.73633136094675</v>
      </c>
      <c r="AD807" s="53">
        <v>48.9898224852071</v>
      </c>
      <c r="AE807" s="53" t="str">
        <f>_xlfn.XLOOKUP(Master[[#This Row],[cu_id]],'[1]Customer Revenue'!$Q:$Q,'[1]Customer Revenue'!$K:$K, "None")</f>
        <v>None</v>
      </c>
      <c r="AF807" s="53" t="str">
        <f>_xlfn.XLOOKUP(Master[[#This Row],[cu_id]],'[1]Customer Revenue'!$Q:$Q,'[1]Customer Revenue'!$L:$L, "None")</f>
        <v>None</v>
      </c>
      <c r="AG807" s="53">
        <v>34.647544378698228</v>
      </c>
      <c r="AH807" s="53">
        <v>50.923994082840238</v>
      </c>
      <c r="AI807" s="53">
        <v>43.127692307692314</v>
      </c>
      <c r="AJ807" s="53">
        <v>41.363076923076925</v>
      </c>
      <c r="AK807" s="53" t="str">
        <f>_xlfn.XLOOKUP(Master[[#This Row],[cu_id]],'[1]Customer Revenue'!$Q:$Q,'[1]Customer Revenue'!$I:$I, "None")</f>
        <v>None</v>
      </c>
      <c r="AL807" s="53">
        <v>42.785769230769233</v>
      </c>
      <c r="AM807" s="61" t="s">
        <v>36</v>
      </c>
      <c r="AN807" s="60" t="s">
        <v>36</v>
      </c>
      <c r="AO807" s="60" t="s">
        <v>36</v>
      </c>
      <c r="AP807" s="60" t="s">
        <v>36</v>
      </c>
      <c r="AQ807" s="58" t="s">
        <v>44</v>
      </c>
      <c r="AR807" s="58"/>
      <c r="AS807" s="58"/>
      <c r="AT807" s="52">
        <v>0</v>
      </c>
      <c r="AU807" s="52" t="e">
        <f>IF(Master[[#This Row],[RSP StopTime override]] &lt;&gt; "",Master[[#This Row],[RSP StopTime override]],IF(Master[[#This Row],[Avg stop time helper]] &lt;&gt; 0, Master[[#This Row],[Avg stop time helper]],Average_Stop_Time))</f>
        <v>#DIV/0!</v>
      </c>
      <c r="AV807" s="21"/>
      <c r="AW807" s="20">
        <f>Master[[#This Row],[RSP StopTime override]]-Master[[#This Row],[Avg stop time helper]]</f>
        <v>0</v>
      </c>
    </row>
    <row r="808" spans="1:49" x14ac:dyDescent="0.3">
      <c r="A808" s="66" t="s">
        <v>4841</v>
      </c>
      <c r="B808" s="58">
        <v>51</v>
      </c>
      <c r="C808" s="58" t="s">
        <v>35</v>
      </c>
      <c r="D808" s="65">
        <v>99117</v>
      </c>
      <c r="E808" s="65" t="s">
        <v>1914</v>
      </c>
      <c r="F808" s="65" t="s">
        <v>3704</v>
      </c>
      <c r="G808" s="65" t="s">
        <v>1913</v>
      </c>
      <c r="H808" s="65" t="s">
        <v>7</v>
      </c>
      <c r="I808" s="65" t="s">
        <v>79</v>
      </c>
      <c r="J808" s="65" t="s">
        <v>5</v>
      </c>
      <c r="K808" s="65" t="s">
        <v>78</v>
      </c>
      <c r="L808" s="64" t="s">
        <v>67</v>
      </c>
      <c r="M808" s="58" t="s">
        <v>3</v>
      </c>
      <c r="N808" s="58" t="s">
        <v>2</v>
      </c>
      <c r="O808" s="58">
        <v>95</v>
      </c>
      <c r="P808" s="58">
        <v>0</v>
      </c>
      <c r="Q808" s="58">
        <v>95</v>
      </c>
      <c r="R808" s="58">
        <v>0</v>
      </c>
      <c r="S808" s="58">
        <v>0</v>
      </c>
      <c r="T808" s="58">
        <v>0</v>
      </c>
      <c r="U808" s="58">
        <v>52</v>
      </c>
      <c r="V808" s="62"/>
      <c r="W808" s="62"/>
      <c r="X808" s="63">
        <f>IFERROR(1 -(Master[[#This Row],[Avg Garment Scans per Delivery]]/Master[[#This Row],[Garment Inventory]]), 0)</f>
        <v>0</v>
      </c>
      <c r="Y808" s="62"/>
      <c r="Z808" s="62"/>
      <c r="AA808" s="53">
        <v>119.54360946745562</v>
      </c>
      <c r="AB808" s="53">
        <v>120.60869822485206</v>
      </c>
      <c r="AC808" s="53">
        <v>110.65171597633136</v>
      </c>
      <c r="AD808" s="53">
        <v>118.71136094674554</v>
      </c>
      <c r="AE808" s="53" t="str">
        <f>_xlfn.XLOOKUP(Master[[#This Row],[cu_id]],'[1]Customer Revenue'!$Q:$Q,'[1]Customer Revenue'!$K:$K, "None")</f>
        <v>None</v>
      </c>
      <c r="AF808" s="53" t="str">
        <f>_xlfn.XLOOKUP(Master[[#This Row],[cu_id]],'[1]Customer Revenue'!$Q:$Q,'[1]Customer Revenue'!$L:$L, "None")</f>
        <v>None</v>
      </c>
      <c r="AG808" s="53">
        <v>112.2790532544379</v>
      </c>
      <c r="AH808" s="53">
        <v>121.74786982248521</v>
      </c>
      <c r="AI808" s="53">
        <v>120.07615384615384</v>
      </c>
      <c r="AJ808" s="53">
        <v>114.68153846153845</v>
      </c>
      <c r="AK808" s="53" t="str">
        <f>_xlfn.XLOOKUP(Master[[#This Row],[cu_id]],'[1]Customer Revenue'!$Q:$Q,'[1]Customer Revenue'!$I:$I, "None")</f>
        <v>None</v>
      </c>
      <c r="AL808" s="53">
        <v>117.01346153846156</v>
      </c>
      <c r="AM808" s="61">
        <v>0.20833333333333334</v>
      </c>
      <c r="AN808" s="60">
        <v>0.91666666666666663</v>
      </c>
      <c r="AO808" s="60" t="s">
        <v>36</v>
      </c>
      <c r="AP808" s="60" t="s">
        <v>36</v>
      </c>
      <c r="AQ808" s="58" t="s">
        <v>308</v>
      </c>
      <c r="AR808" s="58"/>
      <c r="AS808" s="58"/>
      <c r="AT808" s="52">
        <v>0</v>
      </c>
      <c r="AU808" s="52" t="e">
        <f>IF(Master[[#This Row],[RSP StopTime override]] &lt;&gt; "",Master[[#This Row],[RSP StopTime override]],IF(Master[[#This Row],[Avg stop time helper]] &lt;&gt; 0, Master[[#This Row],[Avg stop time helper]],Average_Stop_Time))</f>
        <v>#DIV/0!</v>
      </c>
      <c r="AV808" s="21"/>
      <c r="AW808" s="20">
        <f>Master[[#This Row],[RSP StopTime override]]-Master[[#This Row],[Avg stop time helper]]</f>
        <v>0</v>
      </c>
    </row>
    <row r="809" spans="1:49" x14ac:dyDescent="0.3">
      <c r="A809" s="66" t="s">
        <v>4842</v>
      </c>
      <c r="B809" s="58">
        <v>51</v>
      </c>
      <c r="C809" s="58" t="s">
        <v>24</v>
      </c>
      <c r="D809" s="65">
        <v>533322</v>
      </c>
      <c r="E809" s="65" t="s">
        <v>42</v>
      </c>
      <c r="F809" s="65" t="s">
        <v>1912</v>
      </c>
      <c r="G809" s="65" t="s">
        <v>1911</v>
      </c>
      <c r="H809" s="65" t="s">
        <v>7</v>
      </c>
      <c r="I809" s="65" t="s">
        <v>12</v>
      </c>
      <c r="J809" s="65" t="s">
        <v>5</v>
      </c>
      <c r="K809" s="65" t="s">
        <v>57</v>
      </c>
      <c r="L809" s="64" t="s">
        <v>67</v>
      </c>
      <c r="M809" s="58" t="s">
        <v>3</v>
      </c>
      <c r="N809" s="58" t="s">
        <v>2</v>
      </c>
      <c r="O809" s="58">
        <v>80</v>
      </c>
      <c r="P809" s="58">
        <v>80</v>
      </c>
      <c r="Q809" s="58">
        <v>0</v>
      </c>
      <c r="R809" s="58">
        <v>0</v>
      </c>
      <c r="S809" s="58">
        <v>0</v>
      </c>
      <c r="T809" s="58">
        <v>0</v>
      </c>
      <c r="U809" s="58">
        <v>53</v>
      </c>
      <c r="V809" s="62"/>
      <c r="W809" s="62"/>
      <c r="X809" s="63">
        <f>IFERROR(1 -(Master[[#This Row],[Avg Garment Scans per Delivery]]/Master[[#This Row],[Garment Inventory]]), 0)</f>
        <v>0</v>
      </c>
      <c r="Y809" s="62"/>
      <c r="Z809" s="62"/>
      <c r="AA809" s="53">
        <v>103.78041420118342</v>
      </c>
      <c r="AB809" s="53">
        <v>105.37804733727805</v>
      </c>
      <c r="AC809" s="53">
        <v>100.76023668639047</v>
      </c>
      <c r="AD809" s="53">
        <v>109.03668639053254</v>
      </c>
      <c r="AE809" s="53" t="str">
        <f>_xlfn.XLOOKUP(Master[[#This Row],[cu_id]],'[1]Customer Revenue'!$Q:$Q,'[1]Customer Revenue'!$K:$K, "None")</f>
        <v>None</v>
      </c>
      <c r="AF809" s="53" t="str">
        <f>_xlfn.XLOOKUP(Master[[#This Row],[cu_id]],'[1]Customer Revenue'!$Q:$Q,'[1]Customer Revenue'!$L:$L, "None")</f>
        <v>None</v>
      </c>
      <c r="AG809" s="53">
        <v>96.436625514403246</v>
      </c>
      <c r="AH809" s="53">
        <v>106.26559670781891</v>
      </c>
      <c r="AI809" s="53">
        <v>104.57923076923073</v>
      </c>
      <c r="AJ809" s="53">
        <v>104.8984615384615</v>
      </c>
      <c r="AK809" s="53" t="str">
        <f>_xlfn.XLOOKUP(Master[[#This Row],[cu_id]],'[1]Customer Revenue'!$Q:$Q,'[1]Customer Revenue'!$I:$I, "None")</f>
        <v>None</v>
      </c>
      <c r="AL809" s="53">
        <v>101.35111111111108</v>
      </c>
      <c r="AM809" s="61">
        <v>0.29166666666666669</v>
      </c>
      <c r="AN809" s="60">
        <v>0.70833333333333337</v>
      </c>
      <c r="AO809" s="60" t="s">
        <v>36</v>
      </c>
      <c r="AP809" s="60" t="s">
        <v>36</v>
      </c>
      <c r="AQ809" s="58" t="s">
        <v>0</v>
      </c>
      <c r="AR809" s="58"/>
      <c r="AS809" s="58"/>
      <c r="AT809" s="52">
        <v>0</v>
      </c>
      <c r="AU809" s="52" t="e">
        <f>IF(Master[[#This Row],[RSP StopTime override]] &lt;&gt; "",Master[[#This Row],[RSP StopTime override]],IF(Master[[#This Row],[Avg stop time helper]] &lt;&gt; 0, Master[[#This Row],[Avg stop time helper]],Average_Stop_Time))</f>
        <v>#DIV/0!</v>
      </c>
      <c r="AV809" s="21"/>
      <c r="AW809" s="20">
        <f>Master[[#This Row],[RSP StopTime override]]-Master[[#This Row],[Avg stop time helper]]</f>
        <v>0</v>
      </c>
    </row>
    <row r="810" spans="1:49" x14ac:dyDescent="0.3">
      <c r="A810" s="73" t="s">
        <v>4843</v>
      </c>
      <c r="B810" s="64">
        <v>51</v>
      </c>
      <c r="C810" s="64" t="s">
        <v>35</v>
      </c>
      <c r="D810" s="65">
        <v>99161</v>
      </c>
      <c r="E810" s="65" t="s">
        <v>1910</v>
      </c>
      <c r="F810" s="65" t="s">
        <v>1909</v>
      </c>
      <c r="G810" s="65" t="s">
        <v>1908</v>
      </c>
      <c r="H810" s="65" t="s">
        <v>7</v>
      </c>
      <c r="I810" s="65" t="s">
        <v>1907</v>
      </c>
      <c r="J810" s="65" t="s">
        <v>5</v>
      </c>
      <c r="K810" s="65" t="s">
        <v>1906</v>
      </c>
      <c r="L810" s="64" t="s">
        <v>67</v>
      </c>
      <c r="M810" s="65" t="s">
        <v>3</v>
      </c>
      <c r="N810" s="65" t="s">
        <v>2</v>
      </c>
      <c r="O810" s="65">
        <v>64</v>
      </c>
      <c r="P810" s="65">
        <v>0</v>
      </c>
      <c r="Q810" s="65">
        <v>64</v>
      </c>
      <c r="R810" s="65">
        <v>0</v>
      </c>
      <c r="S810" s="65">
        <v>0</v>
      </c>
      <c r="T810" s="65">
        <v>0</v>
      </c>
      <c r="U810" s="65"/>
      <c r="V810" s="65"/>
      <c r="W810" s="65"/>
      <c r="X810" s="72">
        <f>IFERROR(1 -(Master[[#This Row],[Avg Garment Scans per Delivery]]/Master[[#This Row],[Garment Inventory]]), 0)</f>
        <v>0</v>
      </c>
      <c r="Y810" s="65"/>
      <c r="Z810" s="65"/>
      <c r="AA810" s="53"/>
      <c r="AB810" s="53"/>
      <c r="AC810" s="53"/>
      <c r="AD810" s="53"/>
      <c r="AE810" s="53" t="str">
        <f>_xlfn.XLOOKUP(Master[[#This Row],[cu_id]],'[1]Customer Revenue'!$Q:$Q,'[1]Customer Revenue'!$K:$K, "None")</f>
        <v>None</v>
      </c>
      <c r="AF810" s="53" t="str">
        <f>_xlfn.XLOOKUP(Master[[#This Row],[cu_id]],'[1]Customer Revenue'!$Q:$Q,'[1]Customer Revenue'!$L:$L, "None")</f>
        <v>None</v>
      </c>
      <c r="AG810" s="53"/>
      <c r="AH810" s="53"/>
      <c r="AI810" s="53"/>
      <c r="AJ810" s="53"/>
      <c r="AK810" s="53" t="str">
        <f>_xlfn.XLOOKUP(Master[[#This Row],[cu_id]],'[1]Customer Revenue'!$Q:$Q,'[1]Customer Revenue'!$I:$I, "None")</f>
        <v>None</v>
      </c>
      <c r="AL810" s="53"/>
      <c r="AM810" s="71" t="s">
        <v>1</v>
      </c>
      <c r="AN810" s="71" t="s">
        <v>1</v>
      </c>
      <c r="AO810" s="71" t="s">
        <v>36</v>
      </c>
      <c r="AP810" s="71" t="s">
        <v>36</v>
      </c>
      <c r="AQ810" s="64" t="s">
        <v>0</v>
      </c>
      <c r="AR810" s="64"/>
      <c r="AS810" s="65"/>
      <c r="AT810" s="52">
        <v>0</v>
      </c>
      <c r="AU810" s="52" t="e">
        <f>IF(Master[[#This Row],[RSP StopTime override]] &lt;&gt; "",Master[[#This Row],[RSP StopTime override]],IF(Master[[#This Row],[Avg stop time helper]] &lt;&gt; 0, Master[[#This Row],[Avg stop time helper]],Average_Stop_Time))</f>
        <v>#DIV/0!</v>
      </c>
      <c r="AV810" s="21"/>
      <c r="AW810" s="20">
        <f>Master[[#This Row],[RSP StopTime override]]-Master[[#This Row],[Avg stop time helper]]</f>
        <v>0</v>
      </c>
    </row>
    <row r="811" spans="1:49" x14ac:dyDescent="0.3">
      <c r="A811" s="66" t="s">
        <v>4844</v>
      </c>
      <c r="B811" s="58">
        <v>51</v>
      </c>
      <c r="C811" s="58" t="s">
        <v>24</v>
      </c>
      <c r="D811" s="65">
        <v>533341</v>
      </c>
      <c r="E811" s="65" t="s">
        <v>42</v>
      </c>
      <c r="F811" s="65" t="s">
        <v>1905</v>
      </c>
      <c r="G811" s="65" t="s">
        <v>1904</v>
      </c>
      <c r="H811" s="65" t="s">
        <v>7</v>
      </c>
      <c r="I811" s="65" t="s">
        <v>12</v>
      </c>
      <c r="J811" s="65" t="s">
        <v>5</v>
      </c>
      <c r="K811" s="65" t="s">
        <v>197</v>
      </c>
      <c r="L811" s="64" t="s">
        <v>67</v>
      </c>
      <c r="M811" s="58" t="s">
        <v>3</v>
      </c>
      <c r="N811" s="58" t="s">
        <v>2</v>
      </c>
      <c r="O811" s="58">
        <v>70</v>
      </c>
      <c r="P811" s="58">
        <v>70</v>
      </c>
      <c r="Q811" s="58">
        <v>0</v>
      </c>
      <c r="R811" s="58">
        <v>0</v>
      </c>
      <c r="S811" s="58">
        <v>0</v>
      </c>
      <c r="T811" s="58">
        <v>0</v>
      </c>
      <c r="U811" s="58">
        <v>39</v>
      </c>
      <c r="V811" s="62"/>
      <c r="W811" s="62"/>
      <c r="X811" s="63">
        <f>IFERROR(1 -(Master[[#This Row],[Avg Garment Scans per Delivery]]/Master[[#This Row],[Garment Inventory]]), 0)</f>
        <v>0</v>
      </c>
      <c r="Y811" s="62"/>
      <c r="Z811" s="62"/>
      <c r="AA811" s="53">
        <v>43.409062499999997</v>
      </c>
      <c r="AB811" s="53">
        <v>45.518437499999997</v>
      </c>
      <c r="AC811" s="53">
        <v>44.435443786982248</v>
      </c>
      <c r="AD811" s="53">
        <v>53.679940828402366</v>
      </c>
      <c r="AE811" s="53" t="str">
        <f>_xlfn.XLOOKUP(Master[[#This Row],[cu_id]],'[1]Customer Revenue'!$Q:$Q,'[1]Customer Revenue'!$K:$K, "None")</f>
        <v>None</v>
      </c>
      <c r="AF811" s="53" t="str">
        <f>_xlfn.XLOOKUP(Master[[#This Row],[cu_id]],'[1]Customer Revenue'!$Q:$Q,'[1]Customer Revenue'!$L:$L, "None")</f>
        <v>None</v>
      </c>
      <c r="AG811" s="53">
        <v>41.620591715976339</v>
      </c>
      <c r="AH811" s="53">
        <v>44.757869822485212</v>
      </c>
      <c r="AI811" s="53">
        <v>44.463749999999997</v>
      </c>
      <c r="AJ811" s="53">
        <v>49.057692307692307</v>
      </c>
      <c r="AK811" s="53" t="str">
        <f>_xlfn.XLOOKUP(Master[[#This Row],[cu_id]],'[1]Customer Revenue'!$Q:$Q,'[1]Customer Revenue'!$I:$I, "None")</f>
        <v>None</v>
      </c>
      <c r="AL811" s="53">
        <v>43.189230769230775</v>
      </c>
      <c r="AM811" s="61" t="s">
        <v>36</v>
      </c>
      <c r="AN811" s="60" t="s">
        <v>36</v>
      </c>
      <c r="AO811" s="60" t="s">
        <v>36</v>
      </c>
      <c r="AP811" s="60" t="s">
        <v>36</v>
      </c>
      <c r="AQ811" s="58" t="s">
        <v>44</v>
      </c>
      <c r="AR811" s="58"/>
      <c r="AS811" s="58"/>
      <c r="AT811" s="52">
        <v>0</v>
      </c>
      <c r="AU811" s="52" t="e">
        <f>IF(Master[[#This Row],[RSP StopTime override]] &lt;&gt; "",Master[[#This Row],[RSP StopTime override]],IF(Master[[#This Row],[Avg stop time helper]] &lt;&gt; 0, Master[[#This Row],[Avg stop time helper]],Average_Stop_Time))</f>
        <v>#DIV/0!</v>
      </c>
      <c r="AV811" s="21"/>
      <c r="AW811" s="20">
        <f>Master[[#This Row],[RSP StopTime override]]-Master[[#This Row],[Avg stop time helper]]</f>
        <v>0</v>
      </c>
    </row>
    <row r="812" spans="1:49" x14ac:dyDescent="0.3">
      <c r="A812" s="66" t="s">
        <v>4845</v>
      </c>
      <c r="B812" s="58">
        <v>51</v>
      </c>
      <c r="C812" s="58" t="s">
        <v>43</v>
      </c>
      <c r="D812" s="65">
        <v>533370</v>
      </c>
      <c r="E812" s="65" t="s">
        <v>42</v>
      </c>
      <c r="F812" s="65" t="s">
        <v>1903</v>
      </c>
      <c r="G812" s="65" t="s">
        <v>1902</v>
      </c>
      <c r="H812" s="65" t="s">
        <v>7</v>
      </c>
      <c r="I812" s="65" t="s">
        <v>1844</v>
      </c>
      <c r="J812" s="65" t="s">
        <v>5</v>
      </c>
      <c r="K812" s="65" t="s">
        <v>1843</v>
      </c>
      <c r="L812" s="64" t="s">
        <v>67</v>
      </c>
      <c r="M812" s="58" t="s">
        <v>3</v>
      </c>
      <c r="N812" s="58" t="s">
        <v>2</v>
      </c>
      <c r="O812" s="58">
        <v>9</v>
      </c>
      <c r="P812" s="58">
        <v>0</v>
      </c>
      <c r="Q812" s="58">
        <v>0</v>
      </c>
      <c r="R812" s="58">
        <v>0</v>
      </c>
      <c r="S812" s="58">
        <v>9</v>
      </c>
      <c r="T812" s="58">
        <v>0</v>
      </c>
      <c r="U812" s="58">
        <v>49</v>
      </c>
      <c r="V812" s="62"/>
      <c r="W812" s="62"/>
      <c r="X812" s="63">
        <f>IFERROR(1 -(Master[[#This Row],[Avg Garment Scans per Delivery]]/Master[[#This Row],[Garment Inventory]]), 0)</f>
        <v>0</v>
      </c>
      <c r="Y812" s="62"/>
      <c r="Z812" s="62"/>
      <c r="AA812" s="53">
        <v>111.40230769230769</v>
      </c>
      <c r="AB812" s="53">
        <v>124.05769230769229</v>
      </c>
      <c r="AC812" s="53">
        <v>120.91254437869827</v>
      </c>
      <c r="AD812" s="53">
        <v>137.69360946745564</v>
      </c>
      <c r="AE812" s="53" t="str">
        <f>_xlfn.XLOOKUP(Master[[#This Row],[cu_id]],'[1]Customer Revenue'!$Q:$Q,'[1]Customer Revenue'!$K:$K, "None")</f>
        <v>None</v>
      </c>
      <c r="AF812" s="53" t="str">
        <f>_xlfn.XLOOKUP(Master[[#This Row],[cu_id]],'[1]Customer Revenue'!$Q:$Q,'[1]Customer Revenue'!$L:$L, "None")</f>
        <v>None</v>
      </c>
      <c r="AG812" s="53">
        <v>108.25479338842976</v>
      </c>
      <c r="AH812" s="53">
        <v>123.34702479338844</v>
      </c>
      <c r="AI812" s="53">
        <v>117.72999999999999</v>
      </c>
      <c r="AJ812" s="53">
        <v>129.30307692307696</v>
      </c>
      <c r="AK812" s="53" t="str">
        <f>_xlfn.XLOOKUP(Master[[#This Row],[cu_id]],'[1]Customer Revenue'!$Q:$Q,'[1]Customer Revenue'!$I:$I, "None")</f>
        <v>None</v>
      </c>
      <c r="AL812" s="53">
        <v>115.8009090909091</v>
      </c>
      <c r="AM812" s="61">
        <v>0.33333333333333331</v>
      </c>
      <c r="AN812" s="60">
        <v>0.79166666666666663</v>
      </c>
      <c r="AO812" s="60" t="s">
        <v>36</v>
      </c>
      <c r="AP812" s="60" t="s">
        <v>36</v>
      </c>
      <c r="AQ812" s="58" t="s">
        <v>0</v>
      </c>
      <c r="AR812" s="58"/>
      <c r="AS812" s="58"/>
      <c r="AT812" s="52">
        <v>0</v>
      </c>
      <c r="AU812" s="52" t="e">
        <f>IF(Master[[#This Row],[RSP StopTime override]] &lt;&gt; "",Master[[#This Row],[RSP StopTime override]],IF(Master[[#This Row],[Avg stop time helper]] &lt;&gt; 0, Master[[#This Row],[Avg stop time helper]],Average_Stop_Time))</f>
        <v>#DIV/0!</v>
      </c>
      <c r="AV812" s="21"/>
      <c r="AW812" s="20">
        <f>Master[[#This Row],[RSP StopTime override]]-Master[[#This Row],[Avg stop time helper]]</f>
        <v>0</v>
      </c>
    </row>
    <row r="813" spans="1:49" x14ac:dyDescent="0.3">
      <c r="A813" s="66" t="s">
        <v>4846</v>
      </c>
      <c r="B813" s="58">
        <v>51</v>
      </c>
      <c r="C813" s="58" t="s">
        <v>43</v>
      </c>
      <c r="D813" s="65">
        <v>808410</v>
      </c>
      <c r="E813" s="65" t="s">
        <v>42</v>
      </c>
      <c r="F813" s="65" t="s">
        <v>1901</v>
      </c>
      <c r="G813" s="65" t="s">
        <v>1900</v>
      </c>
      <c r="H813" s="65" t="s">
        <v>7</v>
      </c>
      <c r="I813" s="65" t="s">
        <v>1880</v>
      </c>
      <c r="J813" s="65" t="s">
        <v>5</v>
      </c>
      <c r="K813" s="65" t="s">
        <v>1879</v>
      </c>
      <c r="L813" s="64" t="s">
        <v>206</v>
      </c>
      <c r="M813" s="58" t="s">
        <v>205</v>
      </c>
      <c r="N813" s="58" t="s">
        <v>2</v>
      </c>
      <c r="O813" s="58">
        <v>90</v>
      </c>
      <c r="P813" s="58">
        <v>0</v>
      </c>
      <c r="Q813" s="58">
        <v>0</v>
      </c>
      <c r="R813" s="58">
        <v>0</v>
      </c>
      <c r="S813" s="58">
        <v>90</v>
      </c>
      <c r="T813" s="58">
        <v>0</v>
      </c>
      <c r="U813" s="58">
        <v>10</v>
      </c>
      <c r="V813" s="62"/>
      <c r="W813" s="62"/>
      <c r="X813" s="63">
        <f>IFERROR(1 -(Master[[#This Row],[Avg Garment Scans per Delivery]]/Master[[#This Row],[Garment Inventory]]), 0)</f>
        <v>0</v>
      </c>
      <c r="Y813" s="62"/>
      <c r="Z813" s="62"/>
      <c r="AA813" s="53">
        <v>46.48</v>
      </c>
      <c r="AB813" s="53">
        <v>46.48</v>
      </c>
      <c r="AC813" s="53">
        <v>47.98</v>
      </c>
      <c r="AD813" s="53">
        <v>49.52</v>
      </c>
      <c r="AE813" s="53" t="str">
        <f>_xlfn.XLOOKUP(Master[[#This Row],[cu_id]],'[1]Customer Revenue'!$Q:$Q,'[1]Customer Revenue'!$K:$K, "None")</f>
        <v>None</v>
      </c>
      <c r="AF813" s="53" t="str">
        <f>_xlfn.XLOOKUP(Master[[#This Row],[cu_id]],'[1]Customer Revenue'!$Q:$Q,'[1]Customer Revenue'!$L:$L, "None")</f>
        <v>None</v>
      </c>
      <c r="AG813" s="53">
        <v>42.69777777777778</v>
      </c>
      <c r="AH813" s="53">
        <v>72.208888888888907</v>
      </c>
      <c r="AI813" s="53">
        <v>46.48</v>
      </c>
      <c r="AJ813" s="53">
        <v>48.75</v>
      </c>
      <c r="AK813" s="53" t="str">
        <f>_xlfn.XLOOKUP(Master[[#This Row],[cu_id]],'[1]Customer Revenue'!$Q:$Q,'[1]Customer Revenue'!$I:$I, "None")</f>
        <v>None</v>
      </c>
      <c r="AL813" s="53">
        <v>57.45333333333334</v>
      </c>
      <c r="AM813" s="61">
        <v>0.375</v>
      </c>
      <c r="AN813" s="60">
        <v>0.70833333333333337</v>
      </c>
      <c r="AO813" s="60" t="s">
        <v>36</v>
      </c>
      <c r="AP813" s="60" t="s">
        <v>36</v>
      </c>
      <c r="AQ813" s="58" t="s">
        <v>0</v>
      </c>
      <c r="AR813" s="58"/>
      <c r="AS813" s="58"/>
      <c r="AT813" s="52">
        <v>0</v>
      </c>
      <c r="AU813" s="52" t="e">
        <f>IF(Master[[#This Row],[RSP StopTime override]] &lt;&gt; "",Master[[#This Row],[RSP StopTime override]],IF(Master[[#This Row],[Avg stop time helper]] &lt;&gt; 0, Master[[#This Row],[Avg stop time helper]],Average_Stop_Time))</f>
        <v>#DIV/0!</v>
      </c>
      <c r="AV813" s="21"/>
      <c r="AW813" s="20">
        <f>Master[[#This Row],[RSP StopTime override]]-Master[[#This Row],[Avg stop time helper]]</f>
        <v>0</v>
      </c>
    </row>
    <row r="814" spans="1:49" x14ac:dyDescent="0.3">
      <c r="A814" s="66" t="s">
        <v>4847</v>
      </c>
      <c r="B814" s="58">
        <v>51</v>
      </c>
      <c r="C814" s="58" t="s">
        <v>43</v>
      </c>
      <c r="D814" s="65">
        <v>808407</v>
      </c>
      <c r="E814" s="65" t="s">
        <v>42</v>
      </c>
      <c r="F814" s="65" t="s">
        <v>1899</v>
      </c>
      <c r="G814" s="65" t="s">
        <v>1898</v>
      </c>
      <c r="H814" s="65" t="s">
        <v>1897</v>
      </c>
      <c r="I814" s="65" t="s">
        <v>1880</v>
      </c>
      <c r="J814" s="65" t="s">
        <v>5</v>
      </c>
      <c r="K814" s="65" t="s">
        <v>1879</v>
      </c>
      <c r="L814" s="64" t="s">
        <v>194</v>
      </c>
      <c r="M814" s="58" t="s">
        <v>193</v>
      </c>
      <c r="N814" s="58" t="s">
        <v>2</v>
      </c>
      <c r="O814" s="58">
        <v>105</v>
      </c>
      <c r="P814" s="58">
        <v>0</v>
      </c>
      <c r="Q814" s="58">
        <v>0</v>
      </c>
      <c r="R814" s="58">
        <v>0</v>
      </c>
      <c r="S814" s="58">
        <v>105</v>
      </c>
      <c r="T814" s="58">
        <v>0</v>
      </c>
      <c r="U814" s="58">
        <v>11</v>
      </c>
      <c r="V814" s="62"/>
      <c r="W814" s="62"/>
      <c r="X814" s="63">
        <f>IFERROR(1 -(Master[[#This Row],[Avg Garment Scans per Delivery]]/Master[[#This Row],[Garment Inventory]]), 0)</f>
        <v>0</v>
      </c>
      <c r="Y814" s="62"/>
      <c r="Z814" s="62"/>
      <c r="AA814" s="53">
        <v>22.168055555555558</v>
      </c>
      <c r="AB814" s="53">
        <v>57.636944444444453</v>
      </c>
      <c r="AC814" s="53">
        <v>56.250000000000007</v>
      </c>
      <c r="AD814" s="53">
        <v>63.29</v>
      </c>
      <c r="AE814" s="53" t="str">
        <f>_xlfn.XLOOKUP(Master[[#This Row],[cu_id]],'[1]Customer Revenue'!$Q:$Q,'[1]Customer Revenue'!$K:$K, "None")</f>
        <v>None</v>
      </c>
      <c r="AF814" s="53" t="str">
        <f>_xlfn.XLOOKUP(Master[[#This Row],[cu_id]],'[1]Customer Revenue'!$Q:$Q,'[1]Customer Revenue'!$L:$L, "None")</f>
        <v>None</v>
      </c>
      <c r="AG814" s="53">
        <v>14.833428571428572</v>
      </c>
      <c r="AH814" s="53">
        <v>45.109428571428573</v>
      </c>
      <c r="AI814" s="53">
        <v>39.902500000000003</v>
      </c>
      <c r="AJ814" s="53">
        <v>59.77</v>
      </c>
      <c r="AK814" s="53" t="str">
        <f>_xlfn.XLOOKUP(Master[[#This Row],[cu_id]],'[1]Customer Revenue'!$Q:$Q,'[1]Customer Revenue'!$I:$I, "None")</f>
        <v>None</v>
      </c>
      <c r="AL814" s="53">
        <v>29.971428571428572</v>
      </c>
      <c r="AM814" s="61">
        <v>0.41666666666666669</v>
      </c>
      <c r="AN814" s="60">
        <v>0.875</v>
      </c>
      <c r="AO814" s="60" t="s">
        <v>36</v>
      </c>
      <c r="AP814" s="60" t="s">
        <v>36</v>
      </c>
      <c r="AQ814" s="58" t="s">
        <v>0</v>
      </c>
      <c r="AR814" s="58"/>
      <c r="AS814" s="58"/>
      <c r="AT814" s="52">
        <v>0</v>
      </c>
      <c r="AU814" s="52" t="e">
        <f>IF(Master[[#This Row],[RSP StopTime override]] &lt;&gt; "",Master[[#This Row],[RSP StopTime override]],IF(Master[[#This Row],[Avg stop time helper]] &lt;&gt; 0, Master[[#This Row],[Avg stop time helper]],Average_Stop_Time))</f>
        <v>#DIV/0!</v>
      </c>
      <c r="AV814" s="21"/>
      <c r="AW814" s="20">
        <f>Master[[#This Row],[RSP StopTime override]]-Master[[#This Row],[Avg stop time helper]]</f>
        <v>0</v>
      </c>
    </row>
    <row r="815" spans="1:49" x14ac:dyDescent="0.3">
      <c r="A815" s="66" t="s">
        <v>4848</v>
      </c>
      <c r="B815" s="58">
        <v>51</v>
      </c>
      <c r="C815" s="58" t="s">
        <v>43</v>
      </c>
      <c r="D815" s="65">
        <v>808262</v>
      </c>
      <c r="E815" s="65" t="s">
        <v>42</v>
      </c>
      <c r="F815" s="65" t="s">
        <v>1896</v>
      </c>
      <c r="G815" s="65" t="s">
        <v>1895</v>
      </c>
      <c r="H815" s="65" t="s">
        <v>7</v>
      </c>
      <c r="I815" s="65" t="s">
        <v>1880</v>
      </c>
      <c r="J815" s="65" t="s">
        <v>5</v>
      </c>
      <c r="K815" s="65" t="s">
        <v>1879</v>
      </c>
      <c r="L815" s="64" t="s">
        <v>141</v>
      </c>
      <c r="M815" s="58" t="s">
        <v>140</v>
      </c>
      <c r="N815" s="58" t="s">
        <v>2</v>
      </c>
      <c r="O815" s="58">
        <v>90</v>
      </c>
      <c r="P815" s="58">
        <v>0</v>
      </c>
      <c r="Q815" s="58">
        <v>0</v>
      </c>
      <c r="R815" s="58">
        <v>0</v>
      </c>
      <c r="S815" s="58">
        <v>90</v>
      </c>
      <c r="T815" s="58">
        <v>0</v>
      </c>
      <c r="U815" s="58">
        <v>10</v>
      </c>
      <c r="V815" s="62"/>
      <c r="W815" s="62"/>
      <c r="X815" s="63">
        <f>IFERROR(1 -(Master[[#This Row],[Avg Garment Scans per Delivery]]/Master[[#This Row],[Garment Inventory]]), 0)</f>
        <v>0</v>
      </c>
      <c r="Y815" s="62"/>
      <c r="Z815" s="62"/>
      <c r="AA815" s="53">
        <v>26.761111111111113</v>
      </c>
      <c r="AB815" s="53">
        <v>29.072222222222223</v>
      </c>
      <c r="AC815" s="53">
        <v>29.478888888888886</v>
      </c>
      <c r="AD815" s="53">
        <v>30.847777777777775</v>
      </c>
      <c r="AE815" s="53" t="str">
        <f>_xlfn.XLOOKUP(Master[[#This Row],[cu_id]],'[1]Customer Revenue'!$Q:$Q,'[1]Customer Revenue'!$K:$K, "None")</f>
        <v>None</v>
      </c>
      <c r="AF815" s="53" t="str">
        <f>_xlfn.XLOOKUP(Master[[#This Row],[cu_id]],'[1]Customer Revenue'!$Q:$Q,'[1]Customer Revenue'!$L:$L, "None")</f>
        <v>None</v>
      </c>
      <c r="AG815" s="53">
        <v>21.422991071428577</v>
      </c>
      <c r="AH815" s="53">
        <v>33.419866071428572</v>
      </c>
      <c r="AI815" s="53">
        <v>27.916666666666668</v>
      </c>
      <c r="AJ815" s="53">
        <v>30.16333333333333</v>
      </c>
      <c r="AK815" s="53" t="str">
        <f>_xlfn.XLOOKUP(Master[[#This Row],[cu_id]],'[1]Customer Revenue'!$Q:$Q,'[1]Customer Revenue'!$I:$I, "None")</f>
        <v>None</v>
      </c>
      <c r="AL815" s="53">
        <v>27.421428571428574</v>
      </c>
      <c r="AM815" s="61">
        <v>0.375</v>
      </c>
      <c r="AN815" s="60">
        <v>0.875</v>
      </c>
      <c r="AO815" s="60" t="s">
        <v>36</v>
      </c>
      <c r="AP815" s="60" t="s">
        <v>36</v>
      </c>
      <c r="AQ815" s="58" t="s">
        <v>0</v>
      </c>
      <c r="AR815" s="58"/>
      <c r="AS815" s="58"/>
      <c r="AT815" s="52">
        <v>0</v>
      </c>
      <c r="AU815" s="52" t="e">
        <f>IF(Master[[#This Row],[RSP StopTime override]] &lt;&gt; "",Master[[#This Row],[RSP StopTime override]],IF(Master[[#This Row],[Avg stop time helper]] &lt;&gt; 0, Master[[#This Row],[Avg stop time helper]],Average_Stop_Time))</f>
        <v>#DIV/0!</v>
      </c>
      <c r="AV815" s="21"/>
      <c r="AW815" s="20">
        <f>Master[[#This Row],[RSP StopTime override]]-Master[[#This Row],[Avg stop time helper]]</f>
        <v>0</v>
      </c>
    </row>
    <row r="816" spans="1:49" x14ac:dyDescent="0.3">
      <c r="A816" s="66" t="s">
        <v>4849</v>
      </c>
      <c r="B816" s="58">
        <v>51</v>
      </c>
      <c r="C816" s="58" t="s">
        <v>43</v>
      </c>
      <c r="D816" s="65">
        <v>808252</v>
      </c>
      <c r="E816" s="65" t="s">
        <v>42</v>
      </c>
      <c r="F816" s="65" t="s">
        <v>1894</v>
      </c>
      <c r="G816" s="65" t="s">
        <v>1893</v>
      </c>
      <c r="H816" s="65" t="s">
        <v>7</v>
      </c>
      <c r="I816" s="65" t="s">
        <v>130</v>
      </c>
      <c r="J816" s="65" t="s">
        <v>5</v>
      </c>
      <c r="K816" s="65" t="s">
        <v>129</v>
      </c>
      <c r="L816" s="64" t="s">
        <v>67</v>
      </c>
      <c r="M816" s="58" t="s">
        <v>3</v>
      </c>
      <c r="N816" s="58" t="s">
        <v>2</v>
      </c>
      <c r="O816" s="58">
        <v>110</v>
      </c>
      <c r="P816" s="58">
        <v>0</v>
      </c>
      <c r="Q816" s="58">
        <v>0</v>
      </c>
      <c r="R816" s="58">
        <v>0</v>
      </c>
      <c r="S816" s="58">
        <v>110</v>
      </c>
      <c r="T816" s="58">
        <v>0</v>
      </c>
      <c r="U816" s="58">
        <v>40</v>
      </c>
      <c r="V816" s="62"/>
      <c r="W816" s="62"/>
      <c r="X816" s="63">
        <f>IFERROR(1 -(Master[[#This Row],[Avg Garment Scans per Delivery]]/Master[[#This Row],[Garment Inventory]]), 0)</f>
        <v>0</v>
      </c>
      <c r="Y816" s="62"/>
      <c r="Z816" s="62"/>
      <c r="AA816" s="53">
        <v>98.344852071005889</v>
      </c>
      <c r="AB816" s="53">
        <v>136.04899408284021</v>
      </c>
      <c r="AC816" s="53">
        <v>112.31088757396451</v>
      </c>
      <c r="AD816" s="53">
        <v>139.88295857988169</v>
      </c>
      <c r="AE816" s="53" t="str">
        <f>_xlfn.XLOOKUP(Master[[#This Row],[cu_id]],'[1]Customer Revenue'!$Q:$Q,'[1]Customer Revenue'!$K:$K, "None")</f>
        <v>None</v>
      </c>
      <c r="AF816" s="53" t="str">
        <f>_xlfn.XLOOKUP(Master[[#This Row],[cu_id]],'[1]Customer Revenue'!$Q:$Q,'[1]Customer Revenue'!$L:$L, "None")</f>
        <v>None</v>
      </c>
      <c r="AG816" s="53">
        <v>92.014636488340145</v>
      </c>
      <c r="AH816" s="53">
        <v>136.09128943758566</v>
      </c>
      <c r="AI816" s="53">
        <v>117.19692307692304</v>
      </c>
      <c r="AJ816" s="53">
        <v>126.0969230769231</v>
      </c>
      <c r="AK816" s="53" t="str">
        <f>_xlfn.XLOOKUP(Master[[#This Row],[cu_id]],'[1]Customer Revenue'!$Q:$Q,'[1]Customer Revenue'!$I:$I, "None")</f>
        <v>None</v>
      </c>
      <c r="AL816" s="53">
        <v>114.05296296296289</v>
      </c>
      <c r="AM816" s="61">
        <v>0.41666666666666669</v>
      </c>
      <c r="AN816" s="60">
        <v>0.79166666666666663</v>
      </c>
      <c r="AO816" s="60" t="s">
        <v>36</v>
      </c>
      <c r="AP816" s="60" t="s">
        <v>36</v>
      </c>
      <c r="AQ816" s="58" t="s">
        <v>0</v>
      </c>
      <c r="AR816" s="58"/>
      <c r="AS816" s="58"/>
      <c r="AT816" s="52">
        <v>0</v>
      </c>
      <c r="AU816" s="52" t="e">
        <f>IF(Master[[#This Row],[RSP StopTime override]] &lt;&gt; "",Master[[#This Row],[RSP StopTime override]],IF(Master[[#This Row],[Avg stop time helper]] &lt;&gt; 0, Master[[#This Row],[Avg stop time helper]],Average_Stop_Time))</f>
        <v>#DIV/0!</v>
      </c>
      <c r="AV816" s="21"/>
      <c r="AW816" s="20">
        <f>Master[[#This Row],[RSP StopTime override]]-Master[[#This Row],[Avg stop time helper]]</f>
        <v>0</v>
      </c>
    </row>
    <row r="817" spans="1:49" x14ac:dyDescent="0.3">
      <c r="A817" s="66" t="s">
        <v>4850</v>
      </c>
      <c r="B817" s="58">
        <v>51</v>
      </c>
      <c r="C817" s="58" t="s">
        <v>43</v>
      </c>
      <c r="D817" s="65">
        <v>808278</v>
      </c>
      <c r="E817" s="65" t="s">
        <v>42</v>
      </c>
      <c r="F817" s="65" t="s">
        <v>1892</v>
      </c>
      <c r="G817" s="65" t="s">
        <v>1891</v>
      </c>
      <c r="H817" s="65" t="s">
        <v>7</v>
      </c>
      <c r="I817" s="65" t="s">
        <v>130</v>
      </c>
      <c r="J817" s="65" t="s">
        <v>5</v>
      </c>
      <c r="K817" s="65" t="s">
        <v>129</v>
      </c>
      <c r="L817" s="64" t="s">
        <v>67</v>
      </c>
      <c r="M817" s="58" t="s">
        <v>3</v>
      </c>
      <c r="N817" s="58" t="s">
        <v>2</v>
      </c>
      <c r="O817" s="58">
        <v>120</v>
      </c>
      <c r="P817" s="58">
        <v>0</v>
      </c>
      <c r="Q817" s="58">
        <v>0</v>
      </c>
      <c r="R817" s="58">
        <v>0</v>
      </c>
      <c r="S817" s="58">
        <v>120</v>
      </c>
      <c r="T817" s="58">
        <v>0</v>
      </c>
      <c r="U817" s="58">
        <v>37</v>
      </c>
      <c r="V817" s="62">
        <v>46</v>
      </c>
      <c r="W817" s="62">
        <v>5</v>
      </c>
      <c r="X817" s="63">
        <f>IFERROR(1 -(Master[[#This Row],[Avg Garment Scans per Delivery]]/Master[[#This Row],[Garment Inventory]]), 0)</f>
        <v>0.89130434782608692</v>
      </c>
      <c r="Y817" s="62">
        <v>2</v>
      </c>
      <c r="Z817" s="62">
        <v>43</v>
      </c>
      <c r="AA817" s="53">
        <v>34.392455621301764</v>
      </c>
      <c r="AB817" s="53">
        <v>45.777544378698224</v>
      </c>
      <c r="AC817" s="53">
        <v>41.073313609467462</v>
      </c>
      <c r="AD817" s="53">
        <v>42.531301775147938</v>
      </c>
      <c r="AE817" s="53" t="str">
        <f>_xlfn.XLOOKUP(Master[[#This Row],[cu_id]],'[1]Customer Revenue'!$Q:$Q,'[1]Customer Revenue'!$K:$K, "None")</f>
        <v>None</v>
      </c>
      <c r="AF817" s="53" t="str">
        <f>_xlfn.XLOOKUP(Master[[#This Row],[cu_id]],'[1]Customer Revenue'!$Q:$Q,'[1]Customer Revenue'!$L:$L, "None")</f>
        <v>None</v>
      </c>
      <c r="AG817" s="53">
        <v>15.925622427983512</v>
      </c>
      <c r="AH817" s="53">
        <v>110.42521090534986</v>
      </c>
      <c r="AI817" s="53">
        <v>40.084999999999994</v>
      </c>
      <c r="AJ817" s="53">
        <v>41.8023076923077</v>
      </c>
      <c r="AK817" s="53" t="str">
        <f>_xlfn.XLOOKUP(Master[[#This Row],[cu_id]],'[1]Customer Revenue'!$Q:$Q,'[1]Customer Revenue'!$I:$I, "None")</f>
        <v>None</v>
      </c>
      <c r="AL817" s="53">
        <v>63.175416666666685</v>
      </c>
      <c r="AM817" s="61">
        <v>0.33333333333333331</v>
      </c>
      <c r="AN817" s="60">
        <v>0.70833333333333337</v>
      </c>
      <c r="AO817" s="60" t="s">
        <v>36</v>
      </c>
      <c r="AP817" s="60" t="s">
        <v>36</v>
      </c>
      <c r="AQ817" s="58" t="s">
        <v>0</v>
      </c>
      <c r="AR817" s="58"/>
      <c r="AS817" s="58"/>
      <c r="AT817" s="52">
        <v>0</v>
      </c>
      <c r="AU817" s="52" t="e">
        <f>IF(Master[[#This Row],[RSP StopTime override]] &lt;&gt; "",Master[[#This Row],[RSP StopTime override]],IF(Master[[#This Row],[Avg stop time helper]] &lt;&gt; 0, Master[[#This Row],[Avg stop time helper]],Average_Stop_Time))</f>
        <v>#DIV/0!</v>
      </c>
      <c r="AV817" s="21"/>
      <c r="AW817" s="20">
        <f>Master[[#This Row],[RSP StopTime override]]-Master[[#This Row],[Avg stop time helper]]</f>
        <v>0</v>
      </c>
    </row>
    <row r="818" spans="1:49" x14ac:dyDescent="0.3">
      <c r="A818" s="66" t="s">
        <v>4851</v>
      </c>
      <c r="B818" s="58">
        <v>51</v>
      </c>
      <c r="C818" s="58" t="s">
        <v>43</v>
      </c>
      <c r="D818" s="65">
        <v>808281</v>
      </c>
      <c r="E818" s="65" t="s">
        <v>42</v>
      </c>
      <c r="F818" s="65" t="s">
        <v>1890</v>
      </c>
      <c r="G818" s="65" t="s">
        <v>1889</v>
      </c>
      <c r="H818" s="65" t="s">
        <v>7</v>
      </c>
      <c r="I818" s="65" t="s">
        <v>1880</v>
      </c>
      <c r="J818" s="65" t="s">
        <v>5</v>
      </c>
      <c r="K818" s="65" t="s">
        <v>1879</v>
      </c>
      <c r="L818" s="64" t="s">
        <v>67</v>
      </c>
      <c r="M818" s="58" t="s">
        <v>3</v>
      </c>
      <c r="N818" s="58" t="s">
        <v>2</v>
      </c>
      <c r="O818" s="58">
        <v>105</v>
      </c>
      <c r="P818" s="58">
        <v>0</v>
      </c>
      <c r="Q818" s="58">
        <v>0</v>
      </c>
      <c r="R818" s="58">
        <v>0</v>
      </c>
      <c r="S818" s="58">
        <v>105</v>
      </c>
      <c r="T818" s="58">
        <v>0</v>
      </c>
      <c r="U818" s="58">
        <v>40</v>
      </c>
      <c r="V818" s="62">
        <v>102</v>
      </c>
      <c r="W818" s="62">
        <v>3</v>
      </c>
      <c r="X818" s="63">
        <f>IFERROR(1 -(Master[[#This Row],[Avg Garment Scans per Delivery]]/Master[[#This Row],[Garment Inventory]]), 0)</f>
        <v>0.97058823529411764</v>
      </c>
      <c r="Y818" s="62">
        <v>4</v>
      </c>
      <c r="Z818" s="62">
        <v>73</v>
      </c>
      <c r="AA818" s="53">
        <v>55.451479289940842</v>
      </c>
      <c r="AB818" s="53">
        <v>62.410059171597645</v>
      </c>
      <c r="AC818" s="53">
        <v>47.291554599246915</v>
      </c>
      <c r="AD818" s="53">
        <v>80.584809037116742</v>
      </c>
      <c r="AE818" s="53" t="str">
        <f>_xlfn.XLOOKUP(Master[[#This Row],[cu_id]],'[1]Customer Revenue'!$Q:$Q,'[1]Customer Revenue'!$K:$K, "None")</f>
        <v>None</v>
      </c>
      <c r="AF818" s="53" t="str">
        <f>_xlfn.XLOOKUP(Master[[#This Row],[cu_id]],'[1]Customer Revenue'!$Q:$Q,'[1]Customer Revenue'!$L:$L, "None")</f>
        <v>None</v>
      </c>
      <c r="AG818" s="53">
        <v>54.827297668038426</v>
      </c>
      <c r="AH818" s="53">
        <v>62.446776406035681</v>
      </c>
      <c r="AI818" s="53">
        <v>58.930769230769243</v>
      </c>
      <c r="AJ818" s="53">
        <v>63.938181818181825</v>
      </c>
      <c r="AK818" s="53" t="str">
        <f>_xlfn.XLOOKUP(Master[[#This Row],[cu_id]],'[1]Customer Revenue'!$Q:$Q,'[1]Customer Revenue'!$I:$I, "None")</f>
        <v>None</v>
      </c>
      <c r="AL818" s="53">
        <v>58.637037037037054</v>
      </c>
      <c r="AM818" s="61">
        <v>0.41666666666666669</v>
      </c>
      <c r="AN818" s="60">
        <v>0.75</v>
      </c>
      <c r="AO818" s="60" t="s">
        <v>36</v>
      </c>
      <c r="AP818" s="60" t="s">
        <v>36</v>
      </c>
      <c r="AQ818" s="58" t="s">
        <v>0</v>
      </c>
      <c r="AR818" s="58"/>
      <c r="AS818" s="58"/>
      <c r="AT818" s="52">
        <v>0</v>
      </c>
      <c r="AU818" s="52" t="e">
        <f>IF(Master[[#This Row],[RSP StopTime override]] &lt;&gt; "",Master[[#This Row],[RSP StopTime override]],IF(Master[[#This Row],[Avg stop time helper]] &lt;&gt; 0, Master[[#This Row],[Avg stop time helper]],Average_Stop_Time))</f>
        <v>#DIV/0!</v>
      </c>
      <c r="AV818" s="21"/>
      <c r="AW818" s="20">
        <f>Master[[#This Row],[RSP StopTime override]]-Master[[#This Row],[Avg stop time helper]]</f>
        <v>0</v>
      </c>
    </row>
    <row r="819" spans="1:49" x14ac:dyDescent="0.3">
      <c r="A819" s="66" t="s">
        <v>4852</v>
      </c>
      <c r="B819" s="58">
        <v>51</v>
      </c>
      <c r="C819" s="58" t="s">
        <v>43</v>
      </c>
      <c r="D819" s="65">
        <v>808400</v>
      </c>
      <c r="E819" s="65" t="s">
        <v>42</v>
      </c>
      <c r="F819" s="65" t="s">
        <v>1888</v>
      </c>
      <c r="G819" s="65" t="s">
        <v>1887</v>
      </c>
      <c r="H819" s="65" t="s">
        <v>7</v>
      </c>
      <c r="I819" s="65" t="s">
        <v>1880</v>
      </c>
      <c r="J819" s="65" t="s">
        <v>5</v>
      </c>
      <c r="K819" s="65" t="s">
        <v>1879</v>
      </c>
      <c r="L819" s="64" t="s">
        <v>67</v>
      </c>
      <c r="M819" s="58" t="s">
        <v>3</v>
      </c>
      <c r="N819" s="58" t="s">
        <v>2</v>
      </c>
      <c r="O819" s="58">
        <v>95</v>
      </c>
      <c r="P819" s="58">
        <v>0</v>
      </c>
      <c r="Q819" s="58">
        <v>0</v>
      </c>
      <c r="R819" s="58">
        <v>0</v>
      </c>
      <c r="S819" s="58">
        <v>95</v>
      </c>
      <c r="T819" s="58">
        <v>0</v>
      </c>
      <c r="U819" s="58">
        <v>41</v>
      </c>
      <c r="V819" s="62"/>
      <c r="W819" s="62"/>
      <c r="X819" s="63">
        <f>IFERROR(1 -(Master[[#This Row],[Avg Garment Scans per Delivery]]/Master[[#This Row],[Garment Inventory]]), 0)</f>
        <v>0</v>
      </c>
      <c r="Y819" s="62"/>
      <c r="Z819" s="62"/>
      <c r="AA819" s="53">
        <v>66.386035502958578</v>
      </c>
      <c r="AB819" s="53">
        <v>90.530887573964492</v>
      </c>
      <c r="AC819" s="53">
        <v>66.583017751479275</v>
      </c>
      <c r="AD819" s="53">
        <v>86.378520710059149</v>
      </c>
      <c r="AE819" s="53" t="str">
        <f>_xlfn.XLOOKUP(Master[[#This Row],[cu_id]],'[1]Customer Revenue'!$Q:$Q,'[1]Customer Revenue'!$K:$K, "None")</f>
        <v>None</v>
      </c>
      <c r="AF819" s="53" t="str">
        <f>_xlfn.XLOOKUP(Master[[#This Row],[cu_id]],'[1]Customer Revenue'!$Q:$Q,'[1]Customer Revenue'!$L:$L, "None")</f>
        <v>None</v>
      </c>
      <c r="AG819" s="53">
        <v>71.197860082304572</v>
      </c>
      <c r="AH819" s="53">
        <v>95.499917695473272</v>
      </c>
      <c r="AI819" s="53">
        <v>78.458461538461535</v>
      </c>
      <c r="AJ819" s="53">
        <v>76.480769230769212</v>
      </c>
      <c r="AK819" s="53" t="str">
        <f>_xlfn.XLOOKUP(Master[[#This Row],[cu_id]],'[1]Customer Revenue'!$Q:$Q,'[1]Customer Revenue'!$I:$I, "None")</f>
        <v>None</v>
      </c>
      <c r="AL819" s="53">
        <v>83.348888888888922</v>
      </c>
      <c r="AM819" s="61">
        <v>0.41666666666666669</v>
      </c>
      <c r="AN819" s="60">
        <v>0.875</v>
      </c>
      <c r="AO819" s="60" t="s">
        <v>36</v>
      </c>
      <c r="AP819" s="60" t="s">
        <v>36</v>
      </c>
      <c r="AQ819" s="58" t="s">
        <v>0</v>
      </c>
      <c r="AR819" s="58"/>
      <c r="AS819" s="58"/>
      <c r="AT819" s="52">
        <v>0</v>
      </c>
      <c r="AU819" s="52" t="e">
        <f>IF(Master[[#This Row],[RSP StopTime override]] &lt;&gt; "",Master[[#This Row],[RSP StopTime override]],IF(Master[[#This Row],[Avg stop time helper]] &lt;&gt; 0, Master[[#This Row],[Avg stop time helper]],Average_Stop_Time))</f>
        <v>#DIV/0!</v>
      </c>
      <c r="AV819" s="21"/>
      <c r="AW819" s="20">
        <f>Master[[#This Row],[RSP StopTime override]]-Master[[#This Row],[Avg stop time helper]]</f>
        <v>0</v>
      </c>
    </row>
    <row r="820" spans="1:49" x14ac:dyDescent="0.3">
      <c r="A820" s="66" t="s">
        <v>4853</v>
      </c>
      <c r="B820" s="58">
        <v>51</v>
      </c>
      <c r="C820" s="58" t="s">
        <v>43</v>
      </c>
      <c r="D820" s="65">
        <v>809053</v>
      </c>
      <c r="E820" s="65" t="s">
        <v>42</v>
      </c>
      <c r="F820" s="65" t="s">
        <v>1886</v>
      </c>
      <c r="G820" s="65" t="s">
        <v>1885</v>
      </c>
      <c r="H820" s="65" t="s">
        <v>7</v>
      </c>
      <c r="I820" s="65" t="s">
        <v>1880</v>
      </c>
      <c r="J820" s="65" t="s">
        <v>5</v>
      </c>
      <c r="K820" s="65" t="s">
        <v>1879</v>
      </c>
      <c r="L820" s="64" t="s">
        <v>67</v>
      </c>
      <c r="M820" s="58" t="s">
        <v>3</v>
      </c>
      <c r="N820" s="58" t="s">
        <v>2</v>
      </c>
      <c r="O820" s="58">
        <v>87</v>
      </c>
      <c r="P820" s="58">
        <v>0</v>
      </c>
      <c r="Q820" s="58">
        <v>0</v>
      </c>
      <c r="R820" s="58">
        <v>0</v>
      </c>
      <c r="S820" s="58">
        <v>87</v>
      </c>
      <c r="T820" s="58">
        <v>0</v>
      </c>
      <c r="U820" s="58">
        <v>38</v>
      </c>
      <c r="V820" s="62">
        <v>22</v>
      </c>
      <c r="W820" s="62">
        <v>3</v>
      </c>
      <c r="X820" s="63">
        <f>IFERROR(1 -(Master[[#This Row],[Avg Garment Scans per Delivery]]/Master[[#This Row],[Garment Inventory]]), 0)</f>
        <v>0.86363636363636365</v>
      </c>
      <c r="Y820" s="62">
        <v>1</v>
      </c>
      <c r="Z820" s="62">
        <v>22</v>
      </c>
      <c r="AA820" s="53">
        <v>17.29118343195266</v>
      </c>
      <c r="AB820" s="53">
        <v>19.931893491124256</v>
      </c>
      <c r="AC820" s="53">
        <v>18.563313609467457</v>
      </c>
      <c r="AD820" s="53">
        <v>20.021301775147933</v>
      </c>
      <c r="AE820" s="53" t="str">
        <f>_xlfn.XLOOKUP(Master[[#This Row],[cu_id]],'[1]Customer Revenue'!$Q:$Q,'[1]Customer Revenue'!$K:$K, "None")</f>
        <v>None</v>
      </c>
      <c r="AF820" s="53" t="str">
        <f>_xlfn.XLOOKUP(Master[[#This Row],[cu_id]],'[1]Customer Revenue'!$Q:$Q,'[1]Customer Revenue'!$L:$L, "None")</f>
        <v>None</v>
      </c>
      <c r="AG820" s="53">
        <v>18.394773662551447</v>
      </c>
      <c r="AH820" s="53">
        <v>23.140781893004121</v>
      </c>
      <c r="AI820" s="53">
        <v>18.611538461538458</v>
      </c>
      <c r="AJ820" s="53">
        <v>19.292307692307695</v>
      </c>
      <c r="AK820" s="53" t="str">
        <f>_xlfn.XLOOKUP(Master[[#This Row],[cu_id]],'[1]Customer Revenue'!$Q:$Q,'[1]Customer Revenue'!$I:$I, "None")</f>
        <v>None</v>
      </c>
      <c r="AL820" s="53">
        <v>20.767777777777784</v>
      </c>
      <c r="AM820" s="61">
        <v>0.375</v>
      </c>
      <c r="AN820" s="60">
        <v>0.58333333333333337</v>
      </c>
      <c r="AO820" s="60" t="s">
        <v>36</v>
      </c>
      <c r="AP820" s="60" t="s">
        <v>36</v>
      </c>
      <c r="AQ820" s="58" t="s">
        <v>0</v>
      </c>
      <c r="AR820" s="58"/>
      <c r="AS820" s="58"/>
      <c r="AT820" s="52">
        <v>0</v>
      </c>
      <c r="AU820" s="52" t="e">
        <f>IF(Master[[#This Row],[RSP StopTime override]] &lt;&gt; "",Master[[#This Row],[RSP StopTime override]],IF(Master[[#This Row],[Avg stop time helper]] &lt;&gt; 0, Master[[#This Row],[Avg stop time helper]],Average_Stop_Time))</f>
        <v>#DIV/0!</v>
      </c>
      <c r="AV820" s="21"/>
      <c r="AW820" s="20">
        <f>Master[[#This Row],[RSP StopTime override]]-Master[[#This Row],[Avg stop time helper]]</f>
        <v>0</v>
      </c>
    </row>
    <row r="821" spans="1:49" x14ac:dyDescent="0.3">
      <c r="A821" s="66" t="s">
        <v>4854</v>
      </c>
      <c r="B821" s="58">
        <v>51</v>
      </c>
      <c r="C821" s="58" t="s">
        <v>43</v>
      </c>
      <c r="D821" s="65">
        <v>808251</v>
      </c>
      <c r="E821" s="65" t="s">
        <v>42</v>
      </c>
      <c r="F821" s="65" t="s">
        <v>1884</v>
      </c>
      <c r="G821" s="65" t="s">
        <v>1883</v>
      </c>
      <c r="H821" s="65" t="s">
        <v>7</v>
      </c>
      <c r="I821" s="65" t="s">
        <v>130</v>
      </c>
      <c r="J821" s="65" t="s">
        <v>5</v>
      </c>
      <c r="K821" s="65" t="s">
        <v>129</v>
      </c>
      <c r="L821" s="64" t="s">
        <v>91</v>
      </c>
      <c r="M821" s="58" t="s">
        <v>90</v>
      </c>
      <c r="N821" s="58" t="s">
        <v>2</v>
      </c>
      <c r="O821" s="58">
        <v>150</v>
      </c>
      <c r="P821" s="58">
        <v>0</v>
      </c>
      <c r="Q821" s="58">
        <v>0</v>
      </c>
      <c r="R821" s="58">
        <v>0</v>
      </c>
      <c r="S821" s="58">
        <v>150</v>
      </c>
      <c r="T821" s="58">
        <v>0</v>
      </c>
      <c r="U821" s="58">
        <v>21</v>
      </c>
      <c r="V821" s="62"/>
      <c r="W821" s="62"/>
      <c r="X821" s="63">
        <f>IFERROR(1 -(Master[[#This Row],[Avg Garment Scans per Delivery]]/Master[[#This Row],[Garment Inventory]]), 0)</f>
        <v>0</v>
      </c>
      <c r="Y821" s="62"/>
      <c r="Z821" s="62"/>
      <c r="AA821" s="53">
        <v>48.766543209876545</v>
      </c>
      <c r="AB821" s="53">
        <v>100.29345679012346</v>
      </c>
      <c r="AC821" s="53">
        <v>60.893945578231296</v>
      </c>
      <c r="AD821" s="53">
        <v>100.39272108843537</v>
      </c>
      <c r="AE821" s="53" t="str">
        <f>_xlfn.XLOOKUP(Master[[#This Row],[cu_id]],'[1]Customer Revenue'!$Q:$Q,'[1]Customer Revenue'!$K:$K, "None")</f>
        <v>None</v>
      </c>
      <c r="AF821" s="53" t="str">
        <f>_xlfn.XLOOKUP(Master[[#This Row],[cu_id]],'[1]Customer Revenue'!$Q:$Q,'[1]Customer Revenue'!$L:$L, "None")</f>
        <v>None</v>
      </c>
      <c r="AG821" s="53">
        <v>58.900468750000002</v>
      </c>
      <c r="AH821" s="53">
        <v>92.159531250000001</v>
      </c>
      <c r="AI821" s="53">
        <v>74.53</v>
      </c>
      <c r="AJ821" s="53">
        <v>80.643333333333331</v>
      </c>
      <c r="AK821" s="53" t="str">
        <f>_xlfn.XLOOKUP(Master[[#This Row],[cu_id]],'[1]Customer Revenue'!$Q:$Q,'[1]Customer Revenue'!$I:$I, "None")</f>
        <v>None</v>
      </c>
      <c r="AL821" s="53">
        <v>75.53</v>
      </c>
      <c r="AM821" s="61">
        <v>0.41666666666666669</v>
      </c>
      <c r="AN821" s="60">
        <v>0.75</v>
      </c>
      <c r="AO821" s="60" t="s">
        <v>36</v>
      </c>
      <c r="AP821" s="60" t="s">
        <v>36</v>
      </c>
      <c r="AQ821" s="58" t="s">
        <v>0</v>
      </c>
      <c r="AR821" s="58"/>
      <c r="AS821" s="58"/>
      <c r="AT821" s="52">
        <v>0</v>
      </c>
      <c r="AU821" s="52" t="e">
        <f>IF(Master[[#This Row],[RSP StopTime override]] &lt;&gt; "",Master[[#This Row],[RSP StopTime override]],IF(Master[[#This Row],[Avg stop time helper]] &lt;&gt; 0, Master[[#This Row],[Avg stop time helper]],Average_Stop_Time))</f>
        <v>#DIV/0!</v>
      </c>
      <c r="AV821" s="21"/>
      <c r="AW821" s="20">
        <f>Master[[#This Row],[RSP StopTime override]]-Master[[#This Row],[Avg stop time helper]]</f>
        <v>0</v>
      </c>
    </row>
    <row r="822" spans="1:49" x14ac:dyDescent="0.3">
      <c r="A822" s="66" t="s">
        <v>4855</v>
      </c>
      <c r="B822" s="58">
        <v>51</v>
      </c>
      <c r="C822" s="58" t="s">
        <v>43</v>
      </c>
      <c r="D822" s="65">
        <v>808403</v>
      </c>
      <c r="E822" s="65" t="s">
        <v>42</v>
      </c>
      <c r="F822" s="65" t="s">
        <v>1882</v>
      </c>
      <c r="G822" s="65" t="s">
        <v>1881</v>
      </c>
      <c r="H822" s="65" t="s">
        <v>7</v>
      </c>
      <c r="I822" s="65" t="s">
        <v>1880</v>
      </c>
      <c r="J822" s="65" t="s">
        <v>5</v>
      </c>
      <c r="K822" s="65" t="s">
        <v>1879</v>
      </c>
      <c r="L822" s="64" t="s">
        <v>91</v>
      </c>
      <c r="M822" s="58" t="s">
        <v>90</v>
      </c>
      <c r="N822" s="58" t="s">
        <v>2</v>
      </c>
      <c r="O822" s="58">
        <v>95</v>
      </c>
      <c r="P822" s="58">
        <v>0</v>
      </c>
      <c r="Q822" s="58">
        <v>0</v>
      </c>
      <c r="R822" s="58">
        <v>0</v>
      </c>
      <c r="S822" s="58">
        <v>95</v>
      </c>
      <c r="T822" s="58">
        <v>0</v>
      </c>
      <c r="U822" s="58">
        <v>22</v>
      </c>
      <c r="V822" s="62"/>
      <c r="W822" s="62"/>
      <c r="X822" s="63">
        <f>IFERROR(1 -(Master[[#This Row],[Avg Garment Scans per Delivery]]/Master[[#This Row],[Garment Inventory]]), 0)</f>
        <v>0</v>
      </c>
      <c r="Y822" s="62"/>
      <c r="Z822" s="62"/>
      <c r="AA822" s="53">
        <v>55.92</v>
      </c>
      <c r="AB822" s="53">
        <v>102.48</v>
      </c>
      <c r="AC822" s="53">
        <v>66.857074829931975</v>
      </c>
      <c r="AD822" s="53">
        <v>133.61625850340138</v>
      </c>
      <c r="AE822" s="53" t="str">
        <f>_xlfn.XLOOKUP(Master[[#This Row],[cu_id]],'[1]Customer Revenue'!$Q:$Q,'[1]Customer Revenue'!$K:$K, "None")</f>
        <v>None</v>
      </c>
      <c r="AF822" s="53" t="str">
        <f>_xlfn.XLOOKUP(Master[[#This Row],[cu_id]],'[1]Customer Revenue'!$Q:$Q,'[1]Customer Revenue'!$L:$L, "None")</f>
        <v>None</v>
      </c>
      <c r="AG822" s="53">
        <v>51.804755555555545</v>
      </c>
      <c r="AH822" s="53">
        <v>91.252577777777759</v>
      </c>
      <c r="AI822" s="53">
        <v>79.2</v>
      </c>
      <c r="AJ822" s="53">
        <v>100.23666666666668</v>
      </c>
      <c r="AK822" s="53" t="str">
        <f>_xlfn.XLOOKUP(Master[[#This Row],[cu_id]],'[1]Customer Revenue'!$Q:$Q,'[1]Customer Revenue'!$I:$I, "None")</f>
        <v>None</v>
      </c>
      <c r="AL822" s="53">
        <v>71.528666666666652</v>
      </c>
      <c r="AM822" s="61">
        <v>0.45833333333333331</v>
      </c>
      <c r="AN822" s="60">
        <v>0.75</v>
      </c>
      <c r="AO822" s="60" t="s">
        <v>36</v>
      </c>
      <c r="AP822" s="60" t="s">
        <v>36</v>
      </c>
      <c r="AQ822" s="58" t="s">
        <v>0</v>
      </c>
      <c r="AR822" s="58"/>
      <c r="AS822" s="58"/>
      <c r="AT822" s="52">
        <v>0</v>
      </c>
      <c r="AU822" s="52" t="e">
        <f>IF(Master[[#This Row],[RSP StopTime override]] &lt;&gt; "",Master[[#This Row],[RSP StopTime override]],IF(Master[[#This Row],[Avg stop time helper]] &lt;&gt; 0, Master[[#This Row],[Avg stop time helper]],Average_Stop_Time))</f>
        <v>#DIV/0!</v>
      </c>
      <c r="AV822" s="21"/>
      <c r="AW822" s="20">
        <f>Master[[#This Row],[RSP StopTime override]]-Master[[#This Row],[Avg stop time helper]]</f>
        <v>0</v>
      </c>
    </row>
    <row r="823" spans="1:49" x14ac:dyDescent="0.3">
      <c r="A823" s="66" t="s">
        <v>4856</v>
      </c>
      <c r="B823" s="58">
        <v>51</v>
      </c>
      <c r="C823" s="58" t="s">
        <v>43</v>
      </c>
      <c r="D823" s="65">
        <v>808564</v>
      </c>
      <c r="E823" s="65" t="s">
        <v>42</v>
      </c>
      <c r="F823" s="65" t="s">
        <v>1878</v>
      </c>
      <c r="G823" s="65" t="s">
        <v>1877</v>
      </c>
      <c r="H823" s="65" t="s">
        <v>7</v>
      </c>
      <c r="I823" s="65" t="s">
        <v>130</v>
      </c>
      <c r="J823" s="65" t="s">
        <v>5</v>
      </c>
      <c r="K823" s="65" t="s">
        <v>129</v>
      </c>
      <c r="L823" s="64" t="s">
        <v>91</v>
      </c>
      <c r="M823" s="58" t="s">
        <v>90</v>
      </c>
      <c r="N823" s="58" t="s">
        <v>2</v>
      </c>
      <c r="O823" s="58">
        <v>140</v>
      </c>
      <c r="P823" s="58">
        <v>0</v>
      </c>
      <c r="Q823" s="58">
        <v>0</v>
      </c>
      <c r="R823" s="58">
        <v>0</v>
      </c>
      <c r="S823" s="58">
        <v>140</v>
      </c>
      <c r="T823" s="58">
        <v>0</v>
      </c>
      <c r="U823" s="58">
        <v>20</v>
      </c>
      <c r="V823" s="62"/>
      <c r="W823" s="62"/>
      <c r="X823" s="63">
        <f>IFERROR(1 -(Master[[#This Row],[Avg Garment Scans per Delivery]]/Master[[#This Row],[Garment Inventory]]), 0)</f>
        <v>0</v>
      </c>
      <c r="Y823" s="62"/>
      <c r="Z823" s="62"/>
      <c r="AA823" s="53">
        <v>35.776326530612245</v>
      </c>
      <c r="AB823" s="53">
        <v>37.000816326530618</v>
      </c>
      <c r="AC823" s="53">
        <v>37.288888888888891</v>
      </c>
      <c r="AD823" s="53">
        <v>38.657777777777781</v>
      </c>
      <c r="AE823" s="53" t="str">
        <f>_xlfn.XLOOKUP(Master[[#This Row],[cu_id]],'[1]Customer Revenue'!$Q:$Q,'[1]Customer Revenue'!$K:$K, "None")</f>
        <v>None</v>
      </c>
      <c r="AF823" s="53" t="str">
        <f>_xlfn.XLOOKUP(Master[[#This Row],[cu_id]],'[1]Customer Revenue'!$Q:$Q,'[1]Customer Revenue'!$L:$L, "None")</f>
        <v>None</v>
      </c>
      <c r="AG823" s="53">
        <v>35.806938775510204</v>
      </c>
      <c r="AH823" s="53">
        <v>36.541632653061214</v>
      </c>
      <c r="AI823" s="53">
        <v>36.388571428571431</v>
      </c>
      <c r="AJ823" s="53">
        <v>37.973333333333336</v>
      </c>
      <c r="AK823" s="53" t="str">
        <f>_xlfn.XLOOKUP(Master[[#This Row],[cu_id]],'[1]Customer Revenue'!$Q:$Q,'[1]Customer Revenue'!$I:$I, "None")</f>
        <v>None</v>
      </c>
      <c r="AL823" s="53">
        <v>36.174285714285709</v>
      </c>
      <c r="AM823" s="61">
        <v>0.29166666666666669</v>
      </c>
      <c r="AN823" s="60">
        <v>0.54166666666666663</v>
      </c>
      <c r="AO823" s="60" t="s">
        <v>36</v>
      </c>
      <c r="AP823" s="60" t="s">
        <v>36</v>
      </c>
      <c r="AQ823" s="58" t="s">
        <v>0</v>
      </c>
      <c r="AR823" s="58"/>
      <c r="AS823" s="58"/>
      <c r="AT823" s="52">
        <v>0</v>
      </c>
      <c r="AU823" s="52" t="e">
        <f>IF(Master[[#This Row],[RSP StopTime override]] &lt;&gt; "",Master[[#This Row],[RSP StopTime override]],IF(Master[[#This Row],[Avg stop time helper]] &lt;&gt; 0, Master[[#This Row],[Avg stop time helper]],Average_Stop_Time))</f>
        <v>#DIV/0!</v>
      </c>
      <c r="AV823" s="21"/>
      <c r="AW823" s="20">
        <f>Master[[#This Row],[RSP StopTime override]]-Master[[#This Row],[Avg stop time helper]]</f>
        <v>0</v>
      </c>
    </row>
    <row r="824" spans="1:49" x14ac:dyDescent="0.3">
      <c r="A824" s="66" t="s">
        <v>4857</v>
      </c>
      <c r="B824" s="58">
        <v>51</v>
      </c>
      <c r="C824" s="58" t="s">
        <v>43</v>
      </c>
      <c r="D824" s="65">
        <v>804793</v>
      </c>
      <c r="E824" s="65" t="s">
        <v>42</v>
      </c>
      <c r="F824" s="65" t="s">
        <v>1876</v>
      </c>
      <c r="G824" s="65" t="s">
        <v>1875</v>
      </c>
      <c r="H824" s="65" t="s">
        <v>7</v>
      </c>
      <c r="I824" s="65" t="s">
        <v>1844</v>
      </c>
      <c r="J824" s="65" t="s">
        <v>5</v>
      </c>
      <c r="K824" s="65" t="s">
        <v>1843</v>
      </c>
      <c r="L824" s="64" t="s">
        <v>67</v>
      </c>
      <c r="M824" s="58" t="s">
        <v>3</v>
      </c>
      <c r="N824" s="58" t="s">
        <v>2</v>
      </c>
      <c r="O824" s="58">
        <v>47</v>
      </c>
      <c r="P824" s="58">
        <v>0</v>
      </c>
      <c r="Q824" s="58">
        <v>0</v>
      </c>
      <c r="R824" s="58">
        <v>0</v>
      </c>
      <c r="S824" s="58">
        <v>47</v>
      </c>
      <c r="T824" s="58">
        <v>0</v>
      </c>
      <c r="U824" s="58">
        <v>39</v>
      </c>
      <c r="V824" s="62"/>
      <c r="W824" s="62"/>
      <c r="X824" s="63">
        <f>IFERROR(1 -(Master[[#This Row],[Avg Garment Scans per Delivery]]/Master[[#This Row],[Garment Inventory]]), 0)</f>
        <v>0</v>
      </c>
      <c r="Y824" s="62"/>
      <c r="Z824" s="62"/>
      <c r="AA824" s="53">
        <v>23.730236686390533</v>
      </c>
      <c r="AB824" s="53">
        <v>26.357455621301774</v>
      </c>
      <c r="AC824" s="53">
        <v>27.753313609467455</v>
      </c>
      <c r="AD824" s="53">
        <v>29.21130177514793</v>
      </c>
      <c r="AE824" s="53" t="str">
        <f>_xlfn.XLOOKUP(Master[[#This Row],[cu_id]],'[1]Customer Revenue'!$Q:$Q,'[1]Customer Revenue'!$K:$K, "None")</f>
        <v>None</v>
      </c>
      <c r="AF824" s="53" t="str">
        <f>_xlfn.XLOOKUP(Master[[#This Row],[cu_id]],'[1]Customer Revenue'!$Q:$Q,'[1]Customer Revenue'!$L:$L, "None")</f>
        <v>None</v>
      </c>
      <c r="AG824" s="53">
        <v>23.861597633136096</v>
      </c>
      <c r="AH824" s="53">
        <v>25.372248520710063</v>
      </c>
      <c r="AI824" s="53">
        <v>25.043846153846154</v>
      </c>
      <c r="AJ824" s="53">
        <v>28.482307692307693</v>
      </c>
      <c r="AK824" s="53" t="str">
        <f>_xlfn.XLOOKUP(Master[[#This Row],[cu_id]],'[1]Customer Revenue'!$Q:$Q,'[1]Customer Revenue'!$I:$I, "None")</f>
        <v>None</v>
      </c>
      <c r="AL824" s="53">
        <v>24.616923076923079</v>
      </c>
      <c r="AM824" s="61">
        <v>0.375</v>
      </c>
      <c r="AN824" s="60">
        <v>0.875</v>
      </c>
      <c r="AO824" s="60" t="s">
        <v>36</v>
      </c>
      <c r="AP824" s="60" t="s">
        <v>36</v>
      </c>
      <c r="AQ824" s="58" t="s">
        <v>0</v>
      </c>
      <c r="AR824" s="58"/>
      <c r="AS824" s="58"/>
      <c r="AT824" s="52">
        <v>0</v>
      </c>
      <c r="AU824" s="52" t="e">
        <f>IF(Master[[#This Row],[RSP StopTime override]] &lt;&gt; "",Master[[#This Row],[RSP StopTime override]],IF(Master[[#This Row],[Avg stop time helper]] &lt;&gt; 0, Master[[#This Row],[Avg stop time helper]],Average_Stop_Time))</f>
        <v>#DIV/0!</v>
      </c>
      <c r="AV824" s="21"/>
      <c r="AW824" s="20">
        <f>Master[[#This Row],[RSP StopTime override]]-Master[[#This Row],[Avg stop time helper]]</f>
        <v>0</v>
      </c>
    </row>
    <row r="825" spans="1:49" x14ac:dyDescent="0.3">
      <c r="A825" s="66" t="s">
        <v>4858</v>
      </c>
      <c r="B825" s="58">
        <v>51</v>
      </c>
      <c r="C825" s="58" t="s">
        <v>35</v>
      </c>
      <c r="D825" s="65">
        <v>804561</v>
      </c>
      <c r="E825" s="65" t="s">
        <v>42</v>
      </c>
      <c r="F825" s="65" t="s">
        <v>1874</v>
      </c>
      <c r="G825" s="65" t="s">
        <v>1873</v>
      </c>
      <c r="H825" s="65" t="s">
        <v>7</v>
      </c>
      <c r="I825" s="65" t="s">
        <v>79</v>
      </c>
      <c r="J825" s="65" t="s">
        <v>5</v>
      </c>
      <c r="K825" s="65" t="s">
        <v>78</v>
      </c>
      <c r="L825" s="64" t="s">
        <v>77</v>
      </c>
      <c r="M825" s="58" t="s">
        <v>29</v>
      </c>
      <c r="N825" s="58" t="s">
        <v>2</v>
      </c>
      <c r="O825" s="58">
        <v>100</v>
      </c>
      <c r="P825" s="58">
        <v>0</v>
      </c>
      <c r="Q825" s="58">
        <v>100</v>
      </c>
      <c r="R825" s="58">
        <v>0</v>
      </c>
      <c r="S825" s="58">
        <v>0</v>
      </c>
      <c r="T825" s="58">
        <v>0</v>
      </c>
      <c r="U825" s="58">
        <v>14</v>
      </c>
      <c r="V825" s="62"/>
      <c r="W825" s="62"/>
      <c r="X825" s="63">
        <f>IFERROR(1 -(Master[[#This Row],[Avg Garment Scans per Delivery]]/Master[[#This Row],[Garment Inventory]]), 0)</f>
        <v>0</v>
      </c>
      <c r="Y825" s="62"/>
      <c r="Z825" s="62"/>
      <c r="AA825" s="53"/>
      <c r="AB825" s="53"/>
      <c r="AC825" s="53">
        <v>98.212142857142908</v>
      </c>
      <c r="AD825" s="53">
        <v>180.45785714285716</v>
      </c>
      <c r="AE825" s="53" t="str">
        <f>_xlfn.XLOOKUP(Master[[#This Row],[cu_id]],'[1]Customer Revenue'!$Q:$Q,'[1]Customer Revenue'!$K:$K, "None")</f>
        <v>None</v>
      </c>
      <c r="AF825" s="53" t="str">
        <f>_xlfn.XLOOKUP(Master[[#This Row],[cu_id]],'[1]Customer Revenue'!$Q:$Q,'[1]Customer Revenue'!$L:$L, "None")</f>
        <v>None</v>
      </c>
      <c r="AG825" s="53">
        <v>99.141666666666666</v>
      </c>
      <c r="AH825" s="53">
        <v>304.0916666666667</v>
      </c>
      <c r="AI825" s="53"/>
      <c r="AJ825" s="53">
        <v>139.33500000000004</v>
      </c>
      <c r="AK825" s="53" t="str">
        <f>_xlfn.XLOOKUP(Master[[#This Row],[cu_id]],'[1]Customer Revenue'!$Q:$Q,'[1]Customer Revenue'!$I:$I, "None")</f>
        <v>None</v>
      </c>
      <c r="AL825" s="53">
        <v>201.61666666666667</v>
      </c>
      <c r="AM825" s="61">
        <v>0.375</v>
      </c>
      <c r="AN825" s="60">
        <v>0.70833333333333337</v>
      </c>
      <c r="AO825" s="60" t="s">
        <v>36</v>
      </c>
      <c r="AP825" s="60" t="s">
        <v>36</v>
      </c>
      <c r="AQ825" s="58" t="s">
        <v>0</v>
      </c>
      <c r="AR825" s="58"/>
      <c r="AS825" s="58"/>
      <c r="AT825" s="52">
        <v>0</v>
      </c>
      <c r="AU825" s="52" t="e">
        <f>IF(Master[[#This Row],[RSP StopTime override]] &lt;&gt; "",Master[[#This Row],[RSP StopTime override]],IF(Master[[#This Row],[Avg stop time helper]] &lt;&gt; 0, Master[[#This Row],[Avg stop time helper]],Average_Stop_Time))</f>
        <v>#DIV/0!</v>
      </c>
      <c r="AV825" s="21"/>
      <c r="AW825" s="20">
        <f>Master[[#This Row],[RSP StopTime override]]-Master[[#This Row],[Avg stop time helper]]</f>
        <v>0</v>
      </c>
    </row>
    <row r="826" spans="1:49" x14ac:dyDescent="0.3">
      <c r="A826" s="66" t="s">
        <v>4078</v>
      </c>
      <c r="B826" s="58">
        <v>8060</v>
      </c>
      <c r="C826" s="58" t="s">
        <v>43</v>
      </c>
      <c r="D826" s="65">
        <v>804515</v>
      </c>
      <c r="E826" s="65" t="s">
        <v>42</v>
      </c>
      <c r="F826" s="65" t="s">
        <v>1872</v>
      </c>
      <c r="G826" s="65" t="s">
        <v>1871</v>
      </c>
      <c r="H826" s="65" t="s">
        <v>7</v>
      </c>
      <c r="I826" s="65" t="s">
        <v>1870</v>
      </c>
      <c r="J826" s="65" t="s">
        <v>5</v>
      </c>
      <c r="K826" s="65" t="s">
        <v>1869</v>
      </c>
      <c r="L826" s="64" t="s">
        <v>77</v>
      </c>
      <c r="M826" s="58" t="s">
        <v>29</v>
      </c>
      <c r="N826" s="58" t="s">
        <v>2</v>
      </c>
      <c r="O826" s="58">
        <v>500</v>
      </c>
      <c r="P826" s="58">
        <v>0</v>
      </c>
      <c r="Q826" s="58">
        <v>0</v>
      </c>
      <c r="R826" s="58">
        <v>0</v>
      </c>
      <c r="S826" s="58">
        <v>125</v>
      </c>
      <c r="T826" s="58">
        <v>0</v>
      </c>
      <c r="U826" s="58">
        <v>19</v>
      </c>
      <c r="V826" s="62"/>
      <c r="W826" s="62"/>
      <c r="X826" s="63">
        <f>IFERROR(1 -(Master[[#This Row],[Avg Garment Scans per Delivery]]/Master[[#This Row],[Garment Inventory]]), 0)</f>
        <v>0</v>
      </c>
      <c r="Y826" s="62"/>
      <c r="Z826" s="62"/>
      <c r="AA826" s="53">
        <v>82.083333333333329</v>
      </c>
      <c r="AB826" s="53">
        <v>82.916666666666671</v>
      </c>
      <c r="AC826" s="53">
        <v>62.743333333333354</v>
      </c>
      <c r="AD826" s="53">
        <v>89.38666666666667</v>
      </c>
      <c r="AE826" s="53" t="str">
        <f>_xlfn.XLOOKUP(Master[[#This Row],[cu_id]],'[1]Customer Revenue'!$Q:$Q,'[1]Customer Revenue'!$K:$K, "None")</f>
        <v>None</v>
      </c>
      <c r="AF826" s="53" t="str">
        <f>_xlfn.XLOOKUP(Master[[#This Row],[cu_id]],'[1]Customer Revenue'!$Q:$Q,'[1]Customer Revenue'!$L:$L, "None")</f>
        <v>None</v>
      </c>
      <c r="AG826" s="53">
        <v>62.456232339089468</v>
      </c>
      <c r="AH826" s="53">
        <v>94.706844583987447</v>
      </c>
      <c r="AI826" s="53">
        <v>82.5</v>
      </c>
      <c r="AJ826" s="53">
        <v>76.065000000000012</v>
      </c>
      <c r="AK826" s="53" t="str">
        <f>_xlfn.XLOOKUP(Master[[#This Row],[cu_id]],'[1]Customer Revenue'!$Q:$Q,'[1]Customer Revenue'!$I:$I, "None")</f>
        <v>None</v>
      </c>
      <c r="AL826" s="53">
        <v>78.581538461538457</v>
      </c>
      <c r="AM826" s="61">
        <v>0.375</v>
      </c>
      <c r="AN826" s="60">
        <v>0.91666666666666663</v>
      </c>
      <c r="AO826" s="60" t="s">
        <v>36</v>
      </c>
      <c r="AP826" s="60" t="s">
        <v>36</v>
      </c>
      <c r="AQ826" s="58" t="s">
        <v>308</v>
      </c>
      <c r="AR826" s="58"/>
      <c r="AS826" s="58"/>
      <c r="AT826" s="52">
        <v>0</v>
      </c>
      <c r="AU826" s="52" t="e">
        <f>IF(Master[[#This Row],[RSP StopTime override]] &lt;&gt; "",Master[[#This Row],[RSP StopTime override]],IF(Master[[#This Row],[Avg stop time helper]] &lt;&gt; 0, Master[[#This Row],[Avg stop time helper]],Average_Stop_Time))</f>
        <v>#DIV/0!</v>
      </c>
      <c r="AV826" s="21"/>
      <c r="AW826" s="20">
        <f>Master[[#This Row],[RSP StopTime override]]-Master[[#This Row],[Avg stop time helper]]</f>
        <v>0</v>
      </c>
    </row>
    <row r="827" spans="1:49" x14ac:dyDescent="0.3">
      <c r="A827" s="66" t="s">
        <v>4859</v>
      </c>
      <c r="B827" s="58">
        <v>51</v>
      </c>
      <c r="C827" s="58" t="s">
        <v>43</v>
      </c>
      <c r="D827" s="65">
        <v>884524</v>
      </c>
      <c r="E827" s="65" t="s">
        <v>1868</v>
      </c>
      <c r="F827" s="65" t="s">
        <v>88</v>
      </c>
      <c r="G827" s="65" t="s">
        <v>1867</v>
      </c>
      <c r="H827" s="65" t="s">
        <v>7</v>
      </c>
      <c r="I827" s="65" t="s">
        <v>130</v>
      </c>
      <c r="J827" s="65" t="s">
        <v>5</v>
      </c>
      <c r="K827" s="65" t="s">
        <v>129</v>
      </c>
      <c r="L827" s="64" t="s">
        <v>67</v>
      </c>
      <c r="M827" s="58" t="s">
        <v>3</v>
      </c>
      <c r="N827" s="58" t="s">
        <v>2</v>
      </c>
      <c r="O827" s="58">
        <v>115</v>
      </c>
      <c r="P827" s="58">
        <v>0</v>
      </c>
      <c r="Q827" s="58">
        <v>0</v>
      </c>
      <c r="R827" s="58">
        <v>0</v>
      </c>
      <c r="S827" s="58">
        <v>115</v>
      </c>
      <c r="T827" s="58">
        <v>0</v>
      </c>
      <c r="U827" s="58">
        <v>40</v>
      </c>
      <c r="V827" s="62">
        <v>18</v>
      </c>
      <c r="W827" s="62">
        <v>2</v>
      </c>
      <c r="X827" s="63">
        <f>IFERROR(1 -(Master[[#This Row],[Avg Garment Scans per Delivery]]/Master[[#This Row],[Garment Inventory]]), 0)</f>
        <v>0.88888888888888884</v>
      </c>
      <c r="Y827" s="62">
        <v>2</v>
      </c>
      <c r="Z827" s="62">
        <v>26</v>
      </c>
      <c r="AA827" s="53">
        <v>6.393905325443785</v>
      </c>
      <c r="AB827" s="53">
        <v>12.112248520710057</v>
      </c>
      <c r="AC827" s="53">
        <v>12.97</v>
      </c>
      <c r="AD827" s="53">
        <v>12.97</v>
      </c>
      <c r="AE827" s="53" t="str">
        <f>_xlfn.XLOOKUP(Master[[#This Row],[cu_id]],'[1]Customer Revenue'!$Q:$Q,'[1]Customer Revenue'!$K:$K, "None")</f>
        <v>None</v>
      </c>
      <c r="AF827" s="53" t="str">
        <f>_xlfn.XLOOKUP(Master[[#This Row],[cu_id]],'[1]Customer Revenue'!$Q:$Q,'[1]Customer Revenue'!$L:$L, "None")</f>
        <v>None</v>
      </c>
      <c r="AG827" s="53">
        <v>7.0868716931216937</v>
      </c>
      <c r="AH827" s="53">
        <v>10.547943121693123</v>
      </c>
      <c r="AI827" s="53">
        <v>9.2530769230769216</v>
      </c>
      <c r="AJ827" s="53">
        <v>12.97</v>
      </c>
      <c r="AK827" s="53" t="str">
        <f>_xlfn.XLOOKUP(Master[[#This Row],[cu_id]],'[1]Customer Revenue'!$Q:$Q,'[1]Customer Revenue'!$I:$I, "None")</f>
        <v>None</v>
      </c>
      <c r="AL827" s="53">
        <v>8.8174074074074085</v>
      </c>
      <c r="AM827" s="61">
        <v>0.25</v>
      </c>
      <c r="AN827" s="60">
        <v>0.6875</v>
      </c>
      <c r="AO827" s="60" t="s">
        <v>36</v>
      </c>
      <c r="AP827" s="60" t="s">
        <v>36</v>
      </c>
      <c r="AQ827" s="58" t="s">
        <v>0</v>
      </c>
      <c r="AR827" s="58"/>
      <c r="AS827" s="58"/>
      <c r="AT827" s="52">
        <v>0</v>
      </c>
      <c r="AU827" s="52" t="e">
        <f>IF(Master[[#This Row],[RSP StopTime override]] &lt;&gt; "",Master[[#This Row],[RSP StopTime override]],IF(Master[[#This Row],[Avg stop time helper]] &lt;&gt; 0, Master[[#This Row],[Avg stop time helper]],Average_Stop_Time))</f>
        <v>#DIV/0!</v>
      </c>
      <c r="AV827" s="21"/>
      <c r="AW827" s="20">
        <f>Master[[#This Row],[RSP StopTime override]]-Master[[#This Row],[Avg stop time helper]]</f>
        <v>0</v>
      </c>
    </row>
    <row r="828" spans="1:49" x14ac:dyDescent="0.3">
      <c r="A828" s="66" t="s">
        <v>4860</v>
      </c>
      <c r="B828" s="58">
        <v>51</v>
      </c>
      <c r="C828" s="58" t="s">
        <v>43</v>
      </c>
      <c r="D828" s="65">
        <v>532189</v>
      </c>
      <c r="E828" s="65" t="s">
        <v>686</v>
      </c>
      <c r="F828" s="65" t="s">
        <v>1866</v>
      </c>
      <c r="G828" s="65" t="s">
        <v>1865</v>
      </c>
      <c r="H828" s="65" t="s">
        <v>7</v>
      </c>
      <c r="I828" s="65" t="s">
        <v>1844</v>
      </c>
      <c r="J828" s="65" t="s">
        <v>5</v>
      </c>
      <c r="K828" s="65" t="s">
        <v>1843</v>
      </c>
      <c r="L828" s="64" t="s">
        <v>67</v>
      </c>
      <c r="M828" s="58" t="s">
        <v>3</v>
      </c>
      <c r="N828" s="58" t="s">
        <v>2</v>
      </c>
      <c r="O828" s="58">
        <v>6</v>
      </c>
      <c r="P828" s="58">
        <v>0</v>
      </c>
      <c r="Q828" s="58">
        <v>0</v>
      </c>
      <c r="R828" s="58">
        <v>0</v>
      </c>
      <c r="S828" s="58">
        <v>1</v>
      </c>
      <c r="T828" s="58">
        <v>0</v>
      </c>
      <c r="U828" s="58">
        <v>11</v>
      </c>
      <c r="V828" s="62"/>
      <c r="W828" s="62"/>
      <c r="X828" s="63">
        <f>IFERROR(1 -(Master[[#This Row],[Avg Garment Scans per Delivery]]/Master[[#This Row],[Garment Inventory]]), 0)</f>
        <v>0</v>
      </c>
      <c r="Y828" s="62"/>
      <c r="Z828" s="62"/>
      <c r="AA828" s="53"/>
      <c r="AB828" s="53"/>
      <c r="AC828" s="53">
        <v>141.43816326530612</v>
      </c>
      <c r="AD828" s="53">
        <v>233.18183673469389</v>
      </c>
      <c r="AE828" s="53" t="str">
        <f>_xlfn.XLOOKUP(Master[[#This Row],[cu_id]],'[1]Customer Revenue'!$Q:$Q,'[1]Customer Revenue'!$K:$K, "None")</f>
        <v>None</v>
      </c>
      <c r="AF828" s="53" t="str">
        <f>_xlfn.XLOOKUP(Master[[#This Row],[cu_id]],'[1]Customer Revenue'!$Q:$Q,'[1]Customer Revenue'!$L:$L, "None")</f>
        <v>None</v>
      </c>
      <c r="AG828" s="53">
        <v>185.44786982248522</v>
      </c>
      <c r="AH828" s="53">
        <v>215.07213017751477</v>
      </c>
      <c r="AI828" s="53"/>
      <c r="AJ828" s="53">
        <v>187.31</v>
      </c>
      <c r="AK828" s="53" t="str">
        <f>_xlfn.XLOOKUP(Master[[#This Row],[cu_id]],'[1]Customer Revenue'!$Q:$Q,'[1]Customer Revenue'!$I:$I, "None")</f>
        <v>None</v>
      </c>
      <c r="AL828" s="53">
        <v>200.26</v>
      </c>
      <c r="AM828" s="61">
        <v>0.29166666666666669</v>
      </c>
      <c r="AN828" s="60">
        <v>0.83333333333333337</v>
      </c>
      <c r="AO828" s="60" t="s">
        <v>36</v>
      </c>
      <c r="AP828" s="60" t="s">
        <v>36</v>
      </c>
      <c r="AQ828" s="58" t="s">
        <v>0</v>
      </c>
      <c r="AR828" s="58"/>
      <c r="AS828" s="58"/>
      <c r="AT828" s="52">
        <v>0</v>
      </c>
      <c r="AU828" s="52" t="e">
        <f>IF(Master[[#This Row],[RSP StopTime override]] &lt;&gt; "",Master[[#This Row],[RSP StopTime override]],IF(Master[[#This Row],[Avg stop time helper]] &lt;&gt; 0, Master[[#This Row],[Avg stop time helper]],Average_Stop_Time))</f>
        <v>#DIV/0!</v>
      </c>
      <c r="AV828" s="21"/>
      <c r="AW828" s="20">
        <f>Master[[#This Row],[RSP StopTime override]]-Master[[#This Row],[Avg stop time helper]]</f>
        <v>0</v>
      </c>
    </row>
    <row r="829" spans="1:49" x14ac:dyDescent="0.3">
      <c r="A829" s="66" t="s">
        <v>4861</v>
      </c>
      <c r="B829" s="58">
        <v>51</v>
      </c>
      <c r="C829" s="58" t="s">
        <v>10</v>
      </c>
      <c r="D829" s="65">
        <v>528759</v>
      </c>
      <c r="E829" s="65" t="s">
        <v>1455</v>
      </c>
      <c r="F829" s="65" t="s">
        <v>1864</v>
      </c>
      <c r="G829" s="65" t="s">
        <v>1863</v>
      </c>
      <c r="H829" s="65" t="s">
        <v>7</v>
      </c>
      <c r="I829" s="65" t="s">
        <v>12</v>
      </c>
      <c r="J829" s="65" t="s">
        <v>5</v>
      </c>
      <c r="K829" s="65" t="s">
        <v>1578</v>
      </c>
      <c r="L829" s="64" t="s">
        <v>67</v>
      </c>
      <c r="M829" s="58" t="s">
        <v>3</v>
      </c>
      <c r="N829" s="58" t="s">
        <v>2</v>
      </c>
      <c r="O829" s="58">
        <v>165</v>
      </c>
      <c r="P829" s="58">
        <v>0</v>
      </c>
      <c r="Q829" s="58">
        <v>0</v>
      </c>
      <c r="R829" s="58">
        <v>160</v>
      </c>
      <c r="S829" s="58">
        <v>0</v>
      </c>
      <c r="T829" s="58">
        <v>0</v>
      </c>
      <c r="U829" s="58">
        <v>35</v>
      </c>
      <c r="V829" s="62">
        <v>52</v>
      </c>
      <c r="W829" s="62">
        <v>12</v>
      </c>
      <c r="X829" s="63">
        <f>IFERROR(1 -(Master[[#This Row],[Avg Garment Scans per Delivery]]/Master[[#This Row],[Garment Inventory]]), 0)</f>
        <v>0.76923076923076916</v>
      </c>
      <c r="Y829" s="62">
        <v>2</v>
      </c>
      <c r="Z829" s="62">
        <v>52</v>
      </c>
      <c r="AA829" s="53">
        <v>167.65236686390534</v>
      </c>
      <c r="AB829" s="53">
        <v>547.37378698224848</v>
      </c>
      <c r="AC829" s="53">
        <v>117.25407366071431</v>
      </c>
      <c r="AD829" s="53">
        <v>625.0073549107143</v>
      </c>
      <c r="AE829" s="53" t="str">
        <f>_xlfn.XLOOKUP(Master[[#This Row],[cu_id]],'[1]Customer Revenue'!$Q:$Q,'[1]Customer Revenue'!$K:$K, "None")</f>
        <v>None</v>
      </c>
      <c r="AF829" s="53" t="str">
        <f>_xlfn.XLOOKUP(Master[[#This Row],[cu_id]],'[1]Customer Revenue'!$Q:$Q,'[1]Customer Revenue'!$L:$L, "None")</f>
        <v>None</v>
      </c>
      <c r="AG829" s="53">
        <v>160.19637755102036</v>
      </c>
      <c r="AH829" s="53">
        <v>430.40362244897955</v>
      </c>
      <c r="AI829" s="53">
        <v>357.51307692307694</v>
      </c>
      <c r="AJ829" s="53">
        <v>371.1307142857143</v>
      </c>
      <c r="AK829" s="53" t="str">
        <f>_xlfn.XLOOKUP(Master[[#This Row],[cu_id]],'[1]Customer Revenue'!$Q:$Q,'[1]Customer Revenue'!$I:$I, "None")</f>
        <v>None</v>
      </c>
      <c r="AL829" s="53">
        <v>295.29999999999995</v>
      </c>
      <c r="AM829" s="61">
        <v>0.41666666666666669</v>
      </c>
      <c r="AN829" s="60">
        <v>0.91666666666666663</v>
      </c>
      <c r="AO829" s="60" t="s">
        <v>36</v>
      </c>
      <c r="AP829" s="60" t="s">
        <v>36</v>
      </c>
      <c r="AQ829" s="58" t="s">
        <v>0</v>
      </c>
      <c r="AR829" s="58"/>
      <c r="AS829" s="58"/>
      <c r="AT829" s="52">
        <v>0</v>
      </c>
      <c r="AU829" s="52" t="e">
        <f>IF(Master[[#This Row],[RSP StopTime override]] &lt;&gt; "",Master[[#This Row],[RSP StopTime override]],IF(Master[[#This Row],[Avg stop time helper]] &lt;&gt; 0, Master[[#This Row],[Avg stop time helper]],Average_Stop_Time))</f>
        <v>#DIV/0!</v>
      </c>
      <c r="AV829" s="21"/>
      <c r="AW829" s="20">
        <f>Master[[#This Row],[RSP StopTime override]]-Master[[#This Row],[Avg stop time helper]]</f>
        <v>0</v>
      </c>
    </row>
    <row r="830" spans="1:49" x14ac:dyDescent="0.3">
      <c r="A830" s="66" t="s">
        <v>4862</v>
      </c>
      <c r="B830" s="58">
        <v>51</v>
      </c>
      <c r="C830" s="58" t="s">
        <v>43</v>
      </c>
      <c r="D830" s="65">
        <v>533482</v>
      </c>
      <c r="E830" s="65" t="s">
        <v>42</v>
      </c>
      <c r="F830" s="65" t="s">
        <v>1862</v>
      </c>
      <c r="G830" s="65" t="s">
        <v>1861</v>
      </c>
      <c r="H830" s="65" t="s">
        <v>7</v>
      </c>
      <c r="I830" s="65" t="s">
        <v>1860</v>
      </c>
      <c r="J830" s="65" t="s">
        <v>5</v>
      </c>
      <c r="K830" s="65" t="s">
        <v>1843</v>
      </c>
      <c r="L830" s="64" t="s">
        <v>67</v>
      </c>
      <c r="M830" s="58" t="s">
        <v>3</v>
      </c>
      <c r="N830" s="58" t="s">
        <v>2</v>
      </c>
      <c r="O830" s="58">
        <v>42</v>
      </c>
      <c r="P830" s="58">
        <v>0</v>
      </c>
      <c r="Q830" s="58">
        <v>0</v>
      </c>
      <c r="R830" s="58">
        <v>0</v>
      </c>
      <c r="S830" s="58">
        <v>42</v>
      </c>
      <c r="T830" s="58">
        <v>0</v>
      </c>
      <c r="U830" s="58">
        <v>23</v>
      </c>
      <c r="V830" s="62"/>
      <c r="W830" s="62"/>
      <c r="X830" s="63">
        <f>IFERROR(1 -(Master[[#This Row],[Avg Garment Scans per Delivery]]/Master[[#This Row],[Garment Inventory]]), 0)</f>
        <v>0</v>
      </c>
      <c r="Y830" s="62"/>
      <c r="Z830" s="62"/>
      <c r="AA830" s="53">
        <v>57.416331360946756</v>
      </c>
      <c r="AB830" s="53">
        <v>74.839053254437871</v>
      </c>
      <c r="AC830" s="53">
        <v>77.928698224852084</v>
      </c>
      <c r="AD830" s="53">
        <v>82.165147928994102</v>
      </c>
      <c r="AE830" s="53" t="str">
        <f>_xlfn.XLOOKUP(Master[[#This Row],[cu_id]],'[1]Customer Revenue'!$Q:$Q,'[1]Customer Revenue'!$K:$K, "None")</f>
        <v>None</v>
      </c>
      <c r="AF830" s="53" t="str">
        <f>_xlfn.XLOOKUP(Master[[#This Row],[cu_id]],'[1]Customer Revenue'!$Q:$Q,'[1]Customer Revenue'!$L:$L, "None")</f>
        <v>None</v>
      </c>
      <c r="AG830" s="53">
        <v>49.414688090737251</v>
      </c>
      <c r="AH830" s="53">
        <v>68.186181474480165</v>
      </c>
      <c r="AI830" s="53">
        <v>66.127692307692314</v>
      </c>
      <c r="AJ830" s="53">
        <v>80.046923076923093</v>
      </c>
      <c r="AK830" s="53" t="str">
        <f>_xlfn.XLOOKUP(Master[[#This Row],[cu_id]],'[1]Customer Revenue'!$Q:$Q,'[1]Customer Revenue'!$I:$I, "None")</f>
        <v>None</v>
      </c>
      <c r="AL830" s="53">
        <v>58.800434782608711</v>
      </c>
      <c r="AM830" s="61">
        <v>0.29166666666666669</v>
      </c>
      <c r="AN830" s="60">
        <v>0.66666666666666663</v>
      </c>
      <c r="AO830" s="60" t="s">
        <v>36</v>
      </c>
      <c r="AP830" s="60" t="s">
        <v>36</v>
      </c>
      <c r="AQ830" s="58" t="s">
        <v>0</v>
      </c>
      <c r="AR830" s="58"/>
      <c r="AS830" s="58"/>
      <c r="AT830" s="52">
        <v>0</v>
      </c>
      <c r="AU830" s="52" t="e">
        <f>IF(Master[[#This Row],[RSP StopTime override]] &lt;&gt; "",Master[[#This Row],[RSP StopTime override]],IF(Master[[#This Row],[Avg stop time helper]] &lt;&gt; 0, Master[[#This Row],[Avg stop time helper]],Average_Stop_Time))</f>
        <v>#DIV/0!</v>
      </c>
      <c r="AV830" s="21"/>
      <c r="AW830" s="20">
        <f>Master[[#This Row],[RSP StopTime override]]-Master[[#This Row],[Avg stop time helper]]</f>
        <v>0</v>
      </c>
    </row>
    <row r="831" spans="1:49" x14ac:dyDescent="0.3">
      <c r="A831" s="66" t="s">
        <v>4863</v>
      </c>
      <c r="B831" s="58">
        <v>51</v>
      </c>
      <c r="C831" s="58" t="s">
        <v>35</v>
      </c>
      <c r="D831" s="65">
        <v>530676</v>
      </c>
      <c r="E831" s="65" t="s">
        <v>686</v>
      </c>
      <c r="F831" s="65" t="s">
        <v>1859</v>
      </c>
      <c r="G831" s="65" t="s">
        <v>1858</v>
      </c>
      <c r="H831" s="65" t="s">
        <v>7</v>
      </c>
      <c r="I831" s="65" t="s">
        <v>1216</v>
      </c>
      <c r="J831" s="65" t="s">
        <v>5</v>
      </c>
      <c r="K831" s="65" t="s">
        <v>30</v>
      </c>
      <c r="L831" s="64" t="s">
        <v>77</v>
      </c>
      <c r="M831" s="58" t="s">
        <v>29</v>
      </c>
      <c r="N831" s="58" t="s">
        <v>2</v>
      </c>
      <c r="O831" s="58">
        <v>125</v>
      </c>
      <c r="P831" s="58">
        <v>0</v>
      </c>
      <c r="Q831" s="58">
        <v>125</v>
      </c>
      <c r="R831" s="58">
        <v>0</v>
      </c>
      <c r="S831" s="58">
        <v>0</v>
      </c>
      <c r="T831" s="58">
        <v>0</v>
      </c>
      <c r="U831" s="58">
        <v>10</v>
      </c>
      <c r="V831" s="62"/>
      <c r="W831" s="62"/>
      <c r="X831" s="63">
        <f>IFERROR(1 -(Master[[#This Row],[Avg Garment Scans per Delivery]]/Master[[#This Row],[Garment Inventory]]), 0)</f>
        <v>0</v>
      </c>
      <c r="Y831" s="62"/>
      <c r="Z831" s="62"/>
      <c r="AA831" s="53">
        <v>60.221111111111114</v>
      </c>
      <c r="AB831" s="53">
        <v>61.575555555555553</v>
      </c>
      <c r="AC831" s="53">
        <v>62.6495918367347</v>
      </c>
      <c r="AD831" s="53">
        <v>64.518979591836739</v>
      </c>
      <c r="AE831" s="53" t="str">
        <f>_xlfn.XLOOKUP(Master[[#This Row],[cu_id]],'[1]Customer Revenue'!$Q:$Q,'[1]Customer Revenue'!$K:$K, "None")</f>
        <v>None</v>
      </c>
      <c r="AF831" s="53" t="str">
        <f>_xlfn.XLOOKUP(Master[[#This Row],[cu_id]],'[1]Customer Revenue'!$Q:$Q,'[1]Customer Revenue'!$L:$L, "None")</f>
        <v>None</v>
      </c>
      <c r="AG831" s="53">
        <v>59.739999999999988</v>
      </c>
      <c r="AH831" s="53">
        <v>61.129999999999988</v>
      </c>
      <c r="AI831" s="53">
        <v>60.898333333333333</v>
      </c>
      <c r="AJ831" s="53">
        <v>63.58428571428572</v>
      </c>
      <c r="AK831" s="53" t="str">
        <f>_xlfn.XLOOKUP(Master[[#This Row],[cu_id]],'[1]Customer Revenue'!$Q:$Q,'[1]Customer Revenue'!$I:$I, "None")</f>
        <v>None</v>
      </c>
      <c r="AL831" s="53">
        <v>60.434999999999988</v>
      </c>
      <c r="AM831" s="61">
        <v>0.33333333333333331</v>
      </c>
      <c r="AN831" s="60">
        <v>0.79166666666666663</v>
      </c>
      <c r="AO831" s="60" t="s">
        <v>36</v>
      </c>
      <c r="AP831" s="60" t="s">
        <v>36</v>
      </c>
      <c r="AQ831" s="58" t="s">
        <v>0</v>
      </c>
      <c r="AR831" s="58"/>
      <c r="AS831" s="58"/>
      <c r="AT831" s="52">
        <v>0</v>
      </c>
      <c r="AU831" s="52" t="e">
        <f>IF(Master[[#This Row],[RSP StopTime override]] &lt;&gt; "",Master[[#This Row],[RSP StopTime override]],IF(Master[[#This Row],[Avg stop time helper]] &lt;&gt; 0, Master[[#This Row],[Avg stop time helper]],Average_Stop_Time))</f>
        <v>#DIV/0!</v>
      </c>
      <c r="AV831" s="21"/>
      <c r="AW831" s="20">
        <f>Master[[#This Row],[RSP StopTime override]]-Master[[#This Row],[Avg stop time helper]]</f>
        <v>0</v>
      </c>
    </row>
    <row r="832" spans="1:49" x14ac:dyDescent="0.3">
      <c r="A832" s="73" t="s">
        <v>4864</v>
      </c>
      <c r="B832" s="64">
        <v>51</v>
      </c>
      <c r="C832" s="64" t="s">
        <v>43</v>
      </c>
      <c r="D832" s="65">
        <v>533594</v>
      </c>
      <c r="E832" s="65" t="s">
        <v>42</v>
      </c>
      <c r="F832" s="65" t="s">
        <v>1857</v>
      </c>
      <c r="G832" s="65" t="s">
        <v>1856</v>
      </c>
      <c r="H832" s="65" t="s">
        <v>7</v>
      </c>
      <c r="I832" s="65" t="s">
        <v>1844</v>
      </c>
      <c r="J832" s="65" t="s">
        <v>5</v>
      </c>
      <c r="K832" s="65" t="s">
        <v>1843</v>
      </c>
      <c r="L832" s="64" t="s">
        <v>67</v>
      </c>
      <c r="M832" s="65" t="s">
        <v>3</v>
      </c>
      <c r="N832" s="65" t="s">
        <v>2</v>
      </c>
      <c r="O832" s="65">
        <v>11</v>
      </c>
      <c r="P832" s="65">
        <v>0</v>
      </c>
      <c r="Q832" s="65">
        <v>0</v>
      </c>
      <c r="R832" s="65">
        <v>0</v>
      </c>
      <c r="S832" s="65">
        <v>11</v>
      </c>
      <c r="T832" s="65">
        <v>0</v>
      </c>
      <c r="U832" s="65">
        <v>11</v>
      </c>
      <c r="V832" s="65"/>
      <c r="W832" s="65"/>
      <c r="X832" s="72">
        <f>IFERROR(1 -(Master[[#This Row],[Avg Garment Scans per Delivery]]/Master[[#This Row],[Garment Inventory]]), 0)</f>
        <v>0</v>
      </c>
      <c r="Y832" s="65"/>
      <c r="Z832" s="65"/>
      <c r="AA832" s="53"/>
      <c r="AB832" s="53"/>
      <c r="AC832" s="53">
        <v>53.045041322314049</v>
      </c>
      <c r="AD832" s="53">
        <v>78.996776859504124</v>
      </c>
      <c r="AE832" s="53" t="str">
        <f>_xlfn.XLOOKUP(Master[[#This Row],[cu_id]],'[1]Customer Revenue'!$Q:$Q,'[1]Customer Revenue'!$K:$K, "None")</f>
        <v>None</v>
      </c>
      <c r="AF832" s="53" t="str">
        <f>_xlfn.XLOOKUP(Master[[#This Row],[cu_id]],'[1]Customer Revenue'!$Q:$Q,'[1]Customer Revenue'!$L:$L, "None")</f>
        <v>None</v>
      </c>
      <c r="AG832" s="53"/>
      <c r="AH832" s="53"/>
      <c r="AI832" s="53"/>
      <c r="AJ832" s="53">
        <v>66.020909090909086</v>
      </c>
      <c r="AK832" s="53" t="str">
        <f>_xlfn.XLOOKUP(Master[[#This Row],[cu_id]],'[1]Customer Revenue'!$Q:$Q,'[1]Customer Revenue'!$I:$I, "None")</f>
        <v>None</v>
      </c>
      <c r="AL832" s="53"/>
      <c r="AM832" s="71" t="s">
        <v>1</v>
      </c>
      <c r="AN832" s="71" t="s">
        <v>1</v>
      </c>
      <c r="AO832" s="71" t="s">
        <v>36</v>
      </c>
      <c r="AP832" s="71" t="s">
        <v>36</v>
      </c>
      <c r="AQ832" s="64" t="s">
        <v>0</v>
      </c>
      <c r="AR832" s="64"/>
      <c r="AS832" s="65"/>
      <c r="AT832" s="52">
        <v>0</v>
      </c>
      <c r="AU832" s="52" t="e">
        <f>IF(Master[[#This Row],[RSP StopTime override]] &lt;&gt; "",Master[[#This Row],[RSP StopTime override]],IF(Master[[#This Row],[Avg stop time helper]] &lt;&gt; 0, Master[[#This Row],[Avg stop time helper]],Average_Stop_Time))</f>
        <v>#DIV/0!</v>
      </c>
      <c r="AV832" s="21"/>
      <c r="AW832" s="20">
        <f>Master[[#This Row],[RSP StopTime override]]-Master[[#This Row],[Avg stop time helper]]</f>
        <v>0</v>
      </c>
    </row>
    <row r="833" spans="1:49" x14ac:dyDescent="0.3">
      <c r="A833" s="73" t="s">
        <v>4066</v>
      </c>
      <c r="B833" s="64">
        <v>51</v>
      </c>
      <c r="C833" s="64" t="s">
        <v>10</v>
      </c>
      <c r="D833" s="65">
        <v>99169</v>
      </c>
      <c r="E833" s="65" t="s">
        <v>686</v>
      </c>
      <c r="F833" s="65" t="s">
        <v>1855</v>
      </c>
      <c r="G833" s="65" t="s">
        <v>1854</v>
      </c>
      <c r="H833" s="65" t="s">
        <v>7</v>
      </c>
      <c r="I833" s="65" t="s">
        <v>12</v>
      </c>
      <c r="J833" s="65" t="s">
        <v>5</v>
      </c>
      <c r="K833" s="65" t="s">
        <v>11</v>
      </c>
      <c r="L833" s="64" t="s">
        <v>67</v>
      </c>
      <c r="M833" s="65" t="s">
        <v>3</v>
      </c>
      <c r="N833" s="65" t="s">
        <v>2</v>
      </c>
      <c r="O833" s="65">
        <v>160</v>
      </c>
      <c r="P833" s="65">
        <v>0</v>
      </c>
      <c r="Q833" s="65">
        <v>0</v>
      </c>
      <c r="R833" s="65">
        <v>165</v>
      </c>
      <c r="S833" s="65">
        <v>0</v>
      </c>
      <c r="T833" s="65">
        <v>0</v>
      </c>
      <c r="U833" s="65">
        <v>4</v>
      </c>
      <c r="V833" s="65">
        <v>110</v>
      </c>
      <c r="W833" s="65"/>
      <c r="X833" s="72">
        <f>IFERROR(1 -(Master[[#This Row],[Avg Garment Scans per Delivery]]/Master[[#This Row],[Garment Inventory]]), 0)</f>
        <v>1</v>
      </c>
      <c r="Y833" s="65"/>
      <c r="Z833" s="65"/>
      <c r="AA833" s="53">
        <v>137</v>
      </c>
      <c r="AB833" s="53">
        <v>137</v>
      </c>
      <c r="AC833" s="53">
        <v>137</v>
      </c>
      <c r="AD833" s="53">
        <v>137</v>
      </c>
      <c r="AE833" s="53" t="str">
        <f>_xlfn.XLOOKUP(Master[[#This Row],[cu_id]],'[1]Customer Revenue'!$Q:$Q,'[1]Customer Revenue'!$K:$K, "None")</f>
        <v>None</v>
      </c>
      <c r="AF833" s="53" t="str">
        <f>_xlfn.XLOOKUP(Master[[#This Row],[cu_id]],'[1]Customer Revenue'!$Q:$Q,'[1]Customer Revenue'!$L:$L, "None")</f>
        <v>None</v>
      </c>
      <c r="AG833" s="53">
        <v>137</v>
      </c>
      <c r="AH833" s="53">
        <v>137</v>
      </c>
      <c r="AI833" s="53">
        <v>137</v>
      </c>
      <c r="AJ833" s="53">
        <v>137</v>
      </c>
      <c r="AK833" s="53" t="str">
        <f>_xlfn.XLOOKUP(Master[[#This Row],[cu_id]],'[1]Customer Revenue'!$Q:$Q,'[1]Customer Revenue'!$I:$I, "None")</f>
        <v>None</v>
      </c>
      <c r="AL833" s="53">
        <v>137</v>
      </c>
      <c r="AM833" s="71" t="s">
        <v>1</v>
      </c>
      <c r="AN833" s="71" t="s">
        <v>1</v>
      </c>
      <c r="AO833" s="71" t="s">
        <v>36</v>
      </c>
      <c r="AP833" s="71" t="s">
        <v>36</v>
      </c>
      <c r="AQ833" s="64" t="s">
        <v>0</v>
      </c>
      <c r="AR833" s="64"/>
      <c r="AS833" s="65"/>
      <c r="AT833" s="52">
        <v>0</v>
      </c>
      <c r="AU833" s="52" t="e">
        <f>IF(Master[[#This Row],[RSP StopTime override]] &lt;&gt; "",Master[[#This Row],[RSP StopTime override]],IF(Master[[#This Row],[Avg stop time helper]] &lt;&gt; 0, Master[[#This Row],[Avg stop time helper]],Average_Stop_Time))</f>
        <v>#DIV/0!</v>
      </c>
      <c r="AV833" s="21"/>
      <c r="AW833" s="20">
        <f>Master[[#This Row],[RSP StopTime override]]-Master[[#This Row],[Avg stop time helper]]</f>
        <v>0</v>
      </c>
    </row>
    <row r="834" spans="1:49" x14ac:dyDescent="0.3">
      <c r="A834" s="73" t="s">
        <v>4865</v>
      </c>
      <c r="B834" s="64">
        <v>51</v>
      </c>
      <c r="C834" s="64" t="s">
        <v>35</v>
      </c>
      <c r="D834" s="65">
        <v>99169</v>
      </c>
      <c r="E834" s="65" t="s">
        <v>1416</v>
      </c>
      <c r="F834" s="65" t="s">
        <v>1853</v>
      </c>
      <c r="G834" s="65" t="s">
        <v>1852</v>
      </c>
      <c r="H834" s="65" t="s">
        <v>7</v>
      </c>
      <c r="I834" s="65" t="s">
        <v>1851</v>
      </c>
      <c r="J834" s="65" t="s">
        <v>5</v>
      </c>
      <c r="K834" s="65" t="s">
        <v>1850</v>
      </c>
      <c r="L834" s="64" t="s">
        <v>67</v>
      </c>
      <c r="M834" s="65" t="s">
        <v>3</v>
      </c>
      <c r="N834" s="65" t="s">
        <v>2</v>
      </c>
      <c r="O834" s="65">
        <v>15</v>
      </c>
      <c r="P834" s="65">
        <v>0</v>
      </c>
      <c r="Q834" s="65">
        <v>15</v>
      </c>
      <c r="R834" s="65">
        <v>0</v>
      </c>
      <c r="S834" s="65">
        <v>0</v>
      </c>
      <c r="T834" s="65">
        <v>0</v>
      </c>
      <c r="U834" s="65">
        <v>4</v>
      </c>
      <c r="V834" s="65">
        <v>112</v>
      </c>
      <c r="W834" s="65"/>
      <c r="X834" s="72">
        <f>IFERROR(1 -(Master[[#This Row],[Avg Garment Scans per Delivery]]/Master[[#This Row],[Garment Inventory]]), 0)</f>
        <v>1</v>
      </c>
      <c r="Y834" s="65"/>
      <c r="Z834" s="65"/>
      <c r="AA834" s="53">
        <v>92</v>
      </c>
      <c r="AB834" s="53">
        <v>213</v>
      </c>
      <c r="AC834" s="53">
        <v>92</v>
      </c>
      <c r="AD834" s="53">
        <v>213</v>
      </c>
      <c r="AE834" s="53" t="str">
        <f>_xlfn.XLOOKUP(Master[[#This Row],[cu_id]],'[1]Customer Revenue'!$Q:$Q,'[1]Customer Revenue'!$K:$K, "None")</f>
        <v>None</v>
      </c>
      <c r="AF834" s="53" t="str">
        <f>_xlfn.XLOOKUP(Master[[#This Row],[cu_id]],'[1]Customer Revenue'!$Q:$Q,'[1]Customer Revenue'!$L:$L, "None")</f>
        <v>None</v>
      </c>
      <c r="AG834" s="53">
        <v>92</v>
      </c>
      <c r="AH834" s="53">
        <v>213</v>
      </c>
      <c r="AI834" s="53">
        <v>150</v>
      </c>
      <c r="AJ834" s="53">
        <v>150</v>
      </c>
      <c r="AK834" s="53" t="str">
        <f>_xlfn.XLOOKUP(Master[[#This Row],[cu_id]],'[1]Customer Revenue'!$Q:$Q,'[1]Customer Revenue'!$I:$I, "None")</f>
        <v>None</v>
      </c>
      <c r="AL834" s="53">
        <v>150</v>
      </c>
      <c r="AM834" s="71" t="s">
        <v>1</v>
      </c>
      <c r="AN834" s="71" t="s">
        <v>1</v>
      </c>
      <c r="AO834" s="71" t="s">
        <v>36</v>
      </c>
      <c r="AP834" s="71" t="s">
        <v>36</v>
      </c>
      <c r="AQ834" s="64" t="s">
        <v>0</v>
      </c>
      <c r="AR834" s="64"/>
      <c r="AS834" s="65"/>
      <c r="AT834" s="52">
        <v>0</v>
      </c>
      <c r="AU834" s="52" t="e">
        <f>IF(Master[[#This Row],[RSP StopTime override]] &lt;&gt; "",Master[[#This Row],[RSP StopTime override]],IF(Master[[#This Row],[Avg stop time helper]] &lt;&gt; 0, Master[[#This Row],[Avg stop time helper]],Average_Stop_Time))</f>
        <v>#DIV/0!</v>
      </c>
      <c r="AV834" s="21"/>
      <c r="AW834" s="20">
        <f>Master[[#This Row],[RSP StopTime override]]-Master[[#This Row],[Avg stop time helper]]</f>
        <v>0</v>
      </c>
    </row>
    <row r="835" spans="1:49" x14ac:dyDescent="0.3">
      <c r="A835" s="81" t="s">
        <v>4866</v>
      </c>
      <c r="B835" s="79">
        <v>51</v>
      </c>
      <c r="C835" s="79" t="s">
        <v>15</v>
      </c>
      <c r="D835" s="80">
        <v>99061</v>
      </c>
      <c r="E835" s="80">
        <v>910</v>
      </c>
      <c r="F835" s="79" t="s">
        <v>1849</v>
      </c>
      <c r="G835" s="79" t="s">
        <v>1848</v>
      </c>
      <c r="H835" s="79" t="s">
        <v>32</v>
      </c>
      <c r="I835" s="79" t="s">
        <v>12</v>
      </c>
      <c r="J835" s="79" t="s">
        <v>5</v>
      </c>
      <c r="K835" s="79" t="s">
        <v>1847</v>
      </c>
      <c r="L835" s="79">
        <v>7</v>
      </c>
      <c r="M835" s="79" t="s">
        <v>3</v>
      </c>
      <c r="N835" s="79" t="s">
        <v>2</v>
      </c>
      <c r="O835" s="58">
        <v>53</v>
      </c>
      <c r="P835" s="79">
        <v>0</v>
      </c>
      <c r="Q835" s="79">
        <v>0</v>
      </c>
      <c r="R835" s="79">
        <v>0</v>
      </c>
      <c r="S835" s="79">
        <v>0</v>
      </c>
      <c r="T835" s="79">
        <v>1</v>
      </c>
      <c r="U835" s="79">
        <v>2</v>
      </c>
      <c r="V835" s="79"/>
      <c r="W835" s="79"/>
      <c r="X835" s="79"/>
      <c r="Y835" s="79"/>
      <c r="Z835" s="79"/>
      <c r="AA835" s="78">
        <v>7.4</v>
      </c>
      <c r="AB835" s="78">
        <v>7.4</v>
      </c>
      <c r="AC835" s="78">
        <v>7.4</v>
      </c>
      <c r="AD835" s="78">
        <v>7.4</v>
      </c>
      <c r="AE835" s="53" t="str">
        <f>_xlfn.XLOOKUP(Master[[#This Row],[cu_id]],'[1]Customer Revenue'!$Q:$Q,'[1]Customer Revenue'!$K:$K, "None")</f>
        <v>None</v>
      </c>
      <c r="AF835" s="53" t="str">
        <f>_xlfn.XLOOKUP(Master[[#This Row],[cu_id]],'[1]Customer Revenue'!$Q:$Q,'[1]Customer Revenue'!$L:$L, "None")</f>
        <v>None</v>
      </c>
      <c r="AG835" s="78">
        <v>7.4</v>
      </c>
      <c r="AH835" s="78">
        <v>7.4</v>
      </c>
      <c r="AI835" s="78">
        <v>7.4</v>
      </c>
      <c r="AJ835" s="78">
        <v>7.4</v>
      </c>
      <c r="AK835" s="53" t="str">
        <f>_xlfn.XLOOKUP(Master[[#This Row],[cu_id]],'[1]Customer Revenue'!$Q:$Q,'[1]Customer Revenue'!$I:$I, "None")</f>
        <v>None</v>
      </c>
      <c r="AL835" s="78">
        <v>7.4</v>
      </c>
      <c r="AM835" s="77" t="s">
        <v>1</v>
      </c>
      <c r="AN835" s="77" t="s">
        <v>1</v>
      </c>
      <c r="AO835" s="77" t="s">
        <v>36</v>
      </c>
      <c r="AP835" s="77" t="s">
        <v>36</v>
      </c>
      <c r="AQ835" s="77" t="s">
        <v>0</v>
      </c>
      <c r="AR835" s="77"/>
      <c r="AS835" s="76"/>
      <c r="AT835" s="76"/>
      <c r="AU835" s="76"/>
      <c r="AV835" s="75"/>
      <c r="AW835" s="20">
        <f>Master[[#This Row],[RSP StopTime override]]-Master[[#This Row],[Avg stop time helper]]</f>
        <v>0</v>
      </c>
    </row>
    <row r="836" spans="1:49" x14ac:dyDescent="0.3">
      <c r="A836" s="81" t="s">
        <v>4867</v>
      </c>
      <c r="B836" s="79">
        <v>51</v>
      </c>
      <c r="C836" s="79" t="s">
        <v>43</v>
      </c>
      <c r="D836" s="80">
        <v>533631</v>
      </c>
      <c r="E836" s="80">
        <v>0</v>
      </c>
      <c r="F836" s="79" t="s">
        <v>1846</v>
      </c>
      <c r="G836" s="79" t="s">
        <v>1845</v>
      </c>
      <c r="H836" s="79" t="s">
        <v>7</v>
      </c>
      <c r="I836" s="79" t="s">
        <v>1844</v>
      </c>
      <c r="J836" s="79" t="s">
        <v>5</v>
      </c>
      <c r="K836" s="79" t="s">
        <v>1843</v>
      </c>
      <c r="L836" s="79">
        <v>5</v>
      </c>
      <c r="M836" s="79" t="s">
        <v>90</v>
      </c>
      <c r="N836" s="79" t="s">
        <v>2</v>
      </c>
      <c r="O836" s="58">
        <v>1</v>
      </c>
      <c r="P836" s="79">
        <v>0</v>
      </c>
      <c r="Q836" s="79">
        <v>0</v>
      </c>
      <c r="R836" s="79">
        <v>0</v>
      </c>
      <c r="S836" s="79">
        <v>1</v>
      </c>
      <c r="T836" s="79">
        <v>0</v>
      </c>
      <c r="U836" s="79">
        <v>1</v>
      </c>
      <c r="V836" s="79"/>
      <c r="W836" s="79"/>
      <c r="X836" s="79"/>
      <c r="Y836" s="79"/>
      <c r="Z836" s="79"/>
      <c r="AA836" s="78">
        <v>84.39</v>
      </c>
      <c r="AB836" s="78"/>
      <c r="AC836" s="78"/>
      <c r="AD836" s="78"/>
      <c r="AE836" s="53" t="str">
        <f>_xlfn.XLOOKUP(Master[[#This Row],[cu_id]],'[1]Customer Revenue'!$Q:$Q,'[1]Customer Revenue'!$K:$K, "None")</f>
        <v>None</v>
      </c>
      <c r="AF836" s="53" t="str">
        <f>_xlfn.XLOOKUP(Master[[#This Row],[cu_id]],'[1]Customer Revenue'!$Q:$Q,'[1]Customer Revenue'!$L:$L, "None")</f>
        <v>None</v>
      </c>
      <c r="AG836" s="78"/>
      <c r="AH836" s="78"/>
      <c r="AI836" s="78"/>
      <c r="AJ836" s="78">
        <v>79.61</v>
      </c>
      <c r="AK836" s="53" t="str">
        <f>_xlfn.XLOOKUP(Master[[#This Row],[cu_id]],'[1]Customer Revenue'!$Q:$Q,'[1]Customer Revenue'!$I:$I, "None")</f>
        <v>None</v>
      </c>
      <c r="AL836" s="78"/>
      <c r="AM836" s="77" t="s">
        <v>1</v>
      </c>
      <c r="AN836" s="77" t="s">
        <v>1</v>
      </c>
      <c r="AO836" s="77" t="s">
        <v>36</v>
      </c>
      <c r="AP836" s="77" t="s">
        <v>36</v>
      </c>
      <c r="AQ836" s="77" t="s">
        <v>0</v>
      </c>
      <c r="AR836" s="77"/>
      <c r="AS836" s="76"/>
      <c r="AT836" s="76"/>
      <c r="AU836" s="76"/>
      <c r="AV836" s="75"/>
      <c r="AW836" s="20">
        <f>Master[[#This Row],[RSP StopTime override]]-Master[[#This Row],[Avg stop time helper]]</f>
        <v>0</v>
      </c>
    </row>
    <row r="837" spans="1:49" x14ac:dyDescent="0.3">
      <c r="A837" s="73" t="s">
        <v>4868</v>
      </c>
      <c r="B837" s="64">
        <v>52</v>
      </c>
      <c r="C837" s="64" t="s">
        <v>24</v>
      </c>
      <c r="D837" s="65">
        <v>99161</v>
      </c>
      <c r="E837" s="65" t="s">
        <v>1804</v>
      </c>
      <c r="F837" s="65" t="s">
        <v>1803</v>
      </c>
      <c r="G837" s="65" t="s">
        <v>1802</v>
      </c>
      <c r="H837" s="65" t="s">
        <v>7</v>
      </c>
      <c r="I837" s="65" t="s">
        <v>12</v>
      </c>
      <c r="J837" s="65" t="s">
        <v>5</v>
      </c>
      <c r="K837" s="65" t="s">
        <v>1754</v>
      </c>
      <c r="L837" s="64" t="s">
        <v>67</v>
      </c>
      <c r="M837" s="65" t="s">
        <v>3</v>
      </c>
      <c r="N837" s="65" t="s">
        <v>2</v>
      </c>
      <c r="O837" s="65">
        <v>1</v>
      </c>
      <c r="P837" s="65">
        <v>1</v>
      </c>
      <c r="Q837" s="65">
        <v>0</v>
      </c>
      <c r="R837" s="65">
        <v>0</v>
      </c>
      <c r="S837" s="65">
        <v>0</v>
      </c>
      <c r="T837" s="65">
        <v>0</v>
      </c>
      <c r="U837" s="65"/>
      <c r="V837" s="65"/>
      <c r="W837" s="65"/>
      <c r="X837" s="72">
        <f>IFERROR(1 -(Master[[#This Row],[Avg Garment Scans per Delivery]]/Master[[#This Row],[Garment Inventory]]), 0)</f>
        <v>0</v>
      </c>
      <c r="Y837" s="65"/>
      <c r="Z837" s="65"/>
      <c r="AA837" s="53"/>
      <c r="AB837" s="53"/>
      <c r="AC837" s="53"/>
      <c r="AD837" s="53"/>
      <c r="AE837" s="53" t="str">
        <f>_xlfn.XLOOKUP(Master[[#This Row],[cu_id]],'[1]Customer Revenue'!$Q:$Q,'[1]Customer Revenue'!$K:$K, "0")</f>
        <v>0</v>
      </c>
      <c r="AF837" s="53" t="str">
        <f>_xlfn.XLOOKUP(Master[[#This Row],[cu_id]],'[1]Customer Revenue'!$Q:$Q,'[1]Customer Revenue'!$L:$L, "0")</f>
        <v>0</v>
      </c>
      <c r="AG837" s="53"/>
      <c r="AH837" s="53"/>
      <c r="AI837" s="53"/>
      <c r="AJ837" s="53"/>
      <c r="AK837" s="53" t="str">
        <f>_xlfn.XLOOKUP(Master[[#This Row],[cu_id]],'[1]Customer Revenue'!$Q:$Q,'[1]Customer Revenue'!$I:$I, "0")</f>
        <v>0</v>
      </c>
      <c r="AL837" s="53"/>
      <c r="AM837" s="71" t="s">
        <v>1</v>
      </c>
      <c r="AN837" s="71" t="s">
        <v>1</v>
      </c>
      <c r="AO837" s="71" t="s">
        <v>36</v>
      </c>
      <c r="AP837" s="71" t="s">
        <v>36</v>
      </c>
      <c r="AQ837" s="64" t="s">
        <v>0</v>
      </c>
      <c r="AR837" s="64"/>
      <c r="AS837" s="65"/>
      <c r="AT837" s="52">
        <v>0</v>
      </c>
      <c r="AU837" s="52" t="e">
        <f>IF(Master[[#This Row],[RSP StopTime override]] &lt;&gt; "",Master[[#This Row],[RSP StopTime override]],IF(Master[[#This Row],[Avg stop time helper]] &lt;&gt; 0, Master[[#This Row],[Avg stop time helper]],Average_Stop_Time))</f>
        <v>#DIV/0!</v>
      </c>
      <c r="AV837" s="21"/>
      <c r="AW837" s="20">
        <f>Master[[#This Row],[RSP StopTime override]]-Master[[#This Row],[Avg stop time helper]]</f>
        <v>0</v>
      </c>
    </row>
    <row r="838" spans="1:49" x14ac:dyDescent="0.3">
      <c r="A838" s="73" t="s">
        <v>4024</v>
      </c>
      <c r="B838" s="64">
        <v>56</v>
      </c>
      <c r="C838" s="64" t="s">
        <v>10</v>
      </c>
      <c r="D838" s="65">
        <v>99161</v>
      </c>
      <c r="E838" s="65" t="s">
        <v>1328</v>
      </c>
      <c r="F838" s="65" t="s">
        <v>3705</v>
      </c>
      <c r="G838" s="65" t="s">
        <v>1327</v>
      </c>
      <c r="H838" s="65" t="s">
        <v>7</v>
      </c>
      <c r="I838" s="65" t="s">
        <v>6</v>
      </c>
      <c r="J838" s="65" t="s">
        <v>5</v>
      </c>
      <c r="K838" s="65" t="s">
        <v>4</v>
      </c>
      <c r="L838" s="64" t="s">
        <v>67</v>
      </c>
      <c r="M838" s="65" t="s">
        <v>3</v>
      </c>
      <c r="N838" s="65" t="s">
        <v>2</v>
      </c>
      <c r="O838" s="65">
        <v>1</v>
      </c>
      <c r="P838" s="65">
        <v>0</v>
      </c>
      <c r="Q838" s="65">
        <v>0</v>
      </c>
      <c r="R838" s="65">
        <v>1</v>
      </c>
      <c r="S838" s="65">
        <v>0</v>
      </c>
      <c r="T838" s="65">
        <v>0</v>
      </c>
      <c r="U838" s="65"/>
      <c r="V838" s="65"/>
      <c r="W838" s="65"/>
      <c r="X838" s="72">
        <f>IFERROR(1 -(Master[[#This Row],[Avg Garment Scans per Delivery]]/Master[[#This Row],[Garment Inventory]]), 0)</f>
        <v>0</v>
      </c>
      <c r="Y838" s="65"/>
      <c r="Z838" s="65"/>
      <c r="AA838" s="53"/>
      <c r="AB838" s="53"/>
      <c r="AC838" s="53"/>
      <c r="AD838" s="53"/>
      <c r="AE838" s="53" t="str">
        <f>_xlfn.XLOOKUP(Master[[#This Row],[cu_id]],'[1]Customer Revenue'!$Q:$Q,'[1]Customer Revenue'!$K:$K, "0")</f>
        <v>0</v>
      </c>
      <c r="AF838" s="53" t="str">
        <f>_xlfn.XLOOKUP(Master[[#This Row],[cu_id]],'[1]Customer Revenue'!$Q:$Q,'[1]Customer Revenue'!$L:$L, "0")</f>
        <v>0</v>
      </c>
      <c r="AG838" s="53"/>
      <c r="AH838" s="53"/>
      <c r="AI838" s="53"/>
      <c r="AJ838" s="53"/>
      <c r="AK838" s="53" t="str">
        <f>_xlfn.XLOOKUP(Master[[#This Row],[cu_id]],'[1]Customer Revenue'!$Q:$Q,'[1]Customer Revenue'!$I:$I, "0")</f>
        <v>0</v>
      </c>
      <c r="AL838" s="53"/>
      <c r="AM838" s="71" t="s">
        <v>1</v>
      </c>
      <c r="AN838" s="71" t="s">
        <v>1</v>
      </c>
      <c r="AO838" s="71" t="s">
        <v>36</v>
      </c>
      <c r="AP838" s="71" t="s">
        <v>36</v>
      </c>
      <c r="AQ838" s="64" t="s">
        <v>0</v>
      </c>
      <c r="AR838" s="64"/>
      <c r="AS838" s="65"/>
      <c r="AT838" s="52">
        <v>0</v>
      </c>
      <c r="AU838" s="52" t="e">
        <f>IF(Master[[#This Row],[RSP StopTime override]] &lt;&gt; "",Master[[#This Row],[RSP StopTime override]],IF(Master[[#This Row],[Avg stop time helper]] &lt;&gt; 0, Master[[#This Row],[Avg stop time helper]],Average_Stop_Time))</f>
        <v>#DIV/0!</v>
      </c>
      <c r="AV838" s="21"/>
      <c r="AW838" s="20">
        <f>Master[[#This Row],[RSP StopTime override]]-Master[[#This Row],[Avg stop time helper]]</f>
        <v>0</v>
      </c>
    </row>
    <row r="839" spans="1:49" x14ac:dyDescent="0.3">
      <c r="A839" s="81" t="s">
        <v>3828</v>
      </c>
      <c r="B839" s="79">
        <v>52</v>
      </c>
      <c r="C839" s="79" t="s">
        <v>24</v>
      </c>
      <c r="D839" s="80">
        <v>99033</v>
      </c>
      <c r="E839" s="80">
        <v>313</v>
      </c>
      <c r="F839" s="79" t="s">
        <v>1837</v>
      </c>
      <c r="G839" s="79">
        <v>16048</v>
      </c>
      <c r="H839" s="79" t="s">
        <v>32</v>
      </c>
      <c r="I839" s="79" t="s">
        <v>12</v>
      </c>
      <c r="J839" s="79" t="s">
        <v>5</v>
      </c>
      <c r="K839" s="79" t="s">
        <v>1754</v>
      </c>
      <c r="L839" s="79">
        <v>5</v>
      </c>
      <c r="M839" s="79" t="s">
        <v>90</v>
      </c>
      <c r="N839" s="79" t="s">
        <v>2</v>
      </c>
      <c r="O839" s="58">
        <v>1</v>
      </c>
      <c r="P839" s="79">
        <v>1</v>
      </c>
      <c r="Q839" s="79">
        <v>0</v>
      </c>
      <c r="R839" s="79">
        <v>0</v>
      </c>
      <c r="S839" s="79">
        <v>0</v>
      </c>
      <c r="T839" s="79">
        <v>0</v>
      </c>
      <c r="U839" s="79"/>
      <c r="V839" s="79"/>
      <c r="W839" s="79"/>
      <c r="X839" s="79"/>
      <c r="Y839" s="79"/>
      <c r="Z839" s="79"/>
      <c r="AA839" s="78">
        <v>82.95</v>
      </c>
      <c r="AB839" s="78">
        <v>82.95</v>
      </c>
      <c r="AC839" s="78">
        <v>82.95</v>
      </c>
      <c r="AD839" s="78">
        <v>82.95</v>
      </c>
      <c r="AE839" s="53" t="str">
        <f>_xlfn.XLOOKUP(Master[[#This Row],[cu_id]],'[1]Customer Revenue'!$Q:$Q,'[1]Customer Revenue'!$K:$K, "None")</f>
        <v>None</v>
      </c>
      <c r="AF839" s="53" t="str">
        <f>_xlfn.XLOOKUP(Master[[#This Row],[cu_id]],'[1]Customer Revenue'!$Q:$Q,'[1]Customer Revenue'!$L:$L, "None")</f>
        <v>None</v>
      </c>
      <c r="AG839" s="78">
        <v>82.95</v>
      </c>
      <c r="AH839" s="78">
        <v>82.95</v>
      </c>
      <c r="AI839" s="78">
        <v>82.95</v>
      </c>
      <c r="AJ839" s="78">
        <v>82.95</v>
      </c>
      <c r="AK839" s="53" t="str">
        <f>_xlfn.XLOOKUP(Master[[#This Row],[cu_id]],'[1]Customer Revenue'!$Q:$Q,'[1]Customer Revenue'!$I:$I, "None")</f>
        <v>None</v>
      </c>
      <c r="AL839" s="78">
        <v>82.95</v>
      </c>
      <c r="AM839" s="77" t="s">
        <v>1</v>
      </c>
      <c r="AN839" s="77" t="s">
        <v>1</v>
      </c>
      <c r="AO839" s="77" t="s">
        <v>36</v>
      </c>
      <c r="AP839" s="77" t="s">
        <v>36</v>
      </c>
      <c r="AQ839" s="77" t="s">
        <v>0</v>
      </c>
      <c r="AR839" s="77"/>
      <c r="AS839" s="76"/>
      <c r="AT839" s="76"/>
      <c r="AU839" s="76"/>
      <c r="AV839" s="75"/>
      <c r="AW839" s="20">
        <f>Master[[#This Row],[RSP StopTime override]]-Master[[#This Row],[Avg stop time helper]]</f>
        <v>0</v>
      </c>
    </row>
    <row r="840" spans="1:49" x14ac:dyDescent="0.3">
      <c r="A840" s="66" t="s">
        <v>4869</v>
      </c>
      <c r="B840" s="58">
        <v>47</v>
      </c>
      <c r="C840" s="58" t="s">
        <v>35</v>
      </c>
      <c r="D840" s="65">
        <v>99035</v>
      </c>
      <c r="E840" s="65" t="s">
        <v>2859</v>
      </c>
      <c r="F840" s="65" t="s">
        <v>2858</v>
      </c>
      <c r="G840" s="65" t="s">
        <v>2857</v>
      </c>
      <c r="H840" s="65" t="s">
        <v>7</v>
      </c>
      <c r="I840" s="65" t="s">
        <v>2822</v>
      </c>
      <c r="J840" s="65" t="s">
        <v>5</v>
      </c>
      <c r="K840" s="65" t="s">
        <v>2856</v>
      </c>
      <c r="L840" s="64">
        <v>7</v>
      </c>
      <c r="M840" s="58" t="s">
        <v>205</v>
      </c>
      <c r="N840" s="58" t="s">
        <v>2</v>
      </c>
      <c r="O840" s="58">
        <v>65</v>
      </c>
      <c r="P840" s="58">
        <v>0</v>
      </c>
      <c r="Q840" s="58">
        <v>65</v>
      </c>
      <c r="R840" s="58">
        <v>0</v>
      </c>
      <c r="S840" s="58">
        <v>0</v>
      </c>
      <c r="T840" s="58">
        <v>0</v>
      </c>
      <c r="U840" s="58">
        <v>30</v>
      </c>
      <c r="V840" s="62"/>
      <c r="W840" s="62"/>
      <c r="X840" s="63">
        <f>IFERROR(1 -(Master[[#This Row],[Avg Garment Scans per Delivery]]/Master[[#This Row],[Garment Inventory]]), 0)</f>
        <v>0</v>
      </c>
      <c r="Y840" s="62"/>
      <c r="Z840" s="62"/>
      <c r="AA840" s="53">
        <v>41.366272189349132</v>
      </c>
      <c r="AB840" s="53">
        <v>43.658343195266283</v>
      </c>
      <c r="AC840" s="53">
        <v>30.938000000000002</v>
      </c>
      <c r="AD840" s="53">
        <v>55.402000000000001</v>
      </c>
      <c r="AE840" s="53" t="str">
        <f>_xlfn.XLOOKUP(Master[[#This Row],[cu_id]],'[1]Customer Revenue'!$Q:$Q,'[1]Customer Revenue'!$K:$K, "None")</f>
        <v>None</v>
      </c>
      <c r="AF840" s="53" t="str">
        <f>_xlfn.XLOOKUP(Master[[#This Row],[cu_id]],'[1]Customer Revenue'!$Q:$Q,'[1]Customer Revenue'!$L:$L, "None")</f>
        <v>None</v>
      </c>
      <c r="AG840" s="53">
        <v>40.421172022684317</v>
      </c>
      <c r="AH840" s="53">
        <v>42.984045368620045</v>
      </c>
      <c r="AI840" s="53">
        <v>42.512307692307708</v>
      </c>
      <c r="AJ840" s="53">
        <v>43.17</v>
      </c>
      <c r="AK840" s="53" t="str">
        <f>_xlfn.XLOOKUP(Master[[#This Row],[cu_id]],'[1]Customer Revenue'!$Q:$Q,'[1]Customer Revenue'!$I:$I, "None")</f>
        <v>None</v>
      </c>
      <c r="AL840" s="53">
        <v>41.702608695652181</v>
      </c>
      <c r="AM840" s="61">
        <v>0.375</v>
      </c>
      <c r="AN840" s="60">
        <v>0.20833333333333334</v>
      </c>
      <c r="AO840" s="60" t="s">
        <v>36</v>
      </c>
      <c r="AP840" s="60" t="s">
        <v>36</v>
      </c>
      <c r="AQ840" s="58" t="s">
        <v>0</v>
      </c>
      <c r="AR840" s="58"/>
      <c r="AS840" s="58"/>
      <c r="AT840" s="52">
        <v>0</v>
      </c>
      <c r="AU840" s="52" t="e">
        <f>IF(Master[[#This Row],[RSP StopTime override]] &lt;&gt; "",Master[[#This Row],[RSP StopTime override]],IF(Master[[#This Row],[Avg stop time helper]] &lt;&gt; 0, Master[[#This Row],[Avg stop time helper]],Average_Stop_Time))</f>
        <v>#DIV/0!</v>
      </c>
      <c r="AV840" s="21"/>
      <c r="AW840" s="20">
        <f>Master[[#This Row],[RSP StopTime override]]-Master[[#This Row],[Avg stop time helper]]</f>
        <v>0</v>
      </c>
    </row>
    <row r="841" spans="1:49" x14ac:dyDescent="0.3">
      <c r="A841" s="66" t="s">
        <v>4870</v>
      </c>
      <c r="B841" s="58">
        <v>52</v>
      </c>
      <c r="C841" s="58" t="s">
        <v>24</v>
      </c>
      <c r="D841" s="65">
        <v>99051</v>
      </c>
      <c r="E841" s="65" t="s">
        <v>1829</v>
      </c>
      <c r="F841" s="65" t="s">
        <v>1834</v>
      </c>
      <c r="G841" s="65" t="s">
        <v>1833</v>
      </c>
      <c r="H841" s="65" t="s">
        <v>32</v>
      </c>
      <c r="I841" s="65" t="s">
        <v>50</v>
      </c>
      <c r="J841" s="65" t="s">
        <v>5</v>
      </c>
      <c r="K841" s="65" t="s">
        <v>57</v>
      </c>
      <c r="L841" s="64" t="s">
        <v>67</v>
      </c>
      <c r="M841" s="58" t="s">
        <v>3</v>
      </c>
      <c r="N841" s="58" t="s">
        <v>2</v>
      </c>
      <c r="O841" s="58">
        <v>100</v>
      </c>
      <c r="P841" s="58">
        <v>100</v>
      </c>
      <c r="Q841" s="58">
        <v>0</v>
      </c>
      <c r="R841" s="58">
        <v>0</v>
      </c>
      <c r="S841" s="58">
        <v>0</v>
      </c>
      <c r="T841" s="58">
        <v>0</v>
      </c>
      <c r="U841" s="58">
        <v>52</v>
      </c>
      <c r="V841" s="62"/>
      <c r="W841" s="62"/>
      <c r="X841" s="63">
        <f>IFERROR(1 -(Master[[#This Row],[Avg Garment Scans per Delivery]]/Master[[#This Row],[Garment Inventory]]), 0)</f>
        <v>0</v>
      </c>
      <c r="Y841" s="62"/>
      <c r="Z841" s="62"/>
      <c r="AA841" s="53">
        <v>64.46213017751478</v>
      </c>
      <c r="AB841" s="53">
        <v>80.519408284023655</v>
      </c>
      <c r="AC841" s="53">
        <v>67.85526627218934</v>
      </c>
      <c r="AD841" s="53">
        <v>97.953964497041397</v>
      </c>
      <c r="AE841" s="53" t="str">
        <f>_xlfn.XLOOKUP(Master[[#This Row],[cu_id]],'[1]Customer Revenue'!$Q:$Q,'[1]Customer Revenue'!$K:$K, "None")</f>
        <v>None</v>
      </c>
      <c r="AF841" s="53" t="str">
        <f>_xlfn.XLOOKUP(Master[[#This Row],[cu_id]],'[1]Customer Revenue'!$Q:$Q,'[1]Customer Revenue'!$L:$L, "None")</f>
        <v>None</v>
      </c>
      <c r="AG841" s="53">
        <v>62.09855029585799</v>
      </c>
      <c r="AH841" s="53">
        <v>83.774526627218904</v>
      </c>
      <c r="AI841" s="53">
        <v>72.490769230769217</v>
      </c>
      <c r="AJ841" s="53">
        <v>82.904615384615369</v>
      </c>
      <c r="AK841" s="53" t="str">
        <f>_xlfn.XLOOKUP(Master[[#This Row],[cu_id]],'[1]Customer Revenue'!$Q:$Q,'[1]Customer Revenue'!$I:$I, "None")</f>
        <v>None</v>
      </c>
      <c r="AL841" s="53">
        <v>72.936538461538447</v>
      </c>
      <c r="AM841" s="61">
        <v>0.39583333333333331</v>
      </c>
      <c r="AN841" s="60">
        <v>0.70833333333333337</v>
      </c>
      <c r="AO841" s="60" t="s">
        <v>36</v>
      </c>
      <c r="AP841" s="60" t="s">
        <v>36</v>
      </c>
      <c r="AQ841" s="58" t="s">
        <v>0</v>
      </c>
      <c r="AR841" s="58"/>
      <c r="AS841" s="58"/>
      <c r="AT841" s="52">
        <v>0</v>
      </c>
      <c r="AU841" s="52" t="e">
        <f>IF(Master[[#This Row],[RSP StopTime override]] &lt;&gt; "",Master[[#This Row],[RSP StopTime override]],IF(Master[[#This Row],[Avg stop time helper]] &lt;&gt; 0, Master[[#This Row],[Avg stop time helper]],Average_Stop_Time))</f>
        <v>#DIV/0!</v>
      </c>
      <c r="AV841" s="21"/>
      <c r="AW841" s="20">
        <f>Master[[#This Row],[RSP StopTime override]]-Master[[#This Row],[Avg stop time helper]]</f>
        <v>0</v>
      </c>
    </row>
    <row r="842" spans="1:49" x14ac:dyDescent="0.3">
      <c r="A842" s="66" t="s">
        <v>4871</v>
      </c>
      <c r="B842" s="58">
        <v>52</v>
      </c>
      <c r="C842" s="58" t="s">
        <v>24</v>
      </c>
      <c r="D842" s="65">
        <v>99061</v>
      </c>
      <c r="E842" s="65" t="s">
        <v>1332</v>
      </c>
      <c r="F842" s="65" t="s">
        <v>1832</v>
      </c>
      <c r="G842" s="65" t="s">
        <v>1809</v>
      </c>
      <c r="H842" s="65" t="s">
        <v>32</v>
      </c>
      <c r="I842" s="65" t="s">
        <v>1824</v>
      </c>
      <c r="J842" s="65" t="s">
        <v>5</v>
      </c>
      <c r="K842" s="65" t="s">
        <v>57</v>
      </c>
      <c r="L842" s="64" t="s">
        <v>67</v>
      </c>
      <c r="M842" s="58" t="s">
        <v>3</v>
      </c>
      <c r="N842" s="58" t="s">
        <v>2</v>
      </c>
      <c r="O842" s="58">
        <v>95</v>
      </c>
      <c r="P842" s="58">
        <v>95</v>
      </c>
      <c r="Q842" s="58">
        <v>0</v>
      </c>
      <c r="R842" s="58">
        <v>0</v>
      </c>
      <c r="S842" s="58">
        <v>0</v>
      </c>
      <c r="T842" s="58">
        <v>0</v>
      </c>
      <c r="U842" s="58">
        <v>52</v>
      </c>
      <c r="V842" s="62"/>
      <c r="W842" s="62"/>
      <c r="X842" s="63">
        <f>IFERROR(1 -(Master[[#This Row],[Avg Garment Scans per Delivery]]/Master[[#This Row],[Garment Inventory]]), 0)</f>
        <v>0</v>
      </c>
      <c r="Y842" s="62"/>
      <c r="Z842" s="62"/>
      <c r="AA842" s="53">
        <v>25.759704142011842</v>
      </c>
      <c r="AB842" s="53">
        <v>29.438757396449709</v>
      </c>
      <c r="AC842" s="53">
        <v>19.633668639053251</v>
      </c>
      <c r="AD842" s="53">
        <v>36.641715976331355</v>
      </c>
      <c r="AE842" s="53" t="str">
        <f>_xlfn.XLOOKUP(Master[[#This Row],[cu_id]],'[1]Customer Revenue'!$Q:$Q,'[1]Customer Revenue'!$K:$K, "None")</f>
        <v>None</v>
      </c>
      <c r="AF842" s="53" t="str">
        <f>_xlfn.XLOOKUP(Master[[#This Row],[cu_id]],'[1]Customer Revenue'!$Q:$Q,'[1]Customer Revenue'!$L:$L, "None")</f>
        <v>None</v>
      </c>
      <c r="AG842" s="53">
        <v>24.608224852071004</v>
      </c>
      <c r="AH842" s="53">
        <v>31.142544378698226</v>
      </c>
      <c r="AI842" s="53">
        <v>27.599230769230775</v>
      </c>
      <c r="AJ842" s="53">
        <v>28.137692307692305</v>
      </c>
      <c r="AK842" s="53" t="str">
        <f>_xlfn.XLOOKUP(Master[[#This Row],[cu_id]],'[1]Customer Revenue'!$Q:$Q,'[1]Customer Revenue'!$I:$I, "None")</f>
        <v>None</v>
      </c>
      <c r="AL842" s="53">
        <v>27.875384615384615</v>
      </c>
      <c r="AM842" s="61">
        <v>0.29166666666666669</v>
      </c>
      <c r="AN842" s="60">
        <v>0.70833333333333337</v>
      </c>
      <c r="AO842" s="60" t="s">
        <v>36</v>
      </c>
      <c r="AP842" s="60" t="s">
        <v>36</v>
      </c>
      <c r="AQ842" s="58" t="s">
        <v>0</v>
      </c>
      <c r="AR842" s="58"/>
      <c r="AS842" s="58"/>
      <c r="AT842" s="52">
        <v>0</v>
      </c>
      <c r="AU842" s="52" t="e">
        <f>IF(Master[[#This Row],[RSP StopTime override]] &lt;&gt; "",Master[[#This Row],[RSP StopTime override]],IF(Master[[#This Row],[Avg stop time helper]] &lt;&gt; 0, Master[[#This Row],[Avg stop time helper]],Average_Stop_Time))</f>
        <v>#DIV/0!</v>
      </c>
      <c r="AV842" s="21"/>
      <c r="AW842" s="20">
        <f>Master[[#This Row],[RSP StopTime override]]-Master[[#This Row],[Avg stop time helper]]</f>
        <v>0</v>
      </c>
    </row>
    <row r="843" spans="1:49" x14ac:dyDescent="0.3">
      <c r="A843" s="66" t="s">
        <v>4872</v>
      </c>
      <c r="B843" s="58">
        <v>52</v>
      </c>
      <c r="C843" s="58" t="s">
        <v>24</v>
      </c>
      <c r="D843" s="65">
        <v>99061</v>
      </c>
      <c r="E843" s="65" t="s">
        <v>1831</v>
      </c>
      <c r="F843" s="65" t="s">
        <v>1830</v>
      </c>
      <c r="G843" s="65" t="s">
        <v>1809</v>
      </c>
      <c r="H843" s="65" t="s">
        <v>32</v>
      </c>
      <c r="I843" s="65" t="s">
        <v>1824</v>
      </c>
      <c r="J843" s="65" t="s">
        <v>5</v>
      </c>
      <c r="K843" s="65" t="s">
        <v>57</v>
      </c>
      <c r="L843" s="64" t="s">
        <v>67</v>
      </c>
      <c r="M843" s="58" t="s">
        <v>3</v>
      </c>
      <c r="N843" s="58" t="s">
        <v>2</v>
      </c>
      <c r="O843" s="58">
        <v>95</v>
      </c>
      <c r="P843" s="58">
        <v>95</v>
      </c>
      <c r="Q843" s="58">
        <v>0</v>
      </c>
      <c r="R843" s="58">
        <v>0</v>
      </c>
      <c r="S843" s="58">
        <v>0</v>
      </c>
      <c r="T843" s="58">
        <v>0</v>
      </c>
      <c r="U843" s="58">
        <v>52</v>
      </c>
      <c r="V843" s="62"/>
      <c r="W843" s="62"/>
      <c r="X843" s="63">
        <f>IFERROR(1 -(Master[[#This Row],[Avg Garment Scans per Delivery]]/Master[[#This Row],[Garment Inventory]]), 0)</f>
        <v>0</v>
      </c>
      <c r="Y843" s="62"/>
      <c r="Z843" s="62"/>
      <c r="AA843" s="53">
        <v>1.0710650887574076</v>
      </c>
      <c r="AB843" s="53">
        <v>172.62278106508876</v>
      </c>
      <c r="AC843" s="53">
        <v>41.059704142011832</v>
      </c>
      <c r="AD843" s="53">
        <v>49.049526627218931</v>
      </c>
      <c r="AE843" s="53" t="str">
        <f>_xlfn.XLOOKUP(Master[[#This Row],[cu_id]],'[1]Customer Revenue'!$Q:$Q,'[1]Customer Revenue'!$K:$K, "None")</f>
        <v>None</v>
      </c>
      <c r="AF843" s="53" t="str">
        <f>_xlfn.XLOOKUP(Master[[#This Row],[cu_id]],'[1]Customer Revenue'!$Q:$Q,'[1]Customer Revenue'!$L:$L, "None")</f>
        <v>None</v>
      </c>
      <c r="AG843" s="53">
        <v>18.905621301775149</v>
      </c>
      <c r="AH843" s="53">
        <v>108.26053254437869</v>
      </c>
      <c r="AI843" s="53">
        <v>86.84692307692309</v>
      </c>
      <c r="AJ843" s="53">
        <v>45.054615384615381</v>
      </c>
      <c r="AK843" s="53" t="str">
        <f>_xlfn.XLOOKUP(Master[[#This Row],[cu_id]],'[1]Customer Revenue'!$Q:$Q,'[1]Customer Revenue'!$I:$I, "None")</f>
        <v>None</v>
      </c>
      <c r="AL843" s="53">
        <v>63.583076923076916</v>
      </c>
      <c r="AM843" s="61">
        <v>0.29166666666666669</v>
      </c>
      <c r="AN843" s="60">
        <v>0.70833333333333337</v>
      </c>
      <c r="AO843" s="60" t="s">
        <v>36</v>
      </c>
      <c r="AP843" s="60" t="s">
        <v>36</v>
      </c>
      <c r="AQ843" s="58" t="s">
        <v>0</v>
      </c>
      <c r="AR843" s="58"/>
      <c r="AS843" s="58"/>
      <c r="AT843" s="52">
        <v>0</v>
      </c>
      <c r="AU843" s="52" t="e">
        <f>IF(Master[[#This Row],[RSP StopTime override]] &lt;&gt; "",Master[[#This Row],[RSP StopTime override]],IF(Master[[#This Row],[Avg stop time helper]] &lt;&gt; 0, Master[[#This Row],[Avg stop time helper]],Average_Stop_Time))</f>
        <v>#DIV/0!</v>
      </c>
      <c r="AV843" s="21"/>
      <c r="AW843" s="20">
        <f>Master[[#This Row],[RSP StopTime override]]-Master[[#This Row],[Avg stop time helper]]</f>
        <v>0</v>
      </c>
    </row>
    <row r="844" spans="1:49" x14ac:dyDescent="0.3">
      <c r="A844" s="66" t="s">
        <v>4873</v>
      </c>
      <c r="B844" s="58">
        <v>52</v>
      </c>
      <c r="C844" s="58" t="s">
        <v>24</v>
      </c>
      <c r="D844" s="65">
        <v>99061</v>
      </c>
      <c r="E844" s="65" t="s">
        <v>1829</v>
      </c>
      <c r="F844" s="65" t="s">
        <v>1828</v>
      </c>
      <c r="G844" s="65" t="s">
        <v>1809</v>
      </c>
      <c r="H844" s="65" t="s">
        <v>32</v>
      </c>
      <c r="I844" s="65" t="s">
        <v>1824</v>
      </c>
      <c r="J844" s="65" t="s">
        <v>5</v>
      </c>
      <c r="K844" s="65" t="s">
        <v>57</v>
      </c>
      <c r="L844" s="64" t="s">
        <v>67</v>
      </c>
      <c r="M844" s="58" t="s">
        <v>3</v>
      </c>
      <c r="N844" s="58" t="s">
        <v>2</v>
      </c>
      <c r="O844" s="58">
        <v>95</v>
      </c>
      <c r="P844" s="58">
        <v>95</v>
      </c>
      <c r="Q844" s="58">
        <v>0</v>
      </c>
      <c r="R844" s="58">
        <v>0</v>
      </c>
      <c r="S844" s="58">
        <v>0</v>
      </c>
      <c r="T844" s="58">
        <v>0</v>
      </c>
      <c r="U844" s="58">
        <v>53</v>
      </c>
      <c r="V844" s="62"/>
      <c r="W844" s="62"/>
      <c r="X844" s="63">
        <f>IFERROR(1 -(Master[[#This Row],[Avg Garment Scans per Delivery]]/Master[[#This Row],[Garment Inventory]]), 0)</f>
        <v>0</v>
      </c>
      <c r="Y844" s="62"/>
      <c r="Z844" s="62"/>
      <c r="AA844" s="53">
        <v>30.431597633136093</v>
      </c>
      <c r="AB844" s="53">
        <v>37.026863905325442</v>
      </c>
      <c r="AC844" s="53">
        <v>38.394852071005921</v>
      </c>
      <c r="AD844" s="53">
        <v>43.489763313609465</v>
      </c>
      <c r="AE844" s="53" t="str">
        <f>_xlfn.XLOOKUP(Master[[#This Row],[cu_id]],'[1]Customer Revenue'!$Q:$Q,'[1]Customer Revenue'!$K:$K, "None")</f>
        <v>None</v>
      </c>
      <c r="AF844" s="53" t="str">
        <f>_xlfn.XLOOKUP(Master[[#This Row],[cu_id]],'[1]Customer Revenue'!$Q:$Q,'[1]Customer Revenue'!$L:$L, "None")</f>
        <v>None</v>
      </c>
      <c r="AG844" s="53">
        <v>30.897988165680484</v>
      </c>
      <c r="AH844" s="53">
        <v>36.415857988165691</v>
      </c>
      <c r="AI844" s="53">
        <v>33.729230769230767</v>
      </c>
      <c r="AJ844" s="53">
        <v>40.942307692307693</v>
      </c>
      <c r="AK844" s="53" t="str">
        <f>_xlfn.XLOOKUP(Master[[#This Row],[cu_id]],'[1]Customer Revenue'!$Q:$Q,'[1]Customer Revenue'!$I:$I, "None")</f>
        <v>None</v>
      </c>
      <c r="AL844" s="53">
        <v>33.656923076923086</v>
      </c>
      <c r="AM844" s="61">
        <v>0.29166666666666669</v>
      </c>
      <c r="AN844" s="60">
        <v>0.70833333333333337</v>
      </c>
      <c r="AO844" s="60" t="s">
        <v>36</v>
      </c>
      <c r="AP844" s="60" t="s">
        <v>36</v>
      </c>
      <c r="AQ844" s="58" t="s">
        <v>0</v>
      </c>
      <c r="AR844" s="58"/>
      <c r="AS844" s="58"/>
      <c r="AT844" s="52">
        <v>0</v>
      </c>
      <c r="AU844" s="52" t="e">
        <f>IF(Master[[#This Row],[RSP StopTime override]] &lt;&gt; "",Master[[#This Row],[RSP StopTime override]],IF(Master[[#This Row],[Avg stop time helper]] &lt;&gt; 0, Master[[#This Row],[Avg stop time helper]],Average_Stop_Time))</f>
        <v>#DIV/0!</v>
      </c>
      <c r="AV844" s="21"/>
      <c r="AW844" s="20">
        <f>Master[[#This Row],[RSP StopTime override]]-Master[[#This Row],[Avg stop time helper]]</f>
        <v>0</v>
      </c>
    </row>
    <row r="845" spans="1:49" x14ac:dyDescent="0.3">
      <c r="A845" s="66" t="s">
        <v>4874</v>
      </c>
      <c r="B845" s="58">
        <v>52</v>
      </c>
      <c r="C845" s="58" t="s">
        <v>24</v>
      </c>
      <c r="D845" s="65">
        <v>99061</v>
      </c>
      <c r="E845" s="65" t="s">
        <v>1264</v>
      </c>
      <c r="F845" s="65" t="s">
        <v>1827</v>
      </c>
      <c r="G845" s="65" t="s">
        <v>1809</v>
      </c>
      <c r="H845" s="65" t="s">
        <v>32</v>
      </c>
      <c r="I845" s="65" t="s">
        <v>1824</v>
      </c>
      <c r="J845" s="65" t="s">
        <v>5</v>
      </c>
      <c r="K845" s="65" t="s">
        <v>57</v>
      </c>
      <c r="L845" s="64" t="s">
        <v>67</v>
      </c>
      <c r="M845" s="58" t="s">
        <v>3</v>
      </c>
      <c r="N845" s="58" t="s">
        <v>2</v>
      </c>
      <c r="O845" s="58">
        <v>95</v>
      </c>
      <c r="P845" s="58">
        <v>95</v>
      </c>
      <c r="Q845" s="58">
        <v>0</v>
      </c>
      <c r="R845" s="58">
        <v>0</v>
      </c>
      <c r="S845" s="58">
        <v>0</v>
      </c>
      <c r="T845" s="58">
        <v>0</v>
      </c>
      <c r="U845" s="58">
        <v>52</v>
      </c>
      <c r="V845" s="62">
        <v>77</v>
      </c>
      <c r="W845" s="62">
        <v>5</v>
      </c>
      <c r="X845" s="63">
        <f>IFERROR(1 -(Master[[#This Row],[Avg Garment Scans per Delivery]]/Master[[#This Row],[Garment Inventory]]), 0)</f>
        <v>0.93506493506493504</v>
      </c>
      <c r="Y845" s="62">
        <v>2</v>
      </c>
      <c r="Z845" s="62">
        <v>76</v>
      </c>
      <c r="AA845" s="53">
        <v>45.069349112426032</v>
      </c>
      <c r="AB845" s="53">
        <v>50.493727810650888</v>
      </c>
      <c r="AC845" s="53">
        <v>52.696686390532548</v>
      </c>
      <c r="AD845" s="53">
        <v>59.878698224852073</v>
      </c>
      <c r="AE845" s="53" t="str">
        <f>_xlfn.XLOOKUP(Master[[#This Row],[cu_id]],'[1]Customer Revenue'!$Q:$Q,'[1]Customer Revenue'!$K:$K, "None")</f>
        <v>None</v>
      </c>
      <c r="AF845" s="53" t="str">
        <f>_xlfn.XLOOKUP(Master[[#This Row],[cu_id]],'[1]Customer Revenue'!$Q:$Q,'[1]Customer Revenue'!$L:$L, "None")</f>
        <v>None</v>
      </c>
      <c r="AG845" s="53">
        <v>45.735621301775147</v>
      </c>
      <c r="AH845" s="53">
        <v>50.612840236686388</v>
      </c>
      <c r="AI845" s="53">
        <v>47.78153846153846</v>
      </c>
      <c r="AJ845" s="53">
        <v>56.287692307692311</v>
      </c>
      <c r="AK845" s="53" t="str">
        <f>_xlfn.XLOOKUP(Master[[#This Row],[cu_id]],'[1]Customer Revenue'!$Q:$Q,'[1]Customer Revenue'!$I:$I, "None")</f>
        <v>None</v>
      </c>
      <c r="AL845" s="53">
        <v>48.174230769230768</v>
      </c>
      <c r="AM845" s="61">
        <v>0.29166666666666669</v>
      </c>
      <c r="AN845" s="60">
        <v>0.70833333333333337</v>
      </c>
      <c r="AO845" s="60" t="s">
        <v>36</v>
      </c>
      <c r="AP845" s="60" t="s">
        <v>36</v>
      </c>
      <c r="AQ845" s="58" t="s">
        <v>0</v>
      </c>
      <c r="AR845" s="58"/>
      <c r="AS845" s="58"/>
      <c r="AT845" s="52">
        <v>0</v>
      </c>
      <c r="AU845" s="52" t="e">
        <f>IF(Master[[#This Row],[RSP StopTime override]] &lt;&gt; "",Master[[#This Row],[RSP StopTime override]],IF(Master[[#This Row],[Avg stop time helper]] &lt;&gt; 0, Master[[#This Row],[Avg stop time helper]],Average_Stop_Time))</f>
        <v>#DIV/0!</v>
      </c>
      <c r="AV845" s="21"/>
      <c r="AW845" s="20">
        <f>Master[[#This Row],[RSP StopTime override]]-Master[[#This Row],[Avg stop time helper]]</f>
        <v>0</v>
      </c>
    </row>
    <row r="846" spans="1:49" x14ac:dyDescent="0.3">
      <c r="A846" s="66" t="s">
        <v>4875</v>
      </c>
      <c r="B846" s="58">
        <v>52</v>
      </c>
      <c r="C846" s="58" t="s">
        <v>24</v>
      </c>
      <c r="D846" s="65">
        <v>99061</v>
      </c>
      <c r="E846" s="65" t="s">
        <v>1826</v>
      </c>
      <c r="F846" s="65" t="s">
        <v>1825</v>
      </c>
      <c r="G846" s="65" t="s">
        <v>1809</v>
      </c>
      <c r="H846" s="65" t="s">
        <v>32</v>
      </c>
      <c r="I846" s="65" t="s">
        <v>1824</v>
      </c>
      <c r="J846" s="65" t="s">
        <v>5</v>
      </c>
      <c r="K846" s="65" t="s">
        <v>57</v>
      </c>
      <c r="L846" s="64" t="s">
        <v>67</v>
      </c>
      <c r="M846" s="58" t="s">
        <v>3</v>
      </c>
      <c r="N846" s="58" t="s">
        <v>2</v>
      </c>
      <c r="O846" s="58">
        <v>95</v>
      </c>
      <c r="P846" s="58">
        <v>95</v>
      </c>
      <c r="Q846" s="58">
        <v>0</v>
      </c>
      <c r="R846" s="58">
        <v>0</v>
      </c>
      <c r="S846" s="58">
        <v>0</v>
      </c>
      <c r="T846" s="58">
        <v>0</v>
      </c>
      <c r="U846" s="58">
        <v>52</v>
      </c>
      <c r="V846" s="62"/>
      <c r="W846" s="62"/>
      <c r="X846" s="63">
        <f>IFERROR(1 -(Master[[#This Row],[Avg Garment Scans per Delivery]]/Master[[#This Row],[Garment Inventory]]), 0)</f>
        <v>0</v>
      </c>
      <c r="Y846" s="62"/>
      <c r="Z846" s="62"/>
      <c r="AA846" s="53">
        <v>37.272958579881653</v>
      </c>
      <c r="AB846" s="53">
        <v>44.150118343195267</v>
      </c>
      <c r="AC846" s="53">
        <v>46.46023668639053</v>
      </c>
      <c r="AD846" s="53">
        <v>52.985917159763318</v>
      </c>
      <c r="AE846" s="53" t="str">
        <f>_xlfn.XLOOKUP(Master[[#This Row],[cu_id]],'[1]Customer Revenue'!$Q:$Q,'[1]Customer Revenue'!$K:$K, "None")</f>
        <v>None</v>
      </c>
      <c r="AF846" s="53" t="str">
        <f>_xlfn.XLOOKUP(Master[[#This Row],[cu_id]],'[1]Customer Revenue'!$Q:$Q,'[1]Customer Revenue'!$L:$L, "None")</f>
        <v>None</v>
      </c>
      <c r="AG846" s="53">
        <v>37.146153846153837</v>
      </c>
      <c r="AH846" s="53">
        <v>43.303846153846152</v>
      </c>
      <c r="AI846" s="53">
        <v>40.71153846153846</v>
      </c>
      <c r="AJ846" s="53">
        <v>49.723076923076924</v>
      </c>
      <c r="AK846" s="53" t="str">
        <f>_xlfn.XLOOKUP(Master[[#This Row],[cu_id]],'[1]Customer Revenue'!$Q:$Q,'[1]Customer Revenue'!$I:$I, "None")</f>
        <v>None</v>
      </c>
      <c r="AL846" s="53">
        <v>40.224999999999994</v>
      </c>
      <c r="AM846" s="61">
        <v>0.29166666666666669</v>
      </c>
      <c r="AN846" s="60">
        <v>0.70833333333333337</v>
      </c>
      <c r="AO846" s="60" t="s">
        <v>36</v>
      </c>
      <c r="AP846" s="60" t="s">
        <v>36</v>
      </c>
      <c r="AQ846" s="58" t="s">
        <v>0</v>
      </c>
      <c r="AR846" s="58"/>
      <c r="AS846" s="58"/>
      <c r="AT846" s="52">
        <v>0</v>
      </c>
      <c r="AU846" s="52" t="e">
        <f>IF(Master[[#This Row],[RSP StopTime override]] &lt;&gt; "",Master[[#This Row],[RSP StopTime override]],IF(Master[[#This Row],[Avg stop time helper]] &lt;&gt; 0, Master[[#This Row],[Avg stop time helper]],Average_Stop_Time))</f>
        <v>#DIV/0!</v>
      </c>
      <c r="AV846" s="21"/>
      <c r="AW846" s="20">
        <f>Master[[#This Row],[RSP StopTime override]]-Master[[#This Row],[Avg stop time helper]]</f>
        <v>0</v>
      </c>
    </row>
    <row r="847" spans="1:49" x14ac:dyDescent="0.3">
      <c r="A847" s="66" t="s">
        <v>3864</v>
      </c>
      <c r="B847" s="58">
        <v>52</v>
      </c>
      <c r="C847" s="58" t="s">
        <v>24</v>
      </c>
      <c r="D847" s="65">
        <v>99061</v>
      </c>
      <c r="E847" s="65" t="s">
        <v>1807</v>
      </c>
      <c r="F847" s="65" t="s">
        <v>3706</v>
      </c>
      <c r="G847" s="65" t="s">
        <v>1805</v>
      </c>
      <c r="H847" s="65" t="s">
        <v>32</v>
      </c>
      <c r="I847" s="65" t="s">
        <v>1582</v>
      </c>
      <c r="J847" s="65" t="s">
        <v>5</v>
      </c>
      <c r="K847" s="65" t="s">
        <v>11</v>
      </c>
      <c r="L847" s="64" t="s">
        <v>67</v>
      </c>
      <c r="M847" s="58" t="s">
        <v>3</v>
      </c>
      <c r="N847" s="58" t="s">
        <v>2</v>
      </c>
      <c r="O847" s="58">
        <v>80</v>
      </c>
      <c r="P847" s="58">
        <v>80</v>
      </c>
      <c r="Q847" s="58">
        <v>0</v>
      </c>
      <c r="R847" s="58">
        <v>0</v>
      </c>
      <c r="S847" s="58">
        <v>0</v>
      </c>
      <c r="T847" s="58">
        <v>0</v>
      </c>
      <c r="U847" s="58">
        <v>37</v>
      </c>
      <c r="V847" s="62"/>
      <c r="W847" s="62"/>
      <c r="X847" s="63">
        <f>IFERROR(1 -(Master[[#This Row],[Avg Garment Scans per Delivery]]/Master[[#This Row],[Garment Inventory]]), 0)</f>
        <v>0</v>
      </c>
      <c r="Y847" s="62"/>
      <c r="Z847" s="62"/>
      <c r="AA847" s="53">
        <v>16.813313609467457</v>
      </c>
      <c r="AB847" s="53">
        <v>24.840532544378696</v>
      </c>
      <c r="AC847" s="53">
        <v>18.548393913778536</v>
      </c>
      <c r="AD847" s="53">
        <v>55.208748943364327</v>
      </c>
      <c r="AE847" s="53" t="str">
        <f>_xlfn.XLOOKUP(Master[[#This Row],[cu_id]],'[1]Customer Revenue'!$Q:$Q,'[1]Customer Revenue'!$K:$K, "None")</f>
        <v>None</v>
      </c>
      <c r="AF847" s="53" t="str">
        <f>_xlfn.XLOOKUP(Master[[#This Row],[cu_id]],'[1]Customer Revenue'!$Q:$Q,'[1]Customer Revenue'!$L:$L, "None")</f>
        <v>None</v>
      </c>
      <c r="AG847" s="53">
        <v>16.014583333333341</v>
      </c>
      <c r="AH847" s="53">
        <v>27.164583333333333</v>
      </c>
      <c r="AI847" s="53">
        <v>20.826923076923077</v>
      </c>
      <c r="AJ847" s="53">
        <v>36.878571428571433</v>
      </c>
      <c r="AK847" s="53" t="str">
        <f>_xlfn.XLOOKUP(Master[[#This Row],[cu_id]],'[1]Customer Revenue'!$Q:$Q,'[1]Customer Revenue'!$I:$I, "None")</f>
        <v>None</v>
      </c>
      <c r="AL847" s="53">
        <v>21.589583333333337</v>
      </c>
      <c r="AM847" s="61">
        <v>0.25</v>
      </c>
      <c r="AN847" s="60">
        <v>0.70833333333333337</v>
      </c>
      <c r="AO847" s="60" t="s">
        <v>36</v>
      </c>
      <c r="AP847" s="60" t="s">
        <v>36</v>
      </c>
      <c r="AQ847" s="58" t="s">
        <v>0</v>
      </c>
      <c r="AR847" s="58"/>
      <c r="AS847" s="58"/>
      <c r="AT847" s="52">
        <v>0</v>
      </c>
      <c r="AU847" s="52" t="e">
        <f>IF(Master[[#This Row],[RSP StopTime override]] &lt;&gt; "",Master[[#This Row],[RSP StopTime override]],IF(Master[[#This Row],[Avg stop time helper]] &lt;&gt; 0, Master[[#This Row],[Avg stop time helper]],Average_Stop_Time))</f>
        <v>#DIV/0!</v>
      </c>
      <c r="AV847" s="21"/>
      <c r="AW847" s="20">
        <f>Master[[#This Row],[RSP StopTime override]]-Master[[#This Row],[Avg stop time helper]]</f>
        <v>0</v>
      </c>
    </row>
    <row r="848" spans="1:49" x14ac:dyDescent="0.3">
      <c r="A848" s="66" t="s">
        <v>3866</v>
      </c>
      <c r="B848" s="58">
        <v>52</v>
      </c>
      <c r="C848" s="58" t="s">
        <v>24</v>
      </c>
      <c r="D848" s="65">
        <v>99061</v>
      </c>
      <c r="E848" s="65" t="s">
        <v>1823</v>
      </c>
      <c r="F848" s="65" t="s">
        <v>3707</v>
      </c>
      <c r="G848" s="65" t="s">
        <v>1805</v>
      </c>
      <c r="H848" s="65" t="s">
        <v>32</v>
      </c>
      <c r="I848" s="65" t="s">
        <v>1582</v>
      </c>
      <c r="J848" s="65" t="s">
        <v>5</v>
      </c>
      <c r="K848" s="65" t="s">
        <v>11</v>
      </c>
      <c r="L848" s="64" t="s">
        <v>67</v>
      </c>
      <c r="M848" s="58" t="s">
        <v>3</v>
      </c>
      <c r="N848" s="58" t="s">
        <v>2</v>
      </c>
      <c r="O848" s="58">
        <v>80</v>
      </c>
      <c r="P848" s="58">
        <v>80</v>
      </c>
      <c r="Q848" s="58">
        <v>0</v>
      </c>
      <c r="R848" s="58">
        <v>0</v>
      </c>
      <c r="S848" s="58">
        <v>0</v>
      </c>
      <c r="T848" s="58">
        <v>0</v>
      </c>
      <c r="U848" s="58">
        <v>52</v>
      </c>
      <c r="V848" s="62"/>
      <c r="W848" s="62"/>
      <c r="X848" s="63">
        <f>IFERROR(1 -(Master[[#This Row],[Avg Garment Scans per Delivery]]/Master[[#This Row],[Garment Inventory]]), 0)</f>
        <v>0</v>
      </c>
      <c r="Y848" s="62"/>
      <c r="Z848" s="62"/>
      <c r="AA848" s="53">
        <v>17.097425431711152</v>
      </c>
      <c r="AB848" s="53">
        <v>25.153343799058085</v>
      </c>
      <c r="AC848" s="53">
        <v>22.420236686390535</v>
      </c>
      <c r="AD848" s="53">
        <v>30.293609467455628</v>
      </c>
      <c r="AE848" s="53" t="str">
        <f>_xlfn.XLOOKUP(Master[[#This Row],[cu_id]],'[1]Customer Revenue'!$Q:$Q,'[1]Customer Revenue'!$K:$K, "None")</f>
        <v>None</v>
      </c>
      <c r="AF848" s="53" t="str">
        <f>_xlfn.XLOOKUP(Master[[#This Row],[cu_id]],'[1]Customer Revenue'!$Q:$Q,'[1]Customer Revenue'!$L:$L, "None")</f>
        <v>None</v>
      </c>
      <c r="AG848" s="53">
        <v>18.376685660018989</v>
      </c>
      <c r="AH848" s="53">
        <v>25.031006647673305</v>
      </c>
      <c r="AI848" s="53">
        <v>21.125384615384618</v>
      </c>
      <c r="AJ848" s="53">
        <v>26.356923076923081</v>
      </c>
      <c r="AK848" s="53" t="str">
        <f>_xlfn.XLOOKUP(Master[[#This Row],[cu_id]],'[1]Customer Revenue'!$Q:$Q,'[1]Customer Revenue'!$I:$I, "None")</f>
        <v>None</v>
      </c>
      <c r="AL848" s="53">
        <v>21.703846153846147</v>
      </c>
      <c r="AM848" s="61">
        <v>0.25</v>
      </c>
      <c r="AN848" s="60">
        <v>0.70833333333333337</v>
      </c>
      <c r="AO848" s="60" t="s">
        <v>36</v>
      </c>
      <c r="AP848" s="60" t="s">
        <v>36</v>
      </c>
      <c r="AQ848" s="58" t="s">
        <v>0</v>
      </c>
      <c r="AR848" s="58"/>
      <c r="AS848" s="58"/>
      <c r="AT848" s="52">
        <v>0</v>
      </c>
      <c r="AU848" s="52" t="e">
        <f>IF(Master[[#This Row],[RSP StopTime override]] &lt;&gt; "",Master[[#This Row],[RSP StopTime override]],IF(Master[[#This Row],[Avg stop time helper]] &lt;&gt; 0, Master[[#This Row],[Avg stop time helper]],Average_Stop_Time))</f>
        <v>#DIV/0!</v>
      </c>
      <c r="AV848" s="21"/>
      <c r="AW848" s="20">
        <f>Master[[#This Row],[RSP StopTime override]]-Master[[#This Row],[Avg stop time helper]]</f>
        <v>0</v>
      </c>
    </row>
    <row r="849" spans="1:49" x14ac:dyDescent="0.3">
      <c r="A849" s="66" t="s">
        <v>3868</v>
      </c>
      <c r="B849" s="58">
        <v>52</v>
      </c>
      <c r="C849" s="58" t="s">
        <v>24</v>
      </c>
      <c r="D849" s="65">
        <v>99061</v>
      </c>
      <c r="E849" s="65" t="s">
        <v>1822</v>
      </c>
      <c r="F849" s="65" t="s">
        <v>3708</v>
      </c>
      <c r="G849" s="65" t="s">
        <v>1805</v>
      </c>
      <c r="H849" s="65" t="s">
        <v>32</v>
      </c>
      <c r="I849" s="65" t="s">
        <v>1582</v>
      </c>
      <c r="J849" s="65" t="s">
        <v>5</v>
      </c>
      <c r="K849" s="65" t="s">
        <v>11</v>
      </c>
      <c r="L849" s="64" t="s">
        <v>67</v>
      </c>
      <c r="M849" s="58" t="s">
        <v>3</v>
      </c>
      <c r="N849" s="58" t="s">
        <v>2</v>
      </c>
      <c r="O849" s="58">
        <v>80</v>
      </c>
      <c r="P849" s="58">
        <v>80</v>
      </c>
      <c r="Q849" s="58">
        <v>0</v>
      </c>
      <c r="R849" s="58">
        <v>0</v>
      </c>
      <c r="S849" s="58">
        <v>0</v>
      </c>
      <c r="T849" s="58">
        <v>0</v>
      </c>
      <c r="U849" s="58">
        <v>52</v>
      </c>
      <c r="V849" s="62"/>
      <c r="W849" s="62">
        <v>3</v>
      </c>
      <c r="X849" s="63">
        <f>IFERROR(1 -(Master[[#This Row],[Avg Garment Scans per Delivery]]/Master[[#This Row],[Garment Inventory]]), 0)</f>
        <v>0</v>
      </c>
      <c r="Y849" s="62"/>
      <c r="Z849" s="62"/>
      <c r="AA849" s="53">
        <v>24.875917159763308</v>
      </c>
      <c r="AB849" s="53">
        <v>44.116390532544372</v>
      </c>
      <c r="AC849" s="53"/>
      <c r="AD849" s="53">
        <v>144.14994082840235</v>
      </c>
      <c r="AE849" s="53" t="str">
        <f>_xlfn.XLOOKUP(Master[[#This Row],[cu_id]],'[1]Customer Revenue'!$Q:$Q,'[1]Customer Revenue'!$K:$K, "None")</f>
        <v>None</v>
      </c>
      <c r="AF849" s="53" t="str">
        <f>_xlfn.XLOOKUP(Master[[#This Row],[cu_id]],'[1]Customer Revenue'!$Q:$Q,'[1]Customer Revenue'!$L:$L, "None")</f>
        <v>None</v>
      </c>
      <c r="AG849" s="53">
        <v>25.944911242603549</v>
      </c>
      <c r="AH849" s="53">
        <v>37.69201183431953</v>
      </c>
      <c r="AI849" s="53">
        <v>34.496153846153838</v>
      </c>
      <c r="AJ849" s="53">
        <v>69.715384615384608</v>
      </c>
      <c r="AK849" s="53" t="str">
        <f>_xlfn.XLOOKUP(Master[[#This Row],[cu_id]],'[1]Customer Revenue'!$Q:$Q,'[1]Customer Revenue'!$I:$I, "None")</f>
        <v>None</v>
      </c>
      <c r="AL849" s="53">
        <v>31.818461538461541</v>
      </c>
      <c r="AM849" s="61">
        <v>0.25</v>
      </c>
      <c r="AN849" s="60">
        <v>0.70833333333333337</v>
      </c>
      <c r="AO849" s="60" t="s">
        <v>36</v>
      </c>
      <c r="AP849" s="60" t="s">
        <v>36</v>
      </c>
      <c r="AQ849" s="58" t="s">
        <v>0</v>
      </c>
      <c r="AR849" s="58"/>
      <c r="AS849" s="58"/>
      <c r="AT849" s="52">
        <v>0</v>
      </c>
      <c r="AU849" s="52" t="e">
        <f>IF(Master[[#This Row],[RSP StopTime override]] &lt;&gt; "",Master[[#This Row],[RSP StopTime override]],IF(Master[[#This Row],[Avg stop time helper]] &lt;&gt; 0, Master[[#This Row],[Avg stop time helper]],Average_Stop_Time))</f>
        <v>#DIV/0!</v>
      </c>
      <c r="AV849" s="21"/>
      <c r="AW849" s="20">
        <f>Master[[#This Row],[RSP StopTime override]]-Master[[#This Row],[Avg stop time helper]]</f>
        <v>0</v>
      </c>
    </row>
    <row r="850" spans="1:49" x14ac:dyDescent="0.3">
      <c r="A850" s="66" t="s">
        <v>3872</v>
      </c>
      <c r="B850" s="58">
        <v>52</v>
      </c>
      <c r="C850" s="58" t="s">
        <v>24</v>
      </c>
      <c r="D850" s="65">
        <v>99061</v>
      </c>
      <c r="E850" s="65" t="s">
        <v>1821</v>
      </c>
      <c r="F850" s="65" t="s">
        <v>3709</v>
      </c>
      <c r="G850" s="65" t="s">
        <v>1805</v>
      </c>
      <c r="H850" s="65" t="s">
        <v>32</v>
      </c>
      <c r="I850" s="65" t="s">
        <v>1582</v>
      </c>
      <c r="J850" s="65" t="s">
        <v>5</v>
      </c>
      <c r="K850" s="65" t="s">
        <v>11</v>
      </c>
      <c r="L850" s="64" t="s">
        <v>67</v>
      </c>
      <c r="M850" s="58" t="s">
        <v>3</v>
      </c>
      <c r="N850" s="58" t="s">
        <v>2</v>
      </c>
      <c r="O850" s="58">
        <v>80</v>
      </c>
      <c r="P850" s="58">
        <v>80</v>
      </c>
      <c r="Q850" s="58">
        <v>0</v>
      </c>
      <c r="R850" s="58">
        <v>0</v>
      </c>
      <c r="S850" s="58">
        <v>0</v>
      </c>
      <c r="T850" s="58">
        <v>0</v>
      </c>
      <c r="U850" s="58">
        <v>52</v>
      </c>
      <c r="V850" s="62"/>
      <c r="W850" s="62"/>
      <c r="X850" s="63">
        <f>IFERROR(1 -(Master[[#This Row],[Avg Garment Scans per Delivery]]/Master[[#This Row],[Garment Inventory]]), 0)</f>
        <v>0</v>
      </c>
      <c r="Y850" s="62"/>
      <c r="Z850" s="62"/>
      <c r="AA850" s="53">
        <v>32.186627218934916</v>
      </c>
      <c r="AB850" s="53">
        <v>36.145680473372778</v>
      </c>
      <c r="AC850" s="53">
        <v>26.437633136094679</v>
      </c>
      <c r="AD850" s="53">
        <v>40.740828402366873</v>
      </c>
      <c r="AE850" s="53" t="str">
        <f>_xlfn.XLOOKUP(Master[[#This Row],[cu_id]],'[1]Customer Revenue'!$Q:$Q,'[1]Customer Revenue'!$K:$K, "None")</f>
        <v>None</v>
      </c>
      <c r="AF850" s="53" t="str">
        <f>_xlfn.XLOOKUP(Master[[#This Row],[cu_id]],'[1]Customer Revenue'!$Q:$Q,'[1]Customer Revenue'!$L:$L, "None")</f>
        <v>None</v>
      </c>
      <c r="AG850" s="53">
        <v>29.279526627218935</v>
      </c>
      <c r="AH850" s="53">
        <v>35.504319526627221</v>
      </c>
      <c r="AI850" s="53">
        <v>34.166153846153847</v>
      </c>
      <c r="AJ850" s="53">
        <v>33.589230769230774</v>
      </c>
      <c r="AK850" s="53" t="str">
        <f>_xlfn.XLOOKUP(Master[[#This Row],[cu_id]],'[1]Customer Revenue'!$Q:$Q,'[1]Customer Revenue'!$I:$I, "None")</f>
        <v>None</v>
      </c>
      <c r="AL850" s="53">
        <v>32.391923076923078</v>
      </c>
      <c r="AM850" s="61">
        <v>0.25</v>
      </c>
      <c r="AN850" s="60">
        <v>0.70833333333333337</v>
      </c>
      <c r="AO850" s="60" t="s">
        <v>36</v>
      </c>
      <c r="AP850" s="60" t="s">
        <v>36</v>
      </c>
      <c r="AQ850" s="58" t="s">
        <v>0</v>
      </c>
      <c r="AR850" s="58"/>
      <c r="AS850" s="58"/>
      <c r="AT850" s="52">
        <v>0</v>
      </c>
      <c r="AU850" s="52" t="e">
        <f>IF(Master[[#This Row],[RSP StopTime override]] &lt;&gt; "",Master[[#This Row],[RSP StopTime override]],IF(Master[[#This Row],[Avg stop time helper]] &lt;&gt; 0, Master[[#This Row],[Avg stop time helper]],Average_Stop_Time))</f>
        <v>#DIV/0!</v>
      </c>
      <c r="AV850" s="21"/>
      <c r="AW850" s="20">
        <f>Master[[#This Row],[RSP StopTime override]]-Master[[#This Row],[Avg stop time helper]]</f>
        <v>0</v>
      </c>
    </row>
    <row r="851" spans="1:49" x14ac:dyDescent="0.3">
      <c r="A851" s="66" t="s">
        <v>4876</v>
      </c>
      <c r="B851" s="58">
        <v>52</v>
      </c>
      <c r="C851" s="58" t="s">
        <v>24</v>
      </c>
      <c r="D851" s="65">
        <v>99062</v>
      </c>
      <c r="E851" s="65" t="s">
        <v>1804</v>
      </c>
      <c r="F851" s="65" t="s">
        <v>1820</v>
      </c>
      <c r="G851" s="65" t="s">
        <v>1802</v>
      </c>
      <c r="H851" s="65" t="s">
        <v>32</v>
      </c>
      <c r="I851" s="65" t="s">
        <v>12</v>
      </c>
      <c r="J851" s="65" t="s">
        <v>5</v>
      </c>
      <c r="K851" s="65" t="s">
        <v>1754</v>
      </c>
      <c r="L851" s="64" t="s">
        <v>67</v>
      </c>
      <c r="M851" s="58" t="s">
        <v>3</v>
      </c>
      <c r="N851" s="58" t="s">
        <v>2</v>
      </c>
      <c r="O851" s="58">
        <v>110</v>
      </c>
      <c r="P851" s="58">
        <v>110</v>
      </c>
      <c r="Q851" s="58">
        <v>0</v>
      </c>
      <c r="R851" s="58">
        <v>0</v>
      </c>
      <c r="S851" s="58">
        <v>0</v>
      </c>
      <c r="T851" s="58">
        <v>0</v>
      </c>
      <c r="U851" s="58">
        <v>53</v>
      </c>
      <c r="V851" s="62">
        <v>343</v>
      </c>
      <c r="W851" s="62">
        <v>70</v>
      </c>
      <c r="X851" s="63">
        <f>IFERROR(1 -(Master[[#This Row],[Avg Garment Scans per Delivery]]/Master[[#This Row],[Garment Inventory]]), 0)</f>
        <v>0.79591836734693877</v>
      </c>
      <c r="Y851" s="62">
        <v>14</v>
      </c>
      <c r="Z851" s="62">
        <v>343</v>
      </c>
      <c r="AA851" s="53">
        <v>210.2007100591716</v>
      </c>
      <c r="AB851" s="53">
        <v>221.9223668639053</v>
      </c>
      <c r="AC851" s="53">
        <v>209.87467455621302</v>
      </c>
      <c r="AD851" s="53">
        <v>215.07609467455617</v>
      </c>
      <c r="AE851" s="53" t="str">
        <f>_xlfn.XLOOKUP(Master[[#This Row],[cu_id]],'[1]Customer Revenue'!$Q:$Q,'[1]Customer Revenue'!$K:$K, "None")</f>
        <v>None</v>
      </c>
      <c r="AF851" s="53" t="str">
        <f>_xlfn.XLOOKUP(Master[[#This Row],[cu_id]],'[1]Customer Revenue'!$Q:$Q,'[1]Customer Revenue'!$L:$L, "None")</f>
        <v>None</v>
      </c>
      <c r="AG851" s="53">
        <v>198.99831360946746</v>
      </c>
      <c r="AH851" s="53">
        <v>216.08553254437868</v>
      </c>
      <c r="AI851" s="53">
        <v>216.06153846153845</v>
      </c>
      <c r="AJ851" s="53">
        <v>212.4753846153846</v>
      </c>
      <c r="AK851" s="53" t="str">
        <f>_xlfn.XLOOKUP(Master[[#This Row],[cu_id]],'[1]Customer Revenue'!$Q:$Q,'[1]Customer Revenue'!$I:$I, "None")</f>
        <v>None</v>
      </c>
      <c r="AL851" s="53">
        <v>207.54192307692307</v>
      </c>
      <c r="AM851" s="61">
        <v>0.33333333333333331</v>
      </c>
      <c r="AN851" s="60">
        <v>0.70833333333333337</v>
      </c>
      <c r="AO851" s="60" t="s">
        <v>36</v>
      </c>
      <c r="AP851" s="60" t="s">
        <v>36</v>
      </c>
      <c r="AQ851" s="58" t="s">
        <v>0</v>
      </c>
      <c r="AR851" s="58"/>
      <c r="AS851" s="58"/>
      <c r="AT851" s="52">
        <v>0</v>
      </c>
      <c r="AU851" s="52" t="e">
        <f>IF(Master[[#This Row],[RSP StopTime override]] &lt;&gt; "",Master[[#This Row],[RSP StopTime override]],IF(Master[[#This Row],[Avg stop time helper]] &lt;&gt; 0, Master[[#This Row],[Avg stop time helper]],Average_Stop_Time))</f>
        <v>#DIV/0!</v>
      </c>
      <c r="AV851" s="21"/>
      <c r="AW851" s="20">
        <f>Master[[#This Row],[RSP StopTime override]]-Master[[#This Row],[Avg stop time helper]]</f>
        <v>0</v>
      </c>
    </row>
    <row r="852" spans="1:49" x14ac:dyDescent="0.3">
      <c r="A852" s="66" t="s">
        <v>4877</v>
      </c>
      <c r="B852" s="58">
        <v>52</v>
      </c>
      <c r="C852" s="58" t="s">
        <v>24</v>
      </c>
      <c r="D852" s="65">
        <v>99063</v>
      </c>
      <c r="E852" s="65" t="s">
        <v>1455</v>
      </c>
      <c r="F852" s="65" t="s">
        <v>1531</v>
      </c>
      <c r="G852" s="65" t="s">
        <v>1819</v>
      </c>
      <c r="H852" s="65" t="s">
        <v>7</v>
      </c>
      <c r="I852" s="65" t="s">
        <v>50</v>
      </c>
      <c r="J852" s="65" t="s">
        <v>5</v>
      </c>
      <c r="K852" s="65" t="s">
        <v>11</v>
      </c>
      <c r="L852" s="64" t="s">
        <v>206</v>
      </c>
      <c r="M852" s="58" t="s">
        <v>205</v>
      </c>
      <c r="N852" s="58" t="s">
        <v>2</v>
      </c>
      <c r="O852" s="58">
        <v>130</v>
      </c>
      <c r="P852" s="58">
        <v>130</v>
      </c>
      <c r="Q852" s="58">
        <v>0</v>
      </c>
      <c r="R852" s="58">
        <v>0</v>
      </c>
      <c r="S852" s="58">
        <v>0</v>
      </c>
      <c r="T852" s="58">
        <v>0</v>
      </c>
      <c r="U852" s="58">
        <v>13</v>
      </c>
      <c r="V852" s="62"/>
      <c r="W852" s="62"/>
      <c r="X852" s="63">
        <f>IFERROR(1 -(Master[[#This Row],[Avg Garment Scans per Delivery]]/Master[[#This Row],[Garment Inventory]]), 0)</f>
        <v>0</v>
      </c>
      <c r="Y852" s="62"/>
      <c r="Z852" s="62"/>
      <c r="AA852" s="53">
        <v>284.29000000000002</v>
      </c>
      <c r="AB852" s="53">
        <v>284.29000000000002</v>
      </c>
      <c r="AC852" s="53">
        <v>297.24374999999998</v>
      </c>
      <c r="AD852" s="53">
        <v>308.87125000000003</v>
      </c>
      <c r="AE852" s="53" t="str">
        <f>_xlfn.XLOOKUP(Master[[#This Row],[cu_id]],'[1]Customer Revenue'!$Q:$Q,'[1]Customer Revenue'!$K:$K, "None")</f>
        <v>None</v>
      </c>
      <c r="AF852" s="53" t="str">
        <f>_xlfn.XLOOKUP(Master[[#This Row],[cu_id]],'[1]Customer Revenue'!$Q:$Q,'[1]Customer Revenue'!$L:$L, "None")</f>
        <v>None</v>
      </c>
      <c r="AG852" s="53">
        <v>214.66795918367347</v>
      </c>
      <c r="AH852" s="53">
        <v>353.91204081632657</v>
      </c>
      <c r="AI852" s="53">
        <v>284.29000000000002</v>
      </c>
      <c r="AJ852" s="53">
        <v>303.0575</v>
      </c>
      <c r="AK852" s="53" t="str">
        <f>_xlfn.XLOOKUP(Master[[#This Row],[cu_id]],'[1]Customer Revenue'!$Q:$Q,'[1]Customer Revenue'!$I:$I, "None")</f>
        <v>None</v>
      </c>
      <c r="AL852" s="53">
        <v>284.29000000000002</v>
      </c>
      <c r="AM852" s="61">
        <v>0.33333333333333331</v>
      </c>
      <c r="AN852" s="60">
        <v>0.70833333333333337</v>
      </c>
      <c r="AO852" s="60" t="s">
        <v>36</v>
      </c>
      <c r="AP852" s="60" t="s">
        <v>36</v>
      </c>
      <c r="AQ852" s="58" t="s">
        <v>0</v>
      </c>
      <c r="AR852" s="58"/>
      <c r="AS852" s="58"/>
      <c r="AT852" s="52">
        <v>0</v>
      </c>
      <c r="AU852" s="52" t="e">
        <f>IF(Master[[#This Row],[RSP StopTime override]] &lt;&gt; "",Master[[#This Row],[RSP StopTime override]],IF(Master[[#This Row],[Avg stop time helper]] &lt;&gt; 0, Master[[#This Row],[Avg stop time helper]],Average_Stop_Time))</f>
        <v>#DIV/0!</v>
      </c>
      <c r="AV852" s="21"/>
      <c r="AW852" s="20">
        <f>Master[[#This Row],[RSP StopTime override]]-Master[[#This Row],[Avg stop time helper]]</f>
        <v>0</v>
      </c>
    </row>
    <row r="853" spans="1:49" x14ac:dyDescent="0.3">
      <c r="A853" s="66" t="s">
        <v>4878</v>
      </c>
      <c r="B853" s="58">
        <v>52</v>
      </c>
      <c r="C853" s="58" t="s">
        <v>24</v>
      </c>
      <c r="D853" s="65">
        <v>99094</v>
      </c>
      <c r="E853" s="65" t="s">
        <v>1818</v>
      </c>
      <c r="F853" s="65" t="s">
        <v>1817</v>
      </c>
      <c r="G853" s="65" t="s">
        <v>1816</v>
      </c>
      <c r="H853" s="65" t="s">
        <v>7</v>
      </c>
      <c r="I853" s="65" t="s">
        <v>12</v>
      </c>
      <c r="J853" s="65" t="s">
        <v>5</v>
      </c>
      <c r="K853" s="65" t="s">
        <v>11</v>
      </c>
      <c r="L853" s="64" t="s">
        <v>67</v>
      </c>
      <c r="M853" s="58" t="s">
        <v>3</v>
      </c>
      <c r="N853" s="58" t="s">
        <v>2</v>
      </c>
      <c r="O853" s="58">
        <v>50</v>
      </c>
      <c r="P853" s="58">
        <v>50</v>
      </c>
      <c r="Q853" s="58">
        <v>0</v>
      </c>
      <c r="R853" s="58">
        <v>0</v>
      </c>
      <c r="S853" s="58">
        <v>0</v>
      </c>
      <c r="T853" s="58">
        <v>0</v>
      </c>
      <c r="U853" s="58">
        <v>36</v>
      </c>
      <c r="V853" s="62"/>
      <c r="W853" s="62"/>
      <c r="X853" s="63">
        <f>IFERROR(1 -(Master[[#This Row],[Avg Garment Scans per Delivery]]/Master[[#This Row],[Garment Inventory]]), 0)</f>
        <v>0</v>
      </c>
      <c r="Y853" s="62"/>
      <c r="Z853" s="62"/>
      <c r="AA853" s="53">
        <v>30.413535502958585</v>
      </c>
      <c r="AB853" s="53">
        <v>82.64146449704144</v>
      </c>
      <c r="AC853" s="53">
        <v>3.9747107438016478</v>
      </c>
      <c r="AD853" s="53">
        <v>29.541652892561981</v>
      </c>
      <c r="AE853" s="53" t="str">
        <f>_xlfn.XLOOKUP(Master[[#This Row],[cu_id]],'[1]Customer Revenue'!$Q:$Q,'[1]Customer Revenue'!$K:$K, "None")</f>
        <v>None</v>
      </c>
      <c r="AF853" s="53" t="str">
        <f>_xlfn.XLOOKUP(Master[[#This Row],[cu_id]],'[1]Customer Revenue'!$Q:$Q,'[1]Customer Revenue'!$L:$L, "None")</f>
        <v>None</v>
      </c>
      <c r="AG853" s="53">
        <v>17.624317752191089</v>
      </c>
      <c r="AH853" s="53">
        <v>62.223864065990725</v>
      </c>
      <c r="AI853" s="53">
        <v>56.527500000000011</v>
      </c>
      <c r="AJ853" s="53">
        <v>16.758181818181814</v>
      </c>
      <c r="AK853" s="53" t="str">
        <f>_xlfn.XLOOKUP(Master[[#This Row],[cu_id]],'[1]Customer Revenue'!$Q:$Q,'[1]Customer Revenue'!$I:$I, "None")</f>
        <v>None</v>
      </c>
      <c r="AL853" s="53">
        <v>39.924090909090907</v>
      </c>
      <c r="AM853" s="61">
        <v>0.375</v>
      </c>
      <c r="AN853" s="60">
        <v>0.70833333333333337</v>
      </c>
      <c r="AO853" s="60" t="s">
        <v>36</v>
      </c>
      <c r="AP853" s="60" t="s">
        <v>36</v>
      </c>
      <c r="AQ853" s="58" t="s">
        <v>0</v>
      </c>
      <c r="AR853" s="58"/>
      <c r="AS853" s="58"/>
      <c r="AT853" s="52">
        <v>0</v>
      </c>
      <c r="AU853" s="52" t="e">
        <f>IF(Master[[#This Row],[RSP StopTime override]] &lt;&gt; "",Master[[#This Row],[RSP StopTime override]],IF(Master[[#This Row],[Avg stop time helper]] &lt;&gt; 0, Master[[#This Row],[Avg stop time helper]],Average_Stop_Time))</f>
        <v>#DIV/0!</v>
      </c>
      <c r="AV853" s="21"/>
      <c r="AW853" s="20">
        <f>Master[[#This Row],[RSP StopTime override]]-Master[[#This Row],[Avg stop time helper]]</f>
        <v>0</v>
      </c>
    </row>
    <row r="854" spans="1:49" x14ac:dyDescent="0.3">
      <c r="A854" s="73" t="s">
        <v>4879</v>
      </c>
      <c r="B854" s="64">
        <v>52</v>
      </c>
      <c r="C854" s="64" t="s">
        <v>24</v>
      </c>
      <c r="D854" s="65">
        <v>99095</v>
      </c>
      <c r="E854" s="65" t="s">
        <v>42</v>
      </c>
      <c r="F854" s="65" t="s">
        <v>1815</v>
      </c>
      <c r="G854" s="65" t="s">
        <v>1814</v>
      </c>
      <c r="H854" s="65" t="s">
        <v>7</v>
      </c>
      <c r="I854" s="65" t="s">
        <v>12</v>
      </c>
      <c r="J854" s="65" t="s">
        <v>5</v>
      </c>
      <c r="K854" s="65" t="s">
        <v>1754</v>
      </c>
      <c r="L854" s="64" t="s">
        <v>141</v>
      </c>
      <c r="M854" s="65" t="s">
        <v>140</v>
      </c>
      <c r="N854" s="65" t="s">
        <v>2</v>
      </c>
      <c r="O854" s="65">
        <v>112</v>
      </c>
      <c r="P854" s="65">
        <v>112</v>
      </c>
      <c r="Q854" s="65">
        <v>0</v>
      </c>
      <c r="R854" s="65">
        <v>0</v>
      </c>
      <c r="S854" s="65">
        <v>0</v>
      </c>
      <c r="T854" s="65">
        <v>0</v>
      </c>
      <c r="U854" s="65"/>
      <c r="V854" s="65"/>
      <c r="W854" s="65"/>
      <c r="X854" s="72">
        <f>IFERROR(1 -(Master[[#This Row],[Avg Garment Scans per Delivery]]/Master[[#This Row],[Garment Inventory]]), 0)</f>
        <v>0</v>
      </c>
      <c r="Y854" s="65"/>
      <c r="Z854" s="65"/>
      <c r="AA854" s="53"/>
      <c r="AB854" s="53"/>
      <c r="AC854" s="53"/>
      <c r="AD854" s="53"/>
      <c r="AE854" s="53" t="str">
        <f>_xlfn.XLOOKUP(Master[[#This Row],[cu_id]],'[1]Customer Revenue'!$Q:$Q,'[1]Customer Revenue'!$K:$K, "None")</f>
        <v>None</v>
      </c>
      <c r="AF854" s="53" t="str">
        <f>_xlfn.XLOOKUP(Master[[#This Row],[cu_id]],'[1]Customer Revenue'!$Q:$Q,'[1]Customer Revenue'!$L:$L, "None")</f>
        <v>None</v>
      </c>
      <c r="AG854" s="53"/>
      <c r="AH854" s="53"/>
      <c r="AI854" s="53"/>
      <c r="AJ854" s="53"/>
      <c r="AK854" s="53" t="str">
        <f>_xlfn.XLOOKUP(Master[[#This Row],[cu_id]],'[1]Customer Revenue'!$Q:$Q,'[1]Customer Revenue'!$I:$I, "None")</f>
        <v>None</v>
      </c>
      <c r="AL854" s="53"/>
      <c r="AM854" s="71" t="s">
        <v>1</v>
      </c>
      <c r="AN854" s="71" t="s">
        <v>1</v>
      </c>
      <c r="AO854" s="71" t="s">
        <v>36</v>
      </c>
      <c r="AP854" s="71" t="s">
        <v>36</v>
      </c>
      <c r="AQ854" s="64" t="s">
        <v>0</v>
      </c>
      <c r="AR854" s="64"/>
      <c r="AS854" s="65"/>
      <c r="AT854" s="52">
        <v>0</v>
      </c>
      <c r="AU854" s="52" t="e">
        <f>IF(Master[[#This Row],[RSP StopTime override]] &lt;&gt; "",Master[[#This Row],[RSP StopTime override]],IF(Master[[#This Row],[Avg stop time helper]] &lt;&gt; 0, Master[[#This Row],[Avg stop time helper]],Average_Stop_Time))</f>
        <v>#DIV/0!</v>
      </c>
      <c r="AV854" s="21"/>
      <c r="AW854" s="20">
        <f>Master[[#This Row],[RSP StopTime override]]-Master[[#This Row],[Avg stop time helper]]</f>
        <v>0</v>
      </c>
    </row>
    <row r="855" spans="1:49" x14ac:dyDescent="0.3">
      <c r="A855" s="66" t="s">
        <v>4880</v>
      </c>
      <c r="B855" s="58">
        <v>52</v>
      </c>
      <c r="C855" s="58" t="s">
        <v>24</v>
      </c>
      <c r="D855" s="65">
        <v>99097</v>
      </c>
      <c r="E855" s="65" t="s">
        <v>1177</v>
      </c>
      <c r="F855" s="65" t="s">
        <v>3710</v>
      </c>
      <c r="G855" s="65" t="s">
        <v>1813</v>
      </c>
      <c r="H855" s="65" t="s">
        <v>7</v>
      </c>
      <c r="I855" s="65" t="s">
        <v>12</v>
      </c>
      <c r="J855" s="65" t="s">
        <v>5</v>
      </c>
      <c r="K855" s="65" t="s">
        <v>11</v>
      </c>
      <c r="L855" s="64" t="s">
        <v>67</v>
      </c>
      <c r="M855" s="58" t="s">
        <v>3</v>
      </c>
      <c r="N855" s="58" t="s">
        <v>2</v>
      </c>
      <c r="O855" s="58">
        <v>75</v>
      </c>
      <c r="P855" s="58">
        <v>75</v>
      </c>
      <c r="Q855" s="58">
        <v>0</v>
      </c>
      <c r="R855" s="58">
        <v>0</v>
      </c>
      <c r="S855" s="58">
        <v>0</v>
      </c>
      <c r="T855" s="58">
        <v>0</v>
      </c>
      <c r="U855" s="58">
        <v>52</v>
      </c>
      <c r="V855" s="62">
        <v>32</v>
      </c>
      <c r="W855" s="62">
        <v>2</v>
      </c>
      <c r="X855" s="63">
        <f>IFERROR(1 -(Master[[#This Row],[Avg Garment Scans per Delivery]]/Master[[#This Row],[Garment Inventory]]), 0)</f>
        <v>0.9375</v>
      </c>
      <c r="Y855" s="62">
        <v>1</v>
      </c>
      <c r="Z855" s="62">
        <v>33</v>
      </c>
      <c r="AA855" s="53">
        <v>45.791893491124263</v>
      </c>
      <c r="AB855" s="53">
        <v>49.640414201183425</v>
      </c>
      <c r="AC855" s="53">
        <v>46.209408284023667</v>
      </c>
      <c r="AD855" s="53">
        <v>46.933668639053252</v>
      </c>
      <c r="AE855" s="53" t="str">
        <f>_xlfn.XLOOKUP(Master[[#This Row],[cu_id]],'[1]Customer Revenue'!$Q:$Q,'[1]Customer Revenue'!$K:$K, "None")</f>
        <v>None</v>
      </c>
      <c r="AF855" s="53" t="str">
        <f>_xlfn.XLOOKUP(Master[[#This Row],[cu_id]],'[1]Customer Revenue'!$Q:$Q,'[1]Customer Revenue'!$L:$L, "None")</f>
        <v>None</v>
      </c>
      <c r="AG855" s="53">
        <v>41.471360946745534</v>
      </c>
      <c r="AH855" s="53">
        <v>48.272485207100573</v>
      </c>
      <c r="AI855" s="53">
        <v>47.716153846153844</v>
      </c>
      <c r="AJ855" s="53">
        <v>46.571538461538459</v>
      </c>
      <c r="AK855" s="53" t="str">
        <f>_xlfn.XLOOKUP(Master[[#This Row],[cu_id]],'[1]Customer Revenue'!$Q:$Q,'[1]Customer Revenue'!$I:$I, "None")</f>
        <v>None</v>
      </c>
      <c r="AL855" s="53">
        <v>44.871923076923053</v>
      </c>
      <c r="AM855" s="61">
        <v>0.25</v>
      </c>
      <c r="AN855" s="60">
        <v>0.70833333333333337</v>
      </c>
      <c r="AO855" s="60" t="s">
        <v>36</v>
      </c>
      <c r="AP855" s="60" t="s">
        <v>36</v>
      </c>
      <c r="AQ855" s="58" t="s">
        <v>0</v>
      </c>
      <c r="AR855" s="58"/>
      <c r="AS855" s="58"/>
      <c r="AT855" s="52">
        <v>0</v>
      </c>
      <c r="AU855" s="52" t="e">
        <f>IF(Master[[#This Row],[RSP StopTime override]] &lt;&gt; "",Master[[#This Row],[RSP StopTime override]],IF(Master[[#This Row],[Avg stop time helper]] &lt;&gt; 0, Master[[#This Row],[Avg stop time helper]],Average_Stop_Time))</f>
        <v>#DIV/0!</v>
      </c>
      <c r="AV855" s="21"/>
      <c r="AW855" s="20">
        <f>Master[[#This Row],[RSP StopTime override]]-Master[[#This Row],[Avg stop time helper]]</f>
        <v>0</v>
      </c>
    </row>
    <row r="856" spans="1:49" x14ac:dyDescent="0.3">
      <c r="A856" s="66" t="s">
        <v>4881</v>
      </c>
      <c r="B856" s="58">
        <v>52</v>
      </c>
      <c r="C856" s="58" t="s">
        <v>24</v>
      </c>
      <c r="D856" s="65">
        <v>99100</v>
      </c>
      <c r="E856" s="65" t="s">
        <v>42</v>
      </c>
      <c r="F856" s="65" t="s">
        <v>1812</v>
      </c>
      <c r="G856" s="65" t="s">
        <v>1811</v>
      </c>
      <c r="H856" s="65" t="s">
        <v>7</v>
      </c>
      <c r="I856" s="65" t="s">
        <v>12</v>
      </c>
      <c r="J856" s="65" t="s">
        <v>5</v>
      </c>
      <c r="K856" s="65" t="s">
        <v>61</v>
      </c>
      <c r="L856" s="64" t="s">
        <v>91</v>
      </c>
      <c r="M856" s="58" t="s">
        <v>90</v>
      </c>
      <c r="N856" s="58" t="s">
        <v>2</v>
      </c>
      <c r="O856" s="58">
        <v>17</v>
      </c>
      <c r="P856" s="58">
        <v>17</v>
      </c>
      <c r="Q856" s="58">
        <v>0</v>
      </c>
      <c r="R856" s="58">
        <v>0</v>
      </c>
      <c r="S856" s="58">
        <v>0</v>
      </c>
      <c r="T856" s="58">
        <v>0</v>
      </c>
      <c r="U856" s="58">
        <v>25</v>
      </c>
      <c r="V856" s="62"/>
      <c r="W856" s="62"/>
      <c r="X856" s="63">
        <f>IFERROR(1 -(Master[[#This Row],[Avg Garment Scans per Delivery]]/Master[[#This Row],[Garment Inventory]]), 0)</f>
        <v>0</v>
      </c>
      <c r="Y856" s="62"/>
      <c r="Z856" s="62"/>
      <c r="AA856" s="53">
        <v>41.244489795918369</v>
      </c>
      <c r="AB856" s="53">
        <v>43.081224489795929</v>
      </c>
      <c r="AC856" s="53">
        <v>47.448888888888895</v>
      </c>
      <c r="AD856" s="53">
        <v>49.537777777777784</v>
      </c>
      <c r="AE856" s="53" t="str">
        <f>_xlfn.XLOOKUP(Master[[#This Row],[cu_id]],'[1]Customer Revenue'!$Q:$Q,'[1]Customer Revenue'!$K:$K, "None")</f>
        <v>None</v>
      </c>
      <c r="AF856" s="53" t="str">
        <f>_xlfn.XLOOKUP(Master[[#This Row],[cu_id]],'[1]Customer Revenue'!$Q:$Q,'[1]Customer Revenue'!$L:$L, "None")</f>
        <v>None</v>
      </c>
      <c r="AG856" s="53">
        <v>23.825937499999991</v>
      </c>
      <c r="AH856" s="53">
        <v>54.314062499999991</v>
      </c>
      <c r="AI856" s="53">
        <v>42.162857142857149</v>
      </c>
      <c r="AJ856" s="53">
        <v>48.493333333333339</v>
      </c>
      <c r="AK856" s="53" t="str">
        <f>_xlfn.XLOOKUP(Master[[#This Row],[cu_id]],'[1]Customer Revenue'!$Q:$Q,'[1]Customer Revenue'!$I:$I, "None")</f>
        <v>None</v>
      </c>
      <c r="AL856" s="53">
        <v>39.069999999999993</v>
      </c>
      <c r="AM856" s="61">
        <v>0.375</v>
      </c>
      <c r="AN856" s="60">
        <v>0.70833333333333337</v>
      </c>
      <c r="AO856" s="60" t="s">
        <v>36</v>
      </c>
      <c r="AP856" s="60" t="s">
        <v>36</v>
      </c>
      <c r="AQ856" s="58" t="s">
        <v>0</v>
      </c>
      <c r="AR856" s="58"/>
      <c r="AS856" s="58"/>
      <c r="AT856" s="52">
        <v>0</v>
      </c>
      <c r="AU856" s="52" t="e">
        <f>IF(Master[[#This Row],[RSP StopTime override]] &lt;&gt; "",Master[[#This Row],[RSP StopTime override]],IF(Master[[#This Row],[Avg stop time helper]] &lt;&gt; 0, Master[[#This Row],[Avg stop time helper]],Average_Stop_Time))</f>
        <v>#DIV/0!</v>
      </c>
      <c r="AV856" s="21"/>
      <c r="AW856" s="20">
        <f>Master[[#This Row],[RSP StopTime override]]-Master[[#This Row],[Avg stop time helper]]</f>
        <v>0</v>
      </c>
    </row>
    <row r="857" spans="1:49" x14ac:dyDescent="0.3">
      <c r="A857" s="66" t="s">
        <v>4882</v>
      </c>
      <c r="B857" s="58">
        <v>52</v>
      </c>
      <c r="C857" s="58" t="s">
        <v>24</v>
      </c>
      <c r="D857" s="65">
        <v>99161</v>
      </c>
      <c r="E857" s="65" t="s">
        <v>1332</v>
      </c>
      <c r="F857" s="65" t="s">
        <v>1810</v>
      </c>
      <c r="G857" s="65" t="s">
        <v>1809</v>
      </c>
      <c r="H857" s="65" t="s">
        <v>7</v>
      </c>
      <c r="I857" s="65" t="s">
        <v>1808</v>
      </c>
      <c r="J857" s="65" t="s">
        <v>5</v>
      </c>
      <c r="K857" s="65" t="s">
        <v>57</v>
      </c>
      <c r="L857" s="64" t="s">
        <v>67</v>
      </c>
      <c r="M857" s="58" t="s">
        <v>3</v>
      </c>
      <c r="N857" s="58" t="s">
        <v>2</v>
      </c>
      <c r="O857" s="58">
        <v>1</v>
      </c>
      <c r="P857" s="58">
        <v>1</v>
      </c>
      <c r="Q857" s="58">
        <v>0</v>
      </c>
      <c r="R857" s="58">
        <v>0</v>
      </c>
      <c r="S857" s="58">
        <v>0</v>
      </c>
      <c r="T857" s="58">
        <v>0</v>
      </c>
      <c r="U857" s="58">
        <v>5</v>
      </c>
      <c r="V857" s="62"/>
      <c r="W857" s="62"/>
      <c r="X857" s="63">
        <f>IFERROR(1 -(Master[[#This Row],[Avg Garment Scans per Delivery]]/Master[[#This Row],[Garment Inventory]]), 0)</f>
        <v>0</v>
      </c>
      <c r="Y857" s="62"/>
      <c r="Z857" s="62"/>
      <c r="AA857" s="53">
        <v>112.96</v>
      </c>
      <c r="AB857" s="53">
        <v>112.96</v>
      </c>
      <c r="AC857" s="53">
        <v>192.87</v>
      </c>
      <c r="AD857" s="53">
        <v>192.87</v>
      </c>
      <c r="AE857" s="53" t="str">
        <f>_xlfn.XLOOKUP(Master[[#This Row],[cu_id]],'[1]Customer Revenue'!$Q:$Q,'[1]Customer Revenue'!$K:$K, "None")</f>
        <v>None</v>
      </c>
      <c r="AF857" s="53" t="str">
        <f>_xlfn.XLOOKUP(Master[[#This Row],[cu_id]],'[1]Customer Revenue'!$Q:$Q,'[1]Customer Revenue'!$L:$L, "None")</f>
        <v>None</v>
      </c>
      <c r="AG857" s="53">
        <v>112.95999999999998</v>
      </c>
      <c r="AH857" s="53">
        <v>220.05</v>
      </c>
      <c r="AI857" s="53">
        <v>112.96</v>
      </c>
      <c r="AJ857" s="53">
        <v>192.87</v>
      </c>
      <c r="AK857" s="53" t="str">
        <f>_xlfn.XLOOKUP(Master[[#This Row],[cu_id]],'[1]Customer Revenue'!$Q:$Q,'[1]Customer Revenue'!$I:$I, "None")</f>
        <v>None</v>
      </c>
      <c r="AL857" s="53">
        <v>166.505</v>
      </c>
      <c r="AM857" s="61">
        <v>0.29166666666666669</v>
      </c>
      <c r="AN857" s="60">
        <v>0.70833333333333337</v>
      </c>
      <c r="AO857" s="60" t="s">
        <v>36</v>
      </c>
      <c r="AP857" s="60" t="s">
        <v>36</v>
      </c>
      <c r="AQ857" s="58" t="s">
        <v>0</v>
      </c>
      <c r="AR857" s="58"/>
      <c r="AS857" s="58"/>
      <c r="AT857" s="52">
        <v>0</v>
      </c>
      <c r="AU857" s="52" t="e">
        <f>IF(Master[[#This Row],[RSP StopTime override]] &lt;&gt; "",Master[[#This Row],[RSP StopTime override]],IF(Master[[#This Row],[Avg stop time helper]] &lt;&gt; 0, Master[[#This Row],[Avg stop time helper]],Average_Stop_Time))</f>
        <v>#DIV/0!</v>
      </c>
      <c r="AV857" s="21"/>
      <c r="AW857" s="20">
        <f>Master[[#This Row],[RSP StopTime override]]-Master[[#This Row],[Avg stop time helper]]</f>
        <v>0</v>
      </c>
    </row>
    <row r="858" spans="1:49" x14ac:dyDescent="0.3">
      <c r="A858" s="66" t="s">
        <v>4883</v>
      </c>
      <c r="B858" s="58">
        <v>52</v>
      </c>
      <c r="C858" s="58" t="s">
        <v>24</v>
      </c>
      <c r="D858" s="65">
        <v>99161</v>
      </c>
      <c r="E858" s="65" t="s">
        <v>1807</v>
      </c>
      <c r="F858" s="65" t="s">
        <v>1806</v>
      </c>
      <c r="G858" s="65" t="s">
        <v>1805</v>
      </c>
      <c r="H858" s="65" t="s">
        <v>7</v>
      </c>
      <c r="I858" s="65" t="s">
        <v>1582</v>
      </c>
      <c r="J858" s="65" t="s">
        <v>5</v>
      </c>
      <c r="K858" s="65" t="s">
        <v>11</v>
      </c>
      <c r="L858" s="64" t="s">
        <v>67</v>
      </c>
      <c r="M858" s="58" t="s">
        <v>3</v>
      </c>
      <c r="N858" s="58" t="s">
        <v>2</v>
      </c>
      <c r="O858" s="58">
        <v>1</v>
      </c>
      <c r="P858" s="58">
        <v>1</v>
      </c>
      <c r="Q858" s="58">
        <v>0</v>
      </c>
      <c r="R858" s="58">
        <v>0</v>
      </c>
      <c r="S858" s="58">
        <v>0</v>
      </c>
      <c r="T858" s="58">
        <v>0</v>
      </c>
      <c r="U858" s="58">
        <v>2</v>
      </c>
      <c r="V858" s="62"/>
      <c r="W858" s="62"/>
      <c r="X858" s="63">
        <f>IFERROR(1 -(Master[[#This Row],[Avg Garment Scans per Delivery]]/Master[[#This Row],[Garment Inventory]]), 0)</f>
        <v>0</v>
      </c>
      <c r="Y858" s="62"/>
      <c r="Z858" s="62"/>
      <c r="AA858" s="53">
        <v>387.5</v>
      </c>
      <c r="AB858" s="53">
        <v>387.5</v>
      </c>
      <c r="AC858" s="53">
        <v>45.993333333333304</v>
      </c>
      <c r="AD858" s="53">
        <v>141.96666666666664</v>
      </c>
      <c r="AE858" s="53" t="str">
        <f>_xlfn.XLOOKUP(Master[[#This Row],[cu_id]],'[1]Customer Revenue'!$Q:$Q,'[1]Customer Revenue'!$K:$K, "None")</f>
        <v>None</v>
      </c>
      <c r="AF858" s="53" t="str">
        <f>_xlfn.XLOOKUP(Master[[#This Row],[cu_id]],'[1]Customer Revenue'!$Q:$Q,'[1]Customer Revenue'!$L:$L, "None")</f>
        <v>None</v>
      </c>
      <c r="AG858" s="53">
        <v>131.54999999999998</v>
      </c>
      <c r="AH858" s="53">
        <v>387.5</v>
      </c>
      <c r="AI858" s="53">
        <v>387.5</v>
      </c>
      <c r="AJ858" s="53">
        <v>93.979999999999976</v>
      </c>
      <c r="AK858" s="53" t="str">
        <f>_xlfn.XLOOKUP(Master[[#This Row],[cu_id]],'[1]Customer Revenue'!$Q:$Q,'[1]Customer Revenue'!$I:$I, "None")</f>
        <v>None</v>
      </c>
      <c r="AL858" s="53">
        <v>259.52499999999998</v>
      </c>
      <c r="AM858" s="61">
        <v>0.25</v>
      </c>
      <c r="AN858" s="60">
        <v>0.70833333333333337</v>
      </c>
      <c r="AO858" s="60" t="s">
        <v>36</v>
      </c>
      <c r="AP858" s="60" t="s">
        <v>36</v>
      </c>
      <c r="AQ858" s="58" t="s">
        <v>0</v>
      </c>
      <c r="AR858" s="58"/>
      <c r="AS858" s="58"/>
      <c r="AT858" s="52">
        <v>0</v>
      </c>
      <c r="AU858" s="52" t="e">
        <f>IF(Master[[#This Row],[RSP StopTime override]] &lt;&gt; "",Master[[#This Row],[RSP StopTime override]],IF(Master[[#This Row],[Avg stop time helper]] &lt;&gt; 0, Master[[#This Row],[Avg stop time helper]],Average_Stop_Time))</f>
        <v>#DIV/0!</v>
      </c>
      <c r="AV858" s="21"/>
      <c r="AW858" s="20">
        <f>Master[[#This Row],[RSP StopTime override]]-Master[[#This Row],[Avg stop time helper]]</f>
        <v>0</v>
      </c>
    </row>
    <row r="859" spans="1:49" x14ac:dyDescent="0.3">
      <c r="A859" s="66" t="s">
        <v>4884</v>
      </c>
      <c r="B859" s="58">
        <v>52</v>
      </c>
      <c r="C859" s="58" t="s">
        <v>24</v>
      </c>
      <c r="D859" s="65">
        <v>511283</v>
      </c>
      <c r="E859" s="65" t="s">
        <v>42</v>
      </c>
      <c r="F859" s="65" t="s">
        <v>1801</v>
      </c>
      <c r="G859" s="65" t="s">
        <v>1800</v>
      </c>
      <c r="H859" s="65" t="s">
        <v>32</v>
      </c>
      <c r="I859" s="65" t="s">
        <v>50</v>
      </c>
      <c r="J859" s="65" t="s">
        <v>5</v>
      </c>
      <c r="K859" s="65" t="s">
        <v>61</v>
      </c>
      <c r="L859" s="64" t="s">
        <v>67</v>
      </c>
      <c r="M859" s="58" t="s">
        <v>3</v>
      </c>
      <c r="N859" s="58" t="s">
        <v>2</v>
      </c>
      <c r="O859" s="58">
        <v>135</v>
      </c>
      <c r="P859" s="58">
        <v>135</v>
      </c>
      <c r="Q859" s="58">
        <v>0</v>
      </c>
      <c r="R859" s="58">
        <v>0</v>
      </c>
      <c r="S859" s="58">
        <v>0</v>
      </c>
      <c r="T859" s="58">
        <v>0</v>
      </c>
      <c r="U859" s="58">
        <v>51</v>
      </c>
      <c r="V859" s="62"/>
      <c r="W859" s="62"/>
      <c r="X859" s="63">
        <f>IFERROR(1 -(Master[[#This Row],[Avg Garment Scans per Delivery]]/Master[[#This Row],[Garment Inventory]]), 0)</f>
        <v>0</v>
      </c>
      <c r="Y859" s="62"/>
      <c r="Z859" s="62"/>
      <c r="AA859" s="53">
        <v>39.675207100591713</v>
      </c>
      <c r="AB859" s="53">
        <v>63.274023668639053</v>
      </c>
      <c r="AC859" s="53">
        <v>47.541656804733705</v>
      </c>
      <c r="AD859" s="53">
        <v>81.181420118343183</v>
      </c>
      <c r="AE859" s="53" t="str">
        <f>_xlfn.XLOOKUP(Master[[#This Row],[cu_id]],'[1]Customer Revenue'!$Q:$Q,'[1]Customer Revenue'!$K:$K, "None")</f>
        <v>None</v>
      </c>
      <c r="AF859" s="53" t="str">
        <f>_xlfn.XLOOKUP(Master[[#This Row],[cu_id]],'[1]Customer Revenue'!$Q:$Q,'[1]Customer Revenue'!$L:$L, "None")</f>
        <v>None</v>
      </c>
      <c r="AG859" s="53">
        <v>39.438145604395608</v>
      </c>
      <c r="AH859" s="53">
        <v>57.774931318681332</v>
      </c>
      <c r="AI859" s="53">
        <v>51.474615384615383</v>
      </c>
      <c r="AJ859" s="53">
        <v>64.361538461538444</v>
      </c>
      <c r="AK859" s="53" t="str">
        <f>_xlfn.XLOOKUP(Master[[#This Row],[cu_id]],'[1]Customer Revenue'!$Q:$Q,'[1]Customer Revenue'!$I:$I, "None")</f>
        <v>None</v>
      </c>
      <c r="AL859" s="53">
        <v>48.60653846153847</v>
      </c>
      <c r="AM859" s="61">
        <v>0.41666666666666669</v>
      </c>
      <c r="AN859" s="60">
        <v>0.70833333333333337</v>
      </c>
      <c r="AO859" s="60" t="s">
        <v>36</v>
      </c>
      <c r="AP859" s="60" t="s">
        <v>36</v>
      </c>
      <c r="AQ859" s="58" t="s">
        <v>0</v>
      </c>
      <c r="AR859" s="58"/>
      <c r="AS859" s="58"/>
      <c r="AT859" s="52">
        <v>0</v>
      </c>
      <c r="AU859" s="52" t="e">
        <f>IF(Master[[#This Row],[RSP StopTime override]] &lt;&gt; "",Master[[#This Row],[RSP StopTime override]],IF(Master[[#This Row],[Avg stop time helper]] &lt;&gt; 0, Master[[#This Row],[Avg stop time helper]],Average_Stop_Time))</f>
        <v>#DIV/0!</v>
      </c>
      <c r="AV859" s="21"/>
      <c r="AW859" s="20">
        <f>Master[[#This Row],[RSP StopTime override]]-Master[[#This Row],[Avg stop time helper]]</f>
        <v>0</v>
      </c>
    </row>
    <row r="860" spans="1:49" x14ac:dyDescent="0.3">
      <c r="A860" s="66" t="s">
        <v>4885</v>
      </c>
      <c r="B860" s="58">
        <v>52</v>
      </c>
      <c r="C860" s="58" t="s">
        <v>24</v>
      </c>
      <c r="D860" s="65">
        <v>522441</v>
      </c>
      <c r="E860" s="65" t="s">
        <v>42</v>
      </c>
      <c r="F860" s="65" t="s">
        <v>1799</v>
      </c>
      <c r="G860" s="65" t="s">
        <v>1798</v>
      </c>
      <c r="H860" s="65" t="s">
        <v>32</v>
      </c>
      <c r="I860" s="65" t="s">
        <v>50</v>
      </c>
      <c r="J860" s="65" t="s">
        <v>5</v>
      </c>
      <c r="K860" s="65" t="s">
        <v>61</v>
      </c>
      <c r="L860" s="64" t="s">
        <v>124</v>
      </c>
      <c r="M860" s="58" t="s">
        <v>123</v>
      </c>
      <c r="N860" s="58" t="s">
        <v>2</v>
      </c>
      <c r="O860" s="58">
        <v>160</v>
      </c>
      <c r="P860" s="58">
        <v>160</v>
      </c>
      <c r="Q860" s="58">
        <v>0</v>
      </c>
      <c r="R860" s="58">
        <v>0</v>
      </c>
      <c r="S860" s="58">
        <v>0</v>
      </c>
      <c r="T860" s="58">
        <v>0</v>
      </c>
      <c r="U860" s="58">
        <v>11</v>
      </c>
      <c r="V860" s="62"/>
      <c r="W860" s="62"/>
      <c r="X860" s="63">
        <f>IFERROR(1 -(Master[[#This Row],[Avg Garment Scans per Delivery]]/Master[[#This Row],[Garment Inventory]]), 0)</f>
        <v>0</v>
      </c>
      <c r="Y860" s="62"/>
      <c r="Z860" s="62"/>
      <c r="AA860" s="53">
        <v>20.852777777777774</v>
      </c>
      <c r="AB860" s="53">
        <v>54.217222222222219</v>
      </c>
      <c r="AC860" s="53">
        <v>39.64</v>
      </c>
      <c r="AD860" s="53">
        <v>43.56</v>
      </c>
      <c r="AE860" s="53" t="str">
        <f>_xlfn.XLOOKUP(Master[[#This Row],[cu_id]],'[1]Customer Revenue'!$Q:$Q,'[1]Customer Revenue'!$K:$K, "None")</f>
        <v>None</v>
      </c>
      <c r="AF860" s="53" t="str">
        <f>_xlfn.XLOOKUP(Master[[#This Row],[cu_id]],'[1]Customer Revenue'!$Q:$Q,'[1]Customer Revenue'!$L:$L, "None")</f>
        <v>None</v>
      </c>
      <c r="AG860" s="53">
        <v>22.875624999999996</v>
      </c>
      <c r="AH860" s="53">
        <v>63.244374999999991</v>
      </c>
      <c r="AI860" s="53">
        <v>37.534999999999997</v>
      </c>
      <c r="AJ860" s="53">
        <v>41.6</v>
      </c>
      <c r="AK860" s="53" t="str">
        <f>_xlfn.XLOOKUP(Master[[#This Row],[cu_id]],'[1]Customer Revenue'!$Q:$Q,'[1]Customer Revenue'!$I:$I, "None")</f>
        <v>None</v>
      </c>
      <c r="AL860" s="53">
        <v>43.059999999999995</v>
      </c>
      <c r="AM860" s="61">
        <v>0.33333333333333331</v>
      </c>
      <c r="AN860" s="60">
        <v>0.70833333333333337</v>
      </c>
      <c r="AO860" s="60" t="s">
        <v>36</v>
      </c>
      <c r="AP860" s="60" t="s">
        <v>36</v>
      </c>
      <c r="AQ860" s="58" t="s">
        <v>0</v>
      </c>
      <c r="AR860" s="58"/>
      <c r="AS860" s="58"/>
      <c r="AT860" s="52">
        <v>0</v>
      </c>
      <c r="AU860" s="52" t="e">
        <f>IF(Master[[#This Row],[RSP StopTime override]] &lt;&gt; "",Master[[#This Row],[RSP StopTime override]],IF(Master[[#This Row],[Avg stop time helper]] &lt;&gt; 0, Master[[#This Row],[Avg stop time helper]],Average_Stop_Time))</f>
        <v>#DIV/0!</v>
      </c>
      <c r="AV860" s="21"/>
      <c r="AW860" s="20">
        <f>Master[[#This Row],[RSP StopTime override]]-Master[[#This Row],[Avg stop time helper]]</f>
        <v>0</v>
      </c>
    </row>
    <row r="861" spans="1:49" x14ac:dyDescent="0.3">
      <c r="A861" s="66" t="s">
        <v>4886</v>
      </c>
      <c r="B861" s="58">
        <v>52</v>
      </c>
      <c r="C861" s="58" t="s">
        <v>24</v>
      </c>
      <c r="D861" s="65">
        <v>523413</v>
      </c>
      <c r="E861" s="65" t="s">
        <v>1517</v>
      </c>
      <c r="F861" s="65" t="s">
        <v>1797</v>
      </c>
      <c r="G861" s="65" t="s">
        <v>1796</v>
      </c>
      <c r="H861" s="65" t="s">
        <v>32</v>
      </c>
      <c r="I861" s="65" t="s">
        <v>50</v>
      </c>
      <c r="J861" s="65" t="s">
        <v>5</v>
      </c>
      <c r="K861" s="65" t="s">
        <v>61</v>
      </c>
      <c r="L861" s="64" t="s">
        <v>67</v>
      </c>
      <c r="M861" s="58" t="s">
        <v>3</v>
      </c>
      <c r="N861" s="58" t="s">
        <v>2</v>
      </c>
      <c r="O861" s="58">
        <v>140</v>
      </c>
      <c r="P861" s="58">
        <v>140</v>
      </c>
      <c r="Q861" s="58">
        <v>0</v>
      </c>
      <c r="R861" s="58">
        <v>0</v>
      </c>
      <c r="S861" s="58">
        <v>0</v>
      </c>
      <c r="T861" s="58">
        <v>0</v>
      </c>
      <c r="U861" s="58">
        <v>52</v>
      </c>
      <c r="V861" s="62">
        <v>22</v>
      </c>
      <c r="W861" s="62">
        <v>6</v>
      </c>
      <c r="X861" s="63">
        <f>IFERROR(1 -(Master[[#This Row],[Avg Garment Scans per Delivery]]/Master[[#This Row],[Garment Inventory]]), 0)</f>
        <v>0.72727272727272729</v>
      </c>
      <c r="Y861" s="62">
        <v>2</v>
      </c>
      <c r="Z861" s="62">
        <v>22</v>
      </c>
      <c r="AA861" s="53">
        <v>49.166923076923062</v>
      </c>
      <c r="AB861" s="53">
        <v>61.213076923076919</v>
      </c>
      <c r="AC861" s="53">
        <v>41.868994082840231</v>
      </c>
      <c r="AD861" s="53">
        <v>43.82023668639053</v>
      </c>
      <c r="AE861" s="53" t="str">
        <f>_xlfn.XLOOKUP(Master[[#This Row],[cu_id]],'[1]Customer Revenue'!$Q:$Q,'[1]Customer Revenue'!$K:$K, "None")</f>
        <v>None</v>
      </c>
      <c r="AF861" s="53" t="str">
        <f>_xlfn.XLOOKUP(Master[[#This Row],[cu_id]],'[1]Customer Revenue'!$Q:$Q,'[1]Customer Revenue'!$L:$L, "None")</f>
        <v>None</v>
      </c>
      <c r="AG861" s="53">
        <v>47.126938775510183</v>
      </c>
      <c r="AH861" s="53">
        <v>66.873061224489788</v>
      </c>
      <c r="AI861" s="53">
        <v>55.189999999999991</v>
      </c>
      <c r="AJ861" s="53">
        <v>42.844615384615381</v>
      </c>
      <c r="AK861" s="53" t="str">
        <f>_xlfn.XLOOKUP(Master[[#This Row],[cu_id]],'[1]Customer Revenue'!$Q:$Q,'[1]Customer Revenue'!$I:$I, "None")</f>
        <v>None</v>
      </c>
      <c r="AL861" s="53">
        <v>56.999999999999986</v>
      </c>
      <c r="AM861" s="61">
        <v>0.33333333333333331</v>
      </c>
      <c r="AN861" s="60">
        <v>0.70833333333333337</v>
      </c>
      <c r="AO861" s="60" t="s">
        <v>36</v>
      </c>
      <c r="AP861" s="60" t="s">
        <v>36</v>
      </c>
      <c r="AQ861" s="58" t="s">
        <v>0</v>
      </c>
      <c r="AR861" s="58"/>
      <c r="AS861" s="58"/>
      <c r="AT861" s="52">
        <v>0</v>
      </c>
      <c r="AU861" s="52" t="e">
        <f>IF(Master[[#This Row],[RSP StopTime override]] &lt;&gt; "",Master[[#This Row],[RSP StopTime override]],IF(Master[[#This Row],[Avg stop time helper]] &lt;&gt; 0, Master[[#This Row],[Avg stop time helper]],Average_Stop_Time))</f>
        <v>#DIV/0!</v>
      </c>
      <c r="AV861" s="21"/>
      <c r="AW861" s="20">
        <f>Master[[#This Row],[RSP StopTime override]]-Master[[#This Row],[Avg stop time helper]]</f>
        <v>0</v>
      </c>
    </row>
    <row r="862" spans="1:49" x14ac:dyDescent="0.3">
      <c r="A862" s="66" t="s">
        <v>4887</v>
      </c>
      <c r="B862" s="58">
        <v>52</v>
      </c>
      <c r="C862" s="58" t="s">
        <v>24</v>
      </c>
      <c r="D862" s="65">
        <v>526653</v>
      </c>
      <c r="E862" s="65" t="s">
        <v>42</v>
      </c>
      <c r="F862" s="65" t="s">
        <v>1795</v>
      </c>
      <c r="G862" s="65" t="s">
        <v>1794</v>
      </c>
      <c r="H862" s="65" t="s">
        <v>32</v>
      </c>
      <c r="I862" s="65" t="s">
        <v>31</v>
      </c>
      <c r="J862" s="65" t="s">
        <v>5</v>
      </c>
      <c r="K862" s="65" t="s">
        <v>30</v>
      </c>
      <c r="L862" s="64" t="s">
        <v>91</v>
      </c>
      <c r="M862" s="58" t="s">
        <v>90</v>
      </c>
      <c r="N862" s="58" t="s">
        <v>2</v>
      </c>
      <c r="O862" s="58">
        <v>5</v>
      </c>
      <c r="P862" s="58">
        <v>5</v>
      </c>
      <c r="Q862" s="58">
        <v>0</v>
      </c>
      <c r="R862" s="58">
        <v>0</v>
      </c>
      <c r="S862" s="58">
        <v>0</v>
      </c>
      <c r="T862" s="58">
        <v>0</v>
      </c>
      <c r="U862" s="58">
        <v>21</v>
      </c>
      <c r="V862" s="62"/>
      <c r="W862" s="62"/>
      <c r="X862" s="63">
        <f>IFERROR(1 -(Master[[#This Row],[Avg Garment Scans per Delivery]]/Master[[#This Row],[Garment Inventory]]), 0)</f>
        <v>0</v>
      </c>
      <c r="Y862" s="62"/>
      <c r="Z862" s="62"/>
      <c r="AA862" s="53">
        <v>22.884444444444444</v>
      </c>
      <c r="AB862" s="53">
        <v>23.808888888888884</v>
      </c>
      <c r="AC862" s="53">
        <v>17.703111111111113</v>
      </c>
      <c r="AD862" s="53">
        <v>31.320888888888888</v>
      </c>
      <c r="AE862" s="53" t="str">
        <f>_xlfn.XLOOKUP(Master[[#This Row],[cu_id]],'[1]Customer Revenue'!$Q:$Q,'[1]Customer Revenue'!$K:$K, "None")</f>
        <v>None</v>
      </c>
      <c r="AF862" s="53" t="str">
        <f>_xlfn.XLOOKUP(Master[[#This Row],[cu_id]],'[1]Customer Revenue'!$Q:$Q,'[1]Customer Revenue'!$L:$L, "None")</f>
        <v>None</v>
      </c>
      <c r="AG862" s="53">
        <v>15.38051948051948</v>
      </c>
      <c r="AH862" s="53">
        <v>30.997662337662334</v>
      </c>
      <c r="AI862" s="53">
        <v>23.346666666666664</v>
      </c>
      <c r="AJ862" s="53">
        <v>24.512</v>
      </c>
      <c r="AK862" s="53" t="str">
        <f>_xlfn.XLOOKUP(Master[[#This Row],[cu_id]],'[1]Customer Revenue'!$Q:$Q,'[1]Customer Revenue'!$I:$I, "None")</f>
        <v>None</v>
      </c>
      <c r="AL862" s="53">
        <v>23.189090909090908</v>
      </c>
      <c r="AM862" s="61">
        <v>0.29166666666666669</v>
      </c>
      <c r="AN862" s="60">
        <v>0.70833333333333337</v>
      </c>
      <c r="AO862" s="60" t="s">
        <v>36</v>
      </c>
      <c r="AP862" s="60" t="s">
        <v>36</v>
      </c>
      <c r="AQ862" s="58" t="s">
        <v>0</v>
      </c>
      <c r="AR862" s="58"/>
      <c r="AS862" s="58"/>
      <c r="AT862" s="52">
        <v>0</v>
      </c>
      <c r="AU862" s="52" t="e">
        <f>IF(Master[[#This Row],[RSP StopTime override]] &lt;&gt; "",Master[[#This Row],[RSP StopTime override]],IF(Master[[#This Row],[Avg stop time helper]] &lt;&gt; 0, Master[[#This Row],[Avg stop time helper]],Average_Stop_Time))</f>
        <v>#DIV/0!</v>
      </c>
      <c r="AV862" s="21"/>
      <c r="AW862" s="20">
        <f>Master[[#This Row],[RSP StopTime override]]-Master[[#This Row],[Avg stop time helper]]</f>
        <v>0</v>
      </c>
    </row>
    <row r="863" spans="1:49" x14ac:dyDescent="0.3">
      <c r="A863" s="66" t="s">
        <v>4888</v>
      </c>
      <c r="B863" s="58">
        <v>52</v>
      </c>
      <c r="C863" s="58" t="s">
        <v>24</v>
      </c>
      <c r="D863" s="65">
        <v>526840</v>
      </c>
      <c r="E863" s="65" t="s">
        <v>42</v>
      </c>
      <c r="F863" s="65" t="s">
        <v>3711</v>
      </c>
      <c r="G863" s="65" t="s">
        <v>1793</v>
      </c>
      <c r="H863" s="65" t="s">
        <v>32</v>
      </c>
      <c r="I863" s="65" t="s">
        <v>50</v>
      </c>
      <c r="J863" s="65" t="s">
        <v>5</v>
      </c>
      <c r="K863" s="65" t="s">
        <v>61</v>
      </c>
      <c r="L863" s="64" t="s">
        <v>77</v>
      </c>
      <c r="M863" s="58" t="s">
        <v>29</v>
      </c>
      <c r="N863" s="58" t="s">
        <v>2</v>
      </c>
      <c r="O863" s="58">
        <v>125</v>
      </c>
      <c r="P863" s="58">
        <v>125</v>
      </c>
      <c r="Q863" s="58">
        <v>0</v>
      </c>
      <c r="R863" s="58">
        <v>0</v>
      </c>
      <c r="S863" s="58">
        <v>0</v>
      </c>
      <c r="T863" s="58">
        <v>0</v>
      </c>
      <c r="U863" s="58">
        <v>25</v>
      </c>
      <c r="V863" s="62"/>
      <c r="W863" s="62"/>
      <c r="X863" s="63">
        <f>IFERROR(1 -(Master[[#This Row],[Avg Garment Scans per Delivery]]/Master[[#This Row],[Garment Inventory]]), 0)</f>
        <v>0</v>
      </c>
      <c r="Y863" s="62"/>
      <c r="Z863" s="62"/>
      <c r="AA863" s="53">
        <v>48.296666666666667</v>
      </c>
      <c r="AB863" s="53">
        <v>65.713333333333324</v>
      </c>
      <c r="AC863" s="53">
        <v>57.091224489795913</v>
      </c>
      <c r="AD863" s="53">
        <v>58.683061224489784</v>
      </c>
      <c r="AE863" s="53" t="str">
        <f>_xlfn.XLOOKUP(Master[[#This Row],[cu_id]],'[1]Customer Revenue'!$Q:$Q,'[1]Customer Revenue'!$K:$K, "None")</f>
        <v>None</v>
      </c>
      <c r="AF863" s="53" t="str">
        <f>_xlfn.XLOOKUP(Master[[#This Row],[cu_id]],'[1]Customer Revenue'!$Q:$Q,'[1]Customer Revenue'!$L:$L, "None")</f>
        <v>None</v>
      </c>
      <c r="AG863" s="53">
        <v>49.459881656804733</v>
      </c>
      <c r="AH863" s="53">
        <v>58.438579881656814</v>
      </c>
      <c r="AI863" s="53">
        <v>57.004999999999995</v>
      </c>
      <c r="AJ863" s="53">
        <v>57.887142857142848</v>
      </c>
      <c r="AK863" s="53" t="str">
        <f>_xlfn.XLOOKUP(Master[[#This Row],[cu_id]],'[1]Customer Revenue'!$Q:$Q,'[1]Customer Revenue'!$I:$I, "None")</f>
        <v>None</v>
      </c>
      <c r="AL863" s="53">
        <v>53.949230769230773</v>
      </c>
      <c r="AM863" s="61">
        <v>0.375</v>
      </c>
      <c r="AN863" s="60">
        <v>0.70833333333333337</v>
      </c>
      <c r="AO863" s="60" t="s">
        <v>36</v>
      </c>
      <c r="AP863" s="60" t="s">
        <v>36</v>
      </c>
      <c r="AQ863" s="58" t="s">
        <v>0</v>
      </c>
      <c r="AR863" s="58"/>
      <c r="AS863" s="58"/>
      <c r="AT863" s="52">
        <v>0</v>
      </c>
      <c r="AU863" s="52" t="e">
        <f>IF(Master[[#This Row],[RSP StopTime override]] &lt;&gt; "",Master[[#This Row],[RSP StopTime override]],IF(Master[[#This Row],[Avg stop time helper]] &lt;&gt; 0, Master[[#This Row],[Avg stop time helper]],Average_Stop_Time))</f>
        <v>#DIV/0!</v>
      </c>
      <c r="AV863" s="21"/>
      <c r="AW863" s="20">
        <f>Master[[#This Row],[RSP StopTime override]]-Master[[#This Row],[Avg stop time helper]]</f>
        <v>0</v>
      </c>
    </row>
    <row r="864" spans="1:49" x14ac:dyDescent="0.3">
      <c r="A864" s="66" t="s">
        <v>4889</v>
      </c>
      <c r="B864" s="58">
        <v>52</v>
      </c>
      <c r="C864" s="58" t="s">
        <v>24</v>
      </c>
      <c r="D864" s="65">
        <v>527167</v>
      </c>
      <c r="E864" s="65" t="s">
        <v>42</v>
      </c>
      <c r="F864" s="65" t="s">
        <v>1792</v>
      </c>
      <c r="G864" s="65" t="s">
        <v>1791</v>
      </c>
      <c r="H864" s="65" t="s">
        <v>32</v>
      </c>
      <c r="I864" s="65" t="s">
        <v>50</v>
      </c>
      <c r="J864" s="65" t="s">
        <v>5</v>
      </c>
      <c r="K864" s="65" t="s">
        <v>61</v>
      </c>
      <c r="L864" s="64" t="s">
        <v>67</v>
      </c>
      <c r="M864" s="58" t="s">
        <v>3</v>
      </c>
      <c r="N864" s="58" t="s">
        <v>2</v>
      </c>
      <c r="O864" s="58">
        <v>15</v>
      </c>
      <c r="P864" s="58">
        <v>15</v>
      </c>
      <c r="Q864" s="58">
        <v>0</v>
      </c>
      <c r="R864" s="58">
        <v>0</v>
      </c>
      <c r="S864" s="58">
        <v>0</v>
      </c>
      <c r="T864" s="58">
        <v>0</v>
      </c>
      <c r="U864" s="58">
        <v>52</v>
      </c>
      <c r="V864" s="62">
        <v>29</v>
      </c>
      <c r="W864" s="62">
        <v>2</v>
      </c>
      <c r="X864" s="63">
        <f>IFERROR(1 -(Master[[#This Row],[Avg Garment Scans per Delivery]]/Master[[#This Row],[Garment Inventory]]), 0)</f>
        <v>0.93103448275862066</v>
      </c>
      <c r="Y864" s="62">
        <v>3</v>
      </c>
      <c r="Z864" s="62">
        <v>31</v>
      </c>
      <c r="AA864" s="53">
        <v>61.308461538461543</v>
      </c>
      <c r="AB864" s="53">
        <v>68.231538461538449</v>
      </c>
      <c r="AC864" s="53">
        <v>64.483609467455622</v>
      </c>
      <c r="AD864" s="53">
        <v>66.545621301775142</v>
      </c>
      <c r="AE864" s="53" t="str">
        <f>_xlfn.XLOOKUP(Master[[#This Row],[cu_id]],'[1]Customer Revenue'!$Q:$Q,'[1]Customer Revenue'!$K:$K, "None")</f>
        <v>None</v>
      </c>
      <c r="AF864" s="53" t="str">
        <f>_xlfn.XLOOKUP(Master[[#This Row],[cu_id]],'[1]Customer Revenue'!$Q:$Q,'[1]Customer Revenue'!$L:$L, "None")</f>
        <v>None</v>
      </c>
      <c r="AG864" s="53">
        <v>61.654615384615383</v>
      </c>
      <c r="AH864" s="53">
        <v>65.635384615384595</v>
      </c>
      <c r="AI864" s="53">
        <v>64.77</v>
      </c>
      <c r="AJ864" s="53">
        <v>65.514615384615382</v>
      </c>
      <c r="AK864" s="53" t="str">
        <f>_xlfn.XLOOKUP(Master[[#This Row],[cu_id]],'[1]Customer Revenue'!$Q:$Q,'[1]Customer Revenue'!$I:$I, "None")</f>
        <v>None</v>
      </c>
      <c r="AL864" s="53">
        <v>63.644999999999989</v>
      </c>
      <c r="AM864" s="61">
        <v>0.375</v>
      </c>
      <c r="AN864" s="60">
        <v>0.70833333333333337</v>
      </c>
      <c r="AO864" s="60" t="s">
        <v>36</v>
      </c>
      <c r="AP864" s="60" t="s">
        <v>36</v>
      </c>
      <c r="AQ864" s="58" t="s">
        <v>0</v>
      </c>
      <c r="AR864" s="58"/>
      <c r="AS864" s="58"/>
      <c r="AT864" s="52">
        <v>0</v>
      </c>
      <c r="AU864" s="52" t="e">
        <f>IF(Master[[#This Row],[RSP StopTime override]] &lt;&gt; "",Master[[#This Row],[RSP StopTime override]],IF(Master[[#This Row],[Avg stop time helper]] &lt;&gt; 0, Master[[#This Row],[Avg stop time helper]],Average_Stop_Time))</f>
        <v>#DIV/0!</v>
      </c>
      <c r="AV864" s="21"/>
      <c r="AW864" s="20">
        <f>Master[[#This Row],[RSP StopTime override]]-Master[[#This Row],[Avg stop time helper]]</f>
        <v>0</v>
      </c>
    </row>
    <row r="865" spans="1:49" x14ac:dyDescent="0.3">
      <c r="A865" s="66" t="s">
        <v>4890</v>
      </c>
      <c r="B865" s="58">
        <v>52</v>
      </c>
      <c r="C865" s="58" t="s">
        <v>24</v>
      </c>
      <c r="D865" s="65">
        <v>527970</v>
      </c>
      <c r="E865" s="65" t="s">
        <v>42</v>
      </c>
      <c r="F865" s="65" t="s">
        <v>1790</v>
      </c>
      <c r="G865" s="65" t="s">
        <v>1789</v>
      </c>
      <c r="H865" s="65" t="s">
        <v>32</v>
      </c>
      <c r="I865" s="65" t="s">
        <v>50</v>
      </c>
      <c r="J865" s="65" t="s">
        <v>5</v>
      </c>
      <c r="K865" s="65" t="s">
        <v>61</v>
      </c>
      <c r="L865" s="64" t="s">
        <v>77</v>
      </c>
      <c r="M865" s="58" t="s">
        <v>29</v>
      </c>
      <c r="N865" s="58" t="s">
        <v>2</v>
      </c>
      <c r="O865" s="58">
        <v>150</v>
      </c>
      <c r="P865" s="58">
        <v>150</v>
      </c>
      <c r="Q865" s="58">
        <v>0</v>
      </c>
      <c r="R865" s="58">
        <v>0</v>
      </c>
      <c r="S865" s="58">
        <v>0</v>
      </c>
      <c r="T865" s="58">
        <v>0</v>
      </c>
      <c r="U865" s="58">
        <v>26</v>
      </c>
      <c r="V865" s="62"/>
      <c r="W865" s="62"/>
      <c r="X865" s="63">
        <f>IFERROR(1 -(Master[[#This Row],[Avg Garment Scans per Delivery]]/Master[[#This Row],[Garment Inventory]]), 0)</f>
        <v>0</v>
      </c>
      <c r="Y865" s="62"/>
      <c r="Z865" s="62"/>
      <c r="AA865" s="53">
        <v>60.088333333333331</v>
      </c>
      <c r="AB865" s="53">
        <v>97.061666666666667</v>
      </c>
      <c r="AC865" s="53">
        <v>68.755714285714291</v>
      </c>
      <c r="AD865" s="53">
        <v>73.544285714285721</v>
      </c>
      <c r="AE865" s="53" t="str">
        <f>_xlfn.XLOOKUP(Master[[#This Row],[cu_id]],'[1]Customer Revenue'!$Q:$Q,'[1]Customer Revenue'!$K:$K, "None")</f>
        <v>None</v>
      </c>
      <c r="AF865" s="53" t="str">
        <f>_xlfn.XLOOKUP(Master[[#This Row],[cu_id]],'[1]Customer Revenue'!$Q:$Q,'[1]Customer Revenue'!$L:$L, "None")</f>
        <v>None</v>
      </c>
      <c r="AG865" s="53">
        <v>59.73213017751479</v>
      </c>
      <c r="AH865" s="53">
        <v>88.177100591715998</v>
      </c>
      <c r="AI865" s="53">
        <v>78.575000000000003</v>
      </c>
      <c r="AJ865" s="53">
        <v>71.150000000000006</v>
      </c>
      <c r="AK865" s="53" t="str">
        <f>_xlfn.XLOOKUP(Master[[#This Row],[cu_id]],'[1]Customer Revenue'!$Q:$Q,'[1]Customer Revenue'!$I:$I, "None")</f>
        <v>None</v>
      </c>
      <c r="AL865" s="53">
        <v>73.954615384615394</v>
      </c>
      <c r="AM865" s="61">
        <v>0.45833333333333331</v>
      </c>
      <c r="AN865" s="60">
        <v>0.70833333333333337</v>
      </c>
      <c r="AO865" s="60" t="s">
        <v>36</v>
      </c>
      <c r="AP865" s="60" t="s">
        <v>36</v>
      </c>
      <c r="AQ865" s="58" t="s">
        <v>0</v>
      </c>
      <c r="AR865" s="58"/>
      <c r="AS865" s="58"/>
      <c r="AT865" s="52">
        <v>0</v>
      </c>
      <c r="AU865" s="52" t="e">
        <f>IF(Master[[#This Row],[RSP StopTime override]] &lt;&gt; "",Master[[#This Row],[RSP StopTime override]],IF(Master[[#This Row],[Avg stop time helper]] &lt;&gt; 0, Master[[#This Row],[Avg stop time helper]],Average_Stop_Time))</f>
        <v>#DIV/0!</v>
      </c>
      <c r="AV865" s="21"/>
      <c r="AW865" s="20">
        <f>Master[[#This Row],[RSP StopTime override]]-Master[[#This Row],[Avg stop time helper]]</f>
        <v>0</v>
      </c>
    </row>
    <row r="866" spans="1:49" x14ac:dyDescent="0.3">
      <c r="A866" s="66" t="s">
        <v>4891</v>
      </c>
      <c r="B866" s="58">
        <v>52</v>
      </c>
      <c r="C866" s="58" t="s">
        <v>24</v>
      </c>
      <c r="D866" s="65">
        <v>528235</v>
      </c>
      <c r="E866" s="65" t="s">
        <v>42</v>
      </c>
      <c r="F866" s="65" t="s">
        <v>1788</v>
      </c>
      <c r="G866" s="65" t="s">
        <v>1787</v>
      </c>
      <c r="H866" s="65" t="s">
        <v>32</v>
      </c>
      <c r="I866" s="65" t="s">
        <v>50</v>
      </c>
      <c r="J866" s="65" t="s">
        <v>5</v>
      </c>
      <c r="K866" s="65" t="s">
        <v>61</v>
      </c>
      <c r="L866" s="64" t="s">
        <v>67</v>
      </c>
      <c r="M866" s="58" t="s">
        <v>3</v>
      </c>
      <c r="N866" s="58" t="s">
        <v>2</v>
      </c>
      <c r="O866" s="58">
        <v>20</v>
      </c>
      <c r="P866" s="58">
        <v>20</v>
      </c>
      <c r="Q866" s="58">
        <v>0</v>
      </c>
      <c r="R866" s="58">
        <v>0</v>
      </c>
      <c r="S866" s="58">
        <v>0</v>
      </c>
      <c r="T866" s="58">
        <v>0</v>
      </c>
      <c r="U866" s="58">
        <v>53</v>
      </c>
      <c r="V866" s="62"/>
      <c r="W866" s="62"/>
      <c r="X866" s="63">
        <f>IFERROR(1 -(Master[[#This Row],[Avg Garment Scans per Delivery]]/Master[[#This Row],[Garment Inventory]]), 0)</f>
        <v>0</v>
      </c>
      <c r="Y866" s="62"/>
      <c r="Z866" s="62"/>
      <c r="AA866" s="53">
        <v>75.617218934911236</v>
      </c>
      <c r="AB866" s="53">
        <v>77.445857988165685</v>
      </c>
      <c r="AC866" s="53">
        <v>78.434378698224847</v>
      </c>
      <c r="AD866" s="53">
        <v>78.834852071005926</v>
      </c>
      <c r="AE866" s="53" t="str">
        <f>_xlfn.XLOOKUP(Master[[#This Row],[cu_id]],'[1]Customer Revenue'!$Q:$Q,'[1]Customer Revenue'!$K:$K, "None")</f>
        <v>None</v>
      </c>
      <c r="AF866" s="53" t="str">
        <f>_xlfn.XLOOKUP(Master[[#This Row],[cu_id]],'[1]Customer Revenue'!$Q:$Q,'[1]Customer Revenue'!$L:$L, "None")</f>
        <v>None</v>
      </c>
      <c r="AG866" s="53">
        <v>69.128461538461536</v>
      </c>
      <c r="AH866" s="53">
        <v>76.53153846153846</v>
      </c>
      <c r="AI866" s="53">
        <v>76.53153846153846</v>
      </c>
      <c r="AJ866" s="53">
        <v>78.634615384615387</v>
      </c>
      <c r="AK866" s="53" t="str">
        <f>_xlfn.XLOOKUP(Master[[#This Row],[cu_id]],'[1]Customer Revenue'!$Q:$Q,'[1]Customer Revenue'!$I:$I, "None")</f>
        <v>None</v>
      </c>
      <c r="AL866" s="53">
        <v>72.83</v>
      </c>
      <c r="AM866" s="61">
        <v>0.29166666666666669</v>
      </c>
      <c r="AN866" s="60">
        <v>0.70833333333333337</v>
      </c>
      <c r="AO866" s="60" t="s">
        <v>36</v>
      </c>
      <c r="AP866" s="60" t="s">
        <v>36</v>
      </c>
      <c r="AQ866" s="58" t="s">
        <v>0</v>
      </c>
      <c r="AR866" s="58"/>
      <c r="AS866" s="58"/>
      <c r="AT866" s="52">
        <v>0</v>
      </c>
      <c r="AU866" s="52" t="e">
        <f>IF(Master[[#This Row],[RSP StopTime override]] &lt;&gt; "",Master[[#This Row],[RSP StopTime override]],IF(Master[[#This Row],[Avg stop time helper]] &lt;&gt; 0, Master[[#This Row],[Avg stop time helper]],Average_Stop_Time))</f>
        <v>#DIV/0!</v>
      </c>
      <c r="AV866" s="21"/>
      <c r="AW866" s="20">
        <f>Master[[#This Row],[RSP StopTime override]]-Master[[#This Row],[Avg stop time helper]]</f>
        <v>0</v>
      </c>
    </row>
    <row r="867" spans="1:49" x14ac:dyDescent="0.3">
      <c r="A867" s="66" t="s">
        <v>4892</v>
      </c>
      <c r="B867" s="58">
        <v>52</v>
      </c>
      <c r="C867" s="58" t="s">
        <v>24</v>
      </c>
      <c r="D867" s="65">
        <v>530559</v>
      </c>
      <c r="E867" s="65" t="s">
        <v>42</v>
      </c>
      <c r="F867" s="65" t="s">
        <v>1786</v>
      </c>
      <c r="G867" s="65" t="s">
        <v>1785</v>
      </c>
      <c r="H867" s="65" t="s">
        <v>7</v>
      </c>
      <c r="I867" s="65" t="s">
        <v>12</v>
      </c>
      <c r="J867" s="65" t="s">
        <v>5</v>
      </c>
      <c r="K867" s="65" t="s">
        <v>61</v>
      </c>
      <c r="L867" s="64" t="s">
        <v>67</v>
      </c>
      <c r="M867" s="58" t="s">
        <v>3</v>
      </c>
      <c r="N867" s="58" t="s">
        <v>2</v>
      </c>
      <c r="O867" s="58">
        <v>130</v>
      </c>
      <c r="P867" s="58">
        <v>130</v>
      </c>
      <c r="Q867" s="58">
        <v>0</v>
      </c>
      <c r="R867" s="58">
        <v>0</v>
      </c>
      <c r="S867" s="58">
        <v>0</v>
      </c>
      <c r="T867" s="58">
        <v>0</v>
      </c>
      <c r="U867" s="58">
        <v>52</v>
      </c>
      <c r="V867" s="62"/>
      <c r="W867" s="62"/>
      <c r="X867" s="63">
        <f>IFERROR(1 -(Master[[#This Row],[Avg Garment Scans per Delivery]]/Master[[#This Row],[Garment Inventory]]), 0)</f>
        <v>0</v>
      </c>
      <c r="Y867" s="62"/>
      <c r="Z867" s="62"/>
      <c r="AA867" s="53">
        <v>59.299861111111106</v>
      </c>
      <c r="AB867" s="53">
        <v>78.368472222222209</v>
      </c>
      <c r="AC867" s="53">
        <v>65.363254437869813</v>
      </c>
      <c r="AD867" s="53">
        <v>89.829053254437866</v>
      </c>
      <c r="AE867" s="53" t="str">
        <f>_xlfn.XLOOKUP(Master[[#This Row],[cu_id]],'[1]Customer Revenue'!$Q:$Q,'[1]Customer Revenue'!$K:$K, "None")</f>
        <v>None</v>
      </c>
      <c r="AF867" s="53" t="str">
        <f>_xlfn.XLOOKUP(Master[[#This Row],[cu_id]],'[1]Customer Revenue'!$Q:$Q,'[1]Customer Revenue'!$L:$L, "None")</f>
        <v>None</v>
      </c>
      <c r="AG867" s="53">
        <v>60.992463999999998</v>
      </c>
      <c r="AH867" s="53">
        <v>70.629135999999974</v>
      </c>
      <c r="AI867" s="53">
        <v>68.834166666666661</v>
      </c>
      <c r="AJ867" s="53">
        <v>77.59615384615384</v>
      </c>
      <c r="AK867" s="53" t="str">
        <f>_xlfn.XLOOKUP(Master[[#This Row],[cu_id]],'[1]Customer Revenue'!$Q:$Q,'[1]Customer Revenue'!$I:$I, "None")</f>
        <v>None</v>
      </c>
      <c r="AL867" s="53">
        <v>65.810799999999986</v>
      </c>
      <c r="AM867" s="61">
        <v>0.375</v>
      </c>
      <c r="AN867" s="60">
        <v>0.70833333333333337</v>
      </c>
      <c r="AO867" s="60" t="s">
        <v>36</v>
      </c>
      <c r="AP867" s="60" t="s">
        <v>36</v>
      </c>
      <c r="AQ867" s="58" t="s">
        <v>0</v>
      </c>
      <c r="AR867" s="58"/>
      <c r="AS867" s="58"/>
      <c r="AT867" s="52">
        <v>0</v>
      </c>
      <c r="AU867" s="52" t="e">
        <f>IF(Master[[#This Row],[RSP StopTime override]] &lt;&gt; "",Master[[#This Row],[RSP StopTime override]],IF(Master[[#This Row],[Avg stop time helper]] &lt;&gt; 0, Master[[#This Row],[Avg stop time helper]],Average_Stop_Time))</f>
        <v>#DIV/0!</v>
      </c>
      <c r="AV867" s="21"/>
      <c r="AW867" s="20">
        <f>Master[[#This Row],[RSP StopTime override]]-Master[[#This Row],[Avg stop time helper]]</f>
        <v>0</v>
      </c>
    </row>
    <row r="868" spans="1:49" x14ac:dyDescent="0.3">
      <c r="A868" s="66" t="s">
        <v>4893</v>
      </c>
      <c r="B868" s="58">
        <v>52</v>
      </c>
      <c r="C868" s="58" t="s">
        <v>24</v>
      </c>
      <c r="D868" s="65">
        <v>530880</v>
      </c>
      <c r="E868" s="65" t="s">
        <v>42</v>
      </c>
      <c r="F868" s="65" t="s">
        <v>1784</v>
      </c>
      <c r="G868" s="65" t="s">
        <v>1783</v>
      </c>
      <c r="H868" s="65" t="s">
        <v>7</v>
      </c>
      <c r="I868" s="65" t="s">
        <v>12</v>
      </c>
      <c r="J868" s="65" t="s">
        <v>5</v>
      </c>
      <c r="K868" s="65" t="s">
        <v>11</v>
      </c>
      <c r="L868" s="64" t="s">
        <v>67</v>
      </c>
      <c r="M868" s="58" t="s">
        <v>3</v>
      </c>
      <c r="N868" s="58" t="s">
        <v>2</v>
      </c>
      <c r="O868" s="58">
        <v>65</v>
      </c>
      <c r="P868" s="58">
        <v>65</v>
      </c>
      <c r="Q868" s="58">
        <v>0</v>
      </c>
      <c r="R868" s="58">
        <v>0</v>
      </c>
      <c r="S868" s="58">
        <v>0</v>
      </c>
      <c r="T868" s="58">
        <v>0</v>
      </c>
      <c r="U868" s="58">
        <v>52</v>
      </c>
      <c r="V868" s="62">
        <v>56</v>
      </c>
      <c r="W868" s="62">
        <v>18</v>
      </c>
      <c r="X868" s="63">
        <f>IFERROR(1 -(Master[[#This Row],[Avg Garment Scans per Delivery]]/Master[[#This Row],[Garment Inventory]]), 0)</f>
        <v>0.6785714285714286</v>
      </c>
      <c r="Y868" s="62">
        <v>3</v>
      </c>
      <c r="Z868" s="62">
        <v>62</v>
      </c>
      <c r="AA868" s="53">
        <v>63.304201183431942</v>
      </c>
      <c r="AB868" s="53">
        <v>74.749644970414195</v>
      </c>
      <c r="AC868" s="53">
        <v>46.64881656804733</v>
      </c>
      <c r="AD868" s="53">
        <v>62.091183431952665</v>
      </c>
      <c r="AE868" s="53" t="str">
        <f>_xlfn.XLOOKUP(Master[[#This Row],[cu_id]],'[1]Customer Revenue'!$Q:$Q,'[1]Customer Revenue'!$K:$K, "None")</f>
        <v>None</v>
      </c>
      <c r="AF868" s="53" t="str">
        <f>_xlfn.XLOOKUP(Master[[#This Row],[cu_id]],'[1]Customer Revenue'!$Q:$Q,'[1]Customer Revenue'!$L:$L, "None")</f>
        <v>None</v>
      </c>
      <c r="AG868" s="53">
        <v>59.866165620094208</v>
      </c>
      <c r="AH868" s="53">
        <v>82.3207574568289</v>
      </c>
      <c r="AI868" s="53">
        <v>69.026923076923069</v>
      </c>
      <c r="AJ868" s="53">
        <v>54.37</v>
      </c>
      <c r="AK868" s="53" t="str">
        <f>_xlfn.XLOOKUP(Master[[#This Row],[cu_id]],'[1]Customer Revenue'!$Q:$Q,'[1]Customer Revenue'!$I:$I, "None")</f>
        <v>None</v>
      </c>
      <c r="AL868" s="53">
        <v>71.093461538461554</v>
      </c>
      <c r="AM868" s="61">
        <v>0.33333333333333331</v>
      </c>
      <c r="AN868" s="60">
        <v>0.70833333333333337</v>
      </c>
      <c r="AO868" s="60" t="s">
        <v>36</v>
      </c>
      <c r="AP868" s="60" t="s">
        <v>36</v>
      </c>
      <c r="AQ868" s="58" t="s">
        <v>0</v>
      </c>
      <c r="AR868" s="58"/>
      <c r="AS868" s="58"/>
      <c r="AT868" s="52">
        <v>0</v>
      </c>
      <c r="AU868" s="52" t="e">
        <f>IF(Master[[#This Row],[RSP StopTime override]] &lt;&gt; "",Master[[#This Row],[RSP StopTime override]],IF(Master[[#This Row],[Avg stop time helper]] &lt;&gt; 0, Master[[#This Row],[Avg stop time helper]],Average_Stop_Time))</f>
        <v>#DIV/0!</v>
      </c>
      <c r="AV868" s="21"/>
      <c r="AW868" s="20">
        <f>Master[[#This Row],[RSP StopTime override]]-Master[[#This Row],[Avg stop time helper]]</f>
        <v>0</v>
      </c>
    </row>
    <row r="869" spans="1:49" x14ac:dyDescent="0.3">
      <c r="A869" s="66" t="s">
        <v>4894</v>
      </c>
      <c r="B869" s="58">
        <v>52</v>
      </c>
      <c r="C869" s="58" t="s">
        <v>24</v>
      </c>
      <c r="D869" s="65">
        <v>530965</v>
      </c>
      <c r="E869" s="65" t="s">
        <v>42</v>
      </c>
      <c r="F869" s="65" t="s">
        <v>1782</v>
      </c>
      <c r="G869" s="65" t="s">
        <v>1778</v>
      </c>
      <c r="H869" s="65" t="s">
        <v>7</v>
      </c>
      <c r="I869" s="65" t="s">
        <v>12</v>
      </c>
      <c r="J869" s="65" t="s">
        <v>5</v>
      </c>
      <c r="K869" s="65" t="s">
        <v>11</v>
      </c>
      <c r="L869" s="64" t="s">
        <v>67</v>
      </c>
      <c r="M869" s="58" t="s">
        <v>3</v>
      </c>
      <c r="N869" s="58" t="s">
        <v>2</v>
      </c>
      <c r="O869" s="58">
        <v>40</v>
      </c>
      <c r="P869" s="58">
        <v>40</v>
      </c>
      <c r="Q869" s="58">
        <v>0</v>
      </c>
      <c r="R869" s="58">
        <v>0</v>
      </c>
      <c r="S869" s="58">
        <v>0</v>
      </c>
      <c r="T869" s="58">
        <v>0</v>
      </c>
      <c r="U869" s="58">
        <v>98</v>
      </c>
      <c r="V869" s="62"/>
      <c r="W869" s="62"/>
      <c r="X869" s="63">
        <f>IFERROR(1 -(Master[[#This Row],[Avg Garment Scans per Delivery]]/Master[[#This Row],[Garment Inventory]]), 0)</f>
        <v>0</v>
      </c>
      <c r="Y869" s="62"/>
      <c r="Z869" s="62"/>
      <c r="AA869" s="53">
        <v>275.67408284023674</v>
      </c>
      <c r="AB869" s="53">
        <v>584.59668639053257</v>
      </c>
      <c r="AC869" s="53">
        <v>305.43854003139722</v>
      </c>
      <c r="AD869" s="53">
        <v>766.5691522762952</v>
      </c>
      <c r="AE869" s="53" t="str">
        <f>_xlfn.XLOOKUP(Master[[#This Row],[cu_id]],'[1]Customer Revenue'!$Q:$Q,'[1]Customer Revenue'!$K:$K, "None")</f>
        <v>None</v>
      </c>
      <c r="AF869" s="53" t="str">
        <f>_xlfn.XLOOKUP(Master[[#This Row],[cu_id]],'[1]Customer Revenue'!$Q:$Q,'[1]Customer Revenue'!$L:$L, "None")</f>
        <v>None</v>
      </c>
      <c r="AG869" s="53">
        <v>243.78165680473359</v>
      </c>
      <c r="AH869" s="53">
        <v>583.59680473372782</v>
      </c>
      <c r="AI869" s="53">
        <v>430.13538461538462</v>
      </c>
      <c r="AJ869" s="53">
        <v>536.00384615384621</v>
      </c>
      <c r="AK869" s="53" t="str">
        <f>_xlfn.XLOOKUP(Master[[#This Row],[cu_id]],'[1]Customer Revenue'!$Q:$Q,'[1]Customer Revenue'!$I:$I, "None")</f>
        <v>None</v>
      </c>
      <c r="AL869" s="53">
        <v>413.68923076923068</v>
      </c>
      <c r="AM869" s="61">
        <v>0.25</v>
      </c>
      <c r="AN869" s="60">
        <v>0.70833333333333337</v>
      </c>
      <c r="AO869" s="60" t="s">
        <v>36</v>
      </c>
      <c r="AP869" s="60" t="s">
        <v>36</v>
      </c>
      <c r="AQ869" s="58" t="s">
        <v>0</v>
      </c>
      <c r="AR869" s="58"/>
      <c r="AS869" s="58"/>
      <c r="AT869" s="52">
        <v>0</v>
      </c>
      <c r="AU869" s="52" t="e">
        <f>IF(Master[[#This Row],[RSP StopTime override]] &lt;&gt; "",Master[[#This Row],[RSP StopTime override]],IF(Master[[#This Row],[Avg stop time helper]] &lt;&gt; 0, Master[[#This Row],[Avg stop time helper]],Average_Stop_Time))</f>
        <v>#DIV/0!</v>
      </c>
      <c r="AV869" s="21"/>
      <c r="AW869" s="20">
        <f>Master[[#This Row],[RSP StopTime override]]-Master[[#This Row],[Avg stop time helper]]</f>
        <v>0</v>
      </c>
    </row>
    <row r="870" spans="1:49" x14ac:dyDescent="0.3">
      <c r="A870" s="66" t="s">
        <v>4895</v>
      </c>
      <c r="B870" s="58">
        <v>52</v>
      </c>
      <c r="C870" s="58" t="s">
        <v>24</v>
      </c>
      <c r="D870" s="65">
        <v>530965</v>
      </c>
      <c r="E870" s="65" t="s">
        <v>686</v>
      </c>
      <c r="F870" s="65" t="s">
        <v>1781</v>
      </c>
      <c r="G870" s="65" t="s">
        <v>1780</v>
      </c>
      <c r="H870" s="65" t="s">
        <v>7</v>
      </c>
      <c r="I870" s="65" t="s">
        <v>12</v>
      </c>
      <c r="J870" s="65" t="s">
        <v>5</v>
      </c>
      <c r="K870" s="65" t="s">
        <v>11</v>
      </c>
      <c r="L870" s="64" t="s">
        <v>67</v>
      </c>
      <c r="M870" s="58" t="s">
        <v>3</v>
      </c>
      <c r="N870" s="58" t="s">
        <v>2</v>
      </c>
      <c r="O870" s="58">
        <v>40</v>
      </c>
      <c r="P870" s="58">
        <v>40</v>
      </c>
      <c r="Q870" s="58">
        <v>0</v>
      </c>
      <c r="R870" s="58">
        <v>0</v>
      </c>
      <c r="S870" s="58">
        <v>0</v>
      </c>
      <c r="T870" s="58">
        <v>0</v>
      </c>
      <c r="U870" s="58">
        <v>94</v>
      </c>
      <c r="V870" s="62"/>
      <c r="W870" s="62"/>
      <c r="X870" s="63">
        <f>IFERROR(1 -(Master[[#This Row],[Avg Garment Scans per Delivery]]/Master[[#This Row],[Garment Inventory]]), 0)</f>
        <v>0</v>
      </c>
      <c r="Y870" s="62"/>
      <c r="Z870" s="62"/>
      <c r="AA870" s="53">
        <v>133.80449704142012</v>
      </c>
      <c r="AB870" s="53">
        <v>441.30319526627221</v>
      </c>
      <c r="AC870" s="53">
        <v>137.9879591836735</v>
      </c>
      <c r="AD870" s="53">
        <v>586.95204081632653</v>
      </c>
      <c r="AE870" s="53" t="str">
        <f>_xlfn.XLOOKUP(Master[[#This Row],[cu_id]],'[1]Customer Revenue'!$Q:$Q,'[1]Customer Revenue'!$K:$K, "None")</f>
        <v>None</v>
      </c>
      <c r="AF870" s="53" t="str">
        <f>_xlfn.XLOOKUP(Master[[#This Row],[cu_id]],'[1]Customer Revenue'!$Q:$Q,'[1]Customer Revenue'!$L:$L, "None")</f>
        <v>None</v>
      </c>
      <c r="AG870" s="53">
        <v>125.94508875739643</v>
      </c>
      <c r="AH870" s="53">
        <v>410.2826035502959</v>
      </c>
      <c r="AI870" s="53">
        <v>287.55384615384617</v>
      </c>
      <c r="AJ870" s="53">
        <v>362.47</v>
      </c>
      <c r="AK870" s="53" t="str">
        <f>_xlfn.XLOOKUP(Master[[#This Row],[cu_id]],'[1]Customer Revenue'!$Q:$Q,'[1]Customer Revenue'!$I:$I, "None")</f>
        <v>None</v>
      </c>
      <c r="AL870" s="53">
        <v>268.11384615384617</v>
      </c>
      <c r="AM870" s="61">
        <v>0.25</v>
      </c>
      <c r="AN870" s="60">
        <v>0.70833333333333337</v>
      </c>
      <c r="AO870" s="60" t="s">
        <v>36</v>
      </c>
      <c r="AP870" s="60" t="s">
        <v>36</v>
      </c>
      <c r="AQ870" s="58" t="s">
        <v>0</v>
      </c>
      <c r="AR870" s="58"/>
      <c r="AS870" s="58"/>
      <c r="AT870" s="52">
        <v>0</v>
      </c>
      <c r="AU870" s="52" t="e">
        <f>IF(Master[[#This Row],[RSP StopTime override]] &lt;&gt; "",Master[[#This Row],[RSP StopTime override]],IF(Master[[#This Row],[Avg stop time helper]] &lt;&gt; 0, Master[[#This Row],[Avg stop time helper]],Average_Stop_Time))</f>
        <v>#DIV/0!</v>
      </c>
      <c r="AV870" s="21"/>
      <c r="AW870" s="20">
        <f>Master[[#This Row],[RSP StopTime override]]-Master[[#This Row],[Avg stop time helper]]</f>
        <v>0</v>
      </c>
    </row>
    <row r="871" spans="1:49" x14ac:dyDescent="0.3">
      <c r="A871" s="66" t="s">
        <v>4896</v>
      </c>
      <c r="B871" s="58">
        <v>52</v>
      </c>
      <c r="C871" s="58" t="s">
        <v>24</v>
      </c>
      <c r="D871" s="65">
        <v>530966</v>
      </c>
      <c r="E871" s="65" t="s">
        <v>42</v>
      </c>
      <c r="F871" s="65" t="s">
        <v>1779</v>
      </c>
      <c r="G871" s="65" t="s">
        <v>1778</v>
      </c>
      <c r="H871" s="65" t="s">
        <v>7</v>
      </c>
      <c r="I871" s="65" t="s">
        <v>12</v>
      </c>
      <c r="J871" s="65" t="s">
        <v>5</v>
      </c>
      <c r="K871" s="65" t="s">
        <v>11</v>
      </c>
      <c r="L871" s="64" t="s">
        <v>67</v>
      </c>
      <c r="M871" s="58" t="s">
        <v>3</v>
      </c>
      <c r="N871" s="58" t="s">
        <v>2</v>
      </c>
      <c r="O871" s="58">
        <v>40</v>
      </c>
      <c r="P871" s="58">
        <v>40</v>
      </c>
      <c r="Q871" s="58">
        <v>0</v>
      </c>
      <c r="R871" s="58">
        <v>0</v>
      </c>
      <c r="S871" s="58">
        <v>0</v>
      </c>
      <c r="T871" s="58">
        <v>0</v>
      </c>
      <c r="U871" s="58">
        <v>52</v>
      </c>
      <c r="V871" s="62">
        <v>70</v>
      </c>
      <c r="W871" s="62">
        <v>5</v>
      </c>
      <c r="X871" s="63">
        <f>IFERROR(1 -(Master[[#This Row],[Avg Garment Scans per Delivery]]/Master[[#This Row],[Garment Inventory]]), 0)</f>
        <v>0.9285714285714286</v>
      </c>
      <c r="Y871" s="62">
        <v>4</v>
      </c>
      <c r="Z871" s="62">
        <v>70</v>
      </c>
      <c r="AA871" s="53">
        <v>203.18093406593408</v>
      </c>
      <c r="AB871" s="53">
        <v>380.00521978021976</v>
      </c>
      <c r="AC871" s="53">
        <v>374.35301775147929</v>
      </c>
      <c r="AD871" s="53">
        <v>493.00082840236695</v>
      </c>
      <c r="AE871" s="53" t="str">
        <f>_xlfn.XLOOKUP(Master[[#This Row],[cu_id]],'[1]Customer Revenue'!$Q:$Q,'[1]Customer Revenue'!$K:$K, "None")</f>
        <v>None</v>
      </c>
      <c r="AF871" s="53" t="str">
        <f>_xlfn.XLOOKUP(Master[[#This Row],[cu_id]],'[1]Customer Revenue'!$Q:$Q,'[1]Customer Revenue'!$L:$L, "None")</f>
        <v>None</v>
      </c>
      <c r="AG871" s="53">
        <v>235.05277399848828</v>
      </c>
      <c r="AH871" s="53">
        <v>352.71685563114141</v>
      </c>
      <c r="AI871" s="53">
        <v>291.59307692307692</v>
      </c>
      <c r="AJ871" s="53">
        <v>433.67692307692312</v>
      </c>
      <c r="AK871" s="53" t="str">
        <f>_xlfn.XLOOKUP(Master[[#This Row],[cu_id]],'[1]Customer Revenue'!$Q:$Q,'[1]Customer Revenue'!$I:$I, "None")</f>
        <v>None</v>
      </c>
      <c r="AL871" s="53">
        <v>293.88481481481483</v>
      </c>
      <c r="AM871" s="61">
        <v>0.25</v>
      </c>
      <c r="AN871" s="60">
        <v>0.70833333333333337</v>
      </c>
      <c r="AO871" s="60" t="s">
        <v>36</v>
      </c>
      <c r="AP871" s="60" t="s">
        <v>36</v>
      </c>
      <c r="AQ871" s="58" t="s">
        <v>0</v>
      </c>
      <c r="AR871" s="58"/>
      <c r="AS871" s="58"/>
      <c r="AT871" s="52">
        <v>0</v>
      </c>
      <c r="AU871" s="52" t="e">
        <f>IF(Master[[#This Row],[RSP StopTime override]] &lt;&gt; "",Master[[#This Row],[RSP StopTime override]],IF(Master[[#This Row],[Avg stop time helper]] &lt;&gt; 0, Master[[#This Row],[Avg stop time helper]],Average_Stop_Time))</f>
        <v>#DIV/0!</v>
      </c>
      <c r="AV871" s="21"/>
      <c r="AW871" s="20">
        <f>Master[[#This Row],[RSP StopTime override]]-Master[[#This Row],[Avg stop time helper]]</f>
        <v>0</v>
      </c>
    </row>
    <row r="872" spans="1:49" x14ac:dyDescent="0.3">
      <c r="A872" s="66" t="s">
        <v>4897</v>
      </c>
      <c r="B872" s="58">
        <v>52</v>
      </c>
      <c r="C872" s="58" t="s">
        <v>24</v>
      </c>
      <c r="D872" s="65">
        <v>531574</v>
      </c>
      <c r="E872" s="65" t="s">
        <v>42</v>
      </c>
      <c r="F872" s="65" t="s">
        <v>1777</v>
      </c>
      <c r="G872" s="65" t="s">
        <v>1776</v>
      </c>
      <c r="H872" s="65" t="s">
        <v>7</v>
      </c>
      <c r="I872" s="65" t="s">
        <v>12</v>
      </c>
      <c r="J872" s="65" t="s">
        <v>5</v>
      </c>
      <c r="K872" s="65" t="s">
        <v>57</v>
      </c>
      <c r="L872" s="64" t="s">
        <v>67</v>
      </c>
      <c r="M872" s="58" t="s">
        <v>3</v>
      </c>
      <c r="N872" s="58" t="s">
        <v>2</v>
      </c>
      <c r="O872" s="58">
        <v>12</v>
      </c>
      <c r="P872" s="58">
        <v>12</v>
      </c>
      <c r="Q872" s="58">
        <v>0</v>
      </c>
      <c r="R872" s="58">
        <v>0</v>
      </c>
      <c r="S872" s="58">
        <v>0</v>
      </c>
      <c r="T872" s="58">
        <v>0</v>
      </c>
      <c r="U872" s="58">
        <v>52</v>
      </c>
      <c r="V872" s="62"/>
      <c r="W872" s="62"/>
      <c r="X872" s="63">
        <f>IFERROR(1 -(Master[[#This Row],[Avg Garment Scans per Delivery]]/Master[[#This Row],[Garment Inventory]]), 0)</f>
        <v>0</v>
      </c>
      <c r="Y872" s="62"/>
      <c r="Z872" s="62"/>
      <c r="AA872" s="53">
        <v>129.20159763313609</v>
      </c>
      <c r="AB872" s="53">
        <v>142.73532544378696</v>
      </c>
      <c r="AC872" s="53">
        <v>131.90278106508876</v>
      </c>
      <c r="AD872" s="53">
        <v>145.29260355029581</v>
      </c>
      <c r="AE872" s="53" t="str">
        <f>_xlfn.XLOOKUP(Master[[#This Row],[cu_id]],'[1]Customer Revenue'!$Q:$Q,'[1]Customer Revenue'!$K:$K, "None")</f>
        <v>None</v>
      </c>
      <c r="AF872" s="53" t="str">
        <f>_xlfn.XLOOKUP(Master[[#This Row],[cu_id]],'[1]Customer Revenue'!$Q:$Q,'[1]Customer Revenue'!$L:$L, "None")</f>
        <v>None</v>
      </c>
      <c r="AG872" s="53">
        <v>112.25141679748816</v>
      </c>
      <c r="AH872" s="53">
        <v>151.59396781789638</v>
      </c>
      <c r="AI872" s="53">
        <v>135.96846153846153</v>
      </c>
      <c r="AJ872" s="53">
        <v>138.59769230769228</v>
      </c>
      <c r="AK872" s="53" t="str">
        <f>_xlfn.XLOOKUP(Master[[#This Row],[cu_id]],'[1]Customer Revenue'!$Q:$Q,'[1]Customer Revenue'!$I:$I, "None")</f>
        <v>None</v>
      </c>
      <c r="AL872" s="53">
        <v>131.92269230769227</v>
      </c>
      <c r="AM872" s="61">
        <v>0.625</v>
      </c>
      <c r="AN872" s="60">
        <v>0.91666666666666663</v>
      </c>
      <c r="AO872" s="60" t="s">
        <v>36</v>
      </c>
      <c r="AP872" s="60" t="s">
        <v>36</v>
      </c>
      <c r="AQ872" s="58" t="s">
        <v>0</v>
      </c>
      <c r="AR872" s="58"/>
      <c r="AS872" s="58"/>
      <c r="AT872" s="52">
        <v>0</v>
      </c>
      <c r="AU872" s="52" t="e">
        <f>IF(Master[[#This Row],[RSP StopTime override]] &lt;&gt; "",Master[[#This Row],[RSP StopTime override]],IF(Master[[#This Row],[Avg stop time helper]] &lt;&gt; 0, Master[[#This Row],[Avg stop time helper]],Average_Stop_Time))</f>
        <v>#DIV/0!</v>
      </c>
      <c r="AV872" s="21"/>
      <c r="AW872" s="20">
        <f>Master[[#This Row],[RSP StopTime override]]-Master[[#This Row],[Avg stop time helper]]</f>
        <v>0</v>
      </c>
    </row>
    <row r="873" spans="1:49" x14ac:dyDescent="0.3">
      <c r="A873" s="73" t="s">
        <v>4898</v>
      </c>
      <c r="B873" s="64">
        <v>50</v>
      </c>
      <c r="C873" s="64" t="s">
        <v>43</v>
      </c>
      <c r="D873" s="65">
        <v>99161</v>
      </c>
      <c r="E873" s="65" t="s">
        <v>2297</v>
      </c>
      <c r="F873" s="65" t="s">
        <v>2296</v>
      </c>
      <c r="G873" s="65" t="s">
        <v>2295</v>
      </c>
      <c r="H873" s="65" t="s">
        <v>7</v>
      </c>
      <c r="I873" s="65" t="s">
        <v>2264</v>
      </c>
      <c r="J873" s="65" t="s">
        <v>5</v>
      </c>
      <c r="K873" s="65" t="s">
        <v>2263</v>
      </c>
      <c r="L873" s="64" t="s">
        <v>67</v>
      </c>
      <c r="M873" s="65" t="s">
        <v>3</v>
      </c>
      <c r="N873" s="65" t="s">
        <v>2</v>
      </c>
      <c r="O873" s="65">
        <v>20</v>
      </c>
      <c r="P873" s="65">
        <v>0</v>
      </c>
      <c r="Q873" s="65">
        <v>0</v>
      </c>
      <c r="R873" s="65">
        <v>0</v>
      </c>
      <c r="S873" s="65">
        <v>20</v>
      </c>
      <c r="T873" s="65">
        <v>0</v>
      </c>
      <c r="U873" s="65"/>
      <c r="V873" s="65"/>
      <c r="W873" s="65"/>
      <c r="X873" s="72">
        <f>IFERROR(1 -(Master[[#This Row],[Avg Garment Scans per Delivery]]/Master[[#This Row],[Garment Inventory]]), 0)</f>
        <v>0</v>
      </c>
      <c r="Y873" s="65"/>
      <c r="Z873" s="65"/>
      <c r="AA873" s="53"/>
      <c r="AB873" s="53"/>
      <c r="AC873" s="53"/>
      <c r="AD873" s="53"/>
      <c r="AE873" s="53" t="str">
        <f>_xlfn.XLOOKUP(Master[[#This Row],[cu_id]],'[1]Customer Revenue'!$Q:$Q,'[1]Customer Revenue'!$K:$K, "0")</f>
        <v>0</v>
      </c>
      <c r="AF873" s="53" t="str">
        <f>_xlfn.XLOOKUP(Master[[#This Row],[cu_id]],'[1]Customer Revenue'!$Q:$Q,'[1]Customer Revenue'!$L:$L, "0")</f>
        <v>0</v>
      </c>
      <c r="AG873" s="53"/>
      <c r="AH873" s="53"/>
      <c r="AI873" s="53"/>
      <c r="AJ873" s="53"/>
      <c r="AK873" s="53" t="str">
        <f>_xlfn.XLOOKUP(Master[[#This Row],[cu_id]],'[1]Customer Revenue'!$Q:$Q,'[1]Customer Revenue'!$I:$I, "0")</f>
        <v>0</v>
      </c>
      <c r="AL873" s="53"/>
      <c r="AM873" s="71" t="s">
        <v>1</v>
      </c>
      <c r="AN873" s="71" t="s">
        <v>1</v>
      </c>
      <c r="AO873" s="71" t="s">
        <v>36</v>
      </c>
      <c r="AP873" s="71" t="s">
        <v>36</v>
      </c>
      <c r="AQ873" s="64" t="s">
        <v>0</v>
      </c>
      <c r="AR873" s="64"/>
      <c r="AS873" s="65"/>
      <c r="AT873" s="52">
        <v>0</v>
      </c>
      <c r="AU873" s="52">
        <f>IF(Master[[#This Row],[RSP StopTime override]] &lt;&gt; "",Master[[#This Row],[RSP StopTime override]],IF(Master[[#This Row],[Avg stop time helper]] &lt;&gt; 0, Master[[#This Row],[Avg stop time helper]],Average_Stop_Time))</f>
        <v>5</v>
      </c>
      <c r="AV873" s="21">
        <v>5</v>
      </c>
      <c r="AW873" s="20">
        <f>Master[[#This Row],[RSP StopTime override]]-Master[[#This Row],[Avg stop time helper]]</f>
        <v>5</v>
      </c>
    </row>
    <row r="874" spans="1:49" x14ac:dyDescent="0.3">
      <c r="A874" s="66" t="s">
        <v>4899</v>
      </c>
      <c r="B874" s="58">
        <v>52</v>
      </c>
      <c r="C874" s="58" t="s">
        <v>24</v>
      </c>
      <c r="D874" s="65">
        <v>532191</v>
      </c>
      <c r="E874" s="65" t="s">
        <v>42</v>
      </c>
      <c r="F874" s="65" t="s">
        <v>1774</v>
      </c>
      <c r="G874" s="65" t="s">
        <v>1773</v>
      </c>
      <c r="H874" s="65" t="s">
        <v>7</v>
      </c>
      <c r="I874" s="65" t="s">
        <v>12</v>
      </c>
      <c r="J874" s="65" t="s">
        <v>5</v>
      </c>
      <c r="K874" s="65" t="s">
        <v>1754</v>
      </c>
      <c r="L874" s="64" t="s">
        <v>91</v>
      </c>
      <c r="M874" s="58" t="s">
        <v>90</v>
      </c>
      <c r="N874" s="58" t="s">
        <v>2</v>
      </c>
      <c r="O874" s="58">
        <v>105</v>
      </c>
      <c r="P874" s="58">
        <v>105</v>
      </c>
      <c r="Q874" s="58">
        <v>0</v>
      </c>
      <c r="R874" s="58">
        <v>0</v>
      </c>
      <c r="S874" s="58">
        <v>0</v>
      </c>
      <c r="T874" s="58">
        <v>0</v>
      </c>
      <c r="U874" s="58">
        <v>26</v>
      </c>
      <c r="V874" s="62"/>
      <c r="W874" s="62"/>
      <c r="X874" s="63">
        <f>IFERROR(1 -(Master[[#This Row],[Avg Garment Scans per Delivery]]/Master[[#This Row],[Garment Inventory]]), 0)</f>
        <v>0</v>
      </c>
      <c r="Y874" s="62"/>
      <c r="Z874" s="62"/>
      <c r="AA874" s="53">
        <v>76.184489795918353</v>
      </c>
      <c r="AB874" s="53">
        <v>78.021224489795912</v>
      </c>
      <c r="AC874" s="53">
        <v>57.195666666666654</v>
      </c>
      <c r="AD874" s="53">
        <v>101.19233333333332</v>
      </c>
      <c r="AE874" s="53" t="str">
        <f>_xlfn.XLOOKUP(Master[[#This Row],[cu_id]],'[1]Customer Revenue'!$Q:$Q,'[1]Customer Revenue'!$K:$K, "None")</f>
        <v>None</v>
      </c>
      <c r="AF874" s="53" t="str">
        <f>_xlfn.XLOOKUP(Master[[#This Row],[cu_id]],'[1]Customer Revenue'!$Q:$Q,'[1]Customer Revenue'!$L:$L, "None")</f>
        <v>None</v>
      </c>
      <c r="AG874" s="53">
        <v>74.280710059171611</v>
      </c>
      <c r="AH874" s="53">
        <v>77.53467455621302</v>
      </c>
      <c r="AI874" s="53">
        <v>77.102857142857133</v>
      </c>
      <c r="AJ874" s="53">
        <v>79.193999999999988</v>
      </c>
      <c r="AK874" s="53" t="str">
        <f>_xlfn.XLOOKUP(Master[[#This Row],[cu_id]],'[1]Customer Revenue'!$Q:$Q,'[1]Customer Revenue'!$I:$I, "None")</f>
        <v>None</v>
      </c>
      <c r="AL874" s="53">
        <v>75.907692307692315</v>
      </c>
      <c r="AM874" s="61">
        <v>0.41666666666666669</v>
      </c>
      <c r="AN874" s="60">
        <v>0.70833333333333337</v>
      </c>
      <c r="AO874" s="60" t="s">
        <v>36</v>
      </c>
      <c r="AP874" s="60" t="s">
        <v>36</v>
      </c>
      <c r="AQ874" s="58" t="s">
        <v>0</v>
      </c>
      <c r="AR874" s="58"/>
      <c r="AS874" s="58"/>
      <c r="AT874" s="52">
        <v>0</v>
      </c>
      <c r="AU874" s="52" t="e">
        <f>IF(Master[[#This Row],[RSP StopTime override]] &lt;&gt; "",Master[[#This Row],[RSP StopTime override]],IF(Master[[#This Row],[Avg stop time helper]] &lt;&gt; 0, Master[[#This Row],[Avg stop time helper]],Average_Stop_Time))</f>
        <v>#DIV/0!</v>
      </c>
      <c r="AV874" s="21"/>
      <c r="AW874" s="20">
        <f>Master[[#This Row],[RSP StopTime override]]-Master[[#This Row],[Avg stop time helper]]</f>
        <v>0</v>
      </c>
    </row>
    <row r="875" spans="1:49" x14ac:dyDescent="0.3">
      <c r="A875" s="66" t="s">
        <v>4900</v>
      </c>
      <c r="B875" s="58">
        <v>52</v>
      </c>
      <c r="C875" s="58" t="s">
        <v>24</v>
      </c>
      <c r="D875" s="65">
        <v>532528</v>
      </c>
      <c r="E875" s="65" t="s">
        <v>42</v>
      </c>
      <c r="F875" s="65" t="s">
        <v>1772</v>
      </c>
      <c r="G875" s="65" t="s">
        <v>1771</v>
      </c>
      <c r="H875" s="65" t="s">
        <v>7</v>
      </c>
      <c r="I875" s="65" t="s">
        <v>12</v>
      </c>
      <c r="J875" s="65" t="s">
        <v>5</v>
      </c>
      <c r="K875" s="65" t="s">
        <v>61</v>
      </c>
      <c r="L875" s="64" t="s">
        <v>67</v>
      </c>
      <c r="M875" s="58" t="s">
        <v>3</v>
      </c>
      <c r="N875" s="58" t="s">
        <v>2</v>
      </c>
      <c r="O875" s="58">
        <v>30</v>
      </c>
      <c r="P875" s="58">
        <v>30</v>
      </c>
      <c r="Q875" s="58">
        <v>0</v>
      </c>
      <c r="R875" s="58">
        <v>0</v>
      </c>
      <c r="S875" s="58">
        <v>0</v>
      </c>
      <c r="T875" s="58">
        <v>0</v>
      </c>
      <c r="U875" s="58">
        <v>37</v>
      </c>
      <c r="V875" s="62"/>
      <c r="W875" s="62">
        <v>0</v>
      </c>
      <c r="X875" s="63">
        <f>IFERROR(1 -(Master[[#This Row],[Avg Garment Scans per Delivery]]/Master[[#This Row],[Garment Inventory]]), 0)</f>
        <v>0</v>
      </c>
      <c r="Y875" s="62"/>
      <c r="Z875" s="62"/>
      <c r="AA875" s="53">
        <v>49.589702380952374</v>
      </c>
      <c r="AB875" s="53">
        <v>148.89886904761903</v>
      </c>
      <c r="AC875" s="53">
        <v>50.511538461538457</v>
      </c>
      <c r="AD875" s="53">
        <v>61.868461538461524</v>
      </c>
      <c r="AE875" s="53" t="str">
        <f>_xlfn.XLOOKUP(Master[[#This Row],[cu_id]],'[1]Customer Revenue'!$Q:$Q,'[1]Customer Revenue'!$K:$K, "None")</f>
        <v>None</v>
      </c>
      <c r="AF875" s="53" t="str">
        <f>_xlfn.XLOOKUP(Master[[#This Row],[cu_id]],'[1]Customer Revenue'!$Q:$Q,'[1]Customer Revenue'!$L:$L, "None")</f>
        <v>None</v>
      </c>
      <c r="AG875" s="53">
        <v>47.565862573099409</v>
      </c>
      <c r="AH875" s="53">
        <v>98.573084795321662</v>
      </c>
      <c r="AI875" s="53">
        <v>99.244285714285709</v>
      </c>
      <c r="AJ875" s="53">
        <v>56.189999999999991</v>
      </c>
      <c r="AK875" s="53" t="str">
        <f>_xlfn.XLOOKUP(Master[[#This Row],[cu_id]],'[1]Customer Revenue'!$Q:$Q,'[1]Customer Revenue'!$I:$I, "None")</f>
        <v>None</v>
      </c>
      <c r="AL875" s="53">
        <v>73.069473684210536</v>
      </c>
      <c r="AM875" s="61">
        <v>0.29166666666666669</v>
      </c>
      <c r="AN875" s="60">
        <v>0.70833333333333337</v>
      </c>
      <c r="AO875" s="60" t="s">
        <v>36</v>
      </c>
      <c r="AP875" s="60" t="s">
        <v>36</v>
      </c>
      <c r="AQ875" s="58" t="s">
        <v>0</v>
      </c>
      <c r="AR875" s="58"/>
      <c r="AS875" s="58"/>
      <c r="AT875" s="52">
        <v>0</v>
      </c>
      <c r="AU875" s="52" t="e">
        <f>IF(Master[[#This Row],[RSP StopTime override]] &lt;&gt; "",Master[[#This Row],[RSP StopTime override]],IF(Master[[#This Row],[Avg stop time helper]] &lt;&gt; 0, Master[[#This Row],[Avg stop time helper]],Average_Stop_Time))</f>
        <v>#DIV/0!</v>
      </c>
      <c r="AV875" s="21"/>
      <c r="AW875" s="20">
        <f>Master[[#This Row],[RSP StopTime override]]-Master[[#This Row],[Avg stop time helper]]</f>
        <v>0</v>
      </c>
    </row>
    <row r="876" spans="1:49" x14ac:dyDescent="0.3">
      <c r="A876" s="66" t="s">
        <v>4901</v>
      </c>
      <c r="B876" s="58">
        <v>52</v>
      </c>
      <c r="C876" s="58" t="s">
        <v>24</v>
      </c>
      <c r="D876" s="65">
        <v>532736</v>
      </c>
      <c r="E876" s="65" t="s">
        <v>1455</v>
      </c>
      <c r="F876" s="65" t="s">
        <v>1770</v>
      </c>
      <c r="G876" s="65" t="s">
        <v>1769</v>
      </c>
      <c r="H876" s="65" t="s">
        <v>7</v>
      </c>
      <c r="I876" s="65" t="s">
        <v>12</v>
      </c>
      <c r="J876" s="65" t="s">
        <v>5</v>
      </c>
      <c r="K876" s="65" t="s">
        <v>11</v>
      </c>
      <c r="L876" s="64" t="s">
        <v>67</v>
      </c>
      <c r="M876" s="58" t="s">
        <v>3</v>
      </c>
      <c r="N876" s="58" t="s">
        <v>2</v>
      </c>
      <c r="O876" s="58">
        <v>55</v>
      </c>
      <c r="P876" s="58">
        <v>55</v>
      </c>
      <c r="Q876" s="58">
        <v>0</v>
      </c>
      <c r="R876" s="58">
        <v>0</v>
      </c>
      <c r="S876" s="58">
        <v>0</v>
      </c>
      <c r="T876" s="58">
        <v>0</v>
      </c>
      <c r="U876" s="58">
        <v>52</v>
      </c>
      <c r="V876" s="62"/>
      <c r="W876" s="62"/>
      <c r="X876" s="63">
        <f>IFERROR(1 -(Master[[#This Row],[Avg Garment Scans per Delivery]]/Master[[#This Row],[Garment Inventory]]), 0)</f>
        <v>0</v>
      </c>
      <c r="Y876" s="62"/>
      <c r="Z876" s="62"/>
      <c r="AA876" s="53">
        <v>43.323609467455618</v>
      </c>
      <c r="AB876" s="53">
        <v>44.388698224852071</v>
      </c>
      <c r="AC876" s="53">
        <v>43.697041420118339</v>
      </c>
      <c r="AD876" s="53">
        <v>47.675266272189347</v>
      </c>
      <c r="AE876" s="53" t="str">
        <f>_xlfn.XLOOKUP(Master[[#This Row],[cu_id]],'[1]Customer Revenue'!$Q:$Q,'[1]Customer Revenue'!$K:$K, "None")</f>
        <v>None</v>
      </c>
      <c r="AF876" s="53" t="str">
        <f>_xlfn.XLOOKUP(Master[[#This Row],[cu_id]],'[1]Customer Revenue'!$Q:$Q,'[1]Customer Revenue'!$L:$L, "None")</f>
        <v>None</v>
      </c>
      <c r="AG876" s="53">
        <v>33.743136094674547</v>
      </c>
      <c r="AH876" s="53">
        <v>44.830710059171587</v>
      </c>
      <c r="AI876" s="53">
        <v>43.856153846153845</v>
      </c>
      <c r="AJ876" s="53">
        <v>45.686153846153843</v>
      </c>
      <c r="AK876" s="53" t="str">
        <f>_xlfn.XLOOKUP(Master[[#This Row],[cu_id]],'[1]Customer Revenue'!$Q:$Q,'[1]Customer Revenue'!$I:$I, "None")</f>
        <v>None</v>
      </c>
      <c r="AL876" s="53">
        <v>39.286923076923067</v>
      </c>
      <c r="AM876" s="61">
        <v>0.29166666666666669</v>
      </c>
      <c r="AN876" s="60">
        <v>0.70833333333333337</v>
      </c>
      <c r="AO876" s="60" t="s">
        <v>36</v>
      </c>
      <c r="AP876" s="60" t="s">
        <v>36</v>
      </c>
      <c r="AQ876" s="58" t="s">
        <v>0</v>
      </c>
      <c r="AR876" s="58"/>
      <c r="AS876" s="58"/>
      <c r="AT876" s="52">
        <v>0</v>
      </c>
      <c r="AU876" s="52" t="e">
        <f>IF(Master[[#This Row],[RSP StopTime override]] &lt;&gt; "",Master[[#This Row],[RSP StopTime override]],IF(Master[[#This Row],[Avg stop time helper]] &lt;&gt; 0, Master[[#This Row],[Avg stop time helper]],Average_Stop_Time))</f>
        <v>#DIV/0!</v>
      </c>
      <c r="AV876" s="21"/>
      <c r="AW876" s="20">
        <f>Master[[#This Row],[RSP StopTime override]]-Master[[#This Row],[Avg stop time helper]]</f>
        <v>0</v>
      </c>
    </row>
    <row r="877" spans="1:49" x14ac:dyDescent="0.3">
      <c r="A877" s="66" t="s">
        <v>4902</v>
      </c>
      <c r="B877" s="58">
        <v>52</v>
      </c>
      <c r="C877" s="58" t="s">
        <v>24</v>
      </c>
      <c r="D877" s="65">
        <v>532738</v>
      </c>
      <c r="E877" s="65" t="s">
        <v>42</v>
      </c>
      <c r="F877" s="65" t="s">
        <v>1768</v>
      </c>
      <c r="G877" s="65" t="s">
        <v>1767</v>
      </c>
      <c r="H877" s="65" t="s">
        <v>7</v>
      </c>
      <c r="I877" s="65" t="s">
        <v>12</v>
      </c>
      <c r="J877" s="65" t="s">
        <v>5</v>
      </c>
      <c r="K877" s="65" t="s">
        <v>1754</v>
      </c>
      <c r="L877" s="64" t="s">
        <v>67</v>
      </c>
      <c r="M877" s="58" t="s">
        <v>3</v>
      </c>
      <c r="N877" s="58" t="s">
        <v>2</v>
      </c>
      <c r="O877" s="58">
        <v>106</v>
      </c>
      <c r="P877" s="58">
        <v>106</v>
      </c>
      <c r="Q877" s="58">
        <v>0</v>
      </c>
      <c r="R877" s="58">
        <v>0</v>
      </c>
      <c r="S877" s="58">
        <v>0</v>
      </c>
      <c r="T877" s="58">
        <v>0</v>
      </c>
      <c r="U877" s="58">
        <v>53</v>
      </c>
      <c r="V877" s="62"/>
      <c r="W877" s="62"/>
      <c r="X877" s="63">
        <f>IFERROR(1 -(Master[[#This Row],[Avg Garment Scans per Delivery]]/Master[[#This Row],[Garment Inventory]]), 0)</f>
        <v>0</v>
      </c>
      <c r="Y877" s="62"/>
      <c r="Z877" s="62"/>
      <c r="AA877" s="53">
        <v>26.705041322314052</v>
      </c>
      <c r="AB877" s="53">
        <v>46.660413223140488</v>
      </c>
      <c r="AC877" s="53">
        <v>32.166530612244898</v>
      </c>
      <c r="AD877" s="53">
        <v>37.597755102040807</v>
      </c>
      <c r="AE877" s="53" t="str">
        <f>_xlfn.XLOOKUP(Master[[#This Row],[cu_id]],'[1]Customer Revenue'!$Q:$Q,'[1]Customer Revenue'!$K:$K, "None")</f>
        <v>None</v>
      </c>
      <c r="AF877" s="53" t="str">
        <f>_xlfn.XLOOKUP(Master[[#This Row],[cu_id]],'[1]Customer Revenue'!$Q:$Q,'[1]Customer Revenue'!$L:$L, "None")</f>
        <v>None</v>
      </c>
      <c r="AG877" s="53">
        <v>26.58525641025641</v>
      </c>
      <c r="AH877" s="53">
        <v>47.731410256410243</v>
      </c>
      <c r="AI877" s="53">
        <v>36.68272727272727</v>
      </c>
      <c r="AJ877" s="53">
        <v>34.882142857142853</v>
      </c>
      <c r="AK877" s="53" t="str">
        <f>_xlfn.XLOOKUP(Master[[#This Row],[cu_id]],'[1]Customer Revenue'!$Q:$Q,'[1]Customer Revenue'!$I:$I, "None")</f>
        <v>None</v>
      </c>
      <c r="AL877" s="53">
        <v>37.158333333333324</v>
      </c>
      <c r="AM877" s="61">
        <v>0.41666666666666669</v>
      </c>
      <c r="AN877" s="60">
        <v>0.70833333333333337</v>
      </c>
      <c r="AO877" s="60" t="s">
        <v>36</v>
      </c>
      <c r="AP877" s="60" t="s">
        <v>36</v>
      </c>
      <c r="AQ877" s="58" t="s">
        <v>0</v>
      </c>
      <c r="AR877" s="58"/>
      <c r="AS877" s="58"/>
      <c r="AT877" s="52">
        <v>0</v>
      </c>
      <c r="AU877" s="52" t="e">
        <f>IF(Master[[#This Row],[RSP StopTime override]] &lt;&gt; "",Master[[#This Row],[RSP StopTime override]],IF(Master[[#This Row],[Avg stop time helper]] &lt;&gt; 0, Master[[#This Row],[Avg stop time helper]],Average_Stop_Time))</f>
        <v>#DIV/0!</v>
      </c>
      <c r="AV877" s="21"/>
      <c r="AW877" s="20">
        <f>Master[[#This Row],[RSP StopTime override]]-Master[[#This Row],[Avg stop time helper]]</f>
        <v>0</v>
      </c>
    </row>
    <row r="878" spans="1:49" x14ac:dyDescent="0.3">
      <c r="A878" s="66" t="s">
        <v>4903</v>
      </c>
      <c r="B878" s="58">
        <v>52</v>
      </c>
      <c r="C878" s="58" t="s">
        <v>24</v>
      </c>
      <c r="D878" s="65">
        <v>532912</v>
      </c>
      <c r="E878" s="65" t="s">
        <v>42</v>
      </c>
      <c r="F878" s="65" t="s">
        <v>1766</v>
      </c>
      <c r="G878" s="65" t="s">
        <v>1765</v>
      </c>
      <c r="H878" s="65" t="s">
        <v>7</v>
      </c>
      <c r="I878" s="65" t="s">
        <v>12</v>
      </c>
      <c r="J878" s="65" t="s">
        <v>5</v>
      </c>
      <c r="K878" s="65" t="s">
        <v>61</v>
      </c>
      <c r="L878" s="64" t="s">
        <v>124</v>
      </c>
      <c r="M878" s="58" t="s">
        <v>123</v>
      </c>
      <c r="N878" s="58" t="s">
        <v>2</v>
      </c>
      <c r="O878" s="58">
        <v>155</v>
      </c>
      <c r="P878" s="58">
        <v>155</v>
      </c>
      <c r="Q878" s="58">
        <v>0</v>
      </c>
      <c r="R878" s="58">
        <v>0</v>
      </c>
      <c r="S878" s="58">
        <v>0</v>
      </c>
      <c r="T878" s="58">
        <v>0</v>
      </c>
      <c r="U878" s="58">
        <v>14</v>
      </c>
      <c r="V878" s="62"/>
      <c r="W878" s="62"/>
      <c r="X878" s="63">
        <f>IFERROR(1 -(Master[[#This Row],[Avg Garment Scans per Delivery]]/Master[[#This Row],[Garment Inventory]]), 0)</f>
        <v>0</v>
      </c>
      <c r="Y878" s="62"/>
      <c r="Z878" s="62"/>
      <c r="AA878" s="53">
        <v>84.142499999999998</v>
      </c>
      <c r="AB878" s="53">
        <v>136.38749999999999</v>
      </c>
      <c r="AC878" s="53">
        <v>95.715555555555568</v>
      </c>
      <c r="AD878" s="53">
        <v>187.71111111111111</v>
      </c>
      <c r="AE878" s="53" t="str">
        <f>_xlfn.XLOOKUP(Master[[#This Row],[cu_id]],'[1]Customer Revenue'!$Q:$Q,'[1]Customer Revenue'!$K:$K, "None")</f>
        <v>None</v>
      </c>
      <c r="AF878" s="53" t="str">
        <f>_xlfn.XLOOKUP(Master[[#This Row],[cu_id]],'[1]Customer Revenue'!$Q:$Q,'[1]Customer Revenue'!$L:$L, "None")</f>
        <v>None</v>
      </c>
      <c r="AG878" s="53">
        <v>87.101632653061216</v>
      </c>
      <c r="AH878" s="53">
        <v>143.90408163265306</v>
      </c>
      <c r="AI878" s="53">
        <v>110.26499999999999</v>
      </c>
      <c r="AJ878" s="53">
        <v>141.71333333333334</v>
      </c>
      <c r="AK878" s="53" t="str">
        <f>_xlfn.XLOOKUP(Master[[#This Row],[cu_id]],'[1]Customer Revenue'!$Q:$Q,'[1]Customer Revenue'!$I:$I, "None")</f>
        <v>None</v>
      </c>
      <c r="AL878" s="53">
        <v>115.50285714285714</v>
      </c>
      <c r="AM878" s="61">
        <v>0</v>
      </c>
      <c r="AN878" s="60">
        <v>0.70833333333333337</v>
      </c>
      <c r="AO878" s="60" t="s">
        <v>36</v>
      </c>
      <c r="AP878" s="60" t="s">
        <v>36</v>
      </c>
      <c r="AQ878" s="58" t="s">
        <v>0</v>
      </c>
      <c r="AR878" s="58"/>
      <c r="AS878" s="58"/>
      <c r="AT878" s="52">
        <v>0</v>
      </c>
      <c r="AU878" s="52" t="e">
        <f>IF(Master[[#This Row],[RSP StopTime override]] &lt;&gt; "",Master[[#This Row],[RSP StopTime override]],IF(Master[[#This Row],[Avg stop time helper]] &lt;&gt; 0, Master[[#This Row],[Avg stop time helper]],Average_Stop_Time))</f>
        <v>#DIV/0!</v>
      </c>
      <c r="AV878" s="21"/>
      <c r="AW878" s="20">
        <f>Master[[#This Row],[RSP StopTime override]]-Master[[#This Row],[Avg stop time helper]]</f>
        <v>0</v>
      </c>
    </row>
    <row r="879" spans="1:49" x14ac:dyDescent="0.3">
      <c r="A879" s="66" t="s">
        <v>4904</v>
      </c>
      <c r="B879" s="58">
        <v>52</v>
      </c>
      <c r="C879" s="58" t="s">
        <v>24</v>
      </c>
      <c r="D879" s="65">
        <v>533087</v>
      </c>
      <c r="E879" s="65" t="s">
        <v>42</v>
      </c>
      <c r="F879" s="65" t="s">
        <v>1764</v>
      </c>
      <c r="G879" s="65" t="s">
        <v>1763</v>
      </c>
      <c r="H879" s="65" t="s">
        <v>7</v>
      </c>
      <c r="I879" s="65" t="s">
        <v>12</v>
      </c>
      <c r="J879" s="65" t="s">
        <v>5</v>
      </c>
      <c r="K879" s="65" t="s">
        <v>1578</v>
      </c>
      <c r="L879" s="64" t="s">
        <v>91</v>
      </c>
      <c r="M879" s="58" t="s">
        <v>90</v>
      </c>
      <c r="N879" s="58" t="s">
        <v>2</v>
      </c>
      <c r="O879" s="58">
        <v>60</v>
      </c>
      <c r="P879" s="58">
        <v>60</v>
      </c>
      <c r="Q879" s="58">
        <v>0</v>
      </c>
      <c r="R879" s="58">
        <v>0</v>
      </c>
      <c r="S879" s="58">
        <v>0</v>
      </c>
      <c r="T879" s="58">
        <v>0</v>
      </c>
      <c r="U879" s="58">
        <v>26</v>
      </c>
      <c r="V879" s="62"/>
      <c r="W879" s="62"/>
      <c r="X879" s="63">
        <f>IFERROR(1 -(Master[[#This Row],[Avg Garment Scans per Delivery]]/Master[[#This Row],[Garment Inventory]]), 0)</f>
        <v>0</v>
      </c>
      <c r="Y879" s="62"/>
      <c r="Z879" s="62"/>
      <c r="AA879" s="53">
        <v>51.080370370370382</v>
      </c>
      <c r="AB879" s="53">
        <v>117.05962962962963</v>
      </c>
      <c r="AC879" s="53">
        <v>92.501199999999997</v>
      </c>
      <c r="AD879" s="53">
        <v>94.094800000000006</v>
      </c>
      <c r="AE879" s="53" t="str">
        <f>_xlfn.XLOOKUP(Master[[#This Row],[cu_id]],'[1]Customer Revenue'!$Q:$Q,'[1]Customer Revenue'!$K:$K, "None")</f>
        <v>None</v>
      </c>
      <c r="AF879" s="53" t="str">
        <f>_xlfn.XLOOKUP(Master[[#This Row],[cu_id]],'[1]Customer Revenue'!$Q:$Q,'[1]Customer Revenue'!$L:$L, "None")</f>
        <v>None</v>
      </c>
      <c r="AG879" s="53">
        <v>49.8837321937322</v>
      </c>
      <c r="AH879" s="53">
        <v>122.07780626780625</v>
      </c>
      <c r="AI879" s="53">
        <v>84.070000000000007</v>
      </c>
      <c r="AJ879" s="53">
        <v>93.298000000000002</v>
      </c>
      <c r="AK879" s="53" t="str">
        <f>_xlfn.XLOOKUP(Master[[#This Row],[cu_id]],'[1]Customer Revenue'!$Q:$Q,'[1]Customer Revenue'!$I:$I, "None")</f>
        <v>None</v>
      </c>
      <c r="AL879" s="53">
        <v>85.980769230769226</v>
      </c>
      <c r="AM879" s="61">
        <v>0.33333333333333331</v>
      </c>
      <c r="AN879" s="60">
        <v>0.70833333333333337</v>
      </c>
      <c r="AO879" s="60" t="s">
        <v>36</v>
      </c>
      <c r="AP879" s="60" t="s">
        <v>36</v>
      </c>
      <c r="AQ879" s="58" t="s">
        <v>0</v>
      </c>
      <c r="AR879" s="58"/>
      <c r="AS879" s="58"/>
      <c r="AT879" s="52">
        <v>0</v>
      </c>
      <c r="AU879" s="52" t="e">
        <f>IF(Master[[#This Row],[RSP StopTime override]] &lt;&gt; "",Master[[#This Row],[RSP StopTime override]],IF(Master[[#This Row],[Avg stop time helper]] &lt;&gt; 0, Master[[#This Row],[Avg stop time helper]],Average_Stop_Time))</f>
        <v>#DIV/0!</v>
      </c>
      <c r="AV879" s="21"/>
      <c r="AW879" s="20">
        <f>Master[[#This Row],[RSP StopTime override]]-Master[[#This Row],[Avg stop time helper]]</f>
        <v>0</v>
      </c>
    </row>
    <row r="880" spans="1:49" x14ac:dyDescent="0.3">
      <c r="A880" s="66" t="s">
        <v>4905</v>
      </c>
      <c r="B880" s="58">
        <v>52</v>
      </c>
      <c r="C880" s="58" t="s">
        <v>24</v>
      </c>
      <c r="D880" s="65">
        <v>533183</v>
      </c>
      <c r="E880" s="65" t="s">
        <v>42</v>
      </c>
      <c r="F880" s="65" t="s">
        <v>1762</v>
      </c>
      <c r="G880" s="65" t="s">
        <v>1761</v>
      </c>
      <c r="H880" s="65" t="s">
        <v>7</v>
      </c>
      <c r="I880" s="65" t="s">
        <v>12</v>
      </c>
      <c r="J880" s="65" t="s">
        <v>5</v>
      </c>
      <c r="K880" s="65" t="s">
        <v>1754</v>
      </c>
      <c r="L880" s="64" t="s">
        <v>67</v>
      </c>
      <c r="M880" s="58" t="s">
        <v>3</v>
      </c>
      <c r="N880" s="58" t="s">
        <v>2</v>
      </c>
      <c r="O880" s="58">
        <v>120</v>
      </c>
      <c r="P880" s="58">
        <v>120</v>
      </c>
      <c r="Q880" s="58">
        <v>0</v>
      </c>
      <c r="R880" s="58">
        <v>0</v>
      </c>
      <c r="S880" s="58">
        <v>0</v>
      </c>
      <c r="T880" s="58">
        <v>0</v>
      </c>
      <c r="U880" s="58">
        <v>52</v>
      </c>
      <c r="V880" s="62"/>
      <c r="W880" s="62"/>
      <c r="X880" s="63">
        <f>IFERROR(1 -(Master[[#This Row],[Avg Garment Scans per Delivery]]/Master[[#This Row],[Garment Inventory]]), 0)</f>
        <v>0</v>
      </c>
      <c r="Y880" s="62"/>
      <c r="Z880" s="62"/>
      <c r="AA880" s="53">
        <v>54.510828402366869</v>
      </c>
      <c r="AB880" s="53">
        <v>63.37686390532545</v>
      </c>
      <c r="AC880" s="53">
        <v>66.41887573964496</v>
      </c>
      <c r="AD880" s="53">
        <v>68.514970414201173</v>
      </c>
      <c r="AE880" s="53" t="str">
        <f>_xlfn.XLOOKUP(Master[[#This Row],[cu_id]],'[1]Customer Revenue'!$Q:$Q,'[1]Customer Revenue'!$K:$K, "None")</f>
        <v>None</v>
      </c>
      <c r="AF880" s="53" t="str">
        <f>_xlfn.XLOOKUP(Master[[#This Row],[cu_id]],'[1]Customer Revenue'!$Q:$Q,'[1]Customer Revenue'!$L:$L, "None")</f>
        <v>None</v>
      </c>
      <c r="AG880" s="53">
        <v>53.669260355029586</v>
      </c>
      <c r="AH880" s="53">
        <v>59.794585798816563</v>
      </c>
      <c r="AI880" s="53">
        <v>58.94384615384616</v>
      </c>
      <c r="AJ880" s="53">
        <v>67.466923076923067</v>
      </c>
      <c r="AK880" s="53" t="str">
        <f>_xlfn.XLOOKUP(Master[[#This Row],[cu_id]],'[1]Customer Revenue'!$Q:$Q,'[1]Customer Revenue'!$I:$I, "None")</f>
        <v>None</v>
      </c>
      <c r="AL880" s="53">
        <v>56.731923076923074</v>
      </c>
      <c r="AM880" s="61">
        <v>0.375</v>
      </c>
      <c r="AN880" s="60">
        <v>0.70833333333333337</v>
      </c>
      <c r="AO880" s="60" t="s">
        <v>36</v>
      </c>
      <c r="AP880" s="60" t="s">
        <v>36</v>
      </c>
      <c r="AQ880" s="58" t="s">
        <v>0</v>
      </c>
      <c r="AR880" s="58"/>
      <c r="AS880" s="58"/>
      <c r="AT880" s="52">
        <v>0</v>
      </c>
      <c r="AU880" s="52" t="e">
        <f>IF(Master[[#This Row],[RSP StopTime override]] &lt;&gt; "",Master[[#This Row],[RSP StopTime override]],IF(Master[[#This Row],[Avg stop time helper]] &lt;&gt; 0, Master[[#This Row],[Avg stop time helper]],Average_Stop_Time))</f>
        <v>#DIV/0!</v>
      </c>
      <c r="AV880" s="21"/>
      <c r="AW880" s="20">
        <f>Master[[#This Row],[RSP StopTime override]]-Master[[#This Row],[Avg stop time helper]]</f>
        <v>0</v>
      </c>
    </row>
    <row r="881" spans="1:49" x14ac:dyDescent="0.3">
      <c r="A881" s="66" t="s">
        <v>4906</v>
      </c>
      <c r="B881" s="58">
        <v>52</v>
      </c>
      <c r="C881" s="58" t="s">
        <v>24</v>
      </c>
      <c r="D881" s="65">
        <v>533244</v>
      </c>
      <c r="E881" s="65" t="s">
        <v>42</v>
      </c>
      <c r="F881" s="65" t="s">
        <v>1760</v>
      </c>
      <c r="G881" s="65" t="s">
        <v>1759</v>
      </c>
      <c r="H881" s="65" t="s">
        <v>7</v>
      </c>
      <c r="I881" s="65" t="s">
        <v>12</v>
      </c>
      <c r="J881" s="65" t="s">
        <v>5</v>
      </c>
      <c r="K881" s="65" t="s">
        <v>61</v>
      </c>
      <c r="L881" s="64" t="s">
        <v>91</v>
      </c>
      <c r="M881" s="58" t="s">
        <v>90</v>
      </c>
      <c r="N881" s="58" t="s">
        <v>2</v>
      </c>
      <c r="O881" s="58">
        <v>150</v>
      </c>
      <c r="P881" s="58">
        <v>150</v>
      </c>
      <c r="Q881" s="58">
        <v>0</v>
      </c>
      <c r="R881" s="58">
        <v>0</v>
      </c>
      <c r="S881" s="58">
        <v>0</v>
      </c>
      <c r="T881" s="58">
        <v>0</v>
      </c>
      <c r="U881" s="58">
        <v>25</v>
      </c>
      <c r="V881" s="62"/>
      <c r="W881" s="62"/>
      <c r="X881" s="63">
        <f>IFERROR(1 -(Master[[#This Row],[Avg Garment Scans per Delivery]]/Master[[#This Row],[Garment Inventory]]), 0)</f>
        <v>0</v>
      </c>
      <c r="Y881" s="62"/>
      <c r="Z881" s="62"/>
      <c r="AA881" s="53">
        <v>37.064489795918369</v>
      </c>
      <c r="AB881" s="53">
        <v>38.901224489795915</v>
      </c>
      <c r="AC881" s="53">
        <v>39.001111111111108</v>
      </c>
      <c r="AD881" s="53">
        <v>43.712222222222216</v>
      </c>
      <c r="AE881" s="53" t="str">
        <f>_xlfn.XLOOKUP(Master[[#This Row],[cu_id]],'[1]Customer Revenue'!$Q:$Q,'[1]Customer Revenue'!$K:$K, "None")</f>
        <v>None</v>
      </c>
      <c r="AF881" s="53" t="str">
        <f>_xlfn.XLOOKUP(Master[[#This Row],[cu_id]],'[1]Customer Revenue'!$Q:$Q,'[1]Customer Revenue'!$L:$L, "None")</f>
        <v>None</v>
      </c>
      <c r="AG881" s="53">
        <v>37.100355029585806</v>
      </c>
      <c r="AH881" s="53">
        <v>38.271952662721908</v>
      </c>
      <c r="AI881" s="53">
        <v>37.982857142857142</v>
      </c>
      <c r="AJ881" s="53">
        <v>41.356666666666662</v>
      </c>
      <c r="AK881" s="53" t="str">
        <f>_xlfn.XLOOKUP(Master[[#This Row],[cu_id]],'[1]Customer Revenue'!$Q:$Q,'[1]Customer Revenue'!$I:$I, "None")</f>
        <v>None</v>
      </c>
      <c r="AL881" s="53">
        <v>37.686153846153857</v>
      </c>
      <c r="AM881" s="61">
        <v>0</v>
      </c>
      <c r="AN881" s="60">
        <v>0.70833333333333337</v>
      </c>
      <c r="AO881" s="60" t="s">
        <v>36</v>
      </c>
      <c r="AP881" s="60" t="s">
        <v>36</v>
      </c>
      <c r="AQ881" s="58" t="s">
        <v>0</v>
      </c>
      <c r="AR881" s="58"/>
      <c r="AS881" s="58"/>
      <c r="AT881" s="52">
        <v>0</v>
      </c>
      <c r="AU881" s="52" t="e">
        <f>IF(Master[[#This Row],[RSP StopTime override]] &lt;&gt; "",Master[[#This Row],[RSP StopTime override]],IF(Master[[#This Row],[Avg stop time helper]] &lt;&gt; 0, Master[[#This Row],[Avg stop time helper]],Average_Stop_Time))</f>
        <v>#DIV/0!</v>
      </c>
      <c r="AV881" s="21"/>
      <c r="AW881" s="20">
        <f>Master[[#This Row],[RSP StopTime override]]-Master[[#This Row],[Avg stop time helper]]</f>
        <v>0</v>
      </c>
    </row>
    <row r="882" spans="1:49" x14ac:dyDescent="0.3">
      <c r="A882" s="66" t="s">
        <v>4907</v>
      </c>
      <c r="B882" s="58">
        <v>52</v>
      </c>
      <c r="C882" s="58" t="s">
        <v>24</v>
      </c>
      <c r="D882" s="65">
        <v>533359</v>
      </c>
      <c r="E882" s="65" t="s">
        <v>42</v>
      </c>
      <c r="F882" s="65" t="s">
        <v>1758</v>
      </c>
      <c r="G882" s="65" t="s">
        <v>1757</v>
      </c>
      <c r="H882" s="65" t="s">
        <v>7</v>
      </c>
      <c r="I882" s="65" t="s">
        <v>12</v>
      </c>
      <c r="J882" s="65" t="s">
        <v>5</v>
      </c>
      <c r="K882" s="65" t="s">
        <v>57</v>
      </c>
      <c r="L882" s="64">
        <v>6</v>
      </c>
      <c r="M882" s="58" t="s">
        <v>90</v>
      </c>
      <c r="N882" s="58" t="s">
        <v>2</v>
      </c>
      <c r="O882" s="58">
        <v>77</v>
      </c>
      <c r="P882" s="58">
        <v>77</v>
      </c>
      <c r="Q882" s="58">
        <v>0</v>
      </c>
      <c r="R882" s="58">
        <v>0</v>
      </c>
      <c r="S882" s="58">
        <v>0</v>
      </c>
      <c r="T882" s="58">
        <v>0</v>
      </c>
      <c r="U882" s="58">
        <v>26</v>
      </c>
      <c r="V882" s="62"/>
      <c r="W882" s="62"/>
      <c r="X882" s="63">
        <f>IFERROR(1 -(Master[[#This Row],[Avg Garment Scans per Delivery]]/Master[[#This Row],[Garment Inventory]]), 0)</f>
        <v>0</v>
      </c>
      <c r="Y882" s="62"/>
      <c r="Z882" s="62"/>
      <c r="AA882" s="53">
        <v>44.887142857142855</v>
      </c>
      <c r="AB882" s="53">
        <v>49.972857142857144</v>
      </c>
      <c r="AC882" s="53">
        <v>39.087222222222223</v>
      </c>
      <c r="AD882" s="53">
        <v>44.38944444444445</v>
      </c>
      <c r="AE882" s="53" t="str">
        <f>_xlfn.XLOOKUP(Master[[#This Row],[cu_id]],'[1]Customer Revenue'!$Q:$Q,'[1]Customer Revenue'!$K:$K, "None")</f>
        <v>None</v>
      </c>
      <c r="AF882" s="53" t="str">
        <f>_xlfn.XLOOKUP(Master[[#This Row],[cu_id]],'[1]Customer Revenue'!$Q:$Q,'[1]Customer Revenue'!$L:$L, "None")</f>
        <v>None</v>
      </c>
      <c r="AG882" s="53">
        <v>41.798994082840231</v>
      </c>
      <c r="AH882" s="53">
        <v>47.9471597633136</v>
      </c>
      <c r="AI882" s="53">
        <v>47.43</v>
      </c>
      <c r="AJ882" s="53">
        <v>41.738333333333337</v>
      </c>
      <c r="AK882" s="53" t="str">
        <f>_xlfn.XLOOKUP(Master[[#This Row],[cu_id]],'[1]Customer Revenue'!$Q:$Q,'[1]Customer Revenue'!$I:$I, "None")</f>
        <v>None</v>
      </c>
      <c r="AL882" s="53">
        <v>44.873076923076916</v>
      </c>
      <c r="AM882" s="61">
        <v>0.45833333333333331</v>
      </c>
      <c r="AN882" s="60">
        <v>0.70833333333333337</v>
      </c>
      <c r="AO882" s="60" t="s">
        <v>36</v>
      </c>
      <c r="AP882" s="60" t="s">
        <v>36</v>
      </c>
      <c r="AQ882" s="58" t="s">
        <v>0</v>
      </c>
      <c r="AR882" s="58"/>
      <c r="AS882" s="58"/>
      <c r="AT882" s="52">
        <v>0</v>
      </c>
      <c r="AU882" s="52" t="e">
        <f>IF(Master[[#This Row],[RSP StopTime override]] &lt;&gt; "",Master[[#This Row],[RSP StopTime override]],IF(Master[[#This Row],[Avg stop time helper]] &lt;&gt; 0, Master[[#This Row],[Avg stop time helper]],Average_Stop_Time))</f>
        <v>#DIV/0!</v>
      </c>
      <c r="AV882" s="21"/>
      <c r="AW882" s="20">
        <f>Master[[#This Row],[RSP StopTime override]]-Master[[#This Row],[Avg stop time helper]]</f>
        <v>0</v>
      </c>
    </row>
    <row r="883" spans="1:49" x14ac:dyDescent="0.3">
      <c r="A883" s="66" t="s">
        <v>4908</v>
      </c>
      <c r="B883" s="58">
        <v>52</v>
      </c>
      <c r="C883" s="105" t="s">
        <v>24</v>
      </c>
      <c r="D883" s="65">
        <v>533530</v>
      </c>
      <c r="E883" s="65" t="s">
        <v>42</v>
      </c>
      <c r="F883" s="65" t="s">
        <v>1756</v>
      </c>
      <c r="G883" s="65" t="s">
        <v>1755</v>
      </c>
      <c r="H883" s="65" t="s">
        <v>7</v>
      </c>
      <c r="I883" s="65" t="s">
        <v>12</v>
      </c>
      <c r="J883" s="65" t="s">
        <v>5</v>
      </c>
      <c r="K883" s="65" t="s">
        <v>1754</v>
      </c>
      <c r="L883" s="64">
        <v>5</v>
      </c>
      <c r="M883" s="58" t="s">
        <v>90</v>
      </c>
      <c r="N883" s="58" t="s">
        <v>2</v>
      </c>
      <c r="O883" s="58">
        <v>1</v>
      </c>
      <c r="P883" s="58">
        <v>1</v>
      </c>
      <c r="Q883" s="58">
        <v>0</v>
      </c>
      <c r="R883" s="58">
        <v>0</v>
      </c>
      <c r="S883" s="58">
        <v>0</v>
      </c>
      <c r="T883" s="58">
        <v>0</v>
      </c>
      <c r="U883" s="58">
        <v>6</v>
      </c>
      <c r="V883" s="62">
        <v>12</v>
      </c>
      <c r="W883" s="62">
        <v>4</v>
      </c>
      <c r="X883" s="63">
        <f>IFERROR(1 -(Master[[#This Row],[Avg Garment Scans per Delivery]]/Master[[#This Row],[Garment Inventory]]), 0)</f>
        <v>0.66666666666666674</v>
      </c>
      <c r="Y883" s="62">
        <v>1</v>
      </c>
      <c r="Z883" s="62">
        <v>12</v>
      </c>
      <c r="AA883" s="53">
        <v>46.6768</v>
      </c>
      <c r="AB883" s="53">
        <v>59.307200000000009</v>
      </c>
      <c r="AC883" s="53">
        <v>49.585555555555558</v>
      </c>
      <c r="AD883" s="53">
        <v>51.141111111111115</v>
      </c>
      <c r="AE883" s="53" t="str">
        <f>_xlfn.XLOOKUP(Master[[#This Row],[cu_id]],'[1]Customer Revenue'!$Q:$Q,'[1]Customer Revenue'!$K:$K, "None")</f>
        <v>None</v>
      </c>
      <c r="AF883" s="53" t="str">
        <f>_xlfn.XLOOKUP(Master[[#This Row],[cu_id]],'[1]Customer Revenue'!$Q:$Q,'[1]Customer Revenue'!$L:$L, "None")</f>
        <v>None</v>
      </c>
      <c r="AG883" s="53">
        <v>46.6768</v>
      </c>
      <c r="AH883" s="53">
        <v>59.307200000000009</v>
      </c>
      <c r="AI883" s="53">
        <v>52.992000000000004</v>
      </c>
      <c r="AJ883" s="53">
        <v>50.363333333333337</v>
      </c>
      <c r="AK883" s="53" t="str">
        <f>_xlfn.XLOOKUP(Master[[#This Row],[cu_id]],'[1]Customer Revenue'!$Q:$Q,'[1]Customer Revenue'!$I:$I, "None")</f>
        <v>None</v>
      </c>
      <c r="AL883" s="53">
        <v>52.992000000000004</v>
      </c>
      <c r="AM883" s="61">
        <v>0</v>
      </c>
      <c r="AN883" s="60">
        <v>0.70833333333333337</v>
      </c>
      <c r="AO883" s="60" t="s">
        <v>36</v>
      </c>
      <c r="AP883" s="60" t="s">
        <v>36</v>
      </c>
      <c r="AQ883" s="58" t="s">
        <v>0</v>
      </c>
      <c r="AR883" s="58"/>
      <c r="AS883" s="58"/>
      <c r="AT883" s="52">
        <v>0</v>
      </c>
      <c r="AU883" s="52" t="e">
        <f>IF(Master[[#This Row],[RSP StopTime override]] &lt;&gt; "",Master[[#This Row],[RSP StopTime override]],IF(Master[[#This Row],[Avg stop time helper]] &lt;&gt; 0, Master[[#This Row],[Avg stop time helper]],Average_Stop_Time))</f>
        <v>#DIV/0!</v>
      </c>
      <c r="AV883" s="21"/>
      <c r="AW883" s="20">
        <f>Master[[#This Row],[RSP StopTime override]]-Master[[#This Row],[Avg stop time helper]]</f>
        <v>0</v>
      </c>
    </row>
    <row r="884" spans="1:49" x14ac:dyDescent="0.3">
      <c r="A884" s="66" t="s">
        <v>4909</v>
      </c>
      <c r="B884" s="58">
        <v>52</v>
      </c>
      <c r="C884" s="58" t="s">
        <v>24</v>
      </c>
      <c r="D884" s="65">
        <v>599000</v>
      </c>
      <c r="E884" s="65" t="s">
        <v>686</v>
      </c>
      <c r="F884" s="65" t="s">
        <v>1645</v>
      </c>
      <c r="G884" s="65" t="s">
        <v>1753</v>
      </c>
      <c r="H884" s="65" t="s">
        <v>32</v>
      </c>
      <c r="I884" s="65" t="s">
        <v>50</v>
      </c>
      <c r="J884" s="65" t="s">
        <v>5</v>
      </c>
      <c r="K884" s="65" t="s">
        <v>11</v>
      </c>
      <c r="L884" s="64" t="s">
        <v>67</v>
      </c>
      <c r="M884" s="58" t="s">
        <v>3</v>
      </c>
      <c r="N884" s="58" t="s">
        <v>2</v>
      </c>
      <c r="O884" s="58">
        <v>70</v>
      </c>
      <c r="P884" s="58">
        <v>70</v>
      </c>
      <c r="Q884" s="58">
        <v>0</v>
      </c>
      <c r="R884" s="58">
        <v>0</v>
      </c>
      <c r="S884" s="58">
        <v>0</v>
      </c>
      <c r="T884" s="58">
        <v>0</v>
      </c>
      <c r="U884" s="58">
        <v>52</v>
      </c>
      <c r="V884" s="62">
        <v>78</v>
      </c>
      <c r="W884" s="62">
        <v>28</v>
      </c>
      <c r="X884" s="63">
        <f>IFERROR(1 -(Master[[#This Row],[Avg Garment Scans per Delivery]]/Master[[#This Row],[Garment Inventory]]), 0)</f>
        <v>0.64102564102564097</v>
      </c>
      <c r="Y884" s="62">
        <v>3</v>
      </c>
      <c r="Z884" s="62">
        <v>78</v>
      </c>
      <c r="AA884" s="53">
        <v>61.923609467455627</v>
      </c>
      <c r="AB884" s="53">
        <v>62.988698224852079</v>
      </c>
      <c r="AC884" s="53">
        <v>63.438402366863897</v>
      </c>
      <c r="AD884" s="53">
        <v>64.673905325443769</v>
      </c>
      <c r="AE884" s="53" t="str">
        <f>_xlfn.XLOOKUP(Master[[#This Row],[cu_id]],'[1]Customer Revenue'!$Q:$Q,'[1]Customer Revenue'!$K:$K, "None")</f>
        <v>None</v>
      </c>
      <c r="AF884" s="53" t="str">
        <f>_xlfn.XLOOKUP(Master[[#This Row],[cu_id]],'[1]Customer Revenue'!$Q:$Q,'[1]Customer Revenue'!$L:$L, "None")</f>
        <v>None</v>
      </c>
      <c r="AG884" s="53">
        <v>61.976863905325438</v>
      </c>
      <c r="AH884" s="53">
        <v>62.589289940828344</v>
      </c>
      <c r="AI884" s="53">
        <v>62.456153846153853</v>
      </c>
      <c r="AJ884" s="53">
        <v>64.056153846153833</v>
      </c>
      <c r="AK884" s="53" t="str">
        <f>_xlfn.XLOOKUP(Master[[#This Row],[cu_id]],'[1]Customer Revenue'!$Q:$Q,'[1]Customer Revenue'!$I:$I, "None")</f>
        <v>None</v>
      </c>
      <c r="AL884" s="53">
        <v>62.283076923076891</v>
      </c>
      <c r="AM884" s="61">
        <v>0.25</v>
      </c>
      <c r="AN884" s="60">
        <v>0.70833333333333337</v>
      </c>
      <c r="AO884" s="60" t="s">
        <v>36</v>
      </c>
      <c r="AP884" s="60" t="s">
        <v>36</v>
      </c>
      <c r="AQ884" s="58" t="s">
        <v>0</v>
      </c>
      <c r="AR884" s="58"/>
      <c r="AS884" s="58"/>
      <c r="AT884" s="52">
        <v>0</v>
      </c>
      <c r="AU884" s="52" t="e">
        <f>IF(Master[[#This Row],[RSP StopTime override]] &lt;&gt; "",Master[[#This Row],[RSP StopTime override]],IF(Master[[#This Row],[Avg stop time helper]] &lt;&gt; 0, Master[[#This Row],[Avg stop time helper]],Average_Stop_Time))</f>
        <v>#DIV/0!</v>
      </c>
      <c r="AV884" s="21"/>
      <c r="AW884" s="20">
        <f>Master[[#This Row],[RSP StopTime override]]-Master[[#This Row],[Avg stop time helper]]</f>
        <v>0</v>
      </c>
    </row>
    <row r="885" spans="1:49" x14ac:dyDescent="0.3">
      <c r="A885" s="66" t="s">
        <v>4910</v>
      </c>
      <c r="B885" s="58">
        <v>52</v>
      </c>
      <c r="C885" s="58" t="s">
        <v>24</v>
      </c>
      <c r="D885" s="65">
        <v>599000</v>
      </c>
      <c r="E885" s="65" t="s">
        <v>1158</v>
      </c>
      <c r="F885" s="65" t="s">
        <v>1645</v>
      </c>
      <c r="G885" s="65" t="s">
        <v>1752</v>
      </c>
      <c r="H885" s="65" t="s">
        <v>32</v>
      </c>
      <c r="I885" s="65" t="s">
        <v>50</v>
      </c>
      <c r="J885" s="65" t="s">
        <v>5</v>
      </c>
      <c r="K885" s="65" t="s">
        <v>61</v>
      </c>
      <c r="L885" s="64" t="s">
        <v>67</v>
      </c>
      <c r="M885" s="58" t="s">
        <v>3</v>
      </c>
      <c r="N885" s="58" t="s">
        <v>2</v>
      </c>
      <c r="O885" s="58">
        <v>10</v>
      </c>
      <c r="P885" s="58">
        <v>10</v>
      </c>
      <c r="Q885" s="58">
        <v>0</v>
      </c>
      <c r="R885" s="58">
        <v>0</v>
      </c>
      <c r="S885" s="58">
        <v>0</v>
      </c>
      <c r="T885" s="58">
        <v>0</v>
      </c>
      <c r="U885" s="58">
        <v>52</v>
      </c>
      <c r="V885" s="62">
        <v>68</v>
      </c>
      <c r="W885" s="62">
        <v>16</v>
      </c>
      <c r="X885" s="63">
        <f>IFERROR(1 -(Master[[#This Row],[Avg Garment Scans per Delivery]]/Master[[#This Row],[Garment Inventory]]), 0)</f>
        <v>0.76470588235294112</v>
      </c>
      <c r="Y885" s="62">
        <v>3</v>
      </c>
      <c r="Z885" s="62">
        <v>67</v>
      </c>
      <c r="AA885" s="53">
        <v>48.363609467455618</v>
      </c>
      <c r="AB885" s="53">
        <v>49.42869822485207</v>
      </c>
      <c r="AC885" s="53">
        <v>49.776035502958585</v>
      </c>
      <c r="AD885" s="53">
        <v>51.748579881656816</v>
      </c>
      <c r="AE885" s="53" t="str">
        <f>_xlfn.XLOOKUP(Master[[#This Row],[cu_id]],'[1]Customer Revenue'!$Q:$Q,'[1]Customer Revenue'!$K:$K, "None")</f>
        <v>None</v>
      </c>
      <c r="AF885" s="53" t="str">
        <f>_xlfn.XLOOKUP(Master[[#This Row],[cu_id]],'[1]Customer Revenue'!$Q:$Q,'[1]Customer Revenue'!$L:$L, "None")</f>
        <v>None</v>
      </c>
      <c r="AG885" s="53">
        <v>47.782071005917125</v>
      </c>
      <c r="AH885" s="53">
        <v>48.985621301775133</v>
      </c>
      <c r="AI885" s="53">
        <v>48.896153846153844</v>
      </c>
      <c r="AJ885" s="53">
        <v>50.762307692307701</v>
      </c>
      <c r="AK885" s="53" t="str">
        <f>_xlfn.XLOOKUP(Master[[#This Row],[cu_id]],'[1]Customer Revenue'!$Q:$Q,'[1]Customer Revenue'!$I:$I, "None")</f>
        <v>None</v>
      </c>
      <c r="AL885" s="53">
        <v>48.383846153846129</v>
      </c>
      <c r="AM885" s="61">
        <v>0.25</v>
      </c>
      <c r="AN885" s="60">
        <v>0.70833333333333337</v>
      </c>
      <c r="AO885" s="60" t="s">
        <v>36</v>
      </c>
      <c r="AP885" s="60" t="s">
        <v>36</v>
      </c>
      <c r="AQ885" s="58" t="s">
        <v>0</v>
      </c>
      <c r="AR885" s="58"/>
      <c r="AS885" s="58"/>
      <c r="AT885" s="52">
        <v>0</v>
      </c>
      <c r="AU885" s="52" t="e">
        <f>IF(Master[[#This Row],[RSP StopTime override]] &lt;&gt; "",Master[[#This Row],[RSP StopTime override]],IF(Master[[#This Row],[Avg stop time helper]] &lt;&gt; 0, Master[[#This Row],[Avg stop time helper]],Average_Stop_Time))</f>
        <v>#DIV/0!</v>
      </c>
      <c r="AV885" s="21"/>
      <c r="AW885" s="20">
        <f>Master[[#This Row],[RSP StopTime override]]-Master[[#This Row],[Avg stop time helper]]</f>
        <v>0</v>
      </c>
    </row>
    <row r="886" spans="1:49" x14ac:dyDescent="0.3">
      <c r="A886" s="66" t="s">
        <v>4911</v>
      </c>
      <c r="B886" s="58">
        <v>52</v>
      </c>
      <c r="C886" s="58" t="s">
        <v>35</v>
      </c>
      <c r="D886" s="65">
        <v>27828</v>
      </c>
      <c r="E886" s="65" t="s">
        <v>1569</v>
      </c>
      <c r="F886" s="65" t="s">
        <v>1751</v>
      </c>
      <c r="G886" s="65" t="s">
        <v>1750</v>
      </c>
      <c r="H886" s="65" t="s">
        <v>32</v>
      </c>
      <c r="I886" s="65" t="s">
        <v>50</v>
      </c>
      <c r="J886" s="65" t="s">
        <v>5</v>
      </c>
      <c r="K886" s="65" t="s">
        <v>11</v>
      </c>
      <c r="L886" s="64" t="s">
        <v>67</v>
      </c>
      <c r="M886" s="58" t="s">
        <v>3</v>
      </c>
      <c r="N886" s="58" t="s">
        <v>2</v>
      </c>
      <c r="O886" s="58">
        <v>75</v>
      </c>
      <c r="P886" s="58">
        <v>0</v>
      </c>
      <c r="Q886" s="58">
        <v>75</v>
      </c>
      <c r="R886" s="58">
        <v>0</v>
      </c>
      <c r="S886" s="58">
        <v>0</v>
      </c>
      <c r="T886" s="58">
        <v>0</v>
      </c>
      <c r="U886" s="58">
        <v>53</v>
      </c>
      <c r="V886" s="62">
        <v>22</v>
      </c>
      <c r="W886" s="62">
        <v>2</v>
      </c>
      <c r="X886" s="63">
        <f>IFERROR(1 -(Master[[#This Row],[Avg Garment Scans per Delivery]]/Master[[#This Row],[Garment Inventory]]), 0)</f>
        <v>0.90909090909090906</v>
      </c>
      <c r="Y886" s="62">
        <v>1</v>
      </c>
      <c r="Z886" s="62">
        <v>11</v>
      </c>
      <c r="AA886" s="53">
        <v>242.02519623233906</v>
      </c>
      <c r="AB886" s="53">
        <v>382.091726844584</v>
      </c>
      <c r="AC886" s="53">
        <v>251.64208791208793</v>
      </c>
      <c r="AD886" s="53">
        <v>494.93637362637367</v>
      </c>
      <c r="AE886" s="53" t="str">
        <f>_xlfn.XLOOKUP(Master[[#This Row],[cu_id]],'[1]Customer Revenue'!$Q:$Q,'[1]Customer Revenue'!$K:$K, "None")</f>
        <v>None</v>
      </c>
      <c r="AF886" s="53" t="str">
        <f>_xlfn.XLOOKUP(Master[[#This Row],[cu_id]],'[1]Customer Revenue'!$Q:$Q,'[1]Customer Revenue'!$L:$L, "None")</f>
        <v>None</v>
      </c>
      <c r="AG886" s="53">
        <v>256.09642450142456</v>
      </c>
      <c r="AH886" s="53">
        <v>351.5304985754986</v>
      </c>
      <c r="AI886" s="53">
        <v>312.05846153846153</v>
      </c>
      <c r="AJ886" s="53">
        <v>373.28923076923081</v>
      </c>
      <c r="AK886" s="53" t="str">
        <f>_xlfn.XLOOKUP(Master[[#This Row],[cu_id]],'[1]Customer Revenue'!$Q:$Q,'[1]Customer Revenue'!$I:$I, "None")</f>
        <v>None</v>
      </c>
      <c r="AL886" s="53">
        <v>303.81346153846158</v>
      </c>
      <c r="AM886" s="61">
        <v>0.33333333333333331</v>
      </c>
      <c r="AN886" s="60">
        <v>0.70833333333333337</v>
      </c>
      <c r="AO886" s="60" t="s">
        <v>36</v>
      </c>
      <c r="AP886" s="60" t="s">
        <v>36</v>
      </c>
      <c r="AQ886" s="58" t="s">
        <v>0</v>
      </c>
      <c r="AR886" s="58"/>
      <c r="AS886" s="58"/>
      <c r="AT886" s="52">
        <v>0</v>
      </c>
      <c r="AU886" s="52" t="e">
        <f>IF(Master[[#This Row],[RSP StopTime override]] &lt;&gt; "",Master[[#This Row],[RSP StopTime override]],IF(Master[[#This Row],[Avg stop time helper]] &lt;&gt; 0, Master[[#This Row],[Avg stop time helper]],Average_Stop_Time))</f>
        <v>#DIV/0!</v>
      </c>
      <c r="AV886" s="21"/>
      <c r="AW886" s="20">
        <f>Master[[#This Row],[RSP StopTime override]]-Master[[#This Row],[Avg stop time helper]]</f>
        <v>0</v>
      </c>
    </row>
    <row r="887" spans="1:49" x14ac:dyDescent="0.3">
      <c r="A887" s="66" t="s">
        <v>4912</v>
      </c>
      <c r="B887" s="58">
        <v>52</v>
      </c>
      <c r="C887" s="58" t="s">
        <v>35</v>
      </c>
      <c r="D887" s="65">
        <v>99033</v>
      </c>
      <c r="E887" s="65" t="s">
        <v>1749</v>
      </c>
      <c r="F887" s="65" t="s">
        <v>1748</v>
      </c>
      <c r="G887" s="65" t="s">
        <v>1747</v>
      </c>
      <c r="H887" s="65" t="s">
        <v>32</v>
      </c>
      <c r="I887" s="65" t="s">
        <v>12</v>
      </c>
      <c r="J887" s="65" t="s">
        <v>5</v>
      </c>
      <c r="K887" s="65" t="s">
        <v>11</v>
      </c>
      <c r="L887" s="64" t="s">
        <v>67</v>
      </c>
      <c r="M887" s="58" t="s">
        <v>3</v>
      </c>
      <c r="N887" s="58" t="s">
        <v>2</v>
      </c>
      <c r="O887" s="58">
        <v>35</v>
      </c>
      <c r="P887" s="58">
        <v>0</v>
      </c>
      <c r="Q887" s="58">
        <v>35</v>
      </c>
      <c r="R887" s="58">
        <v>0</v>
      </c>
      <c r="S887" s="58">
        <v>0</v>
      </c>
      <c r="T887" s="58">
        <v>0</v>
      </c>
      <c r="U887" s="58">
        <v>55</v>
      </c>
      <c r="V887" s="62">
        <v>16</v>
      </c>
      <c r="W887" s="62">
        <v>1</v>
      </c>
      <c r="X887" s="63">
        <f>IFERROR(1 -(Master[[#This Row],[Avg Garment Scans per Delivery]]/Master[[#This Row],[Garment Inventory]]), 0)</f>
        <v>0.9375</v>
      </c>
      <c r="Y887" s="62">
        <v>1</v>
      </c>
      <c r="Z887" s="62">
        <v>7</v>
      </c>
      <c r="AA887" s="53">
        <v>52.192840236686393</v>
      </c>
      <c r="AB887" s="53">
        <v>71.399467455621306</v>
      </c>
      <c r="AC887" s="53">
        <v>56.600414201183426</v>
      </c>
      <c r="AD887" s="53">
        <v>100.26266272189348</v>
      </c>
      <c r="AE887" s="53" t="str">
        <f>_xlfn.XLOOKUP(Master[[#This Row],[cu_id]],'[1]Customer Revenue'!$Q:$Q,'[1]Customer Revenue'!$K:$K, "None")</f>
        <v>None</v>
      </c>
      <c r="AF887" s="53" t="str">
        <f>_xlfn.XLOOKUP(Master[[#This Row],[cu_id]],'[1]Customer Revenue'!$Q:$Q,'[1]Customer Revenue'!$L:$L, "None")</f>
        <v>None</v>
      </c>
      <c r="AG887" s="53">
        <v>48.851736836551638</v>
      </c>
      <c r="AH887" s="53">
        <v>88.02057085575602</v>
      </c>
      <c r="AI887" s="53">
        <v>61.79615384615385</v>
      </c>
      <c r="AJ887" s="53">
        <v>78.431538461538452</v>
      </c>
      <c r="AK887" s="53" t="str">
        <f>_xlfn.XLOOKUP(Master[[#This Row],[cu_id]],'[1]Customer Revenue'!$Q:$Q,'[1]Customer Revenue'!$I:$I, "None")</f>
        <v>None</v>
      </c>
      <c r="AL887" s="53">
        <v>68.436153846153829</v>
      </c>
      <c r="AM887" s="61">
        <v>0.33333333333333331</v>
      </c>
      <c r="AN887" s="60">
        <v>0.70833333333333337</v>
      </c>
      <c r="AO887" s="60" t="s">
        <v>36</v>
      </c>
      <c r="AP887" s="60" t="s">
        <v>36</v>
      </c>
      <c r="AQ887" s="58" t="s">
        <v>0</v>
      </c>
      <c r="AR887" s="58"/>
      <c r="AS887" s="58"/>
      <c r="AT887" s="52">
        <v>0</v>
      </c>
      <c r="AU887" s="52" t="e">
        <f>IF(Master[[#This Row],[RSP StopTime override]] &lt;&gt; "",Master[[#This Row],[RSP StopTime override]],IF(Master[[#This Row],[Avg stop time helper]] &lt;&gt; 0, Master[[#This Row],[Avg stop time helper]],Average_Stop_Time))</f>
        <v>#DIV/0!</v>
      </c>
      <c r="AV887" s="21"/>
      <c r="AW887" s="20">
        <f>Master[[#This Row],[RSP StopTime override]]-Master[[#This Row],[Avg stop time helper]]</f>
        <v>0</v>
      </c>
    </row>
    <row r="888" spans="1:49" x14ac:dyDescent="0.3">
      <c r="A888" s="66" t="s">
        <v>4913</v>
      </c>
      <c r="B888" s="58">
        <v>52</v>
      </c>
      <c r="C888" s="58" t="s">
        <v>35</v>
      </c>
      <c r="D888" s="65">
        <v>99087</v>
      </c>
      <c r="E888" s="65" t="s">
        <v>686</v>
      </c>
      <c r="F888" s="65" t="s">
        <v>1746</v>
      </c>
      <c r="G888" s="65" t="s">
        <v>1745</v>
      </c>
      <c r="H888" s="65" t="s">
        <v>32</v>
      </c>
      <c r="I888" s="65" t="s">
        <v>12</v>
      </c>
      <c r="J888" s="65" t="s">
        <v>5</v>
      </c>
      <c r="K888" s="65" t="s">
        <v>61</v>
      </c>
      <c r="L888" s="64" t="s">
        <v>77</v>
      </c>
      <c r="M888" s="58" t="s">
        <v>29</v>
      </c>
      <c r="N888" s="58" t="s">
        <v>2</v>
      </c>
      <c r="O888" s="58">
        <v>30</v>
      </c>
      <c r="P888" s="58">
        <v>0</v>
      </c>
      <c r="Q888" s="58">
        <v>30</v>
      </c>
      <c r="R888" s="58">
        <v>0</v>
      </c>
      <c r="S888" s="58">
        <v>0</v>
      </c>
      <c r="T888" s="58">
        <v>0</v>
      </c>
      <c r="U888" s="58">
        <v>22</v>
      </c>
      <c r="V888" s="62"/>
      <c r="W888" s="62"/>
      <c r="X888" s="63">
        <f>IFERROR(1 -(Master[[#This Row],[Avg Garment Scans per Delivery]]/Master[[#This Row],[Garment Inventory]]), 0)</f>
        <v>0</v>
      </c>
      <c r="Y888" s="62"/>
      <c r="Z888" s="62"/>
      <c r="AA888" s="53">
        <v>68.680000000000007</v>
      </c>
      <c r="AB888" s="53">
        <v>69.930000000000007</v>
      </c>
      <c r="AC888" s="53">
        <v>70.864081632653068</v>
      </c>
      <c r="AD888" s="53">
        <v>72.970204081632659</v>
      </c>
      <c r="AE888" s="53" t="str">
        <f>_xlfn.XLOOKUP(Master[[#This Row],[cu_id]],'[1]Customer Revenue'!$Q:$Q,'[1]Customer Revenue'!$K:$K, "None")</f>
        <v>None</v>
      </c>
      <c r="AF888" s="53" t="str">
        <f>_xlfn.XLOOKUP(Master[[#This Row],[cu_id]],'[1]Customer Revenue'!$Q:$Q,'[1]Customer Revenue'!$L:$L, "None")</f>
        <v>None</v>
      </c>
      <c r="AG888" s="53">
        <v>68.783550295857992</v>
      </c>
      <c r="AH888" s="53">
        <v>69.422603550295918</v>
      </c>
      <c r="AI888" s="53">
        <v>69.305000000000007</v>
      </c>
      <c r="AJ888" s="53">
        <v>71.917142857142863</v>
      </c>
      <c r="AK888" s="53" t="str">
        <f>_xlfn.XLOOKUP(Master[[#This Row],[cu_id]],'[1]Customer Revenue'!$Q:$Q,'[1]Customer Revenue'!$I:$I, "None")</f>
        <v>None</v>
      </c>
      <c r="AL888" s="53">
        <v>69.103076923076955</v>
      </c>
      <c r="AM888" s="61">
        <v>0.375</v>
      </c>
      <c r="AN888" s="60">
        <v>0.70833333333333337</v>
      </c>
      <c r="AO888" s="60" t="s">
        <v>36</v>
      </c>
      <c r="AP888" s="60" t="s">
        <v>36</v>
      </c>
      <c r="AQ888" s="58" t="s">
        <v>0</v>
      </c>
      <c r="AR888" s="58"/>
      <c r="AS888" s="58"/>
      <c r="AT888" s="52">
        <v>0</v>
      </c>
      <c r="AU888" s="52" t="e">
        <f>IF(Master[[#This Row],[RSP StopTime override]] &lt;&gt; "",Master[[#This Row],[RSP StopTime override]],IF(Master[[#This Row],[Avg stop time helper]] &lt;&gt; 0, Master[[#This Row],[Avg stop time helper]],Average_Stop_Time))</f>
        <v>#DIV/0!</v>
      </c>
      <c r="AV888" s="21"/>
      <c r="AW888" s="20">
        <f>Master[[#This Row],[RSP StopTime override]]-Master[[#This Row],[Avg stop time helper]]</f>
        <v>0</v>
      </c>
    </row>
    <row r="889" spans="1:49" x14ac:dyDescent="0.3">
      <c r="A889" s="66" t="s">
        <v>4914</v>
      </c>
      <c r="B889" s="58">
        <v>52</v>
      </c>
      <c r="C889" s="58" t="s">
        <v>35</v>
      </c>
      <c r="D889" s="65">
        <v>99145</v>
      </c>
      <c r="E889" s="65" t="s">
        <v>1416</v>
      </c>
      <c r="F889" s="65" t="s">
        <v>1744</v>
      </c>
      <c r="G889" s="65" t="s">
        <v>1743</v>
      </c>
      <c r="H889" s="65" t="s">
        <v>7</v>
      </c>
      <c r="I889" s="65" t="s">
        <v>12</v>
      </c>
      <c r="J889" s="65" t="s">
        <v>5</v>
      </c>
      <c r="K889" s="65" t="s">
        <v>11</v>
      </c>
      <c r="L889" s="64" t="s">
        <v>194</v>
      </c>
      <c r="M889" s="58" t="s">
        <v>193</v>
      </c>
      <c r="N889" s="58" t="s">
        <v>2</v>
      </c>
      <c r="O889" s="58">
        <v>105</v>
      </c>
      <c r="P889" s="58">
        <v>0</v>
      </c>
      <c r="Q889" s="58">
        <v>105</v>
      </c>
      <c r="R889" s="58">
        <v>0</v>
      </c>
      <c r="S889" s="58">
        <v>0</v>
      </c>
      <c r="T889" s="58">
        <v>0</v>
      </c>
      <c r="U889" s="58">
        <v>14</v>
      </c>
      <c r="V889" s="62"/>
      <c r="W889" s="62"/>
      <c r="X889" s="63">
        <f>IFERROR(1 -(Master[[#This Row],[Avg Garment Scans per Delivery]]/Master[[#This Row],[Garment Inventory]]), 0)</f>
        <v>0</v>
      </c>
      <c r="Y889" s="62"/>
      <c r="Z889" s="62"/>
      <c r="AA889" s="53">
        <v>83.276222222222231</v>
      </c>
      <c r="AB889" s="53">
        <v>161.37177777777777</v>
      </c>
      <c r="AC889" s="53">
        <v>132.61666666666665</v>
      </c>
      <c r="AD889" s="53">
        <v>134.96333333333334</v>
      </c>
      <c r="AE889" s="53" t="str">
        <f>_xlfn.XLOOKUP(Master[[#This Row],[cu_id]],'[1]Customer Revenue'!$Q:$Q,'[1]Customer Revenue'!$K:$K, "None")</f>
        <v>None</v>
      </c>
      <c r="AF889" s="53" t="str">
        <f>_xlfn.XLOOKUP(Master[[#This Row],[cu_id]],'[1]Customer Revenue'!$Q:$Q,'[1]Customer Revenue'!$L:$L, "None")</f>
        <v>None</v>
      </c>
      <c r="AG889" s="53">
        <v>94.603271604938271</v>
      </c>
      <c r="AH889" s="53">
        <v>154.44672839506171</v>
      </c>
      <c r="AI889" s="53">
        <v>122.324</v>
      </c>
      <c r="AJ889" s="53">
        <v>133.79</v>
      </c>
      <c r="AK889" s="53" t="str">
        <f>_xlfn.XLOOKUP(Master[[#This Row],[cu_id]],'[1]Customer Revenue'!$Q:$Q,'[1]Customer Revenue'!$I:$I, "None")</f>
        <v>None</v>
      </c>
      <c r="AL889" s="53">
        <v>124.52499999999999</v>
      </c>
      <c r="AM889" s="61">
        <v>0.375</v>
      </c>
      <c r="AN889" s="60">
        <v>0.70833333333333337</v>
      </c>
      <c r="AO889" s="60" t="s">
        <v>36</v>
      </c>
      <c r="AP889" s="60" t="s">
        <v>36</v>
      </c>
      <c r="AQ889" s="58" t="s">
        <v>0</v>
      </c>
      <c r="AR889" s="58"/>
      <c r="AS889" s="58"/>
      <c r="AT889" s="52">
        <v>0</v>
      </c>
      <c r="AU889" s="52" t="e">
        <f>IF(Master[[#This Row],[RSP StopTime override]] &lt;&gt; "",Master[[#This Row],[RSP StopTime override]],IF(Master[[#This Row],[Avg stop time helper]] &lt;&gt; 0, Master[[#This Row],[Avg stop time helper]],Average_Stop_Time))</f>
        <v>#DIV/0!</v>
      </c>
      <c r="AV889" s="21"/>
      <c r="AW889" s="20">
        <f>Master[[#This Row],[RSP StopTime override]]-Master[[#This Row],[Avg stop time helper]]</f>
        <v>0</v>
      </c>
    </row>
    <row r="890" spans="1:49" x14ac:dyDescent="0.3">
      <c r="A890" s="66" t="s">
        <v>4915</v>
      </c>
      <c r="B890" s="58">
        <v>52</v>
      </c>
      <c r="C890" s="58" t="s">
        <v>35</v>
      </c>
      <c r="D890" s="65">
        <v>518681</v>
      </c>
      <c r="E890" s="65" t="s">
        <v>42</v>
      </c>
      <c r="F890" s="65" t="s">
        <v>1742</v>
      </c>
      <c r="G890" s="65" t="s">
        <v>1741</v>
      </c>
      <c r="H890" s="65" t="s">
        <v>32</v>
      </c>
      <c r="I890" s="65" t="s">
        <v>50</v>
      </c>
      <c r="J890" s="65" t="s">
        <v>5</v>
      </c>
      <c r="K890" s="65" t="s">
        <v>11</v>
      </c>
      <c r="L890" s="64" t="s">
        <v>67</v>
      </c>
      <c r="M890" s="58" t="s">
        <v>3</v>
      </c>
      <c r="N890" s="58" t="s">
        <v>2</v>
      </c>
      <c r="O890" s="58">
        <v>65</v>
      </c>
      <c r="P890" s="58">
        <v>0</v>
      </c>
      <c r="Q890" s="58">
        <v>65</v>
      </c>
      <c r="R890" s="58">
        <v>0</v>
      </c>
      <c r="S890" s="58">
        <v>0</v>
      </c>
      <c r="T890" s="58">
        <v>0</v>
      </c>
      <c r="U890" s="58">
        <v>55</v>
      </c>
      <c r="V890" s="62"/>
      <c r="W890" s="62"/>
      <c r="X890" s="63">
        <f>IFERROR(1 -(Master[[#This Row],[Avg Garment Scans per Delivery]]/Master[[#This Row],[Garment Inventory]]), 0)</f>
        <v>0</v>
      </c>
      <c r="Y890" s="62"/>
      <c r="Z890" s="62"/>
      <c r="AA890" s="53">
        <v>183.11147928994072</v>
      </c>
      <c r="AB890" s="53">
        <v>412.69467455621304</v>
      </c>
      <c r="AC890" s="53">
        <v>103.289349112426</v>
      </c>
      <c r="AD890" s="53">
        <v>342.52603550295851</v>
      </c>
      <c r="AE890" s="53" t="str">
        <f>_xlfn.XLOOKUP(Master[[#This Row],[cu_id]],'[1]Customer Revenue'!$Q:$Q,'[1]Customer Revenue'!$K:$K, "None")</f>
        <v>None</v>
      </c>
      <c r="AF890" s="53" t="str">
        <f>_xlfn.XLOOKUP(Master[[#This Row],[cu_id]],'[1]Customer Revenue'!$Q:$Q,'[1]Customer Revenue'!$L:$L, "None")</f>
        <v>None</v>
      </c>
      <c r="AG890" s="53">
        <v>130.07857142857154</v>
      </c>
      <c r="AH890" s="53">
        <v>378.82642857142866</v>
      </c>
      <c r="AI890" s="53">
        <v>297.90307692307687</v>
      </c>
      <c r="AJ890" s="53">
        <v>222.90769230769226</v>
      </c>
      <c r="AK890" s="53" t="str">
        <f>_xlfn.XLOOKUP(Master[[#This Row],[cu_id]],'[1]Customer Revenue'!$Q:$Q,'[1]Customer Revenue'!$I:$I, "None")</f>
        <v>None</v>
      </c>
      <c r="AL890" s="53">
        <v>254.4525000000001</v>
      </c>
      <c r="AM890" s="61" t="s">
        <v>1</v>
      </c>
      <c r="AN890" s="60" t="s">
        <v>1</v>
      </c>
      <c r="AO890" s="60" t="s">
        <v>36</v>
      </c>
      <c r="AP890" s="60" t="s">
        <v>36</v>
      </c>
      <c r="AQ890" s="58" t="s">
        <v>0</v>
      </c>
      <c r="AR890" s="58"/>
      <c r="AS890" s="58"/>
      <c r="AT890" s="52">
        <v>0</v>
      </c>
      <c r="AU890" s="52" t="e">
        <f>IF(Master[[#This Row],[RSP StopTime override]] &lt;&gt; "",Master[[#This Row],[RSP StopTime override]],IF(Master[[#This Row],[Avg stop time helper]] &lt;&gt; 0, Master[[#This Row],[Avg stop time helper]],Average_Stop_Time))</f>
        <v>#DIV/0!</v>
      </c>
      <c r="AV890" s="21"/>
      <c r="AW890" s="20">
        <f>Master[[#This Row],[RSP StopTime override]]-Master[[#This Row],[Avg stop time helper]]</f>
        <v>0</v>
      </c>
    </row>
    <row r="891" spans="1:49" x14ac:dyDescent="0.3">
      <c r="A891" s="66" t="s">
        <v>4916</v>
      </c>
      <c r="B891" s="58">
        <v>52</v>
      </c>
      <c r="C891" s="58" t="s">
        <v>35</v>
      </c>
      <c r="D891" s="65">
        <v>523800</v>
      </c>
      <c r="E891" s="65" t="s">
        <v>42</v>
      </c>
      <c r="F891" s="65" t="s">
        <v>1740</v>
      </c>
      <c r="G891" s="65" t="s">
        <v>1739</v>
      </c>
      <c r="H891" s="65" t="s">
        <v>7</v>
      </c>
      <c r="I891" s="65" t="s">
        <v>12</v>
      </c>
      <c r="J891" s="65" t="s">
        <v>5</v>
      </c>
      <c r="K891" s="65" t="s">
        <v>11</v>
      </c>
      <c r="L891" s="64" t="s">
        <v>67</v>
      </c>
      <c r="M891" s="58" t="s">
        <v>3</v>
      </c>
      <c r="N891" s="58" t="s">
        <v>2</v>
      </c>
      <c r="O891" s="58">
        <v>95</v>
      </c>
      <c r="P891" s="58">
        <v>0</v>
      </c>
      <c r="Q891" s="58">
        <v>95</v>
      </c>
      <c r="R891" s="58">
        <v>0</v>
      </c>
      <c r="S891" s="58">
        <v>0</v>
      </c>
      <c r="T891" s="58">
        <v>0</v>
      </c>
      <c r="U891" s="58">
        <v>51</v>
      </c>
      <c r="V891" s="62"/>
      <c r="W891" s="62">
        <v>2</v>
      </c>
      <c r="X891" s="63">
        <f>IFERROR(1 -(Master[[#This Row],[Avg Garment Scans per Delivery]]/Master[[#This Row],[Garment Inventory]]), 0)</f>
        <v>0</v>
      </c>
      <c r="Y891" s="62"/>
      <c r="Z891" s="62"/>
      <c r="AA891" s="53">
        <v>62.887672583826401</v>
      </c>
      <c r="AB891" s="53">
        <v>83.705660749506904</v>
      </c>
      <c r="AC891" s="53">
        <v>78.445088757396448</v>
      </c>
      <c r="AD891" s="53">
        <v>88.721065088757385</v>
      </c>
      <c r="AE891" s="53" t="str">
        <f>_xlfn.XLOOKUP(Master[[#This Row],[cu_id]],'[1]Customer Revenue'!$Q:$Q,'[1]Customer Revenue'!$K:$K, "None")</f>
        <v>None</v>
      </c>
      <c r="AF891" s="53" t="str">
        <f>_xlfn.XLOOKUP(Master[[#This Row],[cu_id]],'[1]Customer Revenue'!$Q:$Q,'[1]Customer Revenue'!$L:$L, "None")</f>
        <v>None</v>
      </c>
      <c r="AG891" s="53">
        <v>64.147456804733736</v>
      </c>
      <c r="AH891" s="53">
        <v>78.394143195266281</v>
      </c>
      <c r="AI891" s="53">
        <v>73.296666666666653</v>
      </c>
      <c r="AJ891" s="53">
        <v>83.583076923076916</v>
      </c>
      <c r="AK891" s="53" t="str">
        <f>_xlfn.XLOOKUP(Master[[#This Row],[cu_id]],'[1]Customer Revenue'!$Q:$Q,'[1]Customer Revenue'!$I:$I, "None")</f>
        <v>None</v>
      </c>
      <c r="AL891" s="53">
        <v>71.270800000000008</v>
      </c>
      <c r="AM891" s="61">
        <v>0.29166666666666669</v>
      </c>
      <c r="AN891" s="60">
        <v>0.70833333333333337</v>
      </c>
      <c r="AO891" s="60" t="s">
        <v>36</v>
      </c>
      <c r="AP891" s="60" t="s">
        <v>36</v>
      </c>
      <c r="AQ891" s="58" t="s">
        <v>0</v>
      </c>
      <c r="AR891" s="58"/>
      <c r="AS891" s="58"/>
      <c r="AT891" s="52">
        <v>0</v>
      </c>
      <c r="AU891" s="52" t="e">
        <f>IF(Master[[#This Row],[RSP StopTime override]] &lt;&gt; "",Master[[#This Row],[RSP StopTime override]],IF(Master[[#This Row],[Avg stop time helper]] &lt;&gt; 0, Master[[#This Row],[Avg stop time helper]],Average_Stop_Time))</f>
        <v>#DIV/0!</v>
      </c>
      <c r="AV891" s="21"/>
      <c r="AW891" s="20">
        <f>Master[[#This Row],[RSP StopTime override]]-Master[[#This Row],[Avg stop time helper]]</f>
        <v>0</v>
      </c>
    </row>
    <row r="892" spans="1:49" x14ac:dyDescent="0.3">
      <c r="A892" s="66" t="s">
        <v>4917</v>
      </c>
      <c r="B892" s="58">
        <v>52</v>
      </c>
      <c r="C892" s="58" t="s">
        <v>35</v>
      </c>
      <c r="D892" s="65">
        <v>530307</v>
      </c>
      <c r="E892" s="65" t="s">
        <v>686</v>
      </c>
      <c r="F892" s="65" t="s">
        <v>1738</v>
      </c>
      <c r="G892" s="65" t="s">
        <v>1737</v>
      </c>
      <c r="H892" s="65" t="s">
        <v>7</v>
      </c>
      <c r="I892" s="65" t="s">
        <v>12</v>
      </c>
      <c r="J892" s="65" t="s">
        <v>5</v>
      </c>
      <c r="K892" s="65" t="s">
        <v>61</v>
      </c>
      <c r="L892" s="64" t="s">
        <v>67</v>
      </c>
      <c r="M892" s="58" t="s">
        <v>3</v>
      </c>
      <c r="N892" s="58" t="s">
        <v>2</v>
      </c>
      <c r="O892" s="58">
        <v>5</v>
      </c>
      <c r="P892" s="58">
        <v>0</v>
      </c>
      <c r="Q892" s="58">
        <v>5</v>
      </c>
      <c r="R892" s="58">
        <v>0</v>
      </c>
      <c r="S892" s="58">
        <v>0</v>
      </c>
      <c r="T892" s="58">
        <v>0</v>
      </c>
      <c r="U892" s="58">
        <v>52</v>
      </c>
      <c r="V892" s="62"/>
      <c r="W892" s="62"/>
      <c r="X892" s="63">
        <f>IFERROR(1 -(Master[[#This Row],[Avg Garment Scans per Delivery]]/Master[[#This Row],[Garment Inventory]]), 0)</f>
        <v>0</v>
      </c>
      <c r="Y892" s="62"/>
      <c r="Z892" s="62"/>
      <c r="AA892" s="53">
        <v>200.84207100591723</v>
      </c>
      <c r="AB892" s="53">
        <v>268.31946745562129</v>
      </c>
      <c r="AC892" s="53">
        <v>208.95011834319533</v>
      </c>
      <c r="AD892" s="53">
        <v>251.1283431952663</v>
      </c>
      <c r="AE892" s="53" t="str">
        <f>_xlfn.XLOOKUP(Master[[#This Row],[cu_id]],'[1]Customer Revenue'!$Q:$Q,'[1]Customer Revenue'!$K:$K, "None")</f>
        <v>None</v>
      </c>
      <c r="AF892" s="53" t="str">
        <f>_xlfn.XLOOKUP(Master[[#This Row],[cu_id]],'[1]Customer Revenue'!$Q:$Q,'[1]Customer Revenue'!$L:$L, "None")</f>
        <v>None</v>
      </c>
      <c r="AG892" s="53">
        <v>187.59322485207099</v>
      </c>
      <c r="AH892" s="53">
        <v>307.97215976331364</v>
      </c>
      <c r="AI892" s="53">
        <v>234.58076923076928</v>
      </c>
      <c r="AJ892" s="53">
        <v>230.03923076923081</v>
      </c>
      <c r="AK892" s="53" t="str">
        <f>_xlfn.XLOOKUP(Master[[#This Row],[cu_id]],'[1]Customer Revenue'!$Q:$Q,'[1]Customer Revenue'!$I:$I, "None")</f>
        <v>None</v>
      </c>
      <c r="AL892" s="53">
        <v>247.78269230769232</v>
      </c>
      <c r="AM892" s="61">
        <v>0.41666666666666669</v>
      </c>
      <c r="AN892" s="60">
        <v>0.70833333333333337</v>
      </c>
      <c r="AO892" s="60" t="s">
        <v>36</v>
      </c>
      <c r="AP892" s="60" t="s">
        <v>36</v>
      </c>
      <c r="AQ892" s="58" t="s">
        <v>0</v>
      </c>
      <c r="AR892" s="58"/>
      <c r="AS892" s="58"/>
      <c r="AT892" s="52">
        <v>0</v>
      </c>
      <c r="AU892" s="52" t="e">
        <f>IF(Master[[#This Row],[RSP StopTime override]] &lt;&gt; "",Master[[#This Row],[RSP StopTime override]],IF(Master[[#This Row],[Avg stop time helper]] &lt;&gt; 0, Master[[#This Row],[Avg stop time helper]],Average_Stop_Time))</f>
        <v>#DIV/0!</v>
      </c>
      <c r="AV892" s="21"/>
      <c r="AW892" s="20">
        <f>Master[[#This Row],[RSP StopTime override]]-Master[[#This Row],[Avg stop time helper]]</f>
        <v>0</v>
      </c>
    </row>
    <row r="893" spans="1:49" x14ac:dyDescent="0.3">
      <c r="A893" s="66" t="s">
        <v>4918</v>
      </c>
      <c r="B893" s="58">
        <v>52</v>
      </c>
      <c r="C893" s="58" t="s">
        <v>35</v>
      </c>
      <c r="D893" s="65">
        <v>530651</v>
      </c>
      <c r="E893" s="65" t="s">
        <v>42</v>
      </c>
      <c r="F893" s="65" t="s">
        <v>1736</v>
      </c>
      <c r="G893" s="65" t="s">
        <v>1705</v>
      </c>
      <c r="H893" s="65" t="s">
        <v>536</v>
      </c>
      <c r="I893" s="65" t="s">
        <v>12</v>
      </c>
      <c r="J893" s="65" t="s">
        <v>5</v>
      </c>
      <c r="K893" s="65" t="s">
        <v>11</v>
      </c>
      <c r="L893" s="64" t="s">
        <v>67</v>
      </c>
      <c r="M893" s="58" t="s">
        <v>3</v>
      </c>
      <c r="N893" s="58" t="s">
        <v>2</v>
      </c>
      <c r="O893" s="58">
        <v>60</v>
      </c>
      <c r="P893" s="58">
        <v>0</v>
      </c>
      <c r="Q893" s="58">
        <v>60</v>
      </c>
      <c r="R893" s="58">
        <v>0</v>
      </c>
      <c r="S893" s="58">
        <v>0</v>
      </c>
      <c r="T893" s="58">
        <v>0</v>
      </c>
      <c r="U893" s="58">
        <v>55</v>
      </c>
      <c r="V893" s="62"/>
      <c r="W893" s="62"/>
      <c r="X893" s="63">
        <f>IFERROR(1 -(Master[[#This Row],[Avg Garment Scans per Delivery]]/Master[[#This Row],[Garment Inventory]]), 0)</f>
        <v>0</v>
      </c>
      <c r="Y893" s="62"/>
      <c r="Z893" s="62"/>
      <c r="AA893" s="53">
        <v>102.54500000000002</v>
      </c>
      <c r="AB893" s="53">
        <v>307.42750000000001</v>
      </c>
      <c r="AC893" s="53">
        <v>231.64898744113032</v>
      </c>
      <c r="AD893" s="53">
        <v>402.77408948194659</v>
      </c>
      <c r="AE893" s="53" t="str">
        <f>_xlfn.XLOOKUP(Master[[#This Row],[cu_id]],'[1]Customer Revenue'!$Q:$Q,'[1]Customer Revenue'!$K:$K, "None")</f>
        <v>None</v>
      </c>
      <c r="AF893" s="53" t="str">
        <f>_xlfn.XLOOKUP(Master[[#This Row],[cu_id]],'[1]Customer Revenue'!$Q:$Q,'[1]Customer Revenue'!$L:$L, "None")</f>
        <v>None</v>
      </c>
      <c r="AG893" s="53">
        <v>99.559854318418303</v>
      </c>
      <c r="AH893" s="53">
        <v>288.16014568158175</v>
      </c>
      <c r="AI893" s="53">
        <v>204.98625000000001</v>
      </c>
      <c r="AJ893" s="53">
        <v>317.21153846153845</v>
      </c>
      <c r="AK893" s="53" t="str">
        <f>_xlfn.XLOOKUP(Master[[#This Row],[cu_id]],'[1]Customer Revenue'!$Q:$Q,'[1]Customer Revenue'!$I:$I, "None")</f>
        <v>None</v>
      </c>
      <c r="AL893" s="53">
        <v>193.86</v>
      </c>
      <c r="AM893" s="61">
        <v>0.375</v>
      </c>
      <c r="AN893" s="60">
        <v>0.70833333333333337</v>
      </c>
      <c r="AO893" s="60" t="s">
        <v>36</v>
      </c>
      <c r="AP893" s="60" t="s">
        <v>36</v>
      </c>
      <c r="AQ893" s="58" t="s">
        <v>0</v>
      </c>
      <c r="AR893" s="58"/>
      <c r="AS893" s="58"/>
      <c r="AT893" s="52">
        <v>0</v>
      </c>
      <c r="AU893" s="52" t="e">
        <f>IF(Master[[#This Row],[RSP StopTime override]] &lt;&gt; "",Master[[#This Row],[RSP StopTime override]],IF(Master[[#This Row],[Avg stop time helper]] &lt;&gt; 0, Master[[#This Row],[Avg stop time helper]],Average_Stop_Time))</f>
        <v>#DIV/0!</v>
      </c>
      <c r="AV893" s="21"/>
      <c r="AW893" s="20">
        <f>Master[[#This Row],[RSP StopTime override]]-Master[[#This Row],[Avg stop time helper]]</f>
        <v>0</v>
      </c>
    </row>
    <row r="894" spans="1:49" x14ac:dyDescent="0.3">
      <c r="A894" s="66" t="s">
        <v>4919</v>
      </c>
      <c r="B894" s="58">
        <v>52</v>
      </c>
      <c r="C894" s="58" t="s">
        <v>35</v>
      </c>
      <c r="D894" s="65">
        <v>530651</v>
      </c>
      <c r="E894" s="65" t="s">
        <v>1455</v>
      </c>
      <c r="F894" s="65" t="s">
        <v>1735</v>
      </c>
      <c r="G894" s="65" t="s">
        <v>1734</v>
      </c>
      <c r="H894" s="65" t="s">
        <v>7</v>
      </c>
      <c r="I894" s="65" t="s">
        <v>12</v>
      </c>
      <c r="J894" s="65" t="s">
        <v>5</v>
      </c>
      <c r="K894" s="65" t="s">
        <v>61</v>
      </c>
      <c r="L894" s="64" t="s">
        <v>67</v>
      </c>
      <c r="M894" s="58" t="s">
        <v>3</v>
      </c>
      <c r="N894" s="58" t="s">
        <v>2</v>
      </c>
      <c r="O894" s="58">
        <v>1</v>
      </c>
      <c r="P894" s="58">
        <v>0</v>
      </c>
      <c r="Q894" s="58">
        <v>1</v>
      </c>
      <c r="R894" s="58">
        <v>0</v>
      </c>
      <c r="S894" s="58">
        <v>0</v>
      </c>
      <c r="T894" s="58">
        <v>0</v>
      </c>
      <c r="U894" s="58">
        <v>53</v>
      </c>
      <c r="V894" s="62"/>
      <c r="W894" s="62"/>
      <c r="X894" s="63">
        <f>IFERROR(1 -(Master[[#This Row],[Avg Garment Scans per Delivery]]/Master[[#This Row],[Garment Inventory]]), 0)</f>
        <v>0</v>
      </c>
      <c r="Y894" s="62"/>
      <c r="Z894" s="62"/>
      <c r="AA894" s="53">
        <v>46.431597633136079</v>
      </c>
      <c r="AB894" s="53">
        <v>115.13455621301773</v>
      </c>
      <c r="AC894" s="53">
        <v>57.991124260355022</v>
      </c>
      <c r="AD894" s="53">
        <v>130.85810650887572</v>
      </c>
      <c r="AE894" s="53" t="str">
        <f>_xlfn.XLOOKUP(Master[[#This Row],[cu_id]],'[1]Customer Revenue'!$Q:$Q,'[1]Customer Revenue'!$K:$K, "None")</f>
        <v>None</v>
      </c>
      <c r="AF894" s="53" t="str">
        <f>_xlfn.XLOOKUP(Master[[#This Row],[cu_id]],'[1]Customer Revenue'!$Q:$Q,'[1]Customer Revenue'!$L:$L, "None")</f>
        <v>None</v>
      </c>
      <c r="AG894" s="53">
        <v>43.505088757396436</v>
      </c>
      <c r="AH894" s="53">
        <v>100.76952662721891</v>
      </c>
      <c r="AI894" s="53">
        <v>80.783076923076905</v>
      </c>
      <c r="AJ894" s="53">
        <v>94.424615384615379</v>
      </c>
      <c r="AK894" s="53" t="str">
        <f>_xlfn.XLOOKUP(Master[[#This Row],[cu_id]],'[1]Customer Revenue'!$Q:$Q,'[1]Customer Revenue'!$I:$I, "None")</f>
        <v>None</v>
      </c>
      <c r="AL894" s="53">
        <v>72.137307692307672</v>
      </c>
      <c r="AM894" s="61">
        <v>0.375</v>
      </c>
      <c r="AN894" s="60">
        <v>0.70833333333333337</v>
      </c>
      <c r="AO894" s="60" t="s">
        <v>36</v>
      </c>
      <c r="AP894" s="60" t="s">
        <v>36</v>
      </c>
      <c r="AQ894" s="58" t="s">
        <v>0</v>
      </c>
      <c r="AR894" s="58"/>
      <c r="AS894" s="58"/>
      <c r="AT894" s="52">
        <v>0</v>
      </c>
      <c r="AU894" s="52" t="e">
        <f>IF(Master[[#This Row],[RSP StopTime override]] &lt;&gt; "",Master[[#This Row],[RSP StopTime override]],IF(Master[[#This Row],[Avg stop time helper]] &lt;&gt; 0, Master[[#This Row],[Avg stop time helper]],Average_Stop_Time))</f>
        <v>#DIV/0!</v>
      </c>
      <c r="AV894" s="21"/>
      <c r="AW894" s="20">
        <f>Master[[#This Row],[RSP StopTime override]]-Master[[#This Row],[Avg stop time helper]]</f>
        <v>0</v>
      </c>
    </row>
    <row r="895" spans="1:49" x14ac:dyDescent="0.3">
      <c r="A895" s="66" t="s">
        <v>4920</v>
      </c>
      <c r="B895" s="58">
        <v>52</v>
      </c>
      <c r="C895" s="58" t="s">
        <v>35</v>
      </c>
      <c r="D895" s="65">
        <v>530676</v>
      </c>
      <c r="E895" s="65" t="s">
        <v>42</v>
      </c>
      <c r="F895" s="65" t="s">
        <v>1733</v>
      </c>
      <c r="G895" s="65" t="s">
        <v>1732</v>
      </c>
      <c r="H895" s="65" t="s">
        <v>7</v>
      </c>
      <c r="I895" s="65" t="s">
        <v>12</v>
      </c>
      <c r="J895" s="65" t="s">
        <v>5</v>
      </c>
      <c r="K895" s="65" t="s">
        <v>1731</v>
      </c>
      <c r="L895" s="64" t="s">
        <v>77</v>
      </c>
      <c r="M895" s="58" t="s">
        <v>29</v>
      </c>
      <c r="N895" s="58" t="s">
        <v>2</v>
      </c>
      <c r="O895" s="58">
        <v>110</v>
      </c>
      <c r="P895" s="58">
        <v>0</v>
      </c>
      <c r="Q895" s="58">
        <v>110</v>
      </c>
      <c r="R895" s="58">
        <v>0</v>
      </c>
      <c r="S895" s="58">
        <v>0</v>
      </c>
      <c r="T895" s="58">
        <v>0</v>
      </c>
      <c r="U895" s="58">
        <v>25</v>
      </c>
      <c r="V895" s="62"/>
      <c r="W895" s="62"/>
      <c r="X895" s="63">
        <f>IFERROR(1 -(Master[[#This Row],[Avg Garment Scans per Delivery]]/Master[[#This Row],[Garment Inventory]]), 0)</f>
        <v>0</v>
      </c>
      <c r="Y895" s="62"/>
      <c r="Z895" s="62"/>
      <c r="AA895" s="53">
        <v>118.32</v>
      </c>
      <c r="AB895" s="53">
        <v>119.56999999999996</v>
      </c>
      <c r="AC895" s="53">
        <v>120.47102040816326</v>
      </c>
      <c r="AD895" s="53">
        <v>122.79755102040814</v>
      </c>
      <c r="AE895" s="53" t="str">
        <f>_xlfn.XLOOKUP(Master[[#This Row],[cu_id]],'[1]Customer Revenue'!$Q:$Q,'[1]Customer Revenue'!$K:$K, "None")</f>
        <v>None</v>
      </c>
      <c r="AF895" s="53" t="str">
        <f>_xlfn.XLOOKUP(Master[[#This Row],[cu_id]],'[1]Customer Revenue'!$Q:$Q,'[1]Customer Revenue'!$L:$L, "None")</f>
        <v>None</v>
      </c>
      <c r="AG895" s="53">
        <v>103.06149921507058</v>
      </c>
      <c r="AH895" s="53">
        <v>134.58619309262164</v>
      </c>
      <c r="AI895" s="53">
        <v>118.94499999999998</v>
      </c>
      <c r="AJ895" s="53">
        <v>121.6342857142857</v>
      </c>
      <c r="AK895" s="53" t="str">
        <f>_xlfn.XLOOKUP(Master[[#This Row],[cu_id]],'[1]Customer Revenue'!$Q:$Q,'[1]Customer Revenue'!$I:$I, "None")</f>
        <v>None</v>
      </c>
      <c r="AL895" s="53">
        <v>118.82384615384612</v>
      </c>
      <c r="AM895" s="61">
        <v>0.33333333333333331</v>
      </c>
      <c r="AN895" s="60">
        <v>0.70833333333333337</v>
      </c>
      <c r="AO895" s="60" t="s">
        <v>36</v>
      </c>
      <c r="AP895" s="60" t="s">
        <v>36</v>
      </c>
      <c r="AQ895" s="58" t="s">
        <v>0</v>
      </c>
      <c r="AR895" s="58"/>
      <c r="AS895" s="58"/>
      <c r="AT895" s="52">
        <v>0</v>
      </c>
      <c r="AU895" s="52" t="e">
        <f>IF(Master[[#This Row],[RSP StopTime override]] &lt;&gt; "",Master[[#This Row],[RSP StopTime override]],IF(Master[[#This Row],[Avg stop time helper]] &lt;&gt; 0, Master[[#This Row],[Avg stop time helper]],Average_Stop_Time))</f>
        <v>#DIV/0!</v>
      </c>
      <c r="AV895" s="21"/>
      <c r="AW895" s="20">
        <f>Master[[#This Row],[RSP StopTime override]]-Master[[#This Row],[Avg stop time helper]]</f>
        <v>0</v>
      </c>
    </row>
    <row r="896" spans="1:49" x14ac:dyDescent="0.3">
      <c r="A896" s="66" t="s">
        <v>4921</v>
      </c>
      <c r="B896" s="58">
        <v>52</v>
      </c>
      <c r="C896" s="58" t="s">
        <v>35</v>
      </c>
      <c r="D896" s="65">
        <v>530794</v>
      </c>
      <c r="E896" s="65" t="s">
        <v>42</v>
      </c>
      <c r="F896" s="65" t="s">
        <v>1730</v>
      </c>
      <c r="G896" s="65" t="s">
        <v>1729</v>
      </c>
      <c r="H896" s="65" t="s">
        <v>7</v>
      </c>
      <c r="I896" s="65" t="s">
        <v>12</v>
      </c>
      <c r="J896" s="65" t="s">
        <v>5</v>
      </c>
      <c r="K896" s="65" t="s">
        <v>11</v>
      </c>
      <c r="L896" s="64" t="s">
        <v>67</v>
      </c>
      <c r="M896" s="58" t="s">
        <v>3</v>
      </c>
      <c r="N896" s="58" t="s">
        <v>2</v>
      </c>
      <c r="O896" s="58">
        <v>55</v>
      </c>
      <c r="P896" s="58">
        <v>0</v>
      </c>
      <c r="Q896" s="58">
        <v>55</v>
      </c>
      <c r="R896" s="58">
        <v>0</v>
      </c>
      <c r="S896" s="58">
        <v>0</v>
      </c>
      <c r="T896" s="58">
        <v>0</v>
      </c>
      <c r="U896" s="58">
        <v>55</v>
      </c>
      <c r="V896" s="62"/>
      <c r="W896" s="62"/>
      <c r="X896" s="63">
        <f>IFERROR(1 -(Master[[#This Row],[Avg Garment Scans per Delivery]]/Master[[#This Row],[Garment Inventory]]), 0)</f>
        <v>0</v>
      </c>
      <c r="Y896" s="62"/>
      <c r="Z896" s="62"/>
      <c r="AA896" s="53">
        <v>100.64195266272189</v>
      </c>
      <c r="AB896" s="53">
        <v>166.86727810650888</v>
      </c>
      <c r="AC896" s="53">
        <v>82.427223140495855</v>
      </c>
      <c r="AD896" s="53">
        <v>115.36077685950413</v>
      </c>
      <c r="AE896" s="53" t="str">
        <f>_xlfn.XLOOKUP(Master[[#This Row],[cu_id]],'[1]Customer Revenue'!$Q:$Q,'[1]Customer Revenue'!$K:$K, "None")</f>
        <v>None</v>
      </c>
      <c r="AF896" s="53" t="str">
        <f>_xlfn.XLOOKUP(Master[[#This Row],[cu_id]],'[1]Customer Revenue'!$Q:$Q,'[1]Customer Revenue'!$L:$L, "None")</f>
        <v>None</v>
      </c>
      <c r="AG896" s="53">
        <v>107.24976891421336</v>
      </c>
      <c r="AH896" s="53">
        <v>180.07330800886359</v>
      </c>
      <c r="AI896" s="53">
        <v>133.75461538461539</v>
      </c>
      <c r="AJ896" s="53">
        <v>98.893999999999991</v>
      </c>
      <c r="AK896" s="53" t="str">
        <f>_xlfn.XLOOKUP(Master[[#This Row],[cu_id]],'[1]Customer Revenue'!$Q:$Q,'[1]Customer Revenue'!$I:$I, "None")</f>
        <v>None</v>
      </c>
      <c r="AL896" s="53">
        <v>143.66153846153847</v>
      </c>
      <c r="AM896" s="61">
        <v>0.41666666666666669</v>
      </c>
      <c r="AN896" s="60">
        <v>0.70833333333333337</v>
      </c>
      <c r="AO896" s="60" t="s">
        <v>36</v>
      </c>
      <c r="AP896" s="60" t="s">
        <v>36</v>
      </c>
      <c r="AQ896" s="58" t="s">
        <v>0</v>
      </c>
      <c r="AR896" s="58"/>
      <c r="AS896" s="58"/>
      <c r="AT896" s="52">
        <v>0</v>
      </c>
      <c r="AU896" s="52" t="e">
        <f>IF(Master[[#This Row],[RSP StopTime override]] &lt;&gt; "",Master[[#This Row],[RSP StopTime override]],IF(Master[[#This Row],[Avg stop time helper]] &lt;&gt; 0, Master[[#This Row],[Avg stop time helper]],Average_Stop_Time))</f>
        <v>#DIV/0!</v>
      </c>
      <c r="AV896" s="21"/>
      <c r="AW896" s="20">
        <f>Master[[#This Row],[RSP StopTime override]]-Master[[#This Row],[Avg stop time helper]]</f>
        <v>0</v>
      </c>
    </row>
    <row r="897" spans="1:49" x14ac:dyDescent="0.3">
      <c r="A897" s="66" t="s">
        <v>4922</v>
      </c>
      <c r="B897" s="58">
        <v>52</v>
      </c>
      <c r="C897" s="58" t="s">
        <v>35</v>
      </c>
      <c r="D897" s="65">
        <v>530921</v>
      </c>
      <c r="E897" s="65" t="s">
        <v>42</v>
      </c>
      <c r="F897" s="65" t="s">
        <v>1728</v>
      </c>
      <c r="G897" s="65" t="s">
        <v>1722</v>
      </c>
      <c r="H897" s="65" t="s">
        <v>7</v>
      </c>
      <c r="I897" s="65" t="s">
        <v>12</v>
      </c>
      <c r="J897" s="65" t="s">
        <v>5</v>
      </c>
      <c r="K897" s="65" t="s">
        <v>11</v>
      </c>
      <c r="L897" s="64" t="s">
        <v>67</v>
      </c>
      <c r="M897" s="58" t="s">
        <v>3</v>
      </c>
      <c r="N897" s="58" t="s">
        <v>2</v>
      </c>
      <c r="O897" s="58">
        <v>85</v>
      </c>
      <c r="P897" s="58">
        <v>0</v>
      </c>
      <c r="Q897" s="58">
        <v>85</v>
      </c>
      <c r="R897" s="58">
        <v>0</v>
      </c>
      <c r="S897" s="58">
        <v>0</v>
      </c>
      <c r="T897" s="58">
        <v>0</v>
      </c>
      <c r="U897" s="58">
        <v>52</v>
      </c>
      <c r="V897" s="62">
        <v>10</v>
      </c>
      <c r="W897" s="62"/>
      <c r="X897" s="63">
        <f>IFERROR(1 -(Master[[#This Row],[Avg Garment Scans per Delivery]]/Master[[#This Row],[Garment Inventory]]), 0)</f>
        <v>1</v>
      </c>
      <c r="Y897" s="62"/>
      <c r="Z897" s="62"/>
      <c r="AA897" s="53">
        <v>79.860414201183431</v>
      </c>
      <c r="AB897" s="53">
        <v>81.458047337278089</v>
      </c>
      <c r="AC897" s="53">
        <v>80.528579881656796</v>
      </c>
      <c r="AD897" s="53">
        <v>103.62372781065086</v>
      </c>
      <c r="AE897" s="53" t="str">
        <f>_xlfn.XLOOKUP(Master[[#This Row],[cu_id]],'[1]Customer Revenue'!$Q:$Q,'[1]Customer Revenue'!$K:$K, "None")</f>
        <v>None</v>
      </c>
      <c r="AF897" s="53" t="str">
        <f>_xlfn.XLOOKUP(Master[[#This Row],[cu_id]],'[1]Customer Revenue'!$Q:$Q,'[1]Customer Revenue'!$L:$L, "None")</f>
        <v>None</v>
      </c>
      <c r="AG897" s="53">
        <v>79.940295857988175</v>
      </c>
      <c r="AH897" s="53">
        <v>80.858934911242685</v>
      </c>
      <c r="AI897" s="53">
        <v>80.65923076923076</v>
      </c>
      <c r="AJ897" s="53">
        <v>92.076153846153829</v>
      </c>
      <c r="AK897" s="53" t="str">
        <f>_xlfn.XLOOKUP(Master[[#This Row],[cu_id]],'[1]Customer Revenue'!$Q:$Q,'[1]Customer Revenue'!$I:$I, "None")</f>
        <v>None</v>
      </c>
      <c r="AL897" s="53">
        <v>80.39961538461543</v>
      </c>
      <c r="AM897" s="61">
        <v>0.29166666666666669</v>
      </c>
      <c r="AN897" s="60">
        <v>0.70833333333333337</v>
      </c>
      <c r="AO897" s="60" t="s">
        <v>36</v>
      </c>
      <c r="AP897" s="60" t="s">
        <v>36</v>
      </c>
      <c r="AQ897" s="58" t="s">
        <v>0</v>
      </c>
      <c r="AR897" s="58"/>
      <c r="AS897" s="58"/>
      <c r="AT897" s="52">
        <v>0</v>
      </c>
      <c r="AU897" s="52" t="e">
        <f>IF(Master[[#This Row],[RSP StopTime override]] &lt;&gt; "",Master[[#This Row],[RSP StopTime override]],IF(Master[[#This Row],[Avg stop time helper]] &lt;&gt; 0, Master[[#This Row],[Avg stop time helper]],Average_Stop_Time))</f>
        <v>#DIV/0!</v>
      </c>
      <c r="AV897" s="21"/>
      <c r="AW897" s="20">
        <f>Master[[#This Row],[RSP StopTime override]]-Master[[#This Row],[Avg stop time helper]]</f>
        <v>0</v>
      </c>
    </row>
    <row r="898" spans="1:49" x14ac:dyDescent="0.3">
      <c r="A898" s="66" t="s">
        <v>4923</v>
      </c>
      <c r="B898" s="58">
        <v>52</v>
      </c>
      <c r="C898" s="58" t="s">
        <v>35</v>
      </c>
      <c r="D898" s="65">
        <v>530945</v>
      </c>
      <c r="E898" s="65" t="s">
        <v>42</v>
      </c>
      <c r="F898" s="65" t="s">
        <v>1727</v>
      </c>
      <c r="G898" s="65" t="s">
        <v>1726</v>
      </c>
      <c r="H898" s="65" t="s">
        <v>7</v>
      </c>
      <c r="I898" s="65" t="s">
        <v>12</v>
      </c>
      <c r="J898" s="65" t="s">
        <v>5</v>
      </c>
      <c r="K898" s="65" t="s">
        <v>11</v>
      </c>
      <c r="L898" s="64" t="s">
        <v>67</v>
      </c>
      <c r="M898" s="58" t="s">
        <v>3</v>
      </c>
      <c r="N898" s="58" t="s">
        <v>2</v>
      </c>
      <c r="O898" s="58">
        <v>86</v>
      </c>
      <c r="P898" s="58">
        <v>0</v>
      </c>
      <c r="Q898" s="58">
        <v>86</v>
      </c>
      <c r="R898" s="58">
        <v>0</v>
      </c>
      <c r="S898" s="58">
        <v>0</v>
      </c>
      <c r="T898" s="58">
        <v>0</v>
      </c>
      <c r="U898" s="58">
        <v>52</v>
      </c>
      <c r="V898" s="62"/>
      <c r="W898" s="62"/>
      <c r="X898" s="63">
        <f>IFERROR(1 -(Master[[#This Row],[Avg Garment Scans per Delivery]]/Master[[#This Row],[Garment Inventory]]), 0)</f>
        <v>0</v>
      </c>
      <c r="Y898" s="62"/>
      <c r="Z898" s="62"/>
      <c r="AA898" s="53">
        <v>54.060414201183441</v>
      </c>
      <c r="AB898" s="53">
        <v>55.658047337278141</v>
      </c>
      <c r="AC898" s="53">
        <v>56.300059171597638</v>
      </c>
      <c r="AD898" s="53">
        <v>58.387633136094678</v>
      </c>
      <c r="AE898" s="53" t="str">
        <f>_xlfn.XLOOKUP(Master[[#This Row],[cu_id]],'[1]Customer Revenue'!$Q:$Q,'[1]Customer Revenue'!$K:$K, "None")</f>
        <v>None</v>
      </c>
      <c r="AF898" s="53" t="str">
        <f>_xlfn.XLOOKUP(Master[[#This Row],[cu_id]],'[1]Customer Revenue'!$Q:$Q,'[1]Customer Revenue'!$L:$L, "None")</f>
        <v>None</v>
      </c>
      <c r="AG898" s="53">
        <v>54.140295857988171</v>
      </c>
      <c r="AH898" s="53">
        <v>55.058934911242595</v>
      </c>
      <c r="AI898" s="53">
        <v>54.859230769230791</v>
      </c>
      <c r="AJ898" s="53">
        <v>57.343846153846158</v>
      </c>
      <c r="AK898" s="53" t="str">
        <f>_xlfn.XLOOKUP(Master[[#This Row],[cu_id]],'[1]Customer Revenue'!$Q:$Q,'[1]Customer Revenue'!$I:$I, "None")</f>
        <v>None</v>
      </c>
      <c r="AL898" s="53">
        <v>54.599615384615383</v>
      </c>
      <c r="AM898" s="61">
        <v>0.29166666666666669</v>
      </c>
      <c r="AN898" s="60">
        <v>0.70833333333333337</v>
      </c>
      <c r="AO898" s="60" t="s">
        <v>36</v>
      </c>
      <c r="AP898" s="60" t="s">
        <v>36</v>
      </c>
      <c r="AQ898" s="58" t="s">
        <v>0</v>
      </c>
      <c r="AR898" s="58"/>
      <c r="AS898" s="58"/>
      <c r="AT898" s="52">
        <v>0</v>
      </c>
      <c r="AU898" s="52" t="e">
        <f>IF(Master[[#This Row],[RSP StopTime override]] &lt;&gt; "",Master[[#This Row],[RSP StopTime override]],IF(Master[[#This Row],[Avg stop time helper]] &lt;&gt; 0, Master[[#This Row],[Avg stop time helper]],Average_Stop_Time))</f>
        <v>#DIV/0!</v>
      </c>
      <c r="AV898" s="21"/>
      <c r="AW898" s="20">
        <f>Master[[#This Row],[RSP StopTime override]]-Master[[#This Row],[Avg stop time helper]]</f>
        <v>0</v>
      </c>
    </row>
    <row r="899" spans="1:49" x14ac:dyDescent="0.3">
      <c r="A899" s="66" t="s">
        <v>4924</v>
      </c>
      <c r="B899" s="58">
        <v>52</v>
      </c>
      <c r="C899" s="58" t="s">
        <v>35</v>
      </c>
      <c r="D899" s="65">
        <v>531005</v>
      </c>
      <c r="E899" s="65" t="s">
        <v>42</v>
      </c>
      <c r="F899" s="65" t="s">
        <v>1725</v>
      </c>
      <c r="G899" s="65" t="s">
        <v>1724</v>
      </c>
      <c r="H899" s="65" t="s">
        <v>7</v>
      </c>
      <c r="I899" s="65" t="s">
        <v>12</v>
      </c>
      <c r="J899" s="65" t="s">
        <v>5</v>
      </c>
      <c r="K899" s="65" t="s">
        <v>11</v>
      </c>
      <c r="L899" s="64" t="s">
        <v>67</v>
      </c>
      <c r="M899" s="58" t="s">
        <v>3</v>
      </c>
      <c r="N899" s="58" t="s">
        <v>2</v>
      </c>
      <c r="O899" s="58">
        <v>75</v>
      </c>
      <c r="P899" s="58">
        <v>0</v>
      </c>
      <c r="Q899" s="58">
        <v>75</v>
      </c>
      <c r="R899" s="58">
        <v>0</v>
      </c>
      <c r="S899" s="58">
        <v>0</v>
      </c>
      <c r="T899" s="58">
        <v>0</v>
      </c>
      <c r="U899" s="58">
        <v>64</v>
      </c>
      <c r="V899" s="62">
        <v>287</v>
      </c>
      <c r="W899" s="62">
        <v>31</v>
      </c>
      <c r="X899" s="63">
        <f>IFERROR(1 -(Master[[#This Row],[Avg Garment Scans per Delivery]]/Master[[#This Row],[Garment Inventory]]), 0)</f>
        <v>0.89198606271777003</v>
      </c>
      <c r="Y899" s="62">
        <v>22</v>
      </c>
      <c r="Z899" s="62">
        <v>284</v>
      </c>
      <c r="AA899" s="53">
        <v>297.5145905420992</v>
      </c>
      <c r="AB899" s="53">
        <v>628.59874279123414</v>
      </c>
      <c r="AC899" s="53">
        <v>491.93686390532554</v>
      </c>
      <c r="AD899" s="53">
        <v>535.27698224852088</v>
      </c>
      <c r="AE899" s="53" t="str">
        <f>_xlfn.XLOOKUP(Master[[#This Row],[cu_id]],'[1]Customer Revenue'!$Q:$Q,'[1]Customer Revenue'!$K:$K, "None")</f>
        <v>None</v>
      </c>
      <c r="AF899" s="53" t="str">
        <f>_xlfn.XLOOKUP(Master[[#This Row],[cu_id]],'[1]Customer Revenue'!$Q:$Q,'[1]Customer Revenue'!$L:$L, "None")</f>
        <v>None</v>
      </c>
      <c r="AG899" s="53">
        <v>330.58894715326306</v>
      </c>
      <c r="AH899" s="53">
        <v>617.64176713245138</v>
      </c>
      <c r="AI899" s="53">
        <v>463.05666666666667</v>
      </c>
      <c r="AJ899" s="53">
        <v>513.60692307692318</v>
      </c>
      <c r="AK899" s="53" t="str">
        <f>_xlfn.XLOOKUP(Master[[#This Row],[cu_id]],'[1]Customer Revenue'!$Q:$Q,'[1]Customer Revenue'!$I:$I, "None")</f>
        <v>None</v>
      </c>
      <c r="AL899" s="53">
        <v>474.11535714285719</v>
      </c>
      <c r="AM899" s="61">
        <v>0.29166666666666669</v>
      </c>
      <c r="AN899" s="60">
        <v>0.70833333333333337</v>
      </c>
      <c r="AO899" s="60" t="s">
        <v>36</v>
      </c>
      <c r="AP899" s="60" t="s">
        <v>36</v>
      </c>
      <c r="AQ899" s="58" t="s">
        <v>0</v>
      </c>
      <c r="AR899" s="58"/>
      <c r="AS899" s="58"/>
      <c r="AT899" s="52">
        <v>0</v>
      </c>
      <c r="AU899" s="52" t="e">
        <f>IF(Master[[#This Row],[RSP StopTime override]] &lt;&gt; "",Master[[#This Row],[RSP StopTime override]],IF(Master[[#This Row],[Avg stop time helper]] &lt;&gt; 0, Master[[#This Row],[Avg stop time helper]],Average_Stop_Time))</f>
        <v>#DIV/0!</v>
      </c>
      <c r="AV899" s="21"/>
      <c r="AW899" s="20">
        <f>Master[[#This Row],[RSP StopTime override]]-Master[[#This Row],[Avg stop time helper]]</f>
        <v>0</v>
      </c>
    </row>
    <row r="900" spans="1:49" x14ac:dyDescent="0.3">
      <c r="A900" s="66" t="s">
        <v>4925</v>
      </c>
      <c r="B900" s="58">
        <v>52</v>
      </c>
      <c r="C900" s="58" t="s">
        <v>35</v>
      </c>
      <c r="D900" s="65">
        <v>531061</v>
      </c>
      <c r="E900" s="65" t="s">
        <v>42</v>
      </c>
      <c r="F900" s="65" t="s">
        <v>1723</v>
      </c>
      <c r="G900" s="65" t="s">
        <v>1722</v>
      </c>
      <c r="H900" s="65" t="s">
        <v>7</v>
      </c>
      <c r="I900" s="65" t="s">
        <v>12</v>
      </c>
      <c r="J900" s="65" t="s">
        <v>5</v>
      </c>
      <c r="K900" s="65" t="s">
        <v>11</v>
      </c>
      <c r="L900" s="64" t="s">
        <v>145</v>
      </c>
      <c r="M900" s="58" t="s">
        <v>123</v>
      </c>
      <c r="N900" s="58" t="s">
        <v>144</v>
      </c>
      <c r="O900" s="58">
        <v>125</v>
      </c>
      <c r="P900" s="58">
        <v>0</v>
      </c>
      <c r="Q900" s="58">
        <v>125</v>
      </c>
      <c r="R900" s="58">
        <v>0</v>
      </c>
      <c r="S900" s="58">
        <v>0</v>
      </c>
      <c r="T900" s="58">
        <v>0</v>
      </c>
      <c r="U900" s="58">
        <v>78</v>
      </c>
      <c r="V900" s="62"/>
      <c r="W900" s="62"/>
      <c r="X900" s="63">
        <f>IFERROR(1 -(Master[[#This Row],[Avg Garment Scans per Delivery]]/Master[[#This Row],[Garment Inventory]]), 0)</f>
        <v>0</v>
      </c>
      <c r="Y900" s="62"/>
      <c r="Z900" s="62"/>
      <c r="AA900" s="53">
        <v>132.42123722431415</v>
      </c>
      <c r="AB900" s="53">
        <v>538.63330823023136</v>
      </c>
      <c r="AC900" s="53">
        <v>217.13485086342234</v>
      </c>
      <c r="AD900" s="53">
        <v>676.96668759811621</v>
      </c>
      <c r="AE900" s="53" t="str">
        <f>_xlfn.XLOOKUP(Master[[#This Row],[cu_id]],'[1]Customer Revenue'!$Q:$Q,'[1]Customer Revenue'!$K:$K, "None")</f>
        <v>None</v>
      </c>
      <c r="AF900" s="53" t="str">
        <f>_xlfn.XLOOKUP(Master[[#This Row],[cu_id]],'[1]Customer Revenue'!$Q:$Q,'[1]Customer Revenue'!$L:$L, "None")</f>
        <v>None</v>
      </c>
      <c r="AG900" s="53">
        <v>164.9653328402367</v>
      </c>
      <c r="AH900" s="53">
        <v>590.67716715976337</v>
      </c>
      <c r="AI900" s="53">
        <v>335.52727272727276</v>
      </c>
      <c r="AJ900" s="53">
        <v>447.05076923076928</v>
      </c>
      <c r="AK900" s="53" t="str">
        <f>_xlfn.XLOOKUP(Master[[#This Row],[cu_id]],'[1]Customer Revenue'!$Q:$Q,'[1]Customer Revenue'!$I:$I, "None")</f>
        <v>None</v>
      </c>
      <c r="AL900" s="53">
        <v>377.82125000000002</v>
      </c>
      <c r="AM900" s="61">
        <v>0.29166666666666669</v>
      </c>
      <c r="AN900" s="60">
        <v>0.70833333333333337</v>
      </c>
      <c r="AO900" s="60" t="s">
        <v>36</v>
      </c>
      <c r="AP900" s="60" t="s">
        <v>36</v>
      </c>
      <c r="AQ900" s="58" t="s">
        <v>0</v>
      </c>
      <c r="AR900" s="58"/>
      <c r="AS900" s="58"/>
      <c r="AT900" s="52">
        <v>0</v>
      </c>
      <c r="AU900" s="52" t="e">
        <f>IF(Master[[#This Row],[RSP StopTime override]] &lt;&gt; "",Master[[#This Row],[RSP StopTime override]],IF(Master[[#This Row],[Avg stop time helper]] &lt;&gt; 0, Master[[#This Row],[Avg stop time helper]],Average_Stop_Time))</f>
        <v>#DIV/0!</v>
      </c>
      <c r="AV900" s="21"/>
      <c r="AW900" s="20">
        <f>Master[[#This Row],[RSP StopTime override]]-Master[[#This Row],[Avg stop time helper]]</f>
        <v>0</v>
      </c>
    </row>
    <row r="901" spans="1:49" x14ac:dyDescent="0.3">
      <c r="A901" s="66" t="s">
        <v>4926</v>
      </c>
      <c r="B901" s="58">
        <v>52</v>
      </c>
      <c r="C901" s="58" t="s">
        <v>35</v>
      </c>
      <c r="D901" s="65">
        <v>531731</v>
      </c>
      <c r="E901" s="65" t="s">
        <v>42</v>
      </c>
      <c r="F901" s="65" t="s">
        <v>1721</v>
      </c>
      <c r="G901" s="65" t="s">
        <v>1720</v>
      </c>
      <c r="H901" s="65" t="s">
        <v>7</v>
      </c>
      <c r="I901" s="65" t="s">
        <v>12</v>
      </c>
      <c r="J901" s="65" t="s">
        <v>5</v>
      </c>
      <c r="K901" s="65" t="s">
        <v>11</v>
      </c>
      <c r="L901" s="64" t="s">
        <v>67</v>
      </c>
      <c r="M901" s="58" t="s">
        <v>3</v>
      </c>
      <c r="N901" s="58" t="s">
        <v>2</v>
      </c>
      <c r="O901" s="58">
        <v>30</v>
      </c>
      <c r="P901" s="58">
        <v>0</v>
      </c>
      <c r="Q901" s="58">
        <v>30</v>
      </c>
      <c r="R901" s="58">
        <v>0</v>
      </c>
      <c r="S901" s="58">
        <v>0</v>
      </c>
      <c r="T901" s="58">
        <v>0</v>
      </c>
      <c r="U901" s="58">
        <v>66</v>
      </c>
      <c r="V901" s="62">
        <v>178</v>
      </c>
      <c r="W901" s="62">
        <v>37</v>
      </c>
      <c r="X901" s="63">
        <f>IFERROR(1 -(Master[[#This Row],[Avg Garment Scans per Delivery]]/Master[[#This Row],[Garment Inventory]]), 0)</f>
        <v>0.7921348314606742</v>
      </c>
      <c r="Y901" s="62">
        <v>5</v>
      </c>
      <c r="Z901" s="62">
        <v>216</v>
      </c>
      <c r="AA901" s="53">
        <v>236.16923076923075</v>
      </c>
      <c r="AB901" s="53">
        <v>308.40923076923076</v>
      </c>
      <c r="AC901" s="53">
        <v>286.85692307692307</v>
      </c>
      <c r="AD901" s="53">
        <v>311.98307692307696</v>
      </c>
      <c r="AE901" s="53" t="str">
        <f>_xlfn.XLOOKUP(Master[[#This Row],[cu_id]],'[1]Customer Revenue'!$Q:$Q,'[1]Customer Revenue'!$K:$K, "None")</f>
        <v>None</v>
      </c>
      <c r="AF901" s="53" t="str">
        <f>_xlfn.XLOOKUP(Master[[#This Row],[cu_id]],'[1]Customer Revenue'!$Q:$Q,'[1]Customer Revenue'!$L:$L, "None")</f>
        <v>None</v>
      </c>
      <c r="AG901" s="53">
        <v>259.65062941859242</v>
      </c>
      <c r="AH901" s="53">
        <v>315.12706288910022</v>
      </c>
      <c r="AI901" s="53">
        <v>272.28923076923076</v>
      </c>
      <c r="AJ901" s="53">
        <v>299.42</v>
      </c>
      <c r="AK901" s="53" t="str">
        <f>_xlfn.XLOOKUP(Master[[#This Row],[cu_id]],'[1]Customer Revenue'!$Q:$Q,'[1]Customer Revenue'!$I:$I, "None")</f>
        <v>None</v>
      </c>
      <c r="AL901" s="53">
        <v>287.38884615384632</v>
      </c>
      <c r="AM901" s="61">
        <v>0.33333333333333331</v>
      </c>
      <c r="AN901" s="60">
        <v>0.70833333333333337</v>
      </c>
      <c r="AO901" s="60" t="s">
        <v>36</v>
      </c>
      <c r="AP901" s="60" t="s">
        <v>36</v>
      </c>
      <c r="AQ901" s="58" t="s">
        <v>0</v>
      </c>
      <c r="AR901" s="58"/>
      <c r="AS901" s="58"/>
      <c r="AT901" s="52">
        <v>0</v>
      </c>
      <c r="AU901" s="52" t="e">
        <f>IF(Master[[#This Row],[RSP StopTime override]] &lt;&gt; "",Master[[#This Row],[RSP StopTime override]],IF(Master[[#This Row],[Avg stop time helper]] &lt;&gt; 0, Master[[#This Row],[Avg stop time helper]],Average_Stop_Time))</f>
        <v>#DIV/0!</v>
      </c>
      <c r="AV901" s="21"/>
      <c r="AW901" s="20">
        <f>Master[[#This Row],[RSP StopTime override]]-Master[[#This Row],[Avg stop time helper]]</f>
        <v>0</v>
      </c>
    </row>
    <row r="902" spans="1:49" x14ac:dyDescent="0.3">
      <c r="A902" s="66" t="s">
        <v>4927</v>
      </c>
      <c r="B902" s="58">
        <v>52</v>
      </c>
      <c r="C902" s="58" t="s">
        <v>35</v>
      </c>
      <c r="D902" s="65">
        <v>531907</v>
      </c>
      <c r="E902" s="65" t="s">
        <v>42</v>
      </c>
      <c r="F902" s="65" t="s">
        <v>1719</v>
      </c>
      <c r="G902" s="65" t="s">
        <v>1718</v>
      </c>
      <c r="H902" s="65" t="s">
        <v>7</v>
      </c>
      <c r="I902" s="65" t="s">
        <v>12</v>
      </c>
      <c r="J902" s="65" t="s">
        <v>5</v>
      </c>
      <c r="K902" s="65" t="s">
        <v>61</v>
      </c>
      <c r="L902" s="64" t="s">
        <v>194</v>
      </c>
      <c r="M902" s="58" t="s">
        <v>193</v>
      </c>
      <c r="N902" s="58" t="s">
        <v>2</v>
      </c>
      <c r="O902" s="58">
        <v>115</v>
      </c>
      <c r="P902" s="58">
        <v>0</v>
      </c>
      <c r="Q902" s="58">
        <v>115</v>
      </c>
      <c r="R902" s="58">
        <v>0</v>
      </c>
      <c r="S902" s="58">
        <v>0</v>
      </c>
      <c r="T902" s="58">
        <v>0</v>
      </c>
      <c r="U902" s="58">
        <v>13</v>
      </c>
      <c r="V902" s="62"/>
      <c r="W902" s="62"/>
      <c r="X902" s="63">
        <f>IFERROR(1 -(Master[[#This Row],[Avg Garment Scans per Delivery]]/Master[[#This Row],[Garment Inventory]]), 0)</f>
        <v>0</v>
      </c>
      <c r="Y902" s="62"/>
      <c r="Z902" s="62"/>
      <c r="AA902" s="53">
        <v>68.318749999999994</v>
      </c>
      <c r="AB902" s="53">
        <v>70.006249999999994</v>
      </c>
      <c r="AC902" s="53">
        <v>70.298888888888882</v>
      </c>
      <c r="AD902" s="53">
        <v>74.707777777777778</v>
      </c>
      <c r="AE902" s="53" t="str">
        <f>_xlfn.XLOOKUP(Master[[#This Row],[cu_id]],'[1]Customer Revenue'!$Q:$Q,'[1]Customer Revenue'!$K:$K, "None")</f>
        <v>None</v>
      </c>
      <c r="AF902" s="53" t="str">
        <f>_xlfn.XLOOKUP(Master[[#This Row],[cu_id]],'[1]Customer Revenue'!$Q:$Q,'[1]Customer Revenue'!$L:$L, "None")</f>
        <v>None</v>
      </c>
      <c r="AG902" s="53">
        <v>67.573265306122465</v>
      </c>
      <c r="AH902" s="53">
        <v>69.343877551020398</v>
      </c>
      <c r="AI902" s="53">
        <v>69.162499999999994</v>
      </c>
      <c r="AJ902" s="53">
        <v>72.50333333333333</v>
      </c>
      <c r="AK902" s="53" t="str">
        <f>_xlfn.XLOOKUP(Master[[#This Row],[cu_id]],'[1]Customer Revenue'!$Q:$Q,'[1]Customer Revenue'!$I:$I, "None")</f>
        <v>None</v>
      </c>
      <c r="AL902" s="53">
        <v>68.458571428571432</v>
      </c>
      <c r="AM902" s="61">
        <v>0.375</v>
      </c>
      <c r="AN902" s="60">
        <v>0.70833333333333337</v>
      </c>
      <c r="AO902" s="60" t="s">
        <v>36</v>
      </c>
      <c r="AP902" s="60" t="s">
        <v>36</v>
      </c>
      <c r="AQ902" s="58" t="s">
        <v>0</v>
      </c>
      <c r="AR902" s="58"/>
      <c r="AS902" s="58"/>
      <c r="AT902" s="52">
        <v>0</v>
      </c>
      <c r="AU902" s="52" t="e">
        <f>IF(Master[[#This Row],[RSP StopTime override]] &lt;&gt; "",Master[[#This Row],[RSP StopTime override]],IF(Master[[#This Row],[Avg stop time helper]] &lt;&gt; 0, Master[[#This Row],[Avg stop time helper]],Average_Stop_Time))</f>
        <v>#DIV/0!</v>
      </c>
      <c r="AV902" s="21"/>
      <c r="AW902" s="20">
        <f>Master[[#This Row],[RSP StopTime override]]-Master[[#This Row],[Avg stop time helper]]</f>
        <v>0</v>
      </c>
    </row>
    <row r="903" spans="1:49" x14ac:dyDescent="0.3">
      <c r="A903" s="66" t="s">
        <v>4928</v>
      </c>
      <c r="B903" s="58">
        <v>52</v>
      </c>
      <c r="C903" s="58" t="s">
        <v>35</v>
      </c>
      <c r="D903" s="65">
        <v>531998</v>
      </c>
      <c r="E903" s="65" t="s">
        <v>42</v>
      </c>
      <c r="F903" s="65" t="s">
        <v>3712</v>
      </c>
      <c r="G903" s="65" t="s">
        <v>1717</v>
      </c>
      <c r="H903" s="65" t="s">
        <v>7</v>
      </c>
      <c r="I903" s="65" t="s">
        <v>12</v>
      </c>
      <c r="J903" s="65" t="s">
        <v>5</v>
      </c>
      <c r="K903" s="65" t="s">
        <v>11</v>
      </c>
      <c r="L903" s="64" t="s">
        <v>91</v>
      </c>
      <c r="M903" s="58" t="s">
        <v>90</v>
      </c>
      <c r="N903" s="58" t="s">
        <v>2</v>
      </c>
      <c r="O903" s="58">
        <v>70</v>
      </c>
      <c r="P903" s="58">
        <v>0</v>
      </c>
      <c r="Q903" s="58">
        <v>70</v>
      </c>
      <c r="R903" s="58">
        <v>0</v>
      </c>
      <c r="S903" s="58">
        <v>0</v>
      </c>
      <c r="T903" s="58">
        <v>0</v>
      </c>
      <c r="U903" s="58">
        <v>26</v>
      </c>
      <c r="V903" s="62"/>
      <c r="W903" s="62"/>
      <c r="X903" s="63">
        <f>IFERROR(1 -(Master[[#This Row],[Avg Garment Scans per Delivery]]/Master[[#This Row],[Garment Inventory]]), 0)</f>
        <v>0</v>
      </c>
      <c r="Y903" s="62"/>
      <c r="Z903" s="62"/>
      <c r="AA903" s="53">
        <v>110.53124999999999</v>
      </c>
      <c r="AB903" s="53">
        <v>172.42875000000001</v>
      </c>
      <c r="AC903" s="53">
        <v>144.71111111111111</v>
      </c>
      <c r="AD903" s="53">
        <v>147.26222222222219</v>
      </c>
      <c r="AE903" s="53" t="str">
        <f>_xlfn.XLOOKUP(Master[[#This Row],[cu_id]],'[1]Customer Revenue'!$Q:$Q,'[1]Customer Revenue'!$K:$K, "None")</f>
        <v>None</v>
      </c>
      <c r="AF903" s="53" t="str">
        <f>_xlfn.XLOOKUP(Master[[#This Row],[cu_id]],'[1]Customer Revenue'!$Q:$Q,'[1]Customer Revenue'!$L:$L, "None")</f>
        <v>None</v>
      </c>
      <c r="AG903" s="53">
        <v>120.51051805337516</v>
      </c>
      <c r="AH903" s="53">
        <v>157.37255886970172</v>
      </c>
      <c r="AI903" s="53">
        <v>141.47999999999999</v>
      </c>
      <c r="AJ903" s="53">
        <v>145.98666666666665</v>
      </c>
      <c r="AK903" s="53" t="str">
        <f>_xlfn.XLOOKUP(Master[[#This Row],[cu_id]],'[1]Customer Revenue'!$Q:$Q,'[1]Customer Revenue'!$I:$I, "None")</f>
        <v>None</v>
      </c>
      <c r="AL903" s="53">
        <v>138.94153846153844</v>
      </c>
      <c r="AM903" s="61">
        <v>0.33333333333333331</v>
      </c>
      <c r="AN903" s="60">
        <v>0.70833333333333337</v>
      </c>
      <c r="AO903" s="60" t="s">
        <v>36</v>
      </c>
      <c r="AP903" s="60" t="s">
        <v>36</v>
      </c>
      <c r="AQ903" s="58" t="s">
        <v>0</v>
      </c>
      <c r="AR903" s="58"/>
      <c r="AS903" s="58"/>
      <c r="AT903" s="52">
        <v>0</v>
      </c>
      <c r="AU903" s="52" t="e">
        <f>IF(Master[[#This Row],[RSP StopTime override]] &lt;&gt; "",Master[[#This Row],[RSP StopTime override]],IF(Master[[#This Row],[Avg stop time helper]] &lt;&gt; 0, Master[[#This Row],[Avg stop time helper]],Average_Stop_Time))</f>
        <v>#DIV/0!</v>
      </c>
      <c r="AV903" s="21"/>
      <c r="AW903" s="20">
        <f>Master[[#This Row],[RSP StopTime override]]-Master[[#This Row],[Avg stop time helper]]</f>
        <v>0</v>
      </c>
    </row>
    <row r="904" spans="1:49" x14ac:dyDescent="0.3">
      <c r="A904" s="66" t="s">
        <v>4929</v>
      </c>
      <c r="B904" s="58">
        <v>52</v>
      </c>
      <c r="C904" s="58" t="s">
        <v>35</v>
      </c>
      <c r="D904" s="65">
        <v>532040</v>
      </c>
      <c r="E904" s="65" t="s">
        <v>42</v>
      </c>
      <c r="F904" s="65" t="s">
        <v>1716</v>
      </c>
      <c r="G904" s="65" t="s">
        <v>1715</v>
      </c>
      <c r="H904" s="65" t="s">
        <v>347</v>
      </c>
      <c r="I904" s="65" t="s">
        <v>12</v>
      </c>
      <c r="J904" s="65" t="s">
        <v>5</v>
      </c>
      <c r="K904" s="65" t="s">
        <v>30</v>
      </c>
      <c r="L904" s="64" t="s">
        <v>67</v>
      </c>
      <c r="M904" s="58" t="s">
        <v>3</v>
      </c>
      <c r="N904" s="58" t="s">
        <v>2</v>
      </c>
      <c r="O904" s="58">
        <v>25</v>
      </c>
      <c r="P904" s="58">
        <v>0</v>
      </c>
      <c r="Q904" s="58">
        <v>25</v>
      </c>
      <c r="R904" s="58">
        <v>0</v>
      </c>
      <c r="S904" s="58">
        <v>0</v>
      </c>
      <c r="T904" s="58">
        <v>0</v>
      </c>
      <c r="U904" s="58">
        <v>55</v>
      </c>
      <c r="V904" s="62">
        <v>289</v>
      </c>
      <c r="W904" s="62">
        <v>54</v>
      </c>
      <c r="X904" s="63">
        <f>IFERROR(1 -(Master[[#This Row],[Avg Garment Scans per Delivery]]/Master[[#This Row],[Garment Inventory]]), 0)</f>
        <v>0.81314878892733566</v>
      </c>
      <c r="Y904" s="62">
        <v>14</v>
      </c>
      <c r="Z904" s="62">
        <v>289</v>
      </c>
      <c r="AA904" s="53">
        <v>147.82347723704868</v>
      </c>
      <c r="AB904" s="53">
        <v>325.39959968602824</v>
      </c>
      <c r="AC904" s="53">
        <v>162.80403453689166</v>
      </c>
      <c r="AD904" s="53">
        <v>381.05750392464677</v>
      </c>
      <c r="AE904" s="53" t="str">
        <f>_xlfn.XLOOKUP(Master[[#This Row],[cu_id]],'[1]Customer Revenue'!$Q:$Q,'[1]Customer Revenue'!$K:$K, "None")</f>
        <v>None</v>
      </c>
      <c r="AF904" s="53" t="str">
        <f>_xlfn.XLOOKUP(Master[[#This Row],[cu_id]],'[1]Customer Revenue'!$Q:$Q,'[1]Customer Revenue'!$L:$L, "None")</f>
        <v>None</v>
      </c>
      <c r="AG904" s="53">
        <v>125.01916012558863</v>
      </c>
      <c r="AH904" s="53">
        <v>293.19160910518042</v>
      </c>
      <c r="AI904" s="53">
        <v>236.61153846153846</v>
      </c>
      <c r="AJ904" s="53">
        <v>271.93076923076922</v>
      </c>
      <c r="AK904" s="53" t="str">
        <f>_xlfn.XLOOKUP(Master[[#This Row],[cu_id]],'[1]Customer Revenue'!$Q:$Q,'[1]Customer Revenue'!$I:$I, "None")</f>
        <v>None</v>
      </c>
      <c r="AL904" s="53">
        <v>209.10538461538454</v>
      </c>
      <c r="AM904" s="61">
        <v>0.33333333333333331</v>
      </c>
      <c r="AN904" s="60">
        <v>0.70833333333333337</v>
      </c>
      <c r="AO904" s="60" t="s">
        <v>36</v>
      </c>
      <c r="AP904" s="60" t="s">
        <v>36</v>
      </c>
      <c r="AQ904" s="58" t="s">
        <v>0</v>
      </c>
      <c r="AR904" s="58"/>
      <c r="AS904" s="58"/>
      <c r="AT904" s="52">
        <v>0</v>
      </c>
      <c r="AU904" s="52" t="e">
        <f>IF(Master[[#This Row],[RSP StopTime override]] &lt;&gt; "",Master[[#This Row],[RSP StopTime override]],IF(Master[[#This Row],[Avg stop time helper]] &lt;&gt; 0, Master[[#This Row],[Avg stop time helper]],Average_Stop_Time))</f>
        <v>#DIV/0!</v>
      </c>
      <c r="AV904" s="21"/>
      <c r="AW904" s="20">
        <f>Master[[#This Row],[RSP StopTime override]]-Master[[#This Row],[Avg stop time helper]]</f>
        <v>0</v>
      </c>
    </row>
    <row r="905" spans="1:49" x14ac:dyDescent="0.3">
      <c r="A905" s="66" t="s">
        <v>4930</v>
      </c>
      <c r="B905" s="58">
        <v>52</v>
      </c>
      <c r="C905" s="58" t="s">
        <v>35</v>
      </c>
      <c r="D905" s="65">
        <v>532294</v>
      </c>
      <c r="E905" s="65" t="s">
        <v>42</v>
      </c>
      <c r="F905" s="65" t="s">
        <v>1714</v>
      </c>
      <c r="G905" s="65" t="s">
        <v>1713</v>
      </c>
      <c r="H905" s="65" t="s">
        <v>7</v>
      </c>
      <c r="I905" s="65" t="s">
        <v>12</v>
      </c>
      <c r="J905" s="65" t="s">
        <v>5</v>
      </c>
      <c r="K905" s="65" t="s">
        <v>61</v>
      </c>
      <c r="L905" s="64" t="s">
        <v>67</v>
      </c>
      <c r="M905" s="58" t="s">
        <v>3</v>
      </c>
      <c r="N905" s="58" t="s">
        <v>2</v>
      </c>
      <c r="O905" s="58">
        <v>10</v>
      </c>
      <c r="P905" s="58">
        <v>0</v>
      </c>
      <c r="Q905" s="58">
        <v>10</v>
      </c>
      <c r="R905" s="58">
        <v>0</v>
      </c>
      <c r="S905" s="58">
        <v>0</v>
      </c>
      <c r="T905" s="58">
        <v>0</v>
      </c>
      <c r="U905" s="58">
        <v>58</v>
      </c>
      <c r="V905" s="62">
        <v>55</v>
      </c>
      <c r="W905" s="62">
        <v>8</v>
      </c>
      <c r="X905" s="63">
        <f>IFERROR(1 -(Master[[#This Row],[Avg Garment Scans per Delivery]]/Master[[#This Row],[Garment Inventory]]), 0)</f>
        <v>0.8545454545454545</v>
      </c>
      <c r="Y905" s="62">
        <v>5</v>
      </c>
      <c r="Z905" s="62">
        <v>55</v>
      </c>
      <c r="AA905" s="53">
        <v>332.02296703296702</v>
      </c>
      <c r="AB905" s="53">
        <v>513.34010989010994</v>
      </c>
      <c r="AC905" s="53">
        <v>291.30244897959176</v>
      </c>
      <c r="AD905" s="53">
        <v>476.40469387755093</v>
      </c>
      <c r="AE905" s="53" t="str">
        <f>_xlfn.XLOOKUP(Master[[#This Row],[cu_id]],'[1]Customer Revenue'!$Q:$Q,'[1]Customer Revenue'!$K:$K, "None")</f>
        <v>None</v>
      </c>
      <c r="AF905" s="53" t="str">
        <f>_xlfn.XLOOKUP(Master[[#This Row],[cu_id]],'[1]Customer Revenue'!$Q:$Q,'[1]Customer Revenue'!$L:$L, "None")</f>
        <v>None</v>
      </c>
      <c r="AG905" s="53">
        <v>335.59383032605251</v>
      </c>
      <c r="AH905" s="53">
        <v>494.45078505856281</v>
      </c>
      <c r="AI905" s="53">
        <v>422.68153846153848</v>
      </c>
      <c r="AJ905" s="53">
        <v>383.85357142857134</v>
      </c>
      <c r="AK905" s="53" t="str">
        <f>_xlfn.XLOOKUP(Master[[#This Row],[cu_id]],'[1]Customer Revenue'!$Q:$Q,'[1]Customer Revenue'!$I:$I, "None")</f>
        <v>None</v>
      </c>
      <c r="AL905" s="53">
        <v>415.02230769230766</v>
      </c>
      <c r="AM905" s="61" t="s">
        <v>36</v>
      </c>
      <c r="AN905" s="60" t="s">
        <v>36</v>
      </c>
      <c r="AO905" s="60" t="s">
        <v>36</v>
      </c>
      <c r="AP905" s="60" t="s">
        <v>36</v>
      </c>
      <c r="AQ905" s="58" t="s">
        <v>0</v>
      </c>
      <c r="AR905" s="58"/>
      <c r="AS905" s="58"/>
      <c r="AT905" s="52">
        <v>0</v>
      </c>
      <c r="AU905" s="52" t="e">
        <f>IF(Master[[#This Row],[RSP StopTime override]] &lt;&gt; "",Master[[#This Row],[RSP StopTime override]],IF(Master[[#This Row],[Avg stop time helper]] &lt;&gt; 0, Master[[#This Row],[Avg stop time helper]],Average_Stop_Time))</f>
        <v>#DIV/0!</v>
      </c>
      <c r="AV905" s="21"/>
      <c r="AW905" s="20">
        <f>Master[[#This Row],[RSP StopTime override]]-Master[[#This Row],[Avg stop time helper]]</f>
        <v>0</v>
      </c>
    </row>
    <row r="906" spans="1:49" x14ac:dyDescent="0.3">
      <c r="A906" s="66" t="s">
        <v>4931</v>
      </c>
      <c r="B906" s="58">
        <v>52</v>
      </c>
      <c r="C906" s="58" t="s">
        <v>35</v>
      </c>
      <c r="D906" s="65">
        <v>533062</v>
      </c>
      <c r="E906" s="65" t="s">
        <v>42</v>
      </c>
      <c r="F906" s="65" t="s">
        <v>1712</v>
      </c>
      <c r="G906" s="65" t="s">
        <v>1711</v>
      </c>
      <c r="H906" s="65" t="s">
        <v>7</v>
      </c>
      <c r="I906" s="65" t="s">
        <v>12</v>
      </c>
      <c r="J906" s="65" t="s">
        <v>5</v>
      </c>
      <c r="K906" s="65" t="s">
        <v>11</v>
      </c>
      <c r="L906" s="64" t="s">
        <v>77</v>
      </c>
      <c r="M906" s="58" t="s">
        <v>29</v>
      </c>
      <c r="N906" s="58" t="s">
        <v>2</v>
      </c>
      <c r="O906" s="58">
        <v>100</v>
      </c>
      <c r="P906" s="58">
        <v>0</v>
      </c>
      <c r="Q906" s="58">
        <v>100</v>
      </c>
      <c r="R906" s="58">
        <v>0</v>
      </c>
      <c r="S906" s="58">
        <v>0</v>
      </c>
      <c r="T906" s="58">
        <v>0</v>
      </c>
      <c r="U906" s="58">
        <v>26</v>
      </c>
      <c r="V906" s="62"/>
      <c r="W906" s="62"/>
      <c r="X906" s="63">
        <f>IFERROR(1 -(Master[[#This Row],[Avg Garment Scans per Delivery]]/Master[[#This Row],[Garment Inventory]]), 0)</f>
        <v>0</v>
      </c>
      <c r="Y906" s="62"/>
      <c r="Z906" s="62"/>
      <c r="AA906" s="53">
        <v>57.59</v>
      </c>
      <c r="AB906" s="53">
        <v>58.840000000000018</v>
      </c>
      <c r="AC906" s="53">
        <v>30.658163265306126</v>
      </c>
      <c r="AD906" s="53">
        <v>89.521836734693878</v>
      </c>
      <c r="AE906" s="53" t="str">
        <f>_xlfn.XLOOKUP(Master[[#This Row],[cu_id]],'[1]Customer Revenue'!$Q:$Q,'[1]Customer Revenue'!$K:$K, "None")</f>
        <v>None</v>
      </c>
      <c r="AF906" s="53" t="str">
        <f>_xlfn.XLOOKUP(Master[[#This Row],[cu_id]],'[1]Customer Revenue'!$Q:$Q,'[1]Customer Revenue'!$L:$L, "None")</f>
        <v>None</v>
      </c>
      <c r="AG906" s="53">
        <v>57.693550295857996</v>
      </c>
      <c r="AH906" s="53">
        <v>58.332603550295893</v>
      </c>
      <c r="AI906" s="53">
        <v>58.215000000000011</v>
      </c>
      <c r="AJ906" s="53">
        <v>60.09</v>
      </c>
      <c r="AK906" s="53" t="str">
        <f>_xlfn.XLOOKUP(Master[[#This Row],[cu_id]],'[1]Customer Revenue'!$Q:$Q,'[1]Customer Revenue'!$I:$I, "None")</f>
        <v>None</v>
      </c>
      <c r="AL906" s="53">
        <v>58.013076923076945</v>
      </c>
      <c r="AM906" s="61">
        <v>0</v>
      </c>
      <c r="AN906" s="60">
        <v>0.70833333333333337</v>
      </c>
      <c r="AO906" s="60" t="s">
        <v>36</v>
      </c>
      <c r="AP906" s="60" t="s">
        <v>36</v>
      </c>
      <c r="AQ906" s="58" t="s">
        <v>0</v>
      </c>
      <c r="AR906" s="58"/>
      <c r="AS906" s="58"/>
      <c r="AT906" s="52">
        <v>0</v>
      </c>
      <c r="AU906" s="52" t="e">
        <f>IF(Master[[#This Row],[RSP StopTime override]] &lt;&gt; "",Master[[#This Row],[RSP StopTime override]],IF(Master[[#This Row],[Avg stop time helper]] &lt;&gt; 0, Master[[#This Row],[Avg stop time helper]],Average_Stop_Time))</f>
        <v>#DIV/0!</v>
      </c>
      <c r="AV906" s="21"/>
      <c r="AW906" s="20">
        <f>Master[[#This Row],[RSP StopTime override]]-Master[[#This Row],[Avg stop time helper]]</f>
        <v>0</v>
      </c>
    </row>
    <row r="907" spans="1:49" x14ac:dyDescent="0.3">
      <c r="A907" s="66" t="s">
        <v>4932</v>
      </c>
      <c r="B907" s="58">
        <v>52</v>
      </c>
      <c r="C907" s="58" t="s">
        <v>35</v>
      </c>
      <c r="D907" s="65">
        <v>533376</v>
      </c>
      <c r="E907" s="65" t="s">
        <v>42</v>
      </c>
      <c r="F907" s="65" t="s">
        <v>1710</v>
      </c>
      <c r="G907" s="65" t="s">
        <v>1709</v>
      </c>
      <c r="H907" s="65" t="s">
        <v>7</v>
      </c>
      <c r="I907" s="65" t="s">
        <v>12</v>
      </c>
      <c r="J907" s="65" t="s">
        <v>5</v>
      </c>
      <c r="K907" s="65" t="s">
        <v>11</v>
      </c>
      <c r="L907" s="64">
        <v>3</v>
      </c>
      <c r="M907" s="58" t="s">
        <v>3</v>
      </c>
      <c r="N907" s="58" t="s">
        <v>2</v>
      </c>
      <c r="O907" s="58">
        <v>1</v>
      </c>
      <c r="P907" s="58">
        <v>0</v>
      </c>
      <c r="Q907" s="58">
        <v>1</v>
      </c>
      <c r="R907" s="58">
        <v>0</v>
      </c>
      <c r="S907" s="58">
        <v>0</v>
      </c>
      <c r="T907" s="58">
        <v>0</v>
      </c>
      <c r="U907" s="58">
        <v>9</v>
      </c>
      <c r="V907" s="62"/>
      <c r="W907" s="62"/>
      <c r="X907" s="63">
        <f>IFERROR(1 -(Master[[#This Row],[Avg Garment Scans per Delivery]]/Master[[#This Row],[Garment Inventory]]), 0)</f>
        <v>0</v>
      </c>
      <c r="Y907" s="62"/>
      <c r="Z907" s="62"/>
      <c r="AA907" s="53">
        <v>52.933408284023656</v>
      </c>
      <c r="AB907" s="53">
        <v>148.09459171597632</v>
      </c>
      <c r="AC907" s="53">
        <v>68.259673469387764</v>
      </c>
      <c r="AD907" s="53">
        <v>184.17232653061225</v>
      </c>
      <c r="AE907" s="53" t="str">
        <f>_xlfn.XLOOKUP(Master[[#This Row],[cu_id]],'[1]Customer Revenue'!$Q:$Q,'[1]Customer Revenue'!$K:$K, "None")</f>
        <v>None</v>
      </c>
      <c r="AF907" s="53" t="str">
        <f>_xlfn.XLOOKUP(Master[[#This Row],[cu_id]],'[1]Customer Revenue'!$Q:$Q,'[1]Customer Revenue'!$L:$L, "None")</f>
        <v>None</v>
      </c>
      <c r="AG907" s="53">
        <v>64.657589285714295</v>
      </c>
      <c r="AH907" s="53">
        <v>155.7138392857143</v>
      </c>
      <c r="AI907" s="53">
        <v>100.514</v>
      </c>
      <c r="AJ907" s="53">
        <v>126.21600000000001</v>
      </c>
      <c r="AK907" s="53" t="str">
        <f>_xlfn.XLOOKUP(Master[[#This Row],[cu_id]],'[1]Customer Revenue'!$Q:$Q,'[1]Customer Revenue'!$I:$I, "None")</f>
        <v>None</v>
      </c>
      <c r="AL907" s="53">
        <v>110.1857142857143</v>
      </c>
      <c r="AM907" s="61">
        <v>0</v>
      </c>
      <c r="AN907" s="60">
        <v>0.70833333333333337</v>
      </c>
      <c r="AO907" s="60" t="s">
        <v>36</v>
      </c>
      <c r="AP907" s="60" t="s">
        <v>36</v>
      </c>
      <c r="AQ907" s="58" t="s">
        <v>0</v>
      </c>
      <c r="AR907" s="58"/>
      <c r="AS907" s="58"/>
      <c r="AT907" s="52">
        <v>0</v>
      </c>
      <c r="AU907" s="52" t="e">
        <f>IF(Master[[#This Row],[RSP StopTime override]] &lt;&gt; "",Master[[#This Row],[RSP StopTime override]],IF(Master[[#This Row],[Avg stop time helper]] &lt;&gt; 0, Master[[#This Row],[Avg stop time helper]],Average_Stop_Time))</f>
        <v>#DIV/0!</v>
      </c>
      <c r="AV907" s="21"/>
      <c r="AW907" s="20">
        <f>Master[[#This Row],[RSP StopTime override]]-Master[[#This Row],[Avg stop time helper]]</f>
        <v>0</v>
      </c>
    </row>
    <row r="908" spans="1:49" x14ac:dyDescent="0.3">
      <c r="A908" s="66" t="s">
        <v>4933</v>
      </c>
      <c r="B908" s="58">
        <v>52</v>
      </c>
      <c r="C908" s="58" t="s">
        <v>35</v>
      </c>
      <c r="D908" s="65">
        <v>533498</v>
      </c>
      <c r="E908" s="65" t="s">
        <v>42</v>
      </c>
      <c r="F908" s="65" t="s">
        <v>1708</v>
      </c>
      <c r="G908" s="65" t="s">
        <v>1707</v>
      </c>
      <c r="H908" s="65" t="s">
        <v>7</v>
      </c>
      <c r="I908" s="65" t="s">
        <v>12</v>
      </c>
      <c r="J908" s="65" t="s">
        <v>5</v>
      </c>
      <c r="K908" s="65" t="s">
        <v>61</v>
      </c>
      <c r="L908" s="64" t="s">
        <v>77</v>
      </c>
      <c r="M908" s="58" t="s">
        <v>29</v>
      </c>
      <c r="N908" s="58" t="s">
        <v>2</v>
      </c>
      <c r="O908" s="58">
        <v>1</v>
      </c>
      <c r="P908" s="58">
        <v>0</v>
      </c>
      <c r="Q908" s="58">
        <v>1</v>
      </c>
      <c r="R908" s="58">
        <v>0</v>
      </c>
      <c r="S908" s="58">
        <v>0</v>
      </c>
      <c r="T908" s="58">
        <v>0</v>
      </c>
      <c r="U908" s="58">
        <v>8</v>
      </c>
      <c r="V908" s="62"/>
      <c r="W908" s="62"/>
      <c r="X908" s="63">
        <f>IFERROR(1 -(Master[[#This Row],[Avg Garment Scans per Delivery]]/Master[[#This Row],[Garment Inventory]]), 0)</f>
        <v>0</v>
      </c>
      <c r="Y908" s="62"/>
      <c r="Z908" s="62"/>
      <c r="AA908" s="53">
        <v>45.36</v>
      </c>
      <c r="AB908" s="53">
        <v>46.610000000000014</v>
      </c>
      <c r="AC908" s="53">
        <v>47.579591836734693</v>
      </c>
      <c r="AD908" s="53">
        <v>49.448979591836732</v>
      </c>
      <c r="AE908" s="53" t="str">
        <f>_xlfn.XLOOKUP(Master[[#This Row],[cu_id]],'[1]Customer Revenue'!$Q:$Q,'[1]Customer Revenue'!$K:$K, "None")</f>
        <v>None</v>
      </c>
      <c r="AF908" s="53" t="str">
        <f>_xlfn.XLOOKUP(Master[[#This Row],[cu_id]],'[1]Customer Revenue'!$Q:$Q,'[1]Customer Revenue'!$L:$L, "None")</f>
        <v>None</v>
      </c>
      <c r="AG908" s="53">
        <v>27.686456611570261</v>
      </c>
      <c r="AH908" s="53">
        <v>64.096043388429749</v>
      </c>
      <c r="AI908" s="53">
        <v>45.985000000000007</v>
      </c>
      <c r="AJ908" s="53">
        <v>48.514285714285712</v>
      </c>
      <c r="AK908" s="53" t="str">
        <f>_xlfn.XLOOKUP(Master[[#This Row],[cu_id]],'[1]Customer Revenue'!$Q:$Q,'[1]Customer Revenue'!$I:$I, "None")</f>
        <v>None</v>
      </c>
      <c r="AL908" s="53">
        <v>45.891250000000007</v>
      </c>
      <c r="AM908" s="61">
        <v>0.33333333333333331</v>
      </c>
      <c r="AN908" s="60">
        <v>0.70833333333333337</v>
      </c>
      <c r="AO908" s="60" t="s">
        <v>36</v>
      </c>
      <c r="AP908" s="60" t="s">
        <v>36</v>
      </c>
      <c r="AQ908" s="58" t="s">
        <v>0</v>
      </c>
      <c r="AR908" s="58"/>
      <c r="AS908" s="58"/>
      <c r="AT908" s="52">
        <v>0</v>
      </c>
      <c r="AU908" s="52" t="e">
        <f>IF(Master[[#This Row],[RSP StopTime override]] &lt;&gt; "",Master[[#This Row],[RSP StopTime override]],IF(Master[[#This Row],[Avg stop time helper]] &lt;&gt; 0, Master[[#This Row],[Avg stop time helper]],Average_Stop_Time))</f>
        <v>#DIV/0!</v>
      </c>
      <c r="AV908" s="21"/>
      <c r="AW908" s="20">
        <f>Master[[#This Row],[RSP StopTime override]]-Master[[#This Row],[Avg stop time helper]]</f>
        <v>0</v>
      </c>
    </row>
    <row r="909" spans="1:49" x14ac:dyDescent="0.3">
      <c r="A909" s="73" t="s">
        <v>4934</v>
      </c>
      <c r="B909" s="64">
        <v>52</v>
      </c>
      <c r="C909" s="64" t="s">
        <v>35</v>
      </c>
      <c r="D909" s="65">
        <v>533591</v>
      </c>
      <c r="E909" s="65" t="s">
        <v>42</v>
      </c>
      <c r="F909" s="65" t="s">
        <v>1706</v>
      </c>
      <c r="G909" s="65" t="s">
        <v>1705</v>
      </c>
      <c r="H909" s="65" t="s">
        <v>7</v>
      </c>
      <c r="I909" s="65" t="s">
        <v>12</v>
      </c>
      <c r="J909" s="65" t="s">
        <v>5</v>
      </c>
      <c r="K909" s="65" t="s">
        <v>11</v>
      </c>
      <c r="L909" s="64" t="s">
        <v>141</v>
      </c>
      <c r="M909" s="65" t="s">
        <v>140</v>
      </c>
      <c r="N909" s="65" t="s">
        <v>2</v>
      </c>
      <c r="O909" s="65">
        <v>1</v>
      </c>
      <c r="P909" s="65">
        <v>0</v>
      </c>
      <c r="Q909" s="65">
        <v>1</v>
      </c>
      <c r="R909" s="65">
        <v>0</v>
      </c>
      <c r="S909" s="65">
        <v>0</v>
      </c>
      <c r="T909" s="65">
        <v>0</v>
      </c>
      <c r="U909" s="65">
        <v>2</v>
      </c>
      <c r="V909" s="65"/>
      <c r="W909" s="65"/>
      <c r="X909" s="72">
        <f>IFERROR(1 -(Master[[#This Row],[Avg Garment Scans per Delivery]]/Master[[#This Row],[Garment Inventory]]), 0)</f>
        <v>0</v>
      </c>
      <c r="Y909" s="65"/>
      <c r="Z909" s="65"/>
      <c r="AA909" s="53"/>
      <c r="AB909" s="53"/>
      <c r="AC909" s="53">
        <v>21.675000000000001</v>
      </c>
      <c r="AD909" s="53">
        <v>56.355000000000004</v>
      </c>
      <c r="AE909" s="53" t="str">
        <f>_xlfn.XLOOKUP(Master[[#This Row],[cu_id]],'[1]Customer Revenue'!$Q:$Q,'[1]Customer Revenue'!$K:$K, "None")</f>
        <v>None</v>
      </c>
      <c r="AF909" s="53" t="str">
        <f>_xlfn.XLOOKUP(Master[[#This Row],[cu_id]],'[1]Customer Revenue'!$Q:$Q,'[1]Customer Revenue'!$L:$L, "None")</f>
        <v>None</v>
      </c>
      <c r="AG909" s="53"/>
      <c r="AH909" s="53"/>
      <c r="AI909" s="53"/>
      <c r="AJ909" s="53">
        <v>39.015000000000001</v>
      </c>
      <c r="AK909" s="53" t="str">
        <f>_xlfn.XLOOKUP(Master[[#This Row],[cu_id]],'[1]Customer Revenue'!$Q:$Q,'[1]Customer Revenue'!$I:$I, "None")</f>
        <v>None</v>
      </c>
      <c r="AL909" s="53"/>
      <c r="AM909" s="71" t="s">
        <v>1</v>
      </c>
      <c r="AN909" s="71" t="s">
        <v>1</v>
      </c>
      <c r="AO909" s="71" t="s">
        <v>36</v>
      </c>
      <c r="AP909" s="71" t="s">
        <v>36</v>
      </c>
      <c r="AQ909" s="64" t="s">
        <v>0</v>
      </c>
      <c r="AR909" s="64"/>
      <c r="AS909" s="65"/>
      <c r="AT909" s="52">
        <v>0</v>
      </c>
      <c r="AU909" s="52" t="e">
        <f>IF(Master[[#This Row],[RSP StopTime override]] &lt;&gt; "",Master[[#This Row],[RSP StopTime override]],IF(Master[[#This Row],[Avg stop time helper]] &lt;&gt; 0, Master[[#This Row],[Avg stop time helper]],Average_Stop_Time))</f>
        <v>#DIV/0!</v>
      </c>
      <c r="AV909" s="21"/>
      <c r="AW909" s="20">
        <f>Master[[#This Row],[RSP StopTime override]]-Master[[#This Row],[Avg stop time helper]]</f>
        <v>0</v>
      </c>
    </row>
    <row r="910" spans="1:49" x14ac:dyDescent="0.3">
      <c r="A910" s="66" t="s">
        <v>4935</v>
      </c>
      <c r="B910" s="58">
        <v>52</v>
      </c>
      <c r="C910" s="58" t="s">
        <v>10</v>
      </c>
      <c r="D910" s="65">
        <v>27828</v>
      </c>
      <c r="E910" s="65" t="s">
        <v>1572</v>
      </c>
      <c r="F910" s="65" t="s">
        <v>1704</v>
      </c>
      <c r="G910" s="65" t="s">
        <v>1703</v>
      </c>
      <c r="H910" s="65" t="s">
        <v>32</v>
      </c>
      <c r="I910" s="65" t="s">
        <v>1690</v>
      </c>
      <c r="J910" s="65" t="s">
        <v>5</v>
      </c>
      <c r="K910" s="65" t="s">
        <v>1654</v>
      </c>
      <c r="L910" s="64" t="s">
        <v>67</v>
      </c>
      <c r="M910" s="58" t="s">
        <v>3</v>
      </c>
      <c r="N910" s="58" t="s">
        <v>2</v>
      </c>
      <c r="O910" s="58">
        <v>110</v>
      </c>
      <c r="P910" s="58">
        <v>0</v>
      </c>
      <c r="Q910" s="58">
        <v>0</v>
      </c>
      <c r="R910" s="58">
        <v>110</v>
      </c>
      <c r="S910" s="58">
        <v>0</v>
      </c>
      <c r="T910" s="58">
        <v>0</v>
      </c>
      <c r="U910" s="58">
        <v>55</v>
      </c>
      <c r="V910" s="62">
        <v>11</v>
      </c>
      <c r="W910" s="62">
        <v>0</v>
      </c>
      <c r="X910" s="63">
        <f>IFERROR(1 -(Master[[#This Row],[Avg Garment Scans per Delivery]]/Master[[#This Row],[Garment Inventory]]), 0)</f>
        <v>1</v>
      </c>
      <c r="Y910" s="62">
        <v>1</v>
      </c>
      <c r="Z910" s="62">
        <v>11</v>
      </c>
      <c r="AA910" s="53">
        <v>139.16555555555561</v>
      </c>
      <c r="AB910" s="53">
        <v>212.20111111111112</v>
      </c>
      <c r="AC910" s="53">
        <v>159.43266272189351</v>
      </c>
      <c r="AD910" s="53">
        <v>227.52426035502958</v>
      </c>
      <c r="AE910" s="53" t="str">
        <f>_xlfn.XLOOKUP(Master[[#This Row],[cu_id]],'[1]Customer Revenue'!$Q:$Q,'[1]Customer Revenue'!$K:$K, "None")</f>
        <v>None</v>
      </c>
      <c r="AF910" s="53" t="str">
        <f>_xlfn.XLOOKUP(Master[[#This Row],[cu_id]],'[1]Customer Revenue'!$Q:$Q,'[1]Customer Revenue'!$L:$L, "None")</f>
        <v>None</v>
      </c>
      <c r="AG910" s="53">
        <v>150.57811224489799</v>
      </c>
      <c r="AH910" s="53">
        <v>197.07831632653065</v>
      </c>
      <c r="AI910" s="53">
        <v>175.68333333333337</v>
      </c>
      <c r="AJ910" s="53">
        <v>193.47846153846154</v>
      </c>
      <c r="AK910" s="53" t="str">
        <f>_xlfn.XLOOKUP(Master[[#This Row],[cu_id]],'[1]Customer Revenue'!$Q:$Q,'[1]Customer Revenue'!$I:$I, "None")</f>
        <v>None</v>
      </c>
      <c r="AL910" s="53">
        <v>173.82821428571432</v>
      </c>
      <c r="AM910" s="61">
        <v>0.375</v>
      </c>
      <c r="AN910" s="60">
        <v>0.70833333333333337</v>
      </c>
      <c r="AO910" s="60" t="s">
        <v>36</v>
      </c>
      <c r="AP910" s="60" t="s">
        <v>36</v>
      </c>
      <c r="AQ910" s="58" t="s">
        <v>0</v>
      </c>
      <c r="AR910" s="58"/>
      <c r="AS910" s="58"/>
      <c r="AT910" s="52">
        <v>0</v>
      </c>
      <c r="AU910" s="52" t="e">
        <f>IF(Master[[#This Row],[RSP StopTime override]] &lt;&gt; "",Master[[#This Row],[RSP StopTime override]],IF(Master[[#This Row],[Avg stop time helper]] &lt;&gt; 0, Master[[#This Row],[Avg stop time helper]],Average_Stop_Time))</f>
        <v>#DIV/0!</v>
      </c>
      <c r="AV910" s="21"/>
      <c r="AW910" s="20">
        <f>Master[[#This Row],[RSP StopTime override]]-Master[[#This Row],[Avg stop time helper]]</f>
        <v>0</v>
      </c>
    </row>
    <row r="911" spans="1:49" x14ac:dyDescent="0.3">
      <c r="A911" s="66" t="s">
        <v>4936</v>
      </c>
      <c r="B911" s="58">
        <v>52</v>
      </c>
      <c r="C911" s="58" t="s">
        <v>10</v>
      </c>
      <c r="D911" s="65">
        <v>99033</v>
      </c>
      <c r="E911" s="65" t="s">
        <v>1467</v>
      </c>
      <c r="F911" s="65" t="s">
        <v>1702</v>
      </c>
      <c r="G911" s="65" t="s">
        <v>1701</v>
      </c>
      <c r="H911" s="65" t="s">
        <v>32</v>
      </c>
      <c r="I911" s="65" t="s">
        <v>1637</v>
      </c>
      <c r="J911" s="65" t="s">
        <v>5</v>
      </c>
      <c r="K911" s="65" t="s">
        <v>1624</v>
      </c>
      <c r="L911" s="64" t="s">
        <v>67</v>
      </c>
      <c r="M911" s="58" t="s">
        <v>3</v>
      </c>
      <c r="N911" s="58" t="s">
        <v>2</v>
      </c>
      <c r="O911" s="58">
        <v>51</v>
      </c>
      <c r="P911" s="58">
        <v>0</v>
      </c>
      <c r="Q911" s="58">
        <v>0</v>
      </c>
      <c r="R911" s="58">
        <v>51</v>
      </c>
      <c r="S911" s="58">
        <v>0</v>
      </c>
      <c r="T911" s="58">
        <v>0</v>
      </c>
      <c r="U911" s="58">
        <v>39</v>
      </c>
      <c r="V911" s="62"/>
      <c r="W911" s="62"/>
      <c r="X911" s="63">
        <f>IFERROR(1 -(Master[[#This Row],[Avg Garment Scans per Delivery]]/Master[[#This Row],[Garment Inventory]]), 0)</f>
        <v>0</v>
      </c>
      <c r="Y911" s="62"/>
      <c r="Z911" s="62"/>
      <c r="AA911" s="53">
        <v>60.39999999999997</v>
      </c>
      <c r="AB911" s="53">
        <v>60.4</v>
      </c>
      <c r="AC911" s="53">
        <v>45.406999999999989</v>
      </c>
      <c r="AD911" s="53">
        <v>88.143000000000001</v>
      </c>
      <c r="AE911" s="53" t="str">
        <f>_xlfn.XLOOKUP(Master[[#This Row],[cu_id]],'[1]Customer Revenue'!$Q:$Q,'[1]Customer Revenue'!$K:$K, "None")</f>
        <v>None</v>
      </c>
      <c r="AF911" s="53" t="str">
        <f>_xlfn.XLOOKUP(Master[[#This Row],[cu_id]],'[1]Customer Revenue'!$Q:$Q,'[1]Customer Revenue'!$L:$L, "None")</f>
        <v>None</v>
      </c>
      <c r="AG911" s="53">
        <v>52.908453565217428</v>
      </c>
      <c r="AH911" s="53">
        <v>71.173285565217398</v>
      </c>
      <c r="AI911" s="53">
        <v>60.399999999999984</v>
      </c>
      <c r="AJ911" s="53">
        <v>66.774999999999991</v>
      </c>
      <c r="AK911" s="53" t="str">
        <f>_xlfn.XLOOKUP(Master[[#This Row],[cu_id]],'[1]Customer Revenue'!$Q:$Q,'[1]Customer Revenue'!$I:$I, "None")</f>
        <v>None</v>
      </c>
      <c r="AL911" s="53">
        <v>62.040869565217413</v>
      </c>
      <c r="AM911" s="61">
        <v>0.33333333333333331</v>
      </c>
      <c r="AN911" s="60">
        <v>0.70833333333333337</v>
      </c>
      <c r="AO911" s="60" t="s">
        <v>36</v>
      </c>
      <c r="AP911" s="60" t="s">
        <v>36</v>
      </c>
      <c r="AQ911" s="58" t="s">
        <v>0</v>
      </c>
      <c r="AR911" s="58"/>
      <c r="AS911" s="58"/>
      <c r="AT911" s="52">
        <v>0</v>
      </c>
      <c r="AU911" s="52" t="e">
        <f>IF(Master[[#This Row],[RSP StopTime override]] &lt;&gt; "",Master[[#This Row],[RSP StopTime override]],IF(Master[[#This Row],[Avg stop time helper]] &lt;&gt; 0, Master[[#This Row],[Avg stop time helper]],Average_Stop_Time))</f>
        <v>#DIV/0!</v>
      </c>
      <c r="AV911" s="21"/>
      <c r="AW911" s="20">
        <f>Master[[#This Row],[RSP StopTime override]]-Master[[#This Row],[Avg stop time helper]]</f>
        <v>0</v>
      </c>
    </row>
    <row r="912" spans="1:49" x14ac:dyDescent="0.3">
      <c r="A912" s="66" t="s">
        <v>4937</v>
      </c>
      <c r="B912" s="58">
        <v>52</v>
      </c>
      <c r="C912" s="58" t="s">
        <v>10</v>
      </c>
      <c r="D912" s="65">
        <v>99033</v>
      </c>
      <c r="E912" s="65" t="s">
        <v>1360</v>
      </c>
      <c r="F912" s="65" t="s">
        <v>1700</v>
      </c>
      <c r="G912" s="65" t="s">
        <v>1699</v>
      </c>
      <c r="H912" s="65" t="s">
        <v>7</v>
      </c>
      <c r="I912" s="65" t="s">
        <v>1600</v>
      </c>
      <c r="J912" s="65" t="s">
        <v>5</v>
      </c>
      <c r="K912" s="65" t="s">
        <v>1599</v>
      </c>
      <c r="L912" s="64" t="s">
        <v>67</v>
      </c>
      <c r="M912" s="58" t="s">
        <v>3</v>
      </c>
      <c r="N912" s="58" t="s">
        <v>2</v>
      </c>
      <c r="O912" s="58">
        <v>50</v>
      </c>
      <c r="P912" s="58">
        <v>0</v>
      </c>
      <c r="Q912" s="58">
        <v>0</v>
      </c>
      <c r="R912" s="58">
        <v>50</v>
      </c>
      <c r="S912" s="58">
        <v>0</v>
      </c>
      <c r="T912" s="58">
        <v>0</v>
      </c>
      <c r="U912" s="58">
        <v>39</v>
      </c>
      <c r="V912" s="62"/>
      <c r="W912" s="62"/>
      <c r="X912" s="63">
        <f>IFERROR(1 -(Master[[#This Row],[Avg Garment Scans per Delivery]]/Master[[#This Row],[Garment Inventory]]), 0)</f>
        <v>0</v>
      </c>
      <c r="Y912" s="62"/>
      <c r="Z912" s="62"/>
      <c r="AA912" s="53">
        <v>67.539999999999978</v>
      </c>
      <c r="AB912" s="53">
        <v>67.540000000000006</v>
      </c>
      <c r="AC912" s="53">
        <v>45.927199999999999</v>
      </c>
      <c r="AD912" s="53">
        <v>89.152800000000013</v>
      </c>
      <c r="AE912" s="53" t="str">
        <f>_xlfn.XLOOKUP(Master[[#This Row],[cu_id]],'[1]Customer Revenue'!$Q:$Q,'[1]Customer Revenue'!$K:$K, "None")</f>
        <v>None</v>
      </c>
      <c r="AF912" s="53" t="str">
        <f>_xlfn.XLOOKUP(Master[[#This Row],[cu_id]],'[1]Customer Revenue'!$Q:$Q,'[1]Customer Revenue'!$L:$L, "None")</f>
        <v>None</v>
      </c>
      <c r="AG912" s="53">
        <v>57.948520710059135</v>
      </c>
      <c r="AH912" s="53">
        <v>77.131479289940813</v>
      </c>
      <c r="AI912" s="53">
        <v>67.539999999999992</v>
      </c>
      <c r="AJ912" s="53">
        <v>67.540000000000006</v>
      </c>
      <c r="AK912" s="53" t="str">
        <f>_xlfn.XLOOKUP(Master[[#This Row],[cu_id]],'[1]Customer Revenue'!$Q:$Q,'[1]Customer Revenue'!$I:$I, "None")</f>
        <v>None</v>
      </c>
      <c r="AL912" s="53">
        <v>67.539999999999978</v>
      </c>
      <c r="AM912" s="61">
        <v>0.33333333333333331</v>
      </c>
      <c r="AN912" s="60">
        <v>0.70833333333333337</v>
      </c>
      <c r="AO912" s="60" t="s">
        <v>36</v>
      </c>
      <c r="AP912" s="60" t="s">
        <v>36</v>
      </c>
      <c r="AQ912" s="58" t="s">
        <v>0</v>
      </c>
      <c r="AR912" s="58"/>
      <c r="AS912" s="58"/>
      <c r="AT912" s="52">
        <v>0</v>
      </c>
      <c r="AU912" s="52" t="e">
        <f>IF(Master[[#This Row],[RSP StopTime override]] &lt;&gt; "",Master[[#This Row],[RSP StopTime override]],IF(Master[[#This Row],[Avg stop time helper]] &lt;&gt; 0, Master[[#This Row],[Avg stop time helper]],Average_Stop_Time))</f>
        <v>#DIV/0!</v>
      </c>
      <c r="AV912" s="21"/>
      <c r="AW912" s="20">
        <f>Master[[#This Row],[RSP StopTime override]]-Master[[#This Row],[Avg stop time helper]]</f>
        <v>0</v>
      </c>
    </row>
    <row r="913" spans="1:49" x14ac:dyDescent="0.3">
      <c r="A913" s="66" t="s">
        <v>4938</v>
      </c>
      <c r="B913" s="58">
        <v>52</v>
      </c>
      <c r="C913" s="58" t="s">
        <v>10</v>
      </c>
      <c r="D913" s="65">
        <v>99088</v>
      </c>
      <c r="E913" s="65" t="s">
        <v>686</v>
      </c>
      <c r="F913" s="65" t="s">
        <v>1698</v>
      </c>
      <c r="G913" s="65" t="s">
        <v>1697</v>
      </c>
      <c r="H913" s="65" t="s">
        <v>7</v>
      </c>
      <c r="I913" s="65" t="s">
        <v>1600</v>
      </c>
      <c r="J913" s="65" t="s">
        <v>5</v>
      </c>
      <c r="K913" s="65" t="s">
        <v>1599</v>
      </c>
      <c r="L913" s="64" t="s">
        <v>67</v>
      </c>
      <c r="M913" s="58" t="s">
        <v>3</v>
      </c>
      <c r="N913" s="58" t="s">
        <v>2</v>
      </c>
      <c r="O913" s="58">
        <v>30</v>
      </c>
      <c r="P913" s="58">
        <v>0</v>
      </c>
      <c r="Q913" s="58">
        <v>0</v>
      </c>
      <c r="R913" s="58">
        <v>30</v>
      </c>
      <c r="S913" s="58">
        <v>0</v>
      </c>
      <c r="T913" s="58">
        <v>0</v>
      </c>
      <c r="U913" s="58">
        <v>52</v>
      </c>
      <c r="V913" s="62">
        <v>457</v>
      </c>
      <c r="W913" s="62">
        <v>78</v>
      </c>
      <c r="X913" s="63">
        <f>IFERROR(1 -(Master[[#This Row],[Avg Garment Scans per Delivery]]/Master[[#This Row],[Garment Inventory]]), 0)</f>
        <v>0.82932166301969368</v>
      </c>
      <c r="Y913" s="62">
        <v>20</v>
      </c>
      <c r="Z913" s="62">
        <v>452</v>
      </c>
      <c r="AA913" s="53">
        <v>167.42065088757394</v>
      </c>
      <c r="AB913" s="53">
        <v>180.72550295857988</v>
      </c>
      <c r="AC913" s="53">
        <v>162.20201183431953</v>
      </c>
      <c r="AD913" s="53">
        <v>179.73337278106516</v>
      </c>
      <c r="AE913" s="53" t="str">
        <f>_xlfn.XLOOKUP(Master[[#This Row],[cu_id]],'[1]Customer Revenue'!$Q:$Q,'[1]Customer Revenue'!$K:$K, "None")</f>
        <v>None</v>
      </c>
      <c r="AF913" s="53" t="str">
        <f>_xlfn.XLOOKUP(Master[[#This Row],[cu_id]],'[1]Customer Revenue'!$Q:$Q,'[1]Customer Revenue'!$L:$L, "None")</f>
        <v>None</v>
      </c>
      <c r="AG913" s="53">
        <v>170.61573964497043</v>
      </c>
      <c r="AH913" s="53">
        <v>177.31733727810658</v>
      </c>
      <c r="AI913" s="53">
        <v>174.07307692307691</v>
      </c>
      <c r="AJ913" s="53">
        <v>170.96769230769235</v>
      </c>
      <c r="AK913" s="53" t="str">
        <f>_xlfn.XLOOKUP(Master[[#This Row],[cu_id]],'[1]Customer Revenue'!$Q:$Q,'[1]Customer Revenue'!$I:$I, "None")</f>
        <v>None</v>
      </c>
      <c r="AL913" s="53">
        <v>173.96653846153851</v>
      </c>
      <c r="AM913" s="61">
        <v>0.33333333333333331</v>
      </c>
      <c r="AN913" s="60">
        <v>0.70833333333333337</v>
      </c>
      <c r="AO913" s="60" t="s">
        <v>36</v>
      </c>
      <c r="AP913" s="60" t="s">
        <v>36</v>
      </c>
      <c r="AQ913" s="58" t="s">
        <v>0</v>
      </c>
      <c r="AR913" s="58"/>
      <c r="AS913" s="58"/>
      <c r="AT913" s="52">
        <v>0</v>
      </c>
      <c r="AU913" s="52" t="e">
        <f>IF(Master[[#This Row],[RSP StopTime override]] &lt;&gt; "",Master[[#This Row],[RSP StopTime override]],IF(Master[[#This Row],[Avg stop time helper]] &lt;&gt; 0, Master[[#This Row],[Avg stop time helper]],Average_Stop_Time))</f>
        <v>#DIV/0!</v>
      </c>
      <c r="AV913" s="21"/>
      <c r="AW913" s="20">
        <f>Master[[#This Row],[RSP StopTime override]]-Master[[#This Row],[Avg stop time helper]]</f>
        <v>0</v>
      </c>
    </row>
    <row r="914" spans="1:49" x14ac:dyDescent="0.3">
      <c r="A914" s="66" t="s">
        <v>4939</v>
      </c>
      <c r="B914" s="58">
        <v>52</v>
      </c>
      <c r="C914" s="58" t="s">
        <v>10</v>
      </c>
      <c r="D914" s="65">
        <v>99094</v>
      </c>
      <c r="E914" s="65" t="s">
        <v>1696</v>
      </c>
      <c r="F914" s="65" t="s">
        <v>1695</v>
      </c>
      <c r="G914" s="65" t="s">
        <v>1694</v>
      </c>
      <c r="H914" s="65" t="s">
        <v>7</v>
      </c>
      <c r="I914" s="65" t="s">
        <v>1655</v>
      </c>
      <c r="J914" s="65" t="s">
        <v>5</v>
      </c>
      <c r="K914" s="65" t="s">
        <v>1654</v>
      </c>
      <c r="L914" s="64" t="s">
        <v>67</v>
      </c>
      <c r="M914" s="58" t="s">
        <v>3</v>
      </c>
      <c r="N914" s="58" t="s">
        <v>2</v>
      </c>
      <c r="O914" s="58">
        <v>100</v>
      </c>
      <c r="P914" s="58">
        <v>0</v>
      </c>
      <c r="Q914" s="58">
        <v>0</v>
      </c>
      <c r="R914" s="58">
        <v>100</v>
      </c>
      <c r="S914" s="58">
        <v>0</v>
      </c>
      <c r="T914" s="58">
        <v>0</v>
      </c>
      <c r="U914" s="58">
        <v>37</v>
      </c>
      <c r="V914" s="62"/>
      <c r="W914" s="62"/>
      <c r="X914" s="63">
        <f>IFERROR(1 -(Master[[#This Row],[Avg Garment Scans per Delivery]]/Master[[#This Row],[Garment Inventory]]), 0)</f>
        <v>0</v>
      </c>
      <c r="Y914" s="62"/>
      <c r="Z914" s="62"/>
      <c r="AA914" s="53">
        <v>21.182071005917155</v>
      </c>
      <c r="AB914" s="53">
        <v>24.628698224852069</v>
      </c>
      <c r="AC914" s="53">
        <v>11.221983471074376</v>
      </c>
      <c r="AD914" s="53">
        <v>33.298016528925622</v>
      </c>
      <c r="AE914" s="53" t="str">
        <f>_xlfn.XLOOKUP(Master[[#This Row],[cu_id]],'[1]Customer Revenue'!$Q:$Q,'[1]Customer Revenue'!$K:$K, "None")</f>
        <v>None</v>
      </c>
      <c r="AF914" s="53" t="str">
        <f>_xlfn.XLOOKUP(Master[[#This Row],[cu_id]],'[1]Customer Revenue'!$Q:$Q,'[1]Customer Revenue'!$L:$L, "None")</f>
        <v>None</v>
      </c>
      <c r="AG914" s="53">
        <v>19.641562499999992</v>
      </c>
      <c r="AH914" s="53">
        <v>23.505937499999987</v>
      </c>
      <c r="AI914" s="53">
        <v>22.905384615384612</v>
      </c>
      <c r="AJ914" s="53">
        <v>22.259999999999998</v>
      </c>
      <c r="AK914" s="53" t="str">
        <f>_xlfn.XLOOKUP(Master[[#This Row],[cu_id]],'[1]Customer Revenue'!$Q:$Q,'[1]Customer Revenue'!$I:$I, "None")</f>
        <v>None</v>
      </c>
      <c r="AL914" s="53">
        <v>21.57374999999999</v>
      </c>
      <c r="AM914" s="61">
        <v>0.375</v>
      </c>
      <c r="AN914" s="60">
        <v>0.70833333333333337</v>
      </c>
      <c r="AO914" s="60" t="s">
        <v>36</v>
      </c>
      <c r="AP914" s="60" t="s">
        <v>36</v>
      </c>
      <c r="AQ914" s="58" t="s">
        <v>0</v>
      </c>
      <c r="AR914" s="58"/>
      <c r="AS914" s="58"/>
      <c r="AT914" s="52">
        <v>0</v>
      </c>
      <c r="AU914" s="52" t="e">
        <f>IF(Master[[#This Row],[RSP StopTime override]] &lt;&gt; "",Master[[#This Row],[RSP StopTime override]],IF(Master[[#This Row],[Avg stop time helper]] &lt;&gt; 0, Master[[#This Row],[Avg stop time helper]],Average_Stop_Time))</f>
        <v>#DIV/0!</v>
      </c>
      <c r="AV914" s="21"/>
      <c r="AW914" s="20">
        <f>Master[[#This Row],[RSP StopTime override]]-Master[[#This Row],[Avg stop time helper]]</f>
        <v>0</v>
      </c>
    </row>
    <row r="915" spans="1:49" x14ac:dyDescent="0.3">
      <c r="A915" s="66" t="s">
        <v>4940</v>
      </c>
      <c r="B915" s="58">
        <v>52</v>
      </c>
      <c r="C915" s="58" t="s">
        <v>10</v>
      </c>
      <c r="D915" s="65">
        <v>99097</v>
      </c>
      <c r="E915" s="65" t="s">
        <v>1505</v>
      </c>
      <c r="F915" s="65" t="s">
        <v>3713</v>
      </c>
      <c r="G915" s="65" t="s">
        <v>1693</v>
      </c>
      <c r="H915" s="65" t="s">
        <v>7</v>
      </c>
      <c r="I915" s="65" t="s">
        <v>1606</v>
      </c>
      <c r="J915" s="65" t="s">
        <v>5</v>
      </c>
      <c r="K915" s="65" t="s">
        <v>1605</v>
      </c>
      <c r="L915" s="64" t="s">
        <v>67</v>
      </c>
      <c r="M915" s="58" t="s">
        <v>3</v>
      </c>
      <c r="N915" s="58" t="s">
        <v>2</v>
      </c>
      <c r="O915" s="58">
        <v>85</v>
      </c>
      <c r="P915" s="58">
        <v>0</v>
      </c>
      <c r="Q915" s="58">
        <v>0</v>
      </c>
      <c r="R915" s="58">
        <v>85</v>
      </c>
      <c r="S915" s="58">
        <v>0</v>
      </c>
      <c r="T915" s="58">
        <v>0</v>
      </c>
      <c r="U915" s="58">
        <v>52</v>
      </c>
      <c r="V915" s="62">
        <v>28</v>
      </c>
      <c r="W915" s="62">
        <v>0</v>
      </c>
      <c r="X915" s="63">
        <f>IFERROR(1 -(Master[[#This Row],[Avg Garment Scans per Delivery]]/Master[[#This Row],[Garment Inventory]]), 0)</f>
        <v>1</v>
      </c>
      <c r="Y915" s="62">
        <v>1</v>
      </c>
      <c r="Z915" s="62">
        <v>29</v>
      </c>
      <c r="AA915" s="53">
        <v>46.644733727810639</v>
      </c>
      <c r="AB915" s="53">
        <v>47.68142011834319</v>
      </c>
      <c r="AC915" s="53">
        <v>45.964556213017744</v>
      </c>
      <c r="AD915" s="53">
        <v>46.769289940828401</v>
      </c>
      <c r="AE915" s="53" t="str">
        <f>_xlfn.XLOOKUP(Master[[#This Row],[cu_id]],'[1]Customer Revenue'!$Q:$Q,'[1]Customer Revenue'!$K:$K, "None")</f>
        <v>None</v>
      </c>
      <c r="AF915" s="53" t="str">
        <f>_xlfn.XLOOKUP(Master[[#This Row],[cu_id]],'[1]Customer Revenue'!$Q:$Q,'[1]Customer Revenue'!$L:$L, "None")</f>
        <v>None</v>
      </c>
      <c r="AG915" s="53">
        <v>45.175502958579884</v>
      </c>
      <c r="AH915" s="53">
        <v>47.666035502958579</v>
      </c>
      <c r="AI915" s="53">
        <v>47.163076923076915</v>
      </c>
      <c r="AJ915" s="53">
        <v>46.366923076923072</v>
      </c>
      <c r="AK915" s="53" t="str">
        <f>_xlfn.XLOOKUP(Master[[#This Row],[cu_id]],'[1]Customer Revenue'!$Q:$Q,'[1]Customer Revenue'!$I:$I, "None")</f>
        <v>None</v>
      </c>
      <c r="AL915" s="53">
        <v>46.420769230769231</v>
      </c>
      <c r="AM915" s="61">
        <v>0.25</v>
      </c>
      <c r="AN915" s="60">
        <v>0.70833333333333337</v>
      </c>
      <c r="AO915" s="60" t="s">
        <v>36</v>
      </c>
      <c r="AP915" s="60" t="s">
        <v>36</v>
      </c>
      <c r="AQ915" s="58" t="s">
        <v>0</v>
      </c>
      <c r="AR915" s="58"/>
      <c r="AS915" s="58"/>
      <c r="AT915" s="52">
        <v>0</v>
      </c>
      <c r="AU915" s="52" t="e">
        <f>IF(Master[[#This Row],[RSP StopTime override]] &lt;&gt; "",Master[[#This Row],[RSP StopTime override]],IF(Master[[#This Row],[Avg stop time helper]] &lt;&gt; 0, Master[[#This Row],[Avg stop time helper]],Average_Stop_Time))</f>
        <v>#DIV/0!</v>
      </c>
      <c r="AV915" s="21"/>
      <c r="AW915" s="20">
        <f>Master[[#This Row],[RSP StopTime override]]-Master[[#This Row],[Avg stop time helper]]</f>
        <v>0</v>
      </c>
    </row>
    <row r="916" spans="1:49" x14ac:dyDescent="0.3">
      <c r="A916" s="66" t="s">
        <v>4941</v>
      </c>
      <c r="B916" s="58">
        <v>52</v>
      </c>
      <c r="C916" s="58" t="s">
        <v>10</v>
      </c>
      <c r="D916" s="65">
        <v>499014</v>
      </c>
      <c r="E916" s="65" t="s">
        <v>1154</v>
      </c>
      <c r="F916" s="65" t="s">
        <v>1149</v>
      </c>
      <c r="G916" s="65" t="s">
        <v>1692</v>
      </c>
      <c r="H916" s="65" t="s">
        <v>32</v>
      </c>
      <c r="I916" s="65" t="s">
        <v>1637</v>
      </c>
      <c r="J916" s="65" t="s">
        <v>5</v>
      </c>
      <c r="K916" s="65" t="s">
        <v>1599</v>
      </c>
      <c r="L916" s="64" t="s">
        <v>141</v>
      </c>
      <c r="M916" s="58" t="s">
        <v>140</v>
      </c>
      <c r="N916" s="58" t="s">
        <v>2</v>
      </c>
      <c r="O916" s="58">
        <v>90</v>
      </c>
      <c r="P916" s="58">
        <v>0</v>
      </c>
      <c r="Q916" s="58">
        <v>0</v>
      </c>
      <c r="R916" s="58">
        <v>90</v>
      </c>
      <c r="S916" s="58">
        <v>0</v>
      </c>
      <c r="T916" s="58">
        <v>0</v>
      </c>
      <c r="U916" s="58">
        <v>15</v>
      </c>
      <c r="V916" s="62"/>
      <c r="W916" s="62"/>
      <c r="X916" s="63">
        <f>IFERROR(1 -(Master[[#This Row],[Avg Garment Scans per Delivery]]/Master[[#This Row],[Garment Inventory]]), 0)</f>
        <v>0</v>
      </c>
      <c r="Y916" s="62"/>
      <c r="Z916" s="62"/>
      <c r="AA916" s="53">
        <v>23.186666666666667</v>
      </c>
      <c r="AB916" s="53">
        <v>88.693333333333328</v>
      </c>
      <c r="AC916" s="53">
        <v>29.166666666666671</v>
      </c>
      <c r="AD916" s="53">
        <v>54.873333333333335</v>
      </c>
      <c r="AE916" s="53" t="str">
        <f>_xlfn.XLOOKUP(Master[[#This Row],[cu_id]],'[1]Customer Revenue'!$Q:$Q,'[1]Customer Revenue'!$K:$K, "None")</f>
        <v>None</v>
      </c>
      <c r="AF916" s="53" t="str">
        <f>_xlfn.XLOOKUP(Master[[#This Row],[cu_id]],'[1]Customer Revenue'!$Q:$Q,'[1]Customer Revenue'!$L:$L, "None")</f>
        <v>None</v>
      </c>
      <c r="AG916" s="53">
        <v>18.716530612244895</v>
      </c>
      <c r="AH916" s="53">
        <v>98.60632653061225</v>
      </c>
      <c r="AI916" s="53">
        <v>55.94</v>
      </c>
      <c r="AJ916" s="53">
        <v>42.02</v>
      </c>
      <c r="AK916" s="53" t="str">
        <f>_xlfn.XLOOKUP(Master[[#This Row],[cu_id]],'[1]Customer Revenue'!$Q:$Q,'[1]Customer Revenue'!$I:$I, "None")</f>
        <v>None</v>
      </c>
      <c r="AL916" s="53">
        <v>58.661428571428573</v>
      </c>
      <c r="AM916" s="61">
        <v>0.39583333333333331</v>
      </c>
      <c r="AN916" s="60">
        <v>0.70833333333333337</v>
      </c>
      <c r="AO916" s="60" t="s">
        <v>36</v>
      </c>
      <c r="AP916" s="60" t="s">
        <v>36</v>
      </c>
      <c r="AQ916" s="58" t="s">
        <v>0</v>
      </c>
      <c r="AR916" s="58"/>
      <c r="AS916" s="58"/>
      <c r="AT916" s="52">
        <v>0</v>
      </c>
      <c r="AU916" s="52" t="e">
        <f>IF(Master[[#This Row],[RSP StopTime override]] &lt;&gt; "",Master[[#This Row],[RSP StopTime override]],IF(Master[[#This Row],[Avg stop time helper]] &lt;&gt; 0, Master[[#This Row],[Avg stop time helper]],Average_Stop_Time))</f>
        <v>#DIV/0!</v>
      </c>
      <c r="AV916" s="21"/>
      <c r="AW916" s="20">
        <f>Master[[#This Row],[RSP StopTime override]]-Master[[#This Row],[Avg stop time helper]]</f>
        <v>0</v>
      </c>
    </row>
    <row r="917" spans="1:49" x14ac:dyDescent="0.3">
      <c r="A917" s="66" t="s">
        <v>4942</v>
      </c>
      <c r="B917" s="58">
        <v>52</v>
      </c>
      <c r="C917" s="58" t="s">
        <v>10</v>
      </c>
      <c r="D917" s="65">
        <v>499014</v>
      </c>
      <c r="E917" s="65" t="s">
        <v>805</v>
      </c>
      <c r="F917" s="65" t="s">
        <v>1149</v>
      </c>
      <c r="G917" s="65" t="s">
        <v>1691</v>
      </c>
      <c r="H917" s="65" t="s">
        <v>32</v>
      </c>
      <c r="I917" s="65" t="s">
        <v>1690</v>
      </c>
      <c r="J917" s="65" t="s">
        <v>5</v>
      </c>
      <c r="K917" s="65" t="s">
        <v>1654</v>
      </c>
      <c r="L917" s="64" t="s">
        <v>141</v>
      </c>
      <c r="M917" s="58" t="s">
        <v>140</v>
      </c>
      <c r="N917" s="58" t="s">
        <v>2</v>
      </c>
      <c r="O917" s="58">
        <v>115</v>
      </c>
      <c r="P917" s="58">
        <v>0</v>
      </c>
      <c r="Q917" s="58">
        <v>0</v>
      </c>
      <c r="R917" s="58">
        <v>115</v>
      </c>
      <c r="S917" s="58">
        <v>0</v>
      </c>
      <c r="T917" s="58">
        <v>0</v>
      </c>
      <c r="U917" s="58">
        <v>14</v>
      </c>
      <c r="V917" s="62"/>
      <c r="W917" s="62"/>
      <c r="X917" s="63">
        <f>IFERROR(1 -(Master[[#This Row],[Avg Garment Scans per Delivery]]/Master[[#This Row],[Garment Inventory]]), 0)</f>
        <v>0</v>
      </c>
      <c r="Y917" s="62"/>
      <c r="Z917" s="62"/>
      <c r="AA917" s="53">
        <v>30.69</v>
      </c>
      <c r="AB917" s="53">
        <v>32.69</v>
      </c>
      <c r="AC917" s="53">
        <v>30.223333333333333</v>
      </c>
      <c r="AD917" s="53">
        <v>63.876666666666679</v>
      </c>
      <c r="AE917" s="53" t="str">
        <f>_xlfn.XLOOKUP(Master[[#This Row],[cu_id]],'[1]Customer Revenue'!$Q:$Q,'[1]Customer Revenue'!$K:$K, "None")</f>
        <v>None</v>
      </c>
      <c r="AF917" s="53" t="str">
        <f>_xlfn.XLOOKUP(Master[[#This Row],[cu_id]],'[1]Customer Revenue'!$Q:$Q,'[1]Customer Revenue'!$L:$L, "None")</f>
        <v>None</v>
      </c>
      <c r="AG917" s="53">
        <v>30.71040816326531</v>
      </c>
      <c r="AH917" s="53">
        <v>31.812448979591839</v>
      </c>
      <c r="AI917" s="53">
        <v>31.689999999999998</v>
      </c>
      <c r="AJ917" s="53">
        <v>47.050000000000004</v>
      </c>
      <c r="AK917" s="53" t="str">
        <f>_xlfn.XLOOKUP(Master[[#This Row],[cu_id]],'[1]Customer Revenue'!$Q:$Q,'[1]Customer Revenue'!$I:$I, "None")</f>
        <v>None</v>
      </c>
      <c r="AL917" s="53">
        <v>31.261428571428574</v>
      </c>
      <c r="AM917" s="61">
        <v>0.39583333333333331</v>
      </c>
      <c r="AN917" s="60">
        <v>0.70833333333333337</v>
      </c>
      <c r="AO917" s="60" t="s">
        <v>36</v>
      </c>
      <c r="AP917" s="60" t="s">
        <v>36</v>
      </c>
      <c r="AQ917" s="58" t="s">
        <v>0</v>
      </c>
      <c r="AR917" s="58"/>
      <c r="AS917" s="58"/>
      <c r="AT917" s="52">
        <v>0</v>
      </c>
      <c r="AU917" s="52" t="e">
        <f>IF(Master[[#This Row],[RSP StopTime override]] &lt;&gt; "",Master[[#This Row],[RSP StopTime override]],IF(Master[[#This Row],[Avg stop time helper]] &lt;&gt; 0, Master[[#This Row],[Avg stop time helper]],Average_Stop_Time))</f>
        <v>#DIV/0!</v>
      </c>
      <c r="AV917" s="21"/>
      <c r="AW917" s="20">
        <f>Master[[#This Row],[RSP StopTime override]]-Master[[#This Row],[Avg stop time helper]]</f>
        <v>0</v>
      </c>
    </row>
    <row r="918" spans="1:49" x14ac:dyDescent="0.3">
      <c r="A918" s="66" t="s">
        <v>4943</v>
      </c>
      <c r="B918" s="58">
        <v>52</v>
      </c>
      <c r="C918" s="58" t="s">
        <v>10</v>
      </c>
      <c r="D918" s="65">
        <v>499014</v>
      </c>
      <c r="E918" s="65" t="s">
        <v>1526</v>
      </c>
      <c r="F918" s="65" t="s">
        <v>1149</v>
      </c>
      <c r="G918" s="65" t="s">
        <v>1689</v>
      </c>
      <c r="H918" s="65" t="s">
        <v>32</v>
      </c>
      <c r="I918" s="65" t="s">
        <v>1627</v>
      </c>
      <c r="J918" s="65" t="s">
        <v>5</v>
      </c>
      <c r="K918" s="65" t="s">
        <v>7</v>
      </c>
      <c r="L918" s="64" t="s">
        <v>141</v>
      </c>
      <c r="M918" s="58" t="s">
        <v>140</v>
      </c>
      <c r="N918" s="58" t="s">
        <v>2</v>
      </c>
      <c r="O918" s="58">
        <v>65</v>
      </c>
      <c r="P918" s="58">
        <v>0</v>
      </c>
      <c r="Q918" s="58">
        <v>0</v>
      </c>
      <c r="R918" s="58">
        <v>65</v>
      </c>
      <c r="S918" s="58">
        <v>0</v>
      </c>
      <c r="T918" s="58">
        <v>0</v>
      </c>
      <c r="U918" s="58">
        <v>16</v>
      </c>
      <c r="V918" s="62"/>
      <c r="W918" s="62"/>
      <c r="X918" s="63">
        <f>IFERROR(1 -(Master[[#This Row],[Avg Garment Scans per Delivery]]/Master[[#This Row],[Garment Inventory]]), 0)</f>
        <v>0</v>
      </c>
      <c r="Y918" s="62"/>
      <c r="Z918" s="62"/>
      <c r="AA918" s="53">
        <v>29.503333333333337</v>
      </c>
      <c r="AB918" s="53">
        <v>114.19666666666669</v>
      </c>
      <c r="AC918" s="53">
        <v>31.530833333333334</v>
      </c>
      <c r="AD918" s="53">
        <v>127.49583333333334</v>
      </c>
      <c r="AE918" s="53" t="str">
        <f>_xlfn.XLOOKUP(Master[[#This Row],[cu_id]],'[1]Customer Revenue'!$Q:$Q,'[1]Customer Revenue'!$K:$K, "None")</f>
        <v>None</v>
      </c>
      <c r="AF918" s="53" t="str">
        <f>_xlfn.XLOOKUP(Master[[#This Row],[cu_id]],'[1]Customer Revenue'!$Q:$Q,'[1]Customer Revenue'!$L:$L, "None")</f>
        <v>None</v>
      </c>
      <c r="AG918" s="53">
        <v>30.476018518518526</v>
      </c>
      <c r="AH918" s="53">
        <v>89.598981481481488</v>
      </c>
      <c r="AI918" s="53">
        <v>71.850000000000009</v>
      </c>
      <c r="AJ918" s="53">
        <v>79.513333333333335</v>
      </c>
      <c r="AK918" s="53" t="str">
        <f>_xlfn.XLOOKUP(Master[[#This Row],[cu_id]],'[1]Customer Revenue'!$Q:$Q,'[1]Customer Revenue'!$I:$I, "None")</f>
        <v>None</v>
      </c>
      <c r="AL918" s="53">
        <v>60.037500000000009</v>
      </c>
      <c r="AM918" s="61">
        <v>0.39583333333333331</v>
      </c>
      <c r="AN918" s="60">
        <v>0.70833333333333337</v>
      </c>
      <c r="AO918" s="60" t="s">
        <v>36</v>
      </c>
      <c r="AP918" s="60" t="s">
        <v>36</v>
      </c>
      <c r="AQ918" s="58" t="s">
        <v>0</v>
      </c>
      <c r="AR918" s="58"/>
      <c r="AS918" s="58"/>
      <c r="AT918" s="52">
        <v>0</v>
      </c>
      <c r="AU918" s="52" t="e">
        <f>IF(Master[[#This Row],[RSP StopTime override]] &lt;&gt; "",Master[[#This Row],[RSP StopTime override]],IF(Master[[#This Row],[Avg stop time helper]] &lt;&gt; 0, Master[[#This Row],[Avg stop time helper]],Average_Stop_Time))</f>
        <v>#DIV/0!</v>
      </c>
      <c r="AV918" s="21"/>
      <c r="AW918" s="20">
        <f>Master[[#This Row],[RSP StopTime override]]-Master[[#This Row],[Avg stop time helper]]</f>
        <v>0</v>
      </c>
    </row>
    <row r="919" spans="1:49" x14ac:dyDescent="0.3">
      <c r="A919" s="66" t="s">
        <v>4944</v>
      </c>
      <c r="B919" s="58">
        <v>52</v>
      </c>
      <c r="C919" s="58" t="s">
        <v>10</v>
      </c>
      <c r="D919" s="65">
        <v>520376</v>
      </c>
      <c r="E919" s="65" t="s">
        <v>42</v>
      </c>
      <c r="F919" s="65" t="s">
        <v>1688</v>
      </c>
      <c r="G919" s="65" t="s">
        <v>1687</v>
      </c>
      <c r="H919" s="65" t="s">
        <v>32</v>
      </c>
      <c r="I919" s="65" t="s">
        <v>50</v>
      </c>
      <c r="J919" s="65" t="s">
        <v>5</v>
      </c>
      <c r="K919" s="65" t="s">
        <v>1686</v>
      </c>
      <c r="L919" s="64" t="s">
        <v>67</v>
      </c>
      <c r="M919" s="58" t="s">
        <v>3</v>
      </c>
      <c r="N919" s="58" t="s">
        <v>2</v>
      </c>
      <c r="O919" s="58">
        <v>20</v>
      </c>
      <c r="P919" s="58">
        <v>0</v>
      </c>
      <c r="Q919" s="58">
        <v>0</v>
      </c>
      <c r="R919" s="58">
        <v>20</v>
      </c>
      <c r="S919" s="58">
        <v>0</v>
      </c>
      <c r="T919" s="58">
        <v>0</v>
      </c>
      <c r="U919" s="58">
        <v>52</v>
      </c>
      <c r="V919" s="62">
        <v>60</v>
      </c>
      <c r="W919" s="62">
        <v>19</v>
      </c>
      <c r="X919" s="63">
        <f>IFERROR(1 -(Master[[#This Row],[Avg Garment Scans per Delivery]]/Master[[#This Row],[Garment Inventory]]), 0)</f>
        <v>0.68333333333333335</v>
      </c>
      <c r="Y919" s="62">
        <v>3</v>
      </c>
      <c r="Z919" s="62">
        <v>65</v>
      </c>
      <c r="AA919" s="53">
        <v>86.876804733727809</v>
      </c>
      <c r="AB919" s="53">
        <v>97.941656804733711</v>
      </c>
      <c r="AC919" s="53">
        <v>90.687278106508884</v>
      </c>
      <c r="AD919" s="53">
        <v>95.089644970414227</v>
      </c>
      <c r="AE919" s="53" t="str">
        <f>_xlfn.XLOOKUP(Master[[#This Row],[cu_id]],'[1]Customer Revenue'!$Q:$Q,'[1]Customer Revenue'!$K:$K, "None")</f>
        <v>None</v>
      </c>
      <c r="AF919" s="53" t="str">
        <f>_xlfn.XLOOKUP(Master[[#This Row],[cu_id]],'[1]Customer Revenue'!$Q:$Q,'[1]Customer Revenue'!$L:$L, "None")</f>
        <v>None</v>
      </c>
      <c r="AG919" s="53">
        <v>85.29227810650886</v>
      </c>
      <c r="AH919" s="53">
        <v>92.410029585798725</v>
      </c>
      <c r="AI919" s="53">
        <v>92.40923076923076</v>
      </c>
      <c r="AJ919" s="53">
        <v>92.888461538461556</v>
      </c>
      <c r="AK919" s="53" t="str">
        <f>_xlfn.XLOOKUP(Master[[#This Row],[cu_id]],'[1]Customer Revenue'!$Q:$Q,'[1]Customer Revenue'!$I:$I, "None")</f>
        <v>None</v>
      </c>
      <c r="AL919" s="53">
        <v>88.851153846153792</v>
      </c>
      <c r="AM919" s="61">
        <v>0.33333333333333331</v>
      </c>
      <c r="AN919" s="60">
        <v>0.70833333333333337</v>
      </c>
      <c r="AO919" s="60" t="s">
        <v>36</v>
      </c>
      <c r="AP919" s="60" t="s">
        <v>36</v>
      </c>
      <c r="AQ919" s="58" t="s">
        <v>0</v>
      </c>
      <c r="AR919" s="58"/>
      <c r="AS919" s="58"/>
      <c r="AT919" s="52">
        <v>0</v>
      </c>
      <c r="AU919" s="52" t="e">
        <f>IF(Master[[#This Row],[RSP StopTime override]] &lt;&gt; "",Master[[#This Row],[RSP StopTime override]],IF(Master[[#This Row],[Avg stop time helper]] &lt;&gt; 0, Master[[#This Row],[Avg stop time helper]],Average_Stop_Time))</f>
        <v>#DIV/0!</v>
      </c>
      <c r="AV919" s="21"/>
      <c r="AW919" s="20">
        <f>Master[[#This Row],[RSP StopTime override]]-Master[[#This Row],[Avg stop time helper]]</f>
        <v>0</v>
      </c>
    </row>
    <row r="920" spans="1:49" x14ac:dyDescent="0.3">
      <c r="A920" s="66" t="s">
        <v>4945</v>
      </c>
      <c r="B920" s="58">
        <v>52</v>
      </c>
      <c r="C920" s="58" t="s">
        <v>10</v>
      </c>
      <c r="D920" s="65">
        <v>526762</v>
      </c>
      <c r="E920" s="65" t="s">
        <v>42</v>
      </c>
      <c r="F920" s="65" t="s">
        <v>1685</v>
      </c>
      <c r="G920" s="65" t="s">
        <v>1684</v>
      </c>
      <c r="H920" s="65" t="s">
        <v>32</v>
      </c>
      <c r="I920" s="65" t="s">
        <v>1627</v>
      </c>
      <c r="J920" s="65" t="s">
        <v>5</v>
      </c>
      <c r="K920" s="65" t="s">
        <v>1605</v>
      </c>
      <c r="L920" s="64" t="s">
        <v>141</v>
      </c>
      <c r="M920" s="58" t="s">
        <v>140</v>
      </c>
      <c r="N920" s="58" t="s">
        <v>2</v>
      </c>
      <c r="O920" s="58">
        <v>130</v>
      </c>
      <c r="P920" s="58">
        <v>0</v>
      </c>
      <c r="Q920" s="58">
        <v>0</v>
      </c>
      <c r="R920" s="58">
        <v>130</v>
      </c>
      <c r="S920" s="58">
        <v>0</v>
      </c>
      <c r="T920" s="58">
        <v>0</v>
      </c>
      <c r="U920" s="58">
        <v>13</v>
      </c>
      <c r="V920" s="62"/>
      <c r="W920" s="62"/>
      <c r="X920" s="63">
        <f>IFERROR(1 -(Master[[#This Row],[Avg Garment Scans per Delivery]]/Master[[#This Row],[Garment Inventory]]), 0)</f>
        <v>0</v>
      </c>
      <c r="Y920" s="62"/>
      <c r="Z920" s="62"/>
      <c r="AA920" s="53">
        <v>48.29999999999999</v>
      </c>
      <c r="AB920" s="53">
        <v>50.29999999999999</v>
      </c>
      <c r="AC920" s="53">
        <v>50.536666666666662</v>
      </c>
      <c r="AD920" s="53">
        <v>52.643333333333331</v>
      </c>
      <c r="AE920" s="53" t="str">
        <f>_xlfn.XLOOKUP(Master[[#This Row],[cu_id]],'[1]Customer Revenue'!$Q:$Q,'[1]Customer Revenue'!$K:$K, "None")</f>
        <v>None</v>
      </c>
      <c r="AF920" s="53" t="str">
        <f>_xlfn.XLOOKUP(Master[[#This Row],[cu_id]],'[1]Customer Revenue'!$Q:$Q,'[1]Customer Revenue'!$L:$L, "None")</f>
        <v>None</v>
      </c>
      <c r="AG920" s="53">
        <v>48.320408163265306</v>
      </c>
      <c r="AH920" s="53">
        <v>49.422448979591842</v>
      </c>
      <c r="AI920" s="53">
        <v>49.29999999999999</v>
      </c>
      <c r="AJ920" s="53">
        <v>51.589999999999996</v>
      </c>
      <c r="AK920" s="53" t="str">
        <f>_xlfn.XLOOKUP(Master[[#This Row],[cu_id]],'[1]Customer Revenue'!$Q:$Q,'[1]Customer Revenue'!$I:$I, "None")</f>
        <v>None</v>
      </c>
      <c r="AL920" s="53">
        <v>48.871428571428574</v>
      </c>
      <c r="AM920" s="61">
        <v>0.33333333333333331</v>
      </c>
      <c r="AN920" s="60">
        <v>0.70833333333333337</v>
      </c>
      <c r="AO920" s="60" t="s">
        <v>36</v>
      </c>
      <c r="AP920" s="60" t="s">
        <v>36</v>
      </c>
      <c r="AQ920" s="58" t="s">
        <v>0</v>
      </c>
      <c r="AR920" s="58"/>
      <c r="AS920" s="58"/>
      <c r="AT920" s="52">
        <v>0</v>
      </c>
      <c r="AU920" s="52" t="e">
        <f>IF(Master[[#This Row],[RSP StopTime override]] &lt;&gt; "",Master[[#This Row],[RSP StopTime override]],IF(Master[[#This Row],[Avg stop time helper]] &lt;&gt; 0, Master[[#This Row],[Avg stop time helper]],Average_Stop_Time))</f>
        <v>#DIV/0!</v>
      </c>
      <c r="AV920" s="21"/>
      <c r="AW920" s="20">
        <f>Master[[#This Row],[RSP StopTime override]]-Master[[#This Row],[Avg stop time helper]]</f>
        <v>0</v>
      </c>
    </row>
    <row r="921" spans="1:49" x14ac:dyDescent="0.3">
      <c r="A921" s="66" t="s">
        <v>4946</v>
      </c>
      <c r="B921" s="58">
        <v>52</v>
      </c>
      <c r="C921" s="58" t="s">
        <v>10</v>
      </c>
      <c r="D921" s="65">
        <v>526770</v>
      </c>
      <c r="E921" s="65" t="s">
        <v>42</v>
      </c>
      <c r="F921" s="65" t="s">
        <v>1683</v>
      </c>
      <c r="G921" s="65" t="s">
        <v>1682</v>
      </c>
      <c r="H921" s="65" t="s">
        <v>32</v>
      </c>
      <c r="I921" s="65" t="s">
        <v>1627</v>
      </c>
      <c r="J921" s="65" t="s">
        <v>5</v>
      </c>
      <c r="K921" s="65" t="s">
        <v>1605</v>
      </c>
      <c r="L921" s="64" t="s">
        <v>67</v>
      </c>
      <c r="M921" s="58" t="s">
        <v>3</v>
      </c>
      <c r="N921" s="58" t="s">
        <v>2</v>
      </c>
      <c r="O921" s="58">
        <v>120</v>
      </c>
      <c r="P921" s="58">
        <v>0</v>
      </c>
      <c r="Q921" s="58">
        <v>0</v>
      </c>
      <c r="R921" s="58">
        <v>120</v>
      </c>
      <c r="S921" s="58">
        <v>0</v>
      </c>
      <c r="T921" s="58">
        <v>0</v>
      </c>
      <c r="U921" s="58">
        <v>53</v>
      </c>
      <c r="V921" s="62"/>
      <c r="W921" s="62"/>
      <c r="X921" s="63">
        <f>IFERROR(1 -(Master[[#This Row],[Avg Garment Scans per Delivery]]/Master[[#This Row],[Garment Inventory]]), 0)</f>
        <v>0</v>
      </c>
      <c r="Y921" s="62"/>
      <c r="Z921" s="62"/>
      <c r="AA921" s="53">
        <v>69.130431711146016</v>
      </c>
      <c r="AB921" s="53">
        <v>98.138799058084786</v>
      </c>
      <c r="AC921" s="53">
        <v>94.145798816568046</v>
      </c>
      <c r="AD921" s="53">
        <v>97.497278106508887</v>
      </c>
      <c r="AE921" s="53" t="str">
        <f>_xlfn.XLOOKUP(Master[[#This Row],[cu_id]],'[1]Customer Revenue'!$Q:$Q,'[1]Customer Revenue'!$K:$K, "None")</f>
        <v>None</v>
      </c>
      <c r="AF921" s="53" t="str">
        <f>_xlfn.XLOOKUP(Master[[#This Row],[cu_id]],'[1]Customer Revenue'!$Q:$Q,'[1]Customer Revenue'!$L:$L, "None")</f>
        <v>None</v>
      </c>
      <c r="AG921" s="53">
        <v>72.108089585311802</v>
      </c>
      <c r="AH921" s="53">
        <v>87.246525799303583</v>
      </c>
      <c r="AI921" s="53">
        <v>83.634615384615401</v>
      </c>
      <c r="AJ921" s="53">
        <v>95.821538461538466</v>
      </c>
      <c r="AK921" s="53" t="str">
        <f>_xlfn.XLOOKUP(Master[[#This Row],[cu_id]],'[1]Customer Revenue'!$Q:$Q,'[1]Customer Revenue'!$I:$I, "None")</f>
        <v>None</v>
      </c>
      <c r="AL921" s="53">
        <v>79.677307692307693</v>
      </c>
      <c r="AM921" s="61">
        <v>0.33333333333333331</v>
      </c>
      <c r="AN921" s="60">
        <v>0.70833333333333337</v>
      </c>
      <c r="AO921" s="60" t="s">
        <v>36</v>
      </c>
      <c r="AP921" s="60" t="s">
        <v>36</v>
      </c>
      <c r="AQ921" s="58" t="s">
        <v>0</v>
      </c>
      <c r="AR921" s="58"/>
      <c r="AS921" s="58"/>
      <c r="AT921" s="52">
        <v>0</v>
      </c>
      <c r="AU921" s="52" t="e">
        <f>IF(Master[[#This Row],[RSP StopTime override]] &lt;&gt; "",Master[[#This Row],[RSP StopTime override]],IF(Master[[#This Row],[Avg stop time helper]] &lt;&gt; 0, Master[[#This Row],[Avg stop time helper]],Average_Stop_Time))</f>
        <v>#DIV/0!</v>
      </c>
      <c r="AV921" s="21"/>
      <c r="AW921" s="20">
        <f>Master[[#This Row],[RSP StopTime override]]-Master[[#This Row],[Avg stop time helper]]</f>
        <v>0</v>
      </c>
    </row>
    <row r="922" spans="1:49" x14ac:dyDescent="0.3">
      <c r="A922" s="66" t="s">
        <v>4947</v>
      </c>
      <c r="B922" s="58">
        <v>52</v>
      </c>
      <c r="C922" s="58" t="s">
        <v>10</v>
      </c>
      <c r="D922" s="65">
        <v>526770</v>
      </c>
      <c r="E922" s="65" t="s">
        <v>686</v>
      </c>
      <c r="F922" s="65" t="s">
        <v>1681</v>
      </c>
      <c r="G922" s="65" t="s">
        <v>1680</v>
      </c>
      <c r="H922" s="65" t="s">
        <v>32</v>
      </c>
      <c r="I922" s="65" t="s">
        <v>1627</v>
      </c>
      <c r="J922" s="65" t="s">
        <v>5</v>
      </c>
      <c r="K922" s="65" t="s">
        <v>1605</v>
      </c>
      <c r="L922" s="64" t="s">
        <v>91</v>
      </c>
      <c r="M922" s="58" t="s">
        <v>90</v>
      </c>
      <c r="N922" s="58" t="s">
        <v>2</v>
      </c>
      <c r="O922" s="58">
        <v>120</v>
      </c>
      <c r="P922" s="58">
        <v>0</v>
      </c>
      <c r="Q922" s="58">
        <v>0</v>
      </c>
      <c r="R922" s="58">
        <v>120</v>
      </c>
      <c r="S922" s="58">
        <v>0</v>
      </c>
      <c r="T922" s="58">
        <v>0</v>
      </c>
      <c r="U922" s="58">
        <v>26</v>
      </c>
      <c r="V922" s="62"/>
      <c r="W922" s="62"/>
      <c r="X922" s="63">
        <f>IFERROR(1 -(Master[[#This Row],[Avg Garment Scans per Delivery]]/Master[[#This Row],[Garment Inventory]]), 0)</f>
        <v>0</v>
      </c>
      <c r="Y922" s="62"/>
      <c r="Z922" s="62"/>
      <c r="AA922" s="53">
        <v>18.566122448979591</v>
      </c>
      <c r="AB922" s="53">
        <v>20.765306122448976</v>
      </c>
      <c r="AC922" s="53">
        <v>21.537777777777777</v>
      </c>
      <c r="AD922" s="53">
        <v>21.955555555555556</v>
      </c>
      <c r="AE922" s="53" t="str">
        <f>_xlfn.XLOOKUP(Master[[#This Row],[cu_id]],'[1]Customer Revenue'!$Q:$Q,'[1]Customer Revenue'!$K:$K, "None")</f>
        <v>None</v>
      </c>
      <c r="AF922" s="53" t="str">
        <f>_xlfn.XLOOKUP(Master[[#This Row],[cu_id]],'[1]Customer Revenue'!$Q:$Q,'[1]Customer Revenue'!$L:$L, "None")</f>
        <v>None</v>
      </c>
      <c r="AG922" s="53">
        <v>18.432899408284026</v>
      </c>
      <c r="AH922" s="53">
        <v>20.016331360946754</v>
      </c>
      <c r="AI922" s="53">
        <v>19.665714285714284</v>
      </c>
      <c r="AJ922" s="53">
        <v>21.746666666666666</v>
      </c>
      <c r="AK922" s="53" t="str">
        <f>_xlfn.XLOOKUP(Master[[#This Row],[cu_id]],'[1]Customer Revenue'!$Q:$Q,'[1]Customer Revenue'!$I:$I, "None")</f>
        <v>None</v>
      </c>
      <c r="AL922" s="53">
        <v>19.22461538461539</v>
      </c>
      <c r="AM922" s="61">
        <v>0.33333333333333331</v>
      </c>
      <c r="AN922" s="60">
        <v>0.70833333333333337</v>
      </c>
      <c r="AO922" s="60" t="s">
        <v>36</v>
      </c>
      <c r="AP922" s="60" t="s">
        <v>36</v>
      </c>
      <c r="AQ922" s="58" t="s">
        <v>0</v>
      </c>
      <c r="AR922" s="58"/>
      <c r="AS922" s="58"/>
      <c r="AT922" s="52">
        <v>0</v>
      </c>
      <c r="AU922" s="52" t="e">
        <f>IF(Master[[#This Row],[RSP StopTime override]] &lt;&gt; "",Master[[#This Row],[RSP StopTime override]],IF(Master[[#This Row],[Avg stop time helper]] &lt;&gt; 0, Master[[#This Row],[Avg stop time helper]],Average_Stop_Time))</f>
        <v>#DIV/0!</v>
      </c>
      <c r="AV922" s="21"/>
      <c r="AW922" s="20">
        <f>Master[[#This Row],[RSP StopTime override]]-Master[[#This Row],[Avg stop time helper]]</f>
        <v>0</v>
      </c>
    </row>
    <row r="923" spans="1:49" x14ac:dyDescent="0.3">
      <c r="A923" s="66" t="s">
        <v>4948</v>
      </c>
      <c r="B923" s="58">
        <v>52</v>
      </c>
      <c r="C923" s="58" t="s">
        <v>10</v>
      </c>
      <c r="D923" s="65">
        <v>528473</v>
      </c>
      <c r="E923" s="65" t="s">
        <v>42</v>
      </c>
      <c r="F923" s="65" t="s">
        <v>1679</v>
      </c>
      <c r="G923" s="65" t="s">
        <v>1678</v>
      </c>
      <c r="H923" s="65" t="s">
        <v>32</v>
      </c>
      <c r="I923" s="65" t="s">
        <v>50</v>
      </c>
      <c r="J923" s="65" t="s">
        <v>5</v>
      </c>
      <c r="K923" s="65" t="s">
        <v>1624</v>
      </c>
      <c r="L923" s="64" t="s">
        <v>194</v>
      </c>
      <c r="M923" s="58" t="s">
        <v>193</v>
      </c>
      <c r="N923" s="58" t="s">
        <v>2</v>
      </c>
      <c r="O923" s="58">
        <v>65</v>
      </c>
      <c r="P923" s="58">
        <v>0</v>
      </c>
      <c r="Q923" s="58">
        <v>0</v>
      </c>
      <c r="R923" s="58">
        <v>65</v>
      </c>
      <c r="S923" s="58">
        <v>0</v>
      </c>
      <c r="T923" s="58">
        <v>0</v>
      </c>
      <c r="U923" s="58">
        <v>13</v>
      </c>
      <c r="V923" s="62"/>
      <c r="W923" s="62"/>
      <c r="X923" s="63">
        <f>IFERROR(1 -(Master[[#This Row],[Avg Garment Scans per Delivery]]/Master[[#This Row],[Garment Inventory]]), 0)</f>
        <v>0</v>
      </c>
      <c r="Y923" s="62"/>
      <c r="Z923" s="62"/>
      <c r="AA923" s="53">
        <v>80.418750000000003</v>
      </c>
      <c r="AB923" s="53">
        <v>82.106250000000003</v>
      </c>
      <c r="AC923" s="53">
        <v>82.39</v>
      </c>
      <c r="AD923" s="53">
        <v>86.86999999999999</v>
      </c>
      <c r="AE923" s="53" t="str">
        <f>_xlfn.XLOOKUP(Master[[#This Row],[cu_id]],'[1]Customer Revenue'!$Q:$Q,'[1]Customer Revenue'!$K:$K, "None")</f>
        <v>None</v>
      </c>
      <c r="AF923" s="53" t="str">
        <f>_xlfn.XLOOKUP(Master[[#This Row],[cu_id]],'[1]Customer Revenue'!$Q:$Q,'[1]Customer Revenue'!$L:$L, "None")</f>
        <v>None</v>
      </c>
      <c r="AG923" s="53">
        <v>80.470408163265304</v>
      </c>
      <c r="AH923" s="53">
        <v>81.57244897959184</v>
      </c>
      <c r="AI923" s="53">
        <v>81.262500000000003</v>
      </c>
      <c r="AJ923" s="53">
        <v>84.63</v>
      </c>
      <c r="AK923" s="53" t="str">
        <f>_xlfn.XLOOKUP(Master[[#This Row],[cu_id]],'[1]Customer Revenue'!$Q:$Q,'[1]Customer Revenue'!$I:$I, "None")</f>
        <v>None</v>
      </c>
      <c r="AL923" s="53">
        <v>81.021428571428572</v>
      </c>
      <c r="AM923" s="61">
        <v>0.33333333333333331</v>
      </c>
      <c r="AN923" s="60">
        <v>0.70833333333333337</v>
      </c>
      <c r="AO923" s="60" t="s">
        <v>36</v>
      </c>
      <c r="AP923" s="60" t="s">
        <v>36</v>
      </c>
      <c r="AQ923" s="58" t="s">
        <v>0</v>
      </c>
      <c r="AR923" s="58"/>
      <c r="AS923" s="58"/>
      <c r="AT923" s="52">
        <v>0</v>
      </c>
      <c r="AU923" s="52" t="e">
        <f>IF(Master[[#This Row],[RSP StopTime override]] &lt;&gt; "",Master[[#This Row],[RSP StopTime override]],IF(Master[[#This Row],[Avg stop time helper]] &lt;&gt; 0, Master[[#This Row],[Avg stop time helper]],Average_Stop_Time))</f>
        <v>#DIV/0!</v>
      </c>
      <c r="AV923" s="21"/>
      <c r="AW923" s="20">
        <f>Master[[#This Row],[RSP StopTime override]]-Master[[#This Row],[Avg stop time helper]]</f>
        <v>0</v>
      </c>
    </row>
    <row r="924" spans="1:49" x14ac:dyDescent="0.3">
      <c r="A924" s="66" t="s">
        <v>4949</v>
      </c>
      <c r="B924" s="58">
        <v>52</v>
      </c>
      <c r="C924" s="58" t="s">
        <v>10</v>
      </c>
      <c r="D924" s="65">
        <v>528998</v>
      </c>
      <c r="E924" s="65" t="s">
        <v>42</v>
      </c>
      <c r="F924" s="65" t="s">
        <v>1677</v>
      </c>
      <c r="G924" s="65" t="s">
        <v>1676</v>
      </c>
      <c r="H924" s="65" t="s">
        <v>32</v>
      </c>
      <c r="I924" s="65" t="s">
        <v>1637</v>
      </c>
      <c r="J924" s="65" t="s">
        <v>5</v>
      </c>
      <c r="K924" s="65" t="s">
        <v>1599</v>
      </c>
      <c r="L924" s="64" t="s">
        <v>67</v>
      </c>
      <c r="M924" s="58" t="s">
        <v>3</v>
      </c>
      <c r="N924" s="58" t="s">
        <v>2</v>
      </c>
      <c r="O924" s="58">
        <v>55</v>
      </c>
      <c r="P924" s="58">
        <v>0</v>
      </c>
      <c r="Q924" s="58">
        <v>0</v>
      </c>
      <c r="R924" s="58">
        <v>55</v>
      </c>
      <c r="S924" s="58">
        <v>0</v>
      </c>
      <c r="T924" s="58">
        <v>0</v>
      </c>
      <c r="U924" s="58">
        <v>53</v>
      </c>
      <c r="V924" s="62"/>
      <c r="W924" s="62"/>
      <c r="X924" s="63">
        <f>IFERROR(1 -(Master[[#This Row],[Avg Garment Scans per Delivery]]/Master[[#This Row],[Garment Inventory]]), 0)</f>
        <v>0</v>
      </c>
      <c r="Y924" s="62"/>
      <c r="Z924" s="62"/>
      <c r="AA924" s="53">
        <v>327.1873372781065</v>
      </c>
      <c r="AB924" s="53">
        <v>655.57573964497044</v>
      </c>
      <c r="AC924" s="53">
        <v>399.48644970414193</v>
      </c>
      <c r="AD924" s="53">
        <v>546.18585798816559</v>
      </c>
      <c r="AE924" s="53" t="str">
        <f>_xlfn.XLOOKUP(Master[[#This Row],[cu_id]],'[1]Customer Revenue'!$Q:$Q,'[1]Customer Revenue'!$K:$K, "None")</f>
        <v>None</v>
      </c>
      <c r="AF924" s="53" t="str">
        <f>_xlfn.XLOOKUP(Master[[#This Row],[cu_id]],'[1]Customer Revenue'!$Q:$Q,'[1]Customer Revenue'!$L:$L, "None")</f>
        <v>None</v>
      </c>
      <c r="AG924" s="53">
        <v>367.05786982248526</v>
      </c>
      <c r="AH924" s="53">
        <v>581.99597633136113</v>
      </c>
      <c r="AI924" s="53">
        <v>491.38153846153847</v>
      </c>
      <c r="AJ924" s="53">
        <v>472.83615384615376</v>
      </c>
      <c r="AK924" s="53" t="str">
        <f>_xlfn.XLOOKUP(Master[[#This Row],[cu_id]],'[1]Customer Revenue'!$Q:$Q,'[1]Customer Revenue'!$I:$I, "None")</f>
        <v>None</v>
      </c>
      <c r="AL924" s="53">
        <v>474.5269230769232</v>
      </c>
      <c r="AM924" s="61">
        <v>0.33333333333333331</v>
      </c>
      <c r="AN924" s="60">
        <v>0.70833333333333337</v>
      </c>
      <c r="AO924" s="60" t="s">
        <v>36</v>
      </c>
      <c r="AP924" s="60" t="s">
        <v>36</v>
      </c>
      <c r="AQ924" s="58" t="s">
        <v>0</v>
      </c>
      <c r="AR924" s="58"/>
      <c r="AS924" s="58"/>
      <c r="AT924" s="52">
        <v>0</v>
      </c>
      <c r="AU924" s="52" t="e">
        <f>IF(Master[[#This Row],[RSP StopTime override]] &lt;&gt; "",Master[[#This Row],[RSP StopTime override]],IF(Master[[#This Row],[Avg stop time helper]] &lt;&gt; 0, Master[[#This Row],[Avg stop time helper]],Average_Stop_Time))</f>
        <v>#DIV/0!</v>
      </c>
      <c r="AV924" s="21"/>
      <c r="AW924" s="20">
        <f>Master[[#This Row],[RSP StopTime override]]-Master[[#This Row],[Avg stop time helper]]</f>
        <v>0</v>
      </c>
    </row>
    <row r="925" spans="1:49" x14ac:dyDescent="0.3">
      <c r="A925" s="66" t="s">
        <v>4950</v>
      </c>
      <c r="B925" s="58">
        <v>52</v>
      </c>
      <c r="C925" s="58" t="s">
        <v>10</v>
      </c>
      <c r="D925" s="65">
        <v>530296</v>
      </c>
      <c r="E925" s="65" t="s">
        <v>42</v>
      </c>
      <c r="F925" s="65" t="s">
        <v>1675</v>
      </c>
      <c r="G925" s="65" t="s">
        <v>1674</v>
      </c>
      <c r="H925" s="65" t="s">
        <v>7</v>
      </c>
      <c r="I925" s="65" t="s">
        <v>1606</v>
      </c>
      <c r="J925" s="65" t="s">
        <v>5</v>
      </c>
      <c r="K925" s="65" t="s">
        <v>1605</v>
      </c>
      <c r="L925" s="64" t="s">
        <v>67</v>
      </c>
      <c r="M925" s="58" t="s">
        <v>3</v>
      </c>
      <c r="N925" s="58" t="s">
        <v>2</v>
      </c>
      <c r="O925" s="58">
        <v>70</v>
      </c>
      <c r="P925" s="58">
        <v>0</v>
      </c>
      <c r="Q925" s="58">
        <v>0</v>
      </c>
      <c r="R925" s="58">
        <v>70</v>
      </c>
      <c r="S925" s="58">
        <v>0</v>
      </c>
      <c r="T925" s="58">
        <v>0</v>
      </c>
      <c r="U925" s="58">
        <v>51</v>
      </c>
      <c r="V925" s="62"/>
      <c r="W925" s="62"/>
      <c r="X925" s="63">
        <f>IFERROR(1 -(Master[[#This Row],[Avg Garment Scans per Delivery]]/Master[[#This Row],[Garment Inventory]]), 0)</f>
        <v>0</v>
      </c>
      <c r="Y925" s="62"/>
      <c r="Z925" s="62"/>
      <c r="AA925" s="53">
        <v>162.35874999999999</v>
      </c>
      <c r="AB925" s="53">
        <v>164.04624999999993</v>
      </c>
      <c r="AC925" s="53">
        <v>164.64059171597634</v>
      </c>
      <c r="AD925" s="53">
        <v>167.30094674556213</v>
      </c>
      <c r="AE925" s="53" t="str">
        <f>_xlfn.XLOOKUP(Master[[#This Row],[cu_id]],'[1]Customer Revenue'!$Q:$Q,'[1]Customer Revenue'!$K:$K, "None")</f>
        <v>None</v>
      </c>
      <c r="AF925" s="53" t="str">
        <f>_xlfn.XLOOKUP(Master[[#This Row],[cu_id]],'[1]Customer Revenue'!$Q:$Q,'[1]Customer Revenue'!$L:$L, "None")</f>
        <v>None</v>
      </c>
      <c r="AG925" s="53">
        <v>150.29687999999993</v>
      </c>
      <c r="AH925" s="53">
        <v>162.93911999999995</v>
      </c>
      <c r="AI925" s="53">
        <v>163.20249999999996</v>
      </c>
      <c r="AJ925" s="53">
        <v>165.97076923076924</v>
      </c>
      <c r="AK925" s="53" t="str">
        <f>_xlfn.XLOOKUP(Master[[#This Row],[cu_id]],'[1]Customer Revenue'!$Q:$Q,'[1]Customer Revenue'!$I:$I, "None")</f>
        <v>None</v>
      </c>
      <c r="AL925" s="53">
        <v>156.61799999999994</v>
      </c>
      <c r="AM925" s="61">
        <v>0.33333333333333331</v>
      </c>
      <c r="AN925" s="60">
        <v>0.70833333333333337</v>
      </c>
      <c r="AO925" s="60" t="s">
        <v>36</v>
      </c>
      <c r="AP925" s="60" t="s">
        <v>36</v>
      </c>
      <c r="AQ925" s="58" t="s">
        <v>0</v>
      </c>
      <c r="AR925" s="58"/>
      <c r="AS925" s="58"/>
      <c r="AT925" s="52">
        <v>0</v>
      </c>
      <c r="AU925" s="52" t="e">
        <f>IF(Master[[#This Row],[RSP StopTime override]] &lt;&gt; "",Master[[#This Row],[RSP StopTime override]],IF(Master[[#This Row],[Avg stop time helper]] &lt;&gt; 0, Master[[#This Row],[Avg stop time helper]],Average_Stop_Time))</f>
        <v>#DIV/0!</v>
      </c>
      <c r="AV925" s="21"/>
      <c r="AW925" s="20">
        <f>Master[[#This Row],[RSP StopTime override]]-Master[[#This Row],[Avg stop time helper]]</f>
        <v>0</v>
      </c>
    </row>
    <row r="926" spans="1:49" x14ac:dyDescent="0.3">
      <c r="A926" s="66" t="s">
        <v>4951</v>
      </c>
      <c r="B926" s="58">
        <v>52</v>
      </c>
      <c r="C926" s="58" t="s">
        <v>10</v>
      </c>
      <c r="D926" s="65">
        <v>530559</v>
      </c>
      <c r="E926" s="65" t="s">
        <v>686</v>
      </c>
      <c r="F926" s="65" t="s">
        <v>1673</v>
      </c>
      <c r="G926" s="65" t="s">
        <v>1672</v>
      </c>
      <c r="H926" s="65" t="s">
        <v>7</v>
      </c>
      <c r="I926" s="65" t="s">
        <v>1600</v>
      </c>
      <c r="J926" s="65" t="s">
        <v>5</v>
      </c>
      <c r="K926" s="65" t="s">
        <v>1599</v>
      </c>
      <c r="L926" s="64" t="s">
        <v>67</v>
      </c>
      <c r="M926" s="58" t="s">
        <v>3</v>
      </c>
      <c r="N926" s="58" t="s">
        <v>2</v>
      </c>
      <c r="O926" s="58">
        <v>40</v>
      </c>
      <c r="P926" s="58">
        <v>0</v>
      </c>
      <c r="Q926" s="58">
        <v>0</v>
      </c>
      <c r="R926" s="58">
        <v>40</v>
      </c>
      <c r="S926" s="58">
        <v>0</v>
      </c>
      <c r="T926" s="58">
        <v>0</v>
      </c>
      <c r="U926" s="58">
        <v>53</v>
      </c>
      <c r="V926" s="62"/>
      <c r="W926" s="62"/>
      <c r="X926" s="63">
        <f>IFERROR(1 -(Master[[#This Row],[Avg Garment Scans per Delivery]]/Master[[#This Row],[Garment Inventory]]), 0)</f>
        <v>0</v>
      </c>
      <c r="Y926" s="62"/>
      <c r="Z926" s="62"/>
      <c r="AA926" s="53">
        <v>91.072781065088748</v>
      </c>
      <c r="AB926" s="53">
        <v>133.54260355029587</v>
      </c>
      <c r="AC926" s="53">
        <v>101.8094674556213</v>
      </c>
      <c r="AD926" s="53">
        <v>187.05514792899407</v>
      </c>
      <c r="AE926" s="53" t="str">
        <f>_xlfn.XLOOKUP(Master[[#This Row],[cu_id]],'[1]Customer Revenue'!$Q:$Q,'[1]Customer Revenue'!$K:$K, "None")</f>
        <v>None</v>
      </c>
      <c r="AF926" s="53" t="str">
        <f>_xlfn.XLOOKUP(Master[[#This Row],[cu_id]],'[1]Customer Revenue'!$Q:$Q,'[1]Customer Revenue'!$L:$L, "None")</f>
        <v>None</v>
      </c>
      <c r="AG926" s="53">
        <v>92.287692307692282</v>
      </c>
      <c r="AH926" s="53">
        <v>134.89230769230767</v>
      </c>
      <c r="AI926" s="53">
        <v>112.30769230769231</v>
      </c>
      <c r="AJ926" s="53">
        <v>144.43230769230769</v>
      </c>
      <c r="AK926" s="53" t="str">
        <f>_xlfn.XLOOKUP(Master[[#This Row],[cu_id]],'[1]Customer Revenue'!$Q:$Q,'[1]Customer Revenue'!$I:$I, "None")</f>
        <v>None</v>
      </c>
      <c r="AL926" s="53">
        <v>113.58999999999997</v>
      </c>
      <c r="AM926" s="61">
        <v>0.375</v>
      </c>
      <c r="AN926" s="60">
        <v>0.70833333333333337</v>
      </c>
      <c r="AO926" s="60" t="s">
        <v>36</v>
      </c>
      <c r="AP926" s="60" t="s">
        <v>36</v>
      </c>
      <c r="AQ926" s="58" t="s">
        <v>0</v>
      </c>
      <c r="AR926" s="58"/>
      <c r="AS926" s="58"/>
      <c r="AT926" s="52">
        <v>0</v>
      </c>
      <c r="AU926" s="52" t="e">
        <f>IF(Master[[#This Row],[RSP StopTime override]] &lt;&gt; "",Master[[#This Row],[RSP StopTime override]],IF(Master[[#This Row],[Avg stop time helper]] &lt;&gt; 0, Master[[#This Row],[Avg stop time helper]],Average_Stop_Time))</f>
        <v>#DIV/0!</v>
      </c>
      <c r="AV926" s="21"/>
      <c r="AW926" s="20">
        <f>Master[[#This Row],[RSP StopTime override]]-Master[[#This Row],[Avg stop time helper]]</f>
        <v>0</v>
      </c>
    </row>
    <row r="927" spans="1:49" x14ac:dyDescent="0.3">
      <c r="A927" s="66" t="s">
        <v>4952</v>
      </c>
      <c r="B927" s="58">
        <v>52</v>
      </c>
      <c r="C927" s="58" t="s">
        <v>10</v>
      </c>
      <c r="D927" s="65">
        <v>531002</v>
      </c>
      <c r="E927" s="65" t="s">
        <v>42</v>
      </c>
      <c r="F927" s="65" t="s">
        <v>1671</v>
      </c>
      <c r="G927" s="65" t="s">
        <v>1670</v>
      </c>
      <c r="H927" s="65" t="s">
        <v>7</v>
      </c>
      <c r="I927" s="65" t="s">
        <v>1617</v>
      </c>
      <c r="J927" s="65" t="s">
        <v>5</v>
      </c>
      <c r="K927" s="65" t="s">
        <v>1624</v>
      </c>
      <c r="L927" s="64" t="s">
        <v>67</v>
      </c>
      <c r="M927" s="58" t="s">
        <v>3</v>
      </c>
      <c r="N927" s="58" t="s">
        <v>2</v>
      </c>
      <c r="O927" s="58">
        <v>50</v>
      </c>
      <c r="P927" s="58">
        <v>0</v>
      </c>
      <c r="Q927" s="58">
        <v>0</v>
      </c>
      <c r="R927" s="58">
        <v>50</v>
      </c>
      <c r="S927" s="58">
        <v>0</v>
      </c>
      <c r="T927" s="58">
        <v>0</v>
      </c>
      <c r="U927" s="58">
        <v>52</v>
      </c>
      <c r="V927" s="62">
        <v>133</v>
      </c>
      <c r="W927" s="62">
        <v>43</v>
      </c>
      <c r="X927" s="63">
        <f>IFERROR(1 -(Master[[#This Row],[Avg Garment Scans per Delivery]]/Master[[#This Row],[Garment Inventory]]), 0)</f>
        <v>0.67669172932330834</v>
      </c>
      <c r="Y927" s="62">
        <v>6</v>
      </c>
      <c r="Z927" s="62">
        <v>137</v>
      </c>
      <c r="AA927" s="53">
        <v>148.02467455621303</v>
      </c>
      <c r="AB927" s="53">
        <v>240.75224852071</v>
      </c>
      <c r="AC927" s="53">
        <v>122.83105982905984</v>
      </c>
      <c r="AD927" s="53">
        <v>211.47817094017097</v>
      </c>
      <c r="AE927" s="53" t="str">
        <f>_xlfn.XLOOKUP(Master[[#This Row],[cu_id]],'[1]Customer Revenue'!$Q:$Q,'[1]Customer Revenue'!$K:$K, "None")</f>
        <v>None</v>
      </c>
      <c r="AF927" s="53" t="str">
        <f>_xlfn.XLOOKUP(Master[[#This Row],[cu_id]],'[1]Customer Revenue'!$Q:$Q,'[1]Customer Revenue'!$L:$L, "None")</f>
        <v>None</v>
      </c>
      <c r="AG927" s="53">
        <v>154.81366863905328</v>
      </c>
      <c r="AH927" s="53">
        <v>207.32479289940841</v>
      </c>
      <c r="AI927" s="53">
        <v>194.38846153846151</v>
      </c>
      <c r="AJ927" s="53">
        <v>167.1546153846154</v>
      </c>
      <c r="AK927" s="53" t="str">
        <f>_xlfn.XLOOKUP(Master[[#This Row],[cu_id]],'[1]Customer Revenue'!$Q:$Q,'[1]Customer Revenue'!$I:$I, "None")</f>
        <v>None</v>
      </c>
      <c r="AL927" s="53">
        <v>181.06923076923084</v>
      </c>
      <c r="AM927" s="61">
        <v>0.33333333333333331</v>
      </c>
      <c r="AN927" s="60">
        <v>0.70833333333333337</v>
      </c>
      <c r="AO927" s="60" t="s">
        <v>36</v>
      </c>
      <c r="AP927" s="60" t="s">
        <v>36</v>
      </c>
      <c r="AQ927" s="58" t="s">
        <v>0</v>
      </c>
      <c r="AR927" s="58"/>
      <c r="AS927" s="58"/>
      <c r="AT927" s="52">
        <v>0</v>
      </c>
      <c r="AU927" s="52" t="e">
        <f>IF(Master[[#This Row],[RSP StopTime override]] &lt;&gt; "",Master[[#This Row],[RSP StopTime override]],IF(Master[[#This Row],[Avg stop time helper]] &lt;&gt; 0, Master[[#This Row],[Avg stop time helper]],Average_Stop_Time))</f>
        <v>#DIV/0!</v>
      </c>
      <c r="AV927" s="21"/>
      <c r="AW927" s="20">
        <f>Master[[#This Row],[RSP StopTime override]]-Master[[#This Row],[Avg stop time helper]]</f>
        <v>0</v>
      </c>
    </row>
    <row r="928" spans="1:49" x14ac:dyDescent="0.3">
      <c r="A928" s="66" t="s">
        <v>4953</v>
      </c>
      <c r="B928" s="58">
        <v>52</v>
      </c>
      <c r="C928" s="58" t="s">
        <v>10</v>
      </c>
      <c r="D928" s="65">
        <v>531253</v>
      </c>
      <c r="E928" s="65" t="s">
        <v>42</v>
      </c>
      <c r="F928" s="65" t="s">
        <v>1669</v>
      </c>
      <c r="G928" s="65" t="s">
        <v>1668</v>
      </c>
      <c r="H928" s="65" t="s">
        <v>7</v>
      </c>
      <c r="I928" s="65" t="s">
        <v>1655</v>
      </c>
      <c r="J928" s="65" t="s">
        <v>5</v>
      </c>
      <c r="K928" s="65" t="s">
        <v>1654</v>
      </c>
      <c r="L928" s="64" t="s">
        <v>67</v>
      </c>
      <c r="M928" s="58" t="s">
        <v>3</v>
      </c>
      <c r="N928" s="58" t="s">
        <v>2</v>
      </c>
      <c r="O928" s="58">
        <v>105</v>
      </c>
      <c r="P928" s="58">
        <v>0</v>
      </c>
      <c r="Q928" s="58">
        <v>0</v>
      </c>
      <c r="R928" s="58">
        <v>105</v>
      </c>
      <c r="S928" s="58">
        <v>0</v>
      </c>
      <c r="T928" s="58">
        <v>0</v>
      </c>
      <c r="U928" s="58">
        <v>52</v>
      </c>
      <c r="V928" s="62"/>
      <c r="W928" s="62"/>
      <c r="X928" s="63">
        <f>IFERROR(1 -(Master[[#This Row],[Avg Garment Scans per Delivery]]/Master[[#This Row],[Garment Inventory]]), 0)</f>
        <v>0</v>
      </c>
      <c r="Y928" s="62"/>
      <c r="Z928" s="62"/>
      <c r="AA928" s="53">
        <v>167.74079999999998</v>
      </c>
      <c r="AB928" s="53">
        <v>268.57920000000001</v>
      </c>
      <c r="AC928" s="53">
        <v>240.89928994082834</v>
      </c>
      <c r="AD928" s="53">
        <v>243.78686390532539</v>
      </c>
      <c r="AE928" s="53" t="str">
        <f>_xlfn.XLOOKUP(Master[[#This Row],[cu_id]],'[1]Customer Revenue'!$Q:$Q,'[1]Customer Revenue'!$K:$K, "None")</f>
        <v>None</v>
      </c>
      <c r="AF928" s="53" t="str">
        <f>_xlfn.XLOOKUP(Master[[#This Row],[cu_id]],'[1]Customer Revenue'!$Q:$Q,'[1]Customer Revenue'!$L:$L, "None")</f>
        <v>None</v>
      </c>
      <c r="AG928" s="53">
        <v>187.31724882260582</v>
      </c>
      <c r="AH928" s="53">
        <v>244.61428963893249</v>
      </c>
      <c r="AI928" s="53">
        <v>218.16</v>
      </c>
      <c r="AJ928" s="53">
        <v>242.34307692307686</v>
      </c>
      <c r="AK928" s="53" t="str">
        <f>_xlfn.XLOOKUP(Master[[#This Row],[cu_id]],'[1]Customer Revenue'!$Q:$Q,'[1]Customer Revenue'!$I:$I, "None")</f>
        <v>None</v>
      </c>
      <c r="AL928" s="53">
        <v>215.96576923076915</v>
      </c>
      <c r="AM928" s="61">
        <v>0.33333333333333331</v>
      </c>
      <c r="AN928" s="60">
        <v>0.70833333333333337</v>
      </c>
      <c r="AO928" s="60" t="s">
        <v>36</v>
      </c>
      <c r="AP928" s="60" t="s">
        <v>36</v>
      </c>
      <c r="AQ928" s="58" t="s">
        <v>0</v>
      </c>
      <c r="AR928" s="58"/>
      <c r="AS928" s="58"/>
      <c r="AT928" s="52">
        <v>0</v>
      </c>
      <c r="AU928" s="52" t="e">
        <f>IF(Master[[#This Row],[RSP StopTime override]] &lt;&gt; "",Master[[#This Row],[RSP StopTime override]],IF(Master[[#This Row],[Avg stop time helper]] &lt;&gt; 0, Master[[#This Row],[Avg stop time helper]],Average_Stop_Time))</f>
        <v>#DIV/0!</v>
      </c>
      <c r="AV928" s="21"/>
      <c r="AW928" s="20">
        <f>Master[[#This Row],[RSP StopTime override]]-Master[[#This Row],[Avg stop time helper]]</f>
        <v>0</v>
      </c>
    </row>
    <row r="929" spans="1:49" x14ac:dyDescent="0.3">
      <c r="A929" s="66" t="s">
        <v>4954</v>
      </c>
      <c r="B929" s="58">
        <v>52</v>
      </c>
      <c r="C929" s="58" t="s">
        <v>10</v>
      </c>
      <c r="D929" s="65">
        <v>531864</v>
      </c>
      <c r="E929" s="65" t="s">
        <v>42</v>
      </c>
      <c r="F929" s="65" t="s">
        <v>1667</v>
      </c>
      <c r="G929" s="65" t="s">
        <v>1666</v>
      </c>
      <c r="H929" s="65" t="s">
        <v>7</v>
      </c>
      <c r="I929" s="65" t="s">
        <v>1600</v>
      </c>
      <c r="J929" s="65" t="s">
        <v>5</v>
      </c>
      <c r="K929" s="65" t="s">
        <v>1599</v>
      </c>
      <c r="L929" s="64" t="s">
        <v>77</v>
      </c>
      <c r="M929" s="58" t="s">
        <v>29</v>
      </c>
      <c r="N929" s="58" t="s">
        <v>2</v>
      </c>
      <c r="O929" s="58">
        <v>55</v>
      </c>
      <c r="P929" s="58">
        <v>0</v>
      </c>
      <c r="Q929" s="58">
        <v>0</v>
      </c>
      <c r="R929" s="58">
        <v>55</v>
      </c>
      <c r="S929" s="58">
        <v>0</v>
      </c>
      <c r="T929" s="58">
        <v>0</v>
      </c>
      <c r="U929" s="58">
        <v>24</v>
      </c>
      <c r="V929" s="62"/>
      <c r="W929" s="62"/>
      <c r="X929" s="63">
        <f>IFERROR(1 -(Master[[#This Row],[Avg Garment Scans per Delivery]]/Master[[#This Row],[Garment Inventory]]), 0)</f>
        <v>0</v>
      </c>
      <c r="Y929" s="62"/>
      <c r="Z929" s="62"/>
      <c r="AA929" s="53">
        <v>39.218055555555551</v>
      </c>
      <c r="AB929" s="53">
        <v>101.96694444444445</v>
      </c>
      <c r="AC929" s="53">
        <v>48.368571428571428</v>
      </c>
      <c r="AD929" s="53">
        <v>92.551428571428588</v>
      </c>
      <c r="AE929" s="53" t="str">
        <f>_xlfn.XLOOKUP(Master[[#This Row],[cu_id]],'[1]Customer Revenue'!$Q:$Q,'[1]Customer Revenue'!$K:$K, "None")</f>
        <v>None</v>
      </c>
      <c r="AF929" s="53" t="str">
        <f>_xlfn.XLOOKUP(Master[[#This Row],[cu_id]],'[1]Customer Revenue'!$Q:$Q,'[1]Customer Revenue'!$L:$L, "None")</f>
        <v>None</v>
      </c>
      <c r="AG929" s="53">
        <v>42.902142011834329</v>
      </c>
      <c r="AH929" s="53">
        <v>90.133857988165673</v>
      </c>
      <c r="AI929" s="53">
        <v>70.592500000000001</v>
      </c>
      <c r="AJ929" s="53">
        <v>70.460000000000008</v>
      </c>
      <c r="AK929" s="53" t="str">
        <f>_xlfn.XLOOKUP(Master[[#This Row],[cu_id]],'[1]Customer Revenue'!$Q:$Q,'[1]Customer Revenue'!$I:$I, "None")</f>
        <v>None</v>
      </c>
      <c r="AL929" s="53">
        <v>66.518000000000001</v>
      </c>
      <c r="AM929" s="61">
        <v>0.41666666666666669</v>
      </c>
      <c r="AN929" s="60">
        <v>0.70833333333333337</v>
      </c>
      <c r="AO929" s="60" t="s">
        <v>36</v>
      </c>
      <c r="AP929" s="60" t="s">
        <v>36</v>
      </c>
      <c r="AQ929" s="58" t="s">
        <v>0</v>
      </c>
      <c r="AR929" s="58"/>
      <c r="AS929" s="58"/>
      <c r="AT929" s="52">
        <v>0</v>
      </c>
      <c r="AU929" s="52" t="e">
        <f>IF(Master[[#This Row],[RSP StopTime override]] &lt;&gt; "",Master[[#This Row],[RSP StopTime override]],IF(Master[[#This Row],[Avg stop time helper]] &lt;&gt; 0, Master[[#This Row],[Avg stop time helper]],Average_Stop_Time))</f>
        <v>#DIV/0!</v>
      </c>
      <c r="AV929" s="21"/>
      <c r="AW929" s="20">
        <f>Master[[#This Row],[RSP StopTime override]]-Master[[#This Row],[Avg stop time helper]]</f>
        <v>0</v>
      </c>
    </row>
    <row r="930" spans="1:49" x14ac:dyDescent="0.3">
      <c r="A930" s="66" t="s">
        <v>4955</v>
      </c>
      <c r="B930" s="58">
        <v>52</v>
      </c>
      <c r="C930" s="58" t="s">
        <v>10</v>
      </c>
      <c r="D930" s="65">
        <v>531945</v>
      </c>
      <c r="E930" s="65" t="s">
        <v>42</v>
      </c>
      <c r="F930" s="65" t="s">
        <v>1665</v>
      </c>
      <c r="G930" s="65" t="s">
        <v>1664</v>
      </c>
      <c r="H930" s="65" t="s">
        <v>7</v>
      </c>
      <c r="I930" s="65" t="s">
        <v>1600</v>
      </c>
      <c r="J930" s="65" t="s">
        <v>5</v>
      </c>
      <c r="K930" s="65" t="s">
        <v>1599</v>
      </c>
      <c r="L930" s="64" t="s">
        <v>91</v>
      </c>
      <c r="M930" s="58" t="s">
        <v>90</v>
      </c>
      <c r="N930" s="58" t="s">
        <v>2</v>
      </c>
      <c r="O930" s="58">
        <v>45</v>
      </c>
      <c r="P930" s="58">
        <v>0</v>
      </c>
      <c r="Q930" s="58">
        <v>0</v>
      </c>
      <c r="R930" s="58">
        <v>45</v>
      </c>
      <c r="S930" s="58">
        <v>0</v>
      </c>
      <c r="T930" s="58">
        <v>0</v>
      </c>
      <c r="U930" s="58">
        <v>26</v>
      </c>
      <c r="V930" s="62">
        <v>20</v>
      </c>
      <c r="W930" s="62">
        <v>1</v>
      </c>
      <c r="X930" s="63">
        <f>IFERROR(1 -(Master[[#This Row],[Avg Garment Scans per Delivery]]/Master[[#This Row],[Garment Inventory]]), 0)</f>
        <v>0.95</v>
      </c>
      <c r="Y930" s="62">
        <v>1</v>
      </c>
      <c r="Z930" s="62">
        <v>20</v>
      </c>
      <c r="AA930" s="53">
        <v>129.46530612244896</v>
      </c>
      <c r="AB930" s="53">
        <v>143.28326530612242</v>
      </c>
      <c r="AC930" s="53">
        <v>135.47611111111109</v>
      </c>
      <c r="AD930" s="53">
        <v>142.32722222222219</v>
      </c>
      <c r="AE930" s="53" t="str">
        <f>_xlfn.XLOOKUP(Master[[#This Row],[cu_id]],'[1]Customer Revenue'!$Q:$Q,'[1]Customer Revenue'!$K:$K, "None")</f>
        <v>None</v>
      </c>
      <c r="AF930" s="53" t="str">
        <f>_xlfn.XLOOKUP(Master[[#This Row],[cu_id]],'[1]Customer Revenue'!$Q:$Q,'[1]Customer Revenue'!$L:$L, "None")</f>
        <v>None</v>
      </c>
      <c r="AG930" s="53">
        <v>128.64301775147928</v>
      </c>
      <c r="AH930" s="53">
        <v>141.4292899408284</v>
      </c>
      <c r="AI930" s="53">
        <v>136.37428571428569</v>
      </c>
      <c r="AJ930" s="53">
        <v>138.90166666666664</v>
      </c>
      <c r="AK930" s="53" t="str">
        <f>_xlfn.XLOOKUP(Master[[#This Row],[cu_id]],'[1]Customer Revenue'!$Q:$Q,'[1]Customer Revenue'!$I:$I, "None")</f>
        <v>None</v>
      </c>
      <c r="AL930" s="53">
        <v>135.03615384615384</v>
      </c>
      <c r="AM930" s="61">
        <v>0.33333333333333331</v>
      </c>
      <c r="AN930" s="60">
        <v>0.70833333333333337</v>
      </c>
      <c r="AO930" s="60" t="s">
        <v>36</v>
      </c>
      <c r="AP930" s="60" t="s">
        <v>36</v>
      </c>
      <c r="AQ930" s="58" t="s">
        <v>0</v>
      </c>
      <c r="AR930" s="58"/>
      <c r="AS930" s="58"/>
      <c r="AT930" s="52">
        <v>0</v>
      </c>
      <c r="AU930" s="52" t="e">
        <f>IF(Master[[#This Row],[RSP StopTime override]] &lt;&gt; "",Master[[#This Row],[RSP StopTime override]],IF(Master[[#This Row],[Avg stop time helper]] &lt;&gt; 0, Master[[#This Row],[Avg stop time helper]],Average_Stop_Time))</f>
        <v>#DIV/0!</v>
      </c>
      <c r="AV930" s="21"/>
      <c r="AW930" s="20">
        <f>Master[[#This Row],[RSP StopTime override]]-Master[[#This Row],[Avg stop time helper]]</f>
        <v>0</v>
      </c>
    </row>
    <row r="931" spans="1:49" x14ac:dyDescent="0.3">
      <c r="A931" s="66" t="s">
        <v>4956</v>
      </c>
      <c r="B931" s="58">
        <v>52</v>
      </c>
      <c r="C931" s="58" t="s">
        <v>10</v>
      </c>
      <c r="D931" s="65">
        <v>532061</v>
      </c>
      <c r="E931" s="65" t="s">
        <v>42</v>
      </c>
      <c r="F931" s="65" t="s">
        <v>1663</v>
      </c>
      <c r="G931" s="65" t="s">
        <v>1662</v>
      </c>
      <c r="H931" s="65" t="s">
        <v>7</v>
      </c>
      <c r="I931" s="65" t="s">
        <v>12</v>
      </c>
      <c r="J931" s="65" t="s">
        <v>5</v>
      </c>
      <c r="K931" s="65" t="s">
        <v>11</v>
      </c>
      <c r="L931" s="64" t="s">
        <v>67</v>
      </c>
      <c r="M931" s="58" t="s">
        <v>3</v>
      </c>
      <c r="N931" s="58" t="s">
        <v>2</v>
      </c>
      <c r="O931" s="58">
        <v>25</v>
      </c>
      <c r="P931" s="58">
        <v>0</v>
      </c>
      <c r="Q931" s="58">
        <v>0</v>
      </c>
      <c r="R931" s="58">
        <v>25</v>
      </c>
      <c r="S931" s="58">
        <v>0</v>
      </c>
      <c r="T931" s="58">
        <v>0</v>
      </c>
      <c r="U931" s="58">
        <v>53</v>
      </c>
      <c r="V931" s="62"/>
      <c r="W931" s="62"/>
      <c r="X931" s="63">
        <f>IFERROR(1 -(Master[[#This Row],[Avg Garment Scans per Delivery]]/Master[[#This Row],[Garment Inventory]]), 0)</f>
        <v>0</v>
      </c>
      <c r="Y931" s="62"/>
      <c r="Z931" s="62"/>
      <c r="AA931" s="53">
        <v>44.103727810650888</v>
      </c>
      <c r="AB931" s="53">
        <v>53.399349112426044</v>
      </c>
      <c r="AC931" s="53">
        <v>53.396863905325453</v>
      </c>
      <c r="AD931" s="53">
        <v>55.530828402366872</v>
      </c>
      <c r="AE931" s="53" t="str">
        <f>_xlfn.XLOOKUP(Master[[#This Row],[cu_id]],'[1]Customer Revenue'!$Q:$Q,'[1]Customer Revenue'!$K:$K, "None")</f>
        <v>None</v>
      </c>
      <c r="AF931" s="53" t="str">
        <f>_xlfn.XLOOKUP(Master[[#This Row],[cu_id]],'[1]Customer Revenue'!$Q:$Q,'[1]Customer Revenue'!$L:$L, "None")</f>
        <v>None</v>
      </c>
      <c r="AG931" s="53">
        <v>41.739349112426034</v>
      </c>
      <c r="AH931" s="53">
        <v>49.716035502958583</v>
      </c>
      <c r="AI931" s="53">
        <v>48.751538461538466</v>
      </c>
      <c r="AJ931" s="53">
        <v>54.463846153846163</v>
      </c>
      <c r="AK931" s="53" t="str">
        <f>_xlfn.XLOOKUP(Master[[#This Row],[cu_id]],'[1]Customer Revenue'!$Q:$Q,'[1]Customer Revenue'!$I:$I, "None")</f>
        <v>None</v>
      </c>
      <c r="AL931" s="53">
        <v>45.727692307692308</v>
      </c>
      <c r="AM931" s="61">
        <v>0.33333333333333331</v>
      </c>
      <c r="AN931" s="60">
        <v>0.70833333333333337</v>
      </c>
      <c r="AO931" s="60" t="s">
        <v>36</v>
      </c>
      <c r="AP931" s="60" t="s">
        <v>36</v>
      </c>
      <c r="AQ931" s="58" t="s">
        <v>0</v>
      </c>
      <c r="AR931" s="58"/>
      <c r="AS931" s="58"/>
      <c r="AT931" s="52">
        <v>0</v>
      </c>
      <c r="AU931" s="52" t="e">
        <f>IF(Master[[#This Row],[RSP StopTime override]] &lt;&gt; "",Master[[#This Row],[RSP StopTime override]],IF(Master[[#This Row],[Avg stop time helper]] &lt;&gt; 0, Master[[#This Row],[Avg stop time helper]],Average_Stop_Time))</f>
        <v>#DIV/0!</v>
      </c>
      <c r="AV931" s="21"/>
      <c r="AW931" s="20">
        <f>Master[[#This Row],[RSP StopTime override]]-Master[[#This Row],[Avg stop time helper]]</f>
        <v>0</v>
      </c>
    </row>
    <row r="932" spans="1:49" x14ac:dyDescent="0.3">
      <c r="A932" s="152" t="s">
        <v>4957</v>
      </c>
      <c r="B932" s="17">
        <v>47</v>
      </c>
      <c r="C932" s="17" t="s">
        <v>10</v>
      </c>
      <c r="D932" s="19">
        <v>533662</v>
      </c>
      <c r="E932" s="19">
        <v>0</v>
      </c>
      <c r="F932" s="19" t="s">
        <v>19</v>
      </c>
      <c r="G932" s="19" t="s">
        <v>18</v>
      </c>
      <c r="H932" s="19" t="s">
        <v>7</v>
      </c>
      <c r="I932" s="19" t="s">
        <v>17</v>
      </c>
      <c r="J932" s="19" t="s">
        <v>5</v>
      </c>
      <c r="K932" s="19" t="s">
        <v>16</v>
      </c>
      <c r="L932" s="18">
        <v>7</v>
      </c>
      <c r="M932" s="17" t="s">
        <v>3</v>
      </c>
      <c r="N932" s="17" t="s">
        <v>2</v>
      </c>
      <c r="O932" s="17">
        <v>1</v>
      </c>
      <c r="P932" s="17">
        <v>0</v>
      </c>
      <c r="Q932" s="17">
        <v>0</v>
      </c>
      <c r="R932" s="17">
        <v>1</v>
      </c>
      <c r="S932" s="17">
        <v>0</v>
      </c>
      <c r="T932" s="17">
        <v>0</v>
      </c>
      <c r="U932" s="17"/>
      <c r="V932" s="17"/>
      <c r="W932" s="16"/>
      <c r="X932" s="16"/>
      <c r="Y932" s="98">
        <f>IFERROR(1 -(Master[[#This Row],[Avg Garment Scans per Delivery]]/Master[[#This Row],[Garment Inventory]]), 0)</f>
        <v>0</v>
      </c>
      <c r="Z932" s="16">
        <v>0</v>
      </c>
      <c r="AA932" s="14"/>
      <c r="AB932" s="14"/>
      <c r="AC932" s="14"/>
      <c r="AD932" s="14"/>
      <c r="AE932" s="14">
        <v>0</v>
      </c>
      <c r="AF932" s="14">
        <v>0</v>
      </c>
      <c r="AG932" s="14"/>
      <c r="AH932" s="14"/>
      <c r="AI932" s="14" t="s">
        <v>7</v>
      </c>
      <c r="AJ932" s="14" t="s">
        <v>7</v>
      </c>
      <c r="AK932" s="14">
        <v>0</v>
      </c>
      <c r="AL932" s="14"/>
      <c r="AM932" s="14" t="s">
        <v>1</v>
      </c>
      <c r="AN932" s="14" t="s">
        <v>1</v>
      </c>
      <c r="AO932" s="15"/>
      <c r="AP932" s="15"/>
      <c r="AQ932" s="14" t="s">
        <v>0</v>
      </c>
      <c r="AR932" s="14"/>
      <c r="AS932" s="14"/>
      <c r="AT932" s="13">
        <v>0</v>
      </c>
      <c r="AU932" s="13" t="e">
        <f>IF(Master[[#This Row],[RSP StopTime override]] &lt;&gt; "",Master[[#This Row],[RSP StopTime override]],IF(Master[[#This Row],[Avg stop time helper]] &lt;&gt; 0, Master[[#This Row],[Avg stop time helper]],Average_Stop_Time))</f>
        <v>#DIV/0!</v>
      </c>
      <c r="AV932" s="12"/>
      <c r="AW932" s="11">
        <f>Master[[#This Row],[RSP StopTime override]]-Master[[#This Row],[Avg stop time helper]]</f>
        <v>0</v>
      </c>
    </row>
    <row r="933" spans="1:49" x14ac:dyDescent="0.3">
      <c r="A933" s="66" t="s">
        <v>4958</v>
      </c>
      <c r="B933" s="58">
        <v>52</v>
      </c>
      <c r="C933" s="58" t="s">
        <v>10</v>
      </c>
      <c r="D933" s="65">
        <v>532385</v>
      </c>
      <c r="E933" s="65" t="s">
        <v>42</v>
      </c>
      <c r="F933" s="65" t="s">
        <v>1661</v>
      </c>
      <c r="G933" s="65" t="s">
        <v>1660</v>
      </c>
      <c r="H933" s="65" t="s">
        <v>7</v>
      </c>
      <c r="I933" s="65" t="s">
        <v>1606</v>
      </c>
      <c r="J933" s="65" t="s">
        <v>5</v>
      </c>
      <c r="K933" s="65" t="s">
        <v>1605</v>
      </c>
      <c r="L933" s="64" t="s">
        <v>77</v>
      </c>
      <c r="M933" s="58" t="s">
        <v>29</v>
      </c>
      <c r="N933" s="58" t="s">
        <v>2</v>
      </c>
      <c r="O933" s="58">
        <v>145</v>
      </c>
      <c r="P933" s="58">
        <v>0</v>
      </c>
      <c r="Q933" s="58">
        <v>0</v>
      </c>
      <c r="R933" s="58">
        <v>145</v>
      </c>
      <c r="S933" s="58">
        <v>0</v>
      </c>
      <c r="T933" s="58">
        <v>0</v>
      </c>
      <c r="U933" s="58">
        <v>26</v>
      </c>
      <c r="V933" s="62"/>
      <c r="W933" s="62"/>
      <c r="X933" s="63">
        <f>IFERROR(1 -(Master[[#This Row],[Avg Garment Scans per Delivery]]/Master[[#This Row],[Garment Inventory]]), 0)</f>
        <v>0</v>
      </c>
      <c r="Y933" s="62"/>
      <c r="Z933" s="62"/>
      <c r="AA933" s="53">
        <v>187.59</v>
      </c>
      <c r="AB933" s="53">
        <v>188.84</v>
      </c>
      <c r="AC933" s="53">
        <v>190.23653061224485</v>
      </c>
      <c r="AD933" s="53">
        <v>198.6120408163265</v>
      </c>
      <c r="AE933" s="53" t="str">
        <f>_xlfn.XLOOKUP(Master[[#This Row],[cu_id]],'[1]Customer Revenue'!$Q:$Q,'[1]Customer Revenue'!$K:$K, "None")</f>
        <v>None</v>
      </c>
      <c r="AF933" s="53" t="str">
        <f>_xlfn.XLOOKUP(Master[[#This Row],[cu_id]],'[1]Customer Revenue'!$Q:$Q,'[1]Customer Revenue'!$L:$L, "None")</f>
        <v>None</v>
      </c>
      <c r="AG933" s="53">
        <v>180.79467455621298</v>
      </c>
      <c r="AH933" s="53">
        <v>188.87917159763313</v>
      </c>
      <c r="AI933" s="53">
        <v>188.215</v>
      </c>
      <c r="AJ933" s="53">
        <v>194.42428571428567</v>
      </c>
      <c r="AK933" s="53" t="str">
        <f>_xlfn.XLOOKUP(Master[[#This Row],[cu_id]],'[1]Customer Revenue'!$Q:$Q,'[1]Customer Revenue'!$I:$I, "None")</f>
        <v>None</v>
      </c>
      <c r="AL933" s="53">
        <v>184.83692307692306</v>
      </c>
      <c r="AM933" s="61">
        <v>0.33333333333333331</v>
      </c>
      <c r="AN933" s="60">
        <v>0.70833333333333337</v>
      </c>
      <c r="AO933" s="60" t="s">
        <v>36</v>
      </c>
      <c r="AP933" s="60" t="s">
        <v>36</v>
      </c>
      <c r="AQ933" s="58" t="s">
        <v>0</v>
      </c>
      <c r="AR933" s="58"/>
      <c r="AS933" s="58"/>
      <c r="AT933" s="52">
        <v>0</v>
      </c>
      <c r="AU933" s="52" t="e">
        <f>IF(Master[[#This Row],[RSP StopTime override]] &lt;&gt; "",Master[[#This Row],[RSP StopTime override]],IF(Master[[#This Row],[Avg stop time helper]] &lt;&gt; 0, Master[[#This Row],[Avg stop time helper]],Average_Stop_Time))</f>
        <v>#DIV/0!</v>
      </c>
      <c r="AV933" s="21"/>
      <c r="AW933" s="20">
        <f>Master[[#This Row],[RSP StopTime override]]-Master[[#This Row],[Avg stop time helper]]</f>
        <v>0</v>
      </c>
    </row>
    <row r="934" spans="1:49" x14ac:dyDescent="0.3">
      <c r="A934" s="66" t="s">
        <v>4959</v>
      </c>
      <c r="B934" s="58">
        <v>52</v>
      </c>
      <c r="C934" s="58" t="s">
        <v>10</v>
      </c>
      <c r="D934" s="65">
        <v>532460</v>
      </c>
      <c r="E934" s="65" t="s">
        <v>42</v>
      </c>
      <c r="F934" s="65" t="s">
        <v>1659</v>
      </c>
      <c r="G934" s="65" t="s">
        <v>1658</v>
      </c>
      <c r="H934" s="65" t="s">
        <v>7</v>
      </c>
      <c r="I934" s="65" t="s">
        <v>1606</v>
      </c>
      <c r="J934" s="65" t="s">
        <v>5</v>
      </c>
      <c r="K934" s="65" t="s">
        <v>1605</v>
      </c>
      <c r="L934" s="64" t="s">
        <v>77</v>
      </c>
      <c r="M934" s="58" t="s">
        <v>29</v>
      </c>
      <c r="N934" s="58" t="s">
        <v>2</v>
      </c>
      <c r="O934" s="58">
        <v>95</v>
      </c>
      <c r="P934" s="58">
        <v>0</v>
      </c>
      <c r="Q934" s="58">
        <v>0</v>
      </c>
      <c r="R934" s="58">
        <v>95</v>
      </c>
      <c r="S934" s="58">
        <v>0</v>
      </c>
      <c r="T934" s="58">
        <v>0</v>
      </c>
      <c r="U934" s="58">
        <v>28</v>
      </c>
      <c r="V934" s="62"/>
      <c r="W934" s="62"/>
      <c r="X934" s="63">
        <f>IFERROR(1 -(Master[[#This Row],[Avg Garment Scans per Delivery]]/Master[[#This Row],[Garment Inventory]]), 0)</f>
        <v>0</v>
      </c>
      <c r="Y934" s="62"/>
      <c r="Z934" s="62"/>
      <c r="AA934" s="53">
        <v>39.887291666666663</v>
      </c>
      <c r="AB934" s="53">
        <v>105.83604166666666</v>
      </c>
      <c r="AC934" s="53">
        <v>71.486326530612246</v>
      </c>
      <c r="AD934" s="53">
        <v>73.465102040816333</v>
      </c>
      <c r="AE934" s="53" t="str">
        <f>_xlfn.XLOOKUP(Master[[#This Row],[cu_id]],'[1]Customer Revenue'!$Q:$Q,'[1]Customer Revenue'!$K:$K, "None")</f>
        <v>None</v>
      </c>
      <c r="AF934" s="53" t="str">
        <f>_xlfn.XLOOKUP(Master[[#This Row],[cu_id]],'[1]Customer Revenue'!$Q:$Q,'[1]Customer Revenue'!$L:$L, "None")</f>
        <v>None</v>
      </c>
      <c r="AG934" s="53">
        <v>51.314970116388778</v>
      </c>
      <c r="AH934" s="53">
        <v>209.51593897452022</v>
      </c>
      <c r="AI934" s="53">
        <v>72.861666666666665</v>
      </c>
      <c r="AJ934" s="53">
        <v>72.47571428571429</v>
      </c>
      <c r="AK934" s="53" t="str">
        <f>_xlfn.XLOOKUP(Master[[#This Row],[cu_id]],'[1]Customer Revenue'!$Q:$Q,'[1]Customer Revenue'!$I:$I, "None")</f>
        <v>None</v>
      </c>
      <c r="AL934" s="53">
        <v>130.41545454545451</v>
      </c>
      <c r="AM934" s="61">
        <v>0.25</v>
      </c>
      <c r="AN934" s="60">
        <v>0.70833333333333337</v>
      </c>
      <c r="AO934" s="60" t="s">
        <v>36</v>
      </c>
      <c r="AP934" s="60" t="s">
        <v>36</v>
      </c>
      <c r="AQ934" s="58" t="s">
        <v>0</v>
      </c>
      <c r="AR934" s="58"/>
      <c r="AS934" s="58"/>
      <c r="AT934" s="52">
        <v>0</v>
      </c>
      <c r="AU934" s="52" t="e">
        <f>IF(Master[[#This Row],[RSP StopTime override]] &lt;&gt; "",Master[[#This Row],[RSP StopTime override]],IF(Master[[#This Row],[Avg stop time helper]] &lt;&gt; 0, Master[[#This Row],[Avg stop time helper]],Average_Stop_Time))</f>
        <v>#DIV/0!</v>
      </c>
      <c r="AV934" s="21"/>
      <c r="AW934" s="20">
        <f>Master[[#This Row],[RSP StopTime override]]-Master[[#This Row],[Avg stop time helper]]</f>
        <v>0</v>
      </c>
    </row>
    <row r="935" spans="1:49" x14ac:dyDescent="0.3">
      <c r="A935" s="66" t="s">
        <v>4960</v>
      </c>
      <c r="B935" s="58">
        <v>52</v>
      </c>
      <c r="C935" s="58" t="s">
        <v>10</v>
      </c>
      <c r="D935" s="65">
        <v>532739</v>
      </c>
      <c r="E935" s="65" t="s">
        <v>686</v>
      </c>
      <c r="F935" s="65" t="s">
        <v>1657</v>
      </c>
      <c r="G935" s="65" t="s">
        <v>1656</v>
      </c>
      <c r="H935" s="65" t="s">
        <v>7</v>
      </c>
      <c r="I935" s="65" t="s">
        <v>1655</v>
      </c>
      <c r="J935" s="65" t="s">
        <v>5</v>
      </c>
      <c r="K935" s="65" t="s">
        <v>1654</v>
      </c>
      <c r="L935" s="64" t="s">
        <v>67</v>
      </c>
      <c r="M935" s="58" t="s">
        <v>3</v>
      </c>
      <c r="N935" s="58" t="s">
        <v>2</v>
      </c>
      <c r="O935" s="58">
        <v>90</v>
      </c>
      <c r="P935" s="58">
        <v>0</v>
      </c>
      <c r="Q935" s="58">
        <v>0</v>
      </c>
      <c r="R935" s="58">
        <v>90</v>
      </c>
      <c r="S935" s="58">
        <v>0</v>
      </c>
      <c r="T935" s="58">
        <v>0</v>
      </c>
      <c r="U935" s="58">
        <v>52</v>
      </c>
      <c r="V935" s="62"/>
      <c r="W935" s="62"/>
      <c r="X935" s="63">
        <f>IFERROR(1 -(Master[[#This Row],[Avg Garment Scans per Delivery]]/Master[[#This Row],[Garment Inventory]]), 0)</f>
        <v>0</v>
      </c>
      <c r="Y935" s="62"/>
      <c r="Z935" s="62"/>
      <c r="AA935" s="53">
        <v>64.570414201183439</v>
      </c>
      <c r="AB935" s="53">
        <v>66.168047337278125</v>
      </c>
      <c r="AC935" s="53">
        <v>66.853195266272209</v>
      </c>
      <c r="AD935" s="53">
        <v>73.763727810650906</v>
      </c>
      <c r="AE935" s="53" t="str">
        <f>_xlfn.XLOOKUP(Master[[#This Row],[cu_id]],'[1]Customer Revenue'!$Q:$Q,'[1]Customer Revenue'!$K:$K, "None")</f>
        <v>None</v>
      </c>
      <c r="AF935" s="53" t="str">
        <f>_xlfn.XLOOKUP(Master[[#This Row],[cu_id]],'[1]Customer Revenue'!$Q:$Q,'[1]Customer Revenue'!$L:$L, "None")</f>
        <v>None</v>
      </c>
      <c r="AG935" s="53">
        <v>63.975473372781053</v>
      </c>
      <c r="AH935" s="53">
        <v>66.057603550295809</v>
      </c>
      <c r="AI935" s="53">
        <v>65.369230769230782</v>
      </c>
      <c r="AJ935" s="53">
        <v>70.308461538461557</v>
      </c>
      <c r="AK935" s="53" t="str">
        <f>_xlfn.XLOOKUP(Master[[#This Row],[cu_id]],'[1]Customer Revenue'!$Q:$Q,'[1]Customer Revenue'!$I:$I, "None")</f>
        <v>None</v>
      </c>
      <c r="AL935" s="53">
        <v>65.016538461538431</v>
      </c>
      <c r="AM935" s="61">
        <v>0.4375</v>
      </c>
      <c r="AN935" s="60">
        <v>0.70833333333333337</v>
      </c>
      <c r="AO935" s="60" t="s">
        <v>36</v>
      </c>
      <c r="AP935" s="60" t="s">
        <v>36</v>
      </c>
      <c r="AQ935" s="58" t="s">
        <v>0</v>
      </c>
      <c r="AR935" s="58"/>
      <c r="AS935" s="58"/>
      <c r="AT935" s="52">
        <v>0</v>
      </c>
      <c r="AU935" s="52" t="e">
        <f>IF(Master[[#This Row],[RSP StopTime override]] &lt;&gt; "",Master[[#This Row],[RSP StopTime override]],IF(Master[[#This Row],[Avg stop time helper]] &lt;&gt; 0, Master[[#This Row],[Avg stop time helper]],Average_Stop_Time))</f>
        <v>#DIV/0!</v>
      </c>
      <c r="AV935" s="21"/>
      <c r="AW935" s="20">
        <f>Master[[#This Row],[RSP StopTime override]]-Master[[#This Row],[Avg stop time helper]]</f>
        <v>0</v>
      </c>
    </row>
    <row r="936" spans="1:49" x14ac:dyDescent="0.3">
      <c r="A936" s="66" t="s">
        <v>4961</v>
      </c>
      <c r="B936" s="58">
        <v>52</v>
      </c>
      <c r="C936" s="58" t="s">
        <v>10</v>
      </c>
      <c r="D936" s="65">
        <v>533044</v>
      </c>
      <c r="E936" s="65" t="s">
        <v>42</v>
      </c>
      <c r="F936" s="65" t="s">
        <v>1653</v>
      </c>
      <c r="G936" s="65" t="s">
        <v>1652</v>
      </c>
      <c r="H936" s="65" t="s">
        <v>7</v>
      </c>
      <c r="I936" s="65" t="s">
        <v>1606</v>
      </c>
      <c r="J936" s="65" t="s">
        <v>5</v>
      </c>
      <c r="K936" s="65" t="s">
        <v>1605</v>
      </c>
      <c r="L936" s="64" t="s">
        <v>194</v>
      </c>
      <c r="M936" s="58" t="s">
        <v>193</v>
      </c>
      <c r="N936" s="58" t="s">
        <v>2</v>
      </c>
      <c r="O936" s="58">
        <v>125</v>
      </c>
      <c r="P936" s="58">
        <v>0</v>
      </c>
      <c r="Q936" s="58">
        <v>0</v>
      </c>
      <c r="R936" s="58">
        <v>125</v>
      </c>
      <c r="S936" s="58">
        <v>0</v>
      </c>
      <c r="T936" s="58">
        <v>0</v>
      </c>
      <c r="U936" s="58">
        <v>12</v>
      </c>
      <c r="V936" s="62"/>
      <c r="W936" s="62"/>
      <c r="X936" s="63">
        <f>IFERROR(1 -(Master[[#This Row],[Avg Garment Scans per Delivery]]/Master[[#This Row],[Garment Inventory]]), 0)</f>
        <v>0</v>
      </c>
      <c r="Y936" s="62"/>
      <c r="Z936" s="62"/>
      <c r="AA936" s="53">
        <v>22.141666666666669</v>
      </c>
      <c r="AB936" s="53">
        <v>48.711666666666673</v>
      </c>
      <c r="AC936" s="53">
        <v>20.661111111111108</v>
      </c>
      <c r="AD936" s="53">
        <v>53.718888888888884</v>
      </c>
      <c r="AE936" s="53" t="str">
        <f>_xlfn.XLOOKUP(Master[[#This Row],[cu_id]],'[1]Customer Revenue'!$Q:$Q,'[1]Customer Revenue'!$K:$K, "None")</f>
        <v>None</v>
      </c>
      <c r="AF936" s="53" t="str">
        <f>_xlfn.XLOOKUP(Master[[#This Row],[cu_id]],'[1]Customer Revenue'!$Q:$Q,'[1]Customer Revenue'!$L:$L, "None")</f>
        <v>None</v>
      </c>
      <c r="AG936" s="53">
        <v>26.589659863945577</v>
      </c>
      <c r="AH936" s="53">
        <v>43.837006802721085</v>
      </c>
      <c r="AI936" s="53">
        <v>35.426666666666669</v>
      </c>
      <c r="AJ936" s="53">
        <v>37.19</v>
      </c>
      <c r="AK936" s="53" t="str">
        <f>_xlfn.XLOOKUP(Master[[#This Row],[cu_id]],'[1]Customer Revenue'!$Q:$Q,'[1]Customer Revenue'!$I:$I, "None")</f>
        <v>None</v>
      </c>
      <c r="AL936" s="53">
        <v>35.213333333333331</v>
      </c>
      <c r="AM936" s="61">
        <v>0.4375</v>
      </c>
      <c r="AN936" s="60">
        <v>0.70833333333333337</v>
      </c>
      <c r="AO936" s="60" t="s">
        <v>36</v>
      </c>
      <c r="AP936" s="60" t="s">
        <v>36</v>
      </c>
      <c r="AQ936" s="58" t="s">
        <v>0</v>
      </c>
      <c r="AR936" s="58"/>
      <c r="AS936" s="58"/>
      <c r="AT936" s="52">
        <v>0</v>
      </c>
      <c r="AU936" s="52" t="e">
        <f>IF(Master[[#This Row],[RSP StopTime override]] &lt;&gt; "",Master[[#This Row],[RSP StopTime override]],IF(Master[[#This Row],[Avg stop time helper]] &lt;&gt; 0, Master[[#This Row],[Avg stop time helper]],Average_Stop_Time))</f>
        <v>#DIV/0!</v>
      </c>
      <c r="AV936" s="21"/>
      <c r="AW936" s="20">
        <f>Master[[#This Row],[RSP StopTime override]]-Master[[#This Row],[Avg stop time helper]]</f>
        <v>0</v>
      </c>
    </row>
    <row r="937" spans="1:49" x14ac:dyDescent="0.3">
      <c r="A937" s="66" t="s">
        <v>4962</v>
      </c>
      <c r="B937" s="58">
        <v>52</v>
      </c>
      <c r="C937" s="58" t="s">
        <v>10</v>
      </c>
      <c r="D937" s="65">
        <v>533296</v>
      </c>
      <c r="E937" s="65" t="s">
        <v>42</v>
      </c>
      <c r="F937" s="65" t="s">
        <v>1651</v>
      </c>
      <c r="G937" s="65" t="s">
        <v>1650</v>
      </c>
      <c r="H937" s="65" t="s">
        <v>7</v>
      </c>
      <c r="I937" s="65" t="s">
        <v>1600</v>
      </c>
      <c r="J937" s="65" t="s">
        <v>5</v>
      </c>
      <c r="K937" s="65" t="s">
        <v>1624</v>
      </c>
      <c r="L937" s="64" t="s">
        <v>67</v>
      </c>
      <c r="M937" s="58" t="s">
        <v>3</v>
      </c>
      <c r="N937" s="58" t="s">
        <v>2</v>
      </c>
      <c r="O937" s="58">
        <v>60</v>
      </c>
      <c r="P937" s="58">
        <v>0</v>
      </c>
      <c r="Q937" s="58">
        <v>0</v>
      </c>
      <c r="R937" s="58">
        <v>60</v>
      </c>
      <c r="S937" s="58">
        <v>0</v>
      </c>
      <c r="T937" s="58">
        <v>0</v>
      </c>
      <c r="U937" s="58">
        <v>52</v>
      </c>
      <c r="V937" s="62"/>
      <c r="W937" s="62"/>
      <c r="X937" s="63">
        <f>IFERROR(1 -(Master[[#This Row],[Avg Garment Scans per Delivery]]/Master[[#This Row],[Garment Inventory]]), 0)</f>
        <v>0</v>
      </c>
      <c r="Y937" s="62"/>
      <c r="Z937" s="62"/>
      <c r="AA937" s="53">
        <v>34.876982248520711</v>
      </c>
      <c r="AB937" s="53">
        <v>35.413786982248517</v>
      </c>
      <c r="AC937" s="53">
        <v>35</v>
      </c>
      <c r="AD937" s="53">
        <v>35</v>
      </c>
      <c r="AE937" s="53" t="str">
        <f>_xlfn.XLOOKUP(Master[[#This Row],[cu_id]],'[1]Customer Revenue'!$Q:$Q,'[1]Customer Revenue'!$K:$K, "None")</f>
        <v>None</v>
      </c>
      <c r="AF937" s="53" t="str">
        <f>_xlfn.XLOOKUP(Master[[#This Row],[cu_id]],'[1]Customer Revenue'!$Q:$Q,'[1]Customer Revenue'!$L:$L, "None")</f>
        <v>None</v>
      </c>
      <c r="AG937" s="53">
        <v>34.83224852071006</v>
      </c>
      <c r="AH937" s="53">
        <v>35.603905325443783</v>
      </c>
      <c r="AI937" s="53">
        <v>35.145384615384614</v>
      </c>
      <c r="AJ937" s="53">
        <v>35</v>
      </c>
      <c r="AK937" s="53" t="str">
        <f>_xlfn.XLOOKUP(Master[[#This Row],[cu_id]],'[1]Customer Revenue'!$Q:$Q,'[1]Customer Revenue'!$I:$I, "None")</f>
        <v>None</v>
      </c>
      <c r="AL937" s="53">
        <v>35.218076923076922</v>
      </c>
      <c r="AM937" s="61">
        <v>0.25</v>
      </c>
      <c r="AN937" s="60">
        <v>0.70833333333333337</v>
      </c>
      <c r="AO937" s="60" t="s">
        <v>36</v>
      </c>
      <c r="AP937" s="60" t="s">
        <v>36</v>
      </c>
      <c r="AQ937" s="58" t="s">
        <v>0</v>
      </c>
      <c r="AR937" s="58"/>
      <c r="AS937" s="58"/>
      <c r="AT937" s="52">
        <v>0</v>
      </c>
      <c r="AU937" s="52" t="e">
        <f>IF(Master[[#This Row],[RSP StopTime override]] &lt;&gt; "",Master[[#This Row],[RSP StopTime override]],IF(Master[[#This Row],[Avg stop time helper]] &lt;&gt; 0, Master[[#This Row],[Avg stop time helper]],Average_Stop_Time))</f>
        <v>#DIV/0!</v>
      </c>
      <c r="AV937" s="21"/>
      <c r="AW937" s="20">
        <f>Master[[#This Row],[RSP StopTime override]]-Master[[#This Row],[Avg stop time helper]]</f>
        <v>0</v>
      </c>
    </row>
    <row r="938" spans="1:49" x14ac:dyDescent="0.3">
      <c r="A938" s="66" t="s">
        <v>4963</v>
      </c>
      <c r="B938" s="58">
        <v>52</v>
      </c>
      <c r="C938" s="58" t="s">
        <v>10</v>
      </c>
      <c r="D938" s="65">
        <v>533516</v>
      </c>
      <c r="E938" s="65" t="s">
        <v>42</v>
      </c>
      <c r="F938" s="65" t="s">
        <v>1649</v>
      </c>
      <c r="G938" s="65" t="s">
        <v>1648</v>
      </c>
      <c r="H938" s="65" t="s">
        <v>7</v>
      </c>
      <c r="I938" s="65" t="s">
        <v>1606</v>
      </c>
      <c r="J938" s="65" t="s">
        <v>5</v>
      </c>
      <c r="K938" s="65" t="s">
        <v>1605</v>
      </c>
      <c r="L938" s="64" t="s">
        <v>145</v>
      </c>
      <c r="M938" s="58" t="s">
        <v>123</v>
      </c>
      <c r="N938" s="58" t="s">
        <v>144</v>
      </c>
      <c r="O938" s="58">
        <v>1</v>
      </c>
      <c r="P938" s="58">
        <v>0</v>
      </c>
      <c r="Q938" s="58">
        <v>0</v>
      </c>
      <c r="R938" s="58">
        <v>1</v>
      </c>
      <c r="S938" s="58">
        <v>0</v>
      </c>
      <c r="T938" s="58">
        <v>0</v>
      </c>
      <c r="U938" s="58">
        <v>3</v>
      </c>
      <c r="V938" s="62"/>
      <c r="W938" s="62"/>
      <c r="X938" s="63">
        <f>IFERROR(1 -(Master[[#This Row],[Avg Garment Scans per Delivery]]/Master[[#This Row],[Garment Inventory]]), 0)</f>
        <v>0</v>
      </c>
      <c r="Y938" s="62"/>
      <c r="Z938" s="62"/>
      <c r="AA938" s="53">
        <v>81.750000000000028</v>
      </c>
      <c r="AB938" s="53">
        <v>473.35</v>
      </c>
      <c r="AC938" s="53">
        <v>170</v>
      </c>
      <c r="AD938" s="53">
        <v>170</v>
      </c>
      <c r="AE938" s="53" t="str">
        <f>_xlfn.XLOOKUP(Master[[#This Row],[cu_id]],'[1]Customer Revenue'!$Q:$Q,'[1]Customer Revenue'!$K:$K, "None")</f>
        <v>None</v>
      </c>
      <c r="AF938" s="53" t="str">
        <f>_xlfn.XLOOKUP(Master[[#This Row],[cu_id]],'[1]Customer Revenue'!$Q:$Q,'[1]Customer Revenue'!$L:$L, "None")</f>
        <v>None</v>
      </c>
      <c r="AG938" s="53">
        <v>81.750000000000028</v>
      </c>
      <c r="AH938" s="53">
        <v>473.35</v>
      </c>
      <c r="AI938" s="53">
        <v>277.55</v>
      </c>
      <c r="AJ938" s="53">
        <v>170</v>
      </c>
      <c r="AK938" s="53" t="str">
        <f>_xlfn.XLOOKUP(Master[[#This Row],[cu_id]],'[1]Customer Revenue'!$Q:$Q,'[1]Customer Revenue'!$I:$I, "None")</f>
        <v>None</v>
      </c>
      <c r="AL938" s="53">
        <v>277.55</v>
      </c>
      <c r="AM938" s="61" t="s">
        <v>1</v>
      </c>
      <c r="AN938" s="60" t="s">
        <v>1</v>
      </c>
      <c r="AO938" s="60" t="s">
        <v>36</v>
      </c>
      <c r="AP938" s="60" t="s">
        <v>36</v>
      </c>
      <c r="AQ938" s="58" t="s">
        <v>0</v>
      </c>
      <c r="AR938" s="58"/>
      <c r="AS938" s="58"/>
      <c r="AT938" s="52">
        <v>0</v>
      </c>
      <c r="AU938" s="52" t="e">
        <f>IF(Master[[#This Row],[RSP StopTime override]] &lt;&gt; "",Master[[#This Row],[RSP StopTime override]],IF(Master[[#This Row],[Avg stop time helper]] &lt;&gt; 0, Master[[#This Row],[Avg stop time helper]],Average_Stop_Time))</f>
        <v>#DIV/0!</v>
      </c>
      <c r="AV938" s="21"/>
      <c r="AW938" s="20">
        <f>Master[[#This Row],[RSP StopTime override]]-Master[[#This Row],[Avg stop time helper]]</f>
        <v>0</v>
      </c>
    </row>
    <row r="939" spans="1:49" x14ac:dyDescent="0.3">
      <c r="A939" s="81" t="s">
        <v>4964</v>
      </c>
      <c r="B939" s="79">
        <v>52</v>
      </c>
      <c r="C939" s="79" t="s">
        <v>10</v>
      </c>
      <c r="D939" s="80">
        <v>533639</v>
      </c>
      <c r="E939" s="80">
        <v>0</v>
      </c>
      <c r="F939" s="79" t="s">
        <v>1647</v>
      </c>
      <c r="G939" t="s">
        <v>4082</v>
      </c>
      <c r="H939" s="79" t="s">
        <v>7</v>
      </c>
      <c r="I939" s="79" t="s">
        <v>1600</v>
      </c>
      <c r="J939" s="79" t="s">
        <v>5</v>
      </c>
      <c r="K939" s="79" t="s">
        <v>1624</v>
      </c>
      <c r="L939" s="79">
        <v>7</v>
      </c>
      <c r="M939" s="79" t="s">
        <v>3</v>
      </c>
      <c r="N939" s="79" t="s">
        <v>2</v>
      </c>
      <c r="O939" s="58">
        <v>1</v>
      </c>
      <c r="P939" s="79">
        <v>0</v>
      </c>
      <c r="Q939" s="79">
        <v>0</v>
      </c>
      <c r="R939" s="79">
        <v>1</v>
      </c>
      <c r="S939" s="79">
        <v>0</v>
      </c>
      <c r="T939" s="79">
        <v>0</v>
      </c>
      <c r="U939" s="79"/>
      <c r="V939" s="79">
        <v>66</v>
      </c>
      <c r="W939" s="79"/>
      <c r="X939" s="79"/>
      <c r="Y939" s="79">
        <v>3</v>
      </c>
      <c r="Z939" s="79">
        <v>66</v>
      </c>
      <c r="AA939" s="78">
        <v>73.73</v>
      </c>
      <c r="AB939" s="78"/>
      <c r="AC939" s="78"/>
      <c r="AD939" s="78"/>
      <c r="AE939" s="53" t="str">
        <f>_xlfn.XLOOKUP(Master[[#This Row],[cu_id]],'[1]Customer Revenue'!$Q:$Q,'[1]Customer Revenue'!$K:$K, "None")</f>
        <v>None</v>
      </c>
      <c r="AF939" s="53" t="str">
        <f>_xlfn.XLOOKUP(Master[[#This Row],[cu_id]],'[1]Customer Revenue'!$Q:$Q,'[1]Customer Revenue'!$L:$L, "None")</f>
        <v>None</v>
      </c>
      <c r="AG939" s="78"/>
      <c r="AH939" s="78"/>
      <c r="AI939" s="78"/>
      <c r="AJ939" s="78"/>
      <c r="AK939" s="53" t="str">
        <f>_xlfn.XLOOKUP(Master[[#This Row],[cu_id]],'[1]Customer Revenue'!$Q:$Q,'[1]Customer Revenue'!$I:$I, "None")</f>
        <v>None</v>
      </c>
      <c r="AL939" s="78"/>
      <c r="AM939" s="77" t="s">
        <v>1</v>
      </c>
      <c r="AN939" s="77" t="s">
        <v>1</v>
      </c>
      <c r="AO939" s="77" t="s">
        <v>36</v>
      </c>
      <c r="AP939" s="77" t="s">
        <v>36</v>
      </c>
      <c r="AQ939" s="77" t="s">
        <v>0</v>
      </c>
      <c r="AR939" s="77"/>
      <c r="AS939" s="76"/>
      <c r="AT939" s="76"/>
      <c r="AU939" s="76"/>
      <c r="AV939" s="75"/>
      <c r="AW939" s="20">
        <f>Master[[#This Row],[RSP StopTime override]]-Master[[#This Row],[Avg stop time helper]]</f>
        <v>0</v>
      </c>
    </row>
    <row r="940" spans="1:49" x14ac:dyDescent="0.3">
      <c r="A940" s="66" t="s">
        <v>4965</v>
      </c>
      <c r="B940" s="58">
        <v>52</v>
      </c>
      <c r="C940" s="58" t="s">
        <v>10</v>
      </c>
      <c r="D940" s="65">
        <v>599000</v>
      </c>
      <c r="E940" s="65" t="s">
        <v>1416</v>
      </c>
      <c r="F940" s="65" t="s">
        <v>1645</v>
      </c>
      <c r="G940" s="65" t="s">
        <v>1646</v>
      </c>
      <c r="H940" s="65" t="s">
        <v>32</v>
      </c>
      <c r="I940" s="65" t="s">
        <v>1627</v>
      </c>
      <c r="J940" s="65" t="s">
        <v>5</v>
      </c>
      <c r="K940" s="65" t="s">
        <v>1605</v>
      </c>
      <c r="L940" s="64" t="s">
        <v>67</v>
      </c>
      <c r="M940" s="58" t="s">
        <v>3</v>
      </c>
      <c r="N940" s="58" t="s">
        <v>2</v>
      </c>
      <c r="O940" s="58">
        <v>80</v>
      </c>
      <c r="P940" s="58">
        <v>0</v>
      </c>
      <c r="Q940" s="58">
        <v>0</v>
      </c>
      <c r="R940" s="58">
        <v>80</v>
      </c>
      <c r="S940" s="58">
        <v>0</v>
      </c>
      <c r="T940" s="58">
        <v>0</v>
      </c>
      <c r="U940" s="58">
        <v>51</v>
      </c>
      <c r="V940" s="62">
        <v>72</v>
      </c>
      <c r="W940" s="62"/>
      <c r="X940" s="63">
        <f>IFERROR(1 -(Master[[#This Row],[Avg Garment Scans per Delivery]]/Master[[#This Row],[Garment Inventory]]), 0)</f>
        <v>1</v>
      </c>
      <c r="Y940" s="62">
        <v>4</v>
      </c>
      <c r="Z940" s="62">
        <v>77</v>
      </c>
      <c r="AA940" s="53">
        <v>64.463609467455612</v>
      </c>
      <c r="AB940" s="53">
        <v>65.52869822485205</v>
      </c>
      <c r="AC940" s="53">
        <v>66.021301775147933</v>
      </c>
      <c r="AD940" s="53">
        <v>67.394082840236692</v>
      </c>
      <c r="AE940" s="53" t="str">
        <f>_xlfn.XLOOKUP(Master[[#This Row],[cu_id]],'[1]Customer Revenue'!$Q:$Q,'[1]Customer Revenue'!$K:$K, "None")</f>
        <v>None</v>
      </c>
      <c r="AF940" s="53" t="str">
        <f>_xlfn.XLOOKUP(Master[[#This Row],[cu_id]],'[1]Customer Revenue'!$Q:$Q,'[1]Customer Revenue'!$L:$L, "None")</f>
        <v>None</v>
      </c>
      <c r="AG940" s="53">
        <v>64.516863905325451</v>
      </c>
      <c r="AH940" s="53">
        <v>65.129289940828457</v>
      </c>
      <c r="AI940" s="53">
        <v>64.996153846153831</v>
      </c>
      <c r="AJ940" s="53">
        <v>66.707692307692312</v>
      </c>
      <c r="AK940" s="53" t="str">
        <f>_xlfn.XLOOKUP(Master[[#This Row],[cu_id]],'[1]Customer Revenue'!$Q:$Q,'[1]Customer Revenue'!$I:$I, "None")</f>
        <v>None</v>
      </c>
      <c r="AL940" s="53">
        <v>64.823076923076954</v>
      </c>
      <c r="AM940" s="61">
        <v>0.25</v>
      </c>
      <c r="AN940" s="60">
        <v>0.70833333333333337</v>
      </c>
      <c r="AO940" s="60" t="s">
        <v>36</v>
      </c>
      <c r="AP940" s="60" t="s">
        <v>36</v>
      </c>
      <c r="AQ940" s="58" t="s">
        <v>0</v>
      </c>
      <c r="AR940" s="58"/>
      <c r="AS940" s="58"/>
      <c r="AT940" s="52">
        <v>0</v>
      </c>
      <c r="AU940" s="52" t="e">
        <f>IF(Master[[#This Row],[RSP StopTime override]] &lt;&gt; "",Master[[#This Row],[RSP StopTime override]],IF(Master[[#This Row],[Avg stop time helper]] &lt;&gt; 0, Master[[#This Row],[Avg stop time helper]],Average_Stop_Time))</f>
        <v>#DIV/0!</v>
      </c>
      <c r="AV940" s="21"/>
      <c r="AW940" s="20">
        <f>Master[[#This Row],[RSP StopTime override]]-Master[[#This Row],[Avg stop time helper]]</f>
        <v>0</v>
      </c>
    </row>
    <row r="941" spans="1:49" x14ac:dyDescent="0.3">
      <c r="A941" s="66" t="s">
        <v>4966</v>
      </c>
      <c r="B941" s="58">
        <v>52</v>
      </c>
      <c r="C941" s="58" t="s">
        <v>10</v>
      </c>
      <c r="D941" s="65">
        <v>599000</v>
      </c>
      <c r="E941" s="65" t="s">
        <v>1572</v>
      </c>
      <c r="F941" s="65" t="s">
        <v>1645</v>
      </c>
      <c r="G941" s="65" t="s">
        <v>1644</v>
      </c>
      <c r="H941" s="65" t="s">
        <v>32</v>
      </c>
      <c r="I941" s="65" t="s">
        <v>1637</v>
      </c>
      <c r="J941" s="65" t="s">
        <v>5</v>
      </c>
      <c r="K941" s="65" t="s">
        <v>1599</v>
      </c>
      <c r="L941" s="64" t="s">
        <v>67</v>
      </c>
      <c r="M941" s="58" t="s">
        <v>3</v>
      </c>
      <c r="N941" s="58" t="s">
        <v>2</v>
      </c>
      <c r="O941" s="58">
        <v>35</v>
      </c>
      <c r="P941" s="58">
        <v>0</v>
      </c>
      <c r="Q941" s="58">
        <v>0</v>
      </c>
      <c r="R941" s="58">
        <v>35</v>
      </c>
      <c r="S941" s="58">
        <v>0</v>
      </c>
      <c r="T941" s="58">
        <v>0</v>
      </c>
      <c r="U941" s="58">
        <v>52</v>
      </c>
      <c r="V941" s="62">
        <v>30</v>
      </c>
      <c r="W941" s="62">
        <v>0</v>
      </c>
      <c r="X941" s="63">
        <f>IFERROR(1 -(Master[[#This Row],[Avg Garment Scans per Delivery]]/Master[[#This Row],[Garment Inventory]]), 0)</f>
        <v>1</v>
      </c>
      <c r="Y941" s="62">
        <v>3</v>
      </c>
      <c r="Z941" s="62">
        <v>30</v>
      </c>
      <c r="AA941" s="53">
        <v>23.953609467455617</v>
      </c>
      <c r="AB941" s="53">
        <v>25.018698224852063</v>
      </c>
      <c r="AC941" s="53">
        <v>25.511301775147924</v>
      </c>
      <c r="AD941" s="53">
        <v>26.884082840236676</v>
      </c>
      <c r="AE941" s="53" t="str">
        <f>_xlfn.XLOOKUP(Master[[#This Row],[cu_id]],'[1]Customer Revenue'!$Q:$Q,'[1]Customer Revenue'!$K:$K, "None")</f>
        <v>None</v>
      </c>
      <c r="AF941" s="53" t="str">
        <f>_xlfn.XLOOKUP(Master[[#This Row],[cu_id]],'[1]Customer Revenue'!$Q:$Q,'[1]Customer Revenue'!$L:$L, "None")</f>
        <v>None</v>
      </c>
      <c r="AG941" s="53">
        <v>24.006863905325442</v>
      </c>
      <c r="AH941" s="53">
        <v>24.619289940828384</v>
      </c>
      <c r="AI941" s="53">
        <v>24.48615384615384</v>
      </c>
      <c r="AJ941" s="53">
        <v>26.1976923076923</v>
      </c>
      <c r="AK941" s="53" t="str">
        <f>_xlfn.XLOOKUP(Master[[#This Row],[cu_id]],'[1]Customer Revenue'!$Q:$Q,'[1]Customer Revenue'!$I:$I, "None")</f>
        <v>None</v>
      </c>
      <c r="AL941" s="53">
        <v>24.313076923076913</v>
      </c>
      <c r="AM941" s="61">
        <v>0.25</v>
      </c>
      <c r="AN941" s="60">
        <v>0.70833333333333337</v>
      </c>
      <c r="AO941" s="60" t="s">
        <v>36</v>
      </c>
      <c r="AP941" s="60" t="s">
        <v>36</v>
      </c>
      <c r="AQ941" s="58" t="s">
        <v>0</v>
      </c>
      <c r="AR941" s="58"/>
      <c r="AS941" s="58"/>
      <c r="AT941" s="52">
        <v>0</v>
      </c>
      <c r="AU941" s="52" t="e">
        <f>IF(Master[[#This Row],[RSP StopTime override]] &lt;&gt; "",Master[[#This Row],[RSP StopTime override]],IF(Master[[#This Row],[Avg stop time helper]] &lt;&gt; 0, Master[[#This Row],[Avg stop time helper]],Average_Stop_Time))</f>
        <v>#DIV/0!</v>
      </c>
      <c r="AV941" s="21"/>
      <c r="AW941" s="20">
        <f>Master[[#This Row],[RSP StopTime override]]-Master[[#This Row],[Avg stop time helper]]</f>
        <v>0</v>
      </c>
    </row>
    <row r="942" spans="1:49" x14ac:dyDescent="0.3">
      <c r="A942" s="66" t="s">
        <v>4967</v>
      </c>
      <c r="B942" s="58">
        <v>52</v>
      </c>
      <c r="C942" s="58" t="s">
        <v>43</v>
      </c>
      <c r="D942" s="65">
        <v>99033</v>
      </c>
      <c r="E942" s="65" t="s">
        <v>1526</v>
      </c>
      <c r="F942" s="65" t="s">
        <v>1643</v>
      </c>
      <c r="G942" s="65" t="s">
        <v>1642</v>
      </c>
      <c r="H942" s="65" t="s">
        <v>32</v>
      </c>
      <c r="I942" s="65" t="s">
        <v>1637</v>
      </c>
      <c r="J942" s="65" t="s">
        <v>5</v>
      </c>
      <c r="K942" s="65" t="s">
        <v>1624</v>
      </c>
      <c r="L942" s="64" t="s">
        <v>67</v>
      </c>
      <c r="M942" s="58" t="s">
        <v>3</v>
      </c>
      <c r="N942" s="58" t="s">
        <v>2</v>
      </c>
      <c r="O942" s="58">
        <v>10</v>
      </c>
      <c r="P942" s="58">
        <v>0</v>
      </c>
      <c r="Q942" s="58">
        <v>0</v>
      </c>
      <c r="R942" s="58">
        <v>0</v>
      </c>
      <c r="S942" s="58">
        <v>10</v>
      </c>
      <c r="T942" s="58">
        <v>0</v>
      </c>
      <c r="U942" s="58">
        <v>39</v>
      </c>
      <c r="V942" s="62"/>
      <c r="W942" s="62"/>
      <c r="X942" s="63">
        <f>IFERROR(1 -(Master[[#This Row],[Avg Garment Scans per Delivery]]/Master[[#This Row],[Garment Inventory]]), 0)</f>
        <v>0</v>
      </c>
      <c r="Y942" s="62"/>
      <c r="Z942" s="62"/>
      <c r="AA942" s="53">
        <v>56.98</v>
      </c>
      <c r="AB942" s="53">
        <v>56.980000000000025</v>
      </c>
      <c r="AC942" s="53">
        <v>38.746400000000008</v>
      </c>
      <c r="AD942" s="53">
        <v>75.2136</v>
      </c>
      <c r="AE942" s="53" t="str">
        <f>_xlfn.XLOOKUP(Master[[#This Row],[cu_id]],'[1]Customer Revenue'!$Q:$Q,'[1]Customer Revenue'!$K:$K, "None")</f>
        <v>None</v>
      </c>
      <c r="AF942" s="53" t="str">
        <f>_xlfn.XLOOKUP(Master[[#This Row],[cu_id]],'[1]Customer Revenue'!$Q:$Q,'[1]Customer Revenue'!$L:$L, "None")</f>
        <v>None</v>
      </c>
      <c r="AG942" s="53">
        <v>48.888165680473392</v>
      </c>
      <c r="AH942" s="53">
        <v>65.07183431952663</v>
      </c>
      <c r="AI942" s="53">
        <v>56.980000000000011</v>
      </c>
      <c r="AJ942" s="53">
        <v>56.980000000000004</v>
      </c>
      <c r="AK942" s="53" t="str">
        <f>_xlfn.XLOOKUP(Master[[#This Row],[cu_id]],'[1]Customer Revenue'!$Q:$Q,'[1]Customer Revenue'!$I:$I, "None")</f>
        <v>None</v>
      </c>
      <c r="AL942" s="53">
        <v>56.980000000000011</v>
      </c>
      <c r="AM942" s="61">
        <v>0.29166666666666669</v>
      </c>
      <c r="AN942" s="60">
        <v>0.70833333333333337</v>
      </c>
      <c r="AO942" s="60" t="s">
        <v>36</v>
      </c>
      <c r="AP942" s="60" t="s">
        <v>36</v>
      </c>
      <c r="AQ942" s="58" t="s">
        <v>0</v>
      </c>
      <c r="AR942" s="58"/>
      <c r="AS942" s="58"/>
      <c r="AT942" s="52">
        <v>0</v>
      </c>
      <c r="AU942" s="52" t="e">
        <f>IF(Master[[#This Row],[RSP StopTime override]] &lt;&gt; "",Master[[#This Row],[RSP StopTime override]],IF(Master[[#This Row],[Avg stop time helper]] &lt;&gt; 0, Master[[#This Row],[Avg stop time helper]],Average_Stop_Time))</f>
        <v>#DIV/0!</v>
      </c>
      <c r="AV942" s="21"/>
      <c r="AW942" s="20">
        <f>Master[[#This Row],[RSP StopTime override]]-Master[[#This Row],[Avg stop time helper]]</f>
        <v>0</v>
      </c>
    </row>
    <row r="943" spans="1:49" x14ac:dyDescent="0.3">
      <c r="A943" s="66" t="s">
        <v>4968</v>
      </c>
      <c r="B943" s="58">
        <v>52</v>
      </c>
      <c r="C943" s="58" t="s">
        <v>43</v>
      </c>
      <c r="D943" s="65">
        <v>99045</v>
      </c>
      <c r="E943" s="65" t="s">
        <v>1171</v>
      </c>
      <c r="F943" s="65" t="s">
        <v>1464</v>
      </c>
      <c r="G943" s="65" t="s">
        <v>1641</v>
      </c>
      <c r="H943" s="65" t="s">
        <v>7</v>
      </c>
      <c r="I943" s="65" t="s">
        <v>1606</v>
      </c>
      <c r="J943" s="65" t="s">
        <v>5</v>
      </c>
      <c r="K943" s="65" t="s">
        <v>1605</v>
      </c>
      <c r="L943" s="64" t="s">
        <v>91</v>
      </c>
      <c r="M943" s="58" t="s">
        <v>90</v>
      </c>
      <c r="N943" s="58" t="s">
        <v>2</v>
      </c>
      <c r="O943" s="58">
        <v>34</v>
      </c>
      <c r="P943" s="58">
        <v>0</v>
      </c>
      <c r="Q943" s="58">
        <v>0</v>
      </c>
      <c r="R943" s="58">
        <v>0</v>
      </c>
      <c r="S943" s="58">
        <v>34</v>
      </c>
      <c r="T943" s="58">
        <v>0</v>
      </c>
      <c r="U943" s="58">
        <v>14</v>
      </c>
      <c r="V943" s="62"/>
      <c r="W943" s="62"/>
      <c r="X943" s="63">
        <f>IFERROR(1 -(Master[[#This Row],[Avg Garment Scans per Delivery]]/Master[[#This Row],[Garment Inventory]]), 0)</f>
        <v>0</v>
      </c>
      <c r="Y943" s="62"/>
      <c r="Z943" s="62"/>
      <c r="AA943" s="53">
        <v>28.834489795918369</v>
      </c>
      <c r="AB943" s="53">
        <v>30.671224489795929</v>
      </c>
      <c r="AC943" s="53">
        <v>15.159999999999998</v>
      </c>
      <c r="AD943" s="53">
        <v>31.36</v>
      </c>
      <c r="AE943" s="53" t="str">
        <f>_xlfn.XLOOKUP(Master[[#This Row],[cu_id]],'[1]Customer Revenue'!$Q:$Q,'[1]Customer Revenue'!$K:$K, "None")</f>
        <v>None</v>
      </c>
      <c r="AF943" s="53" t="str">
        <f>_xlfn.XLOOKUP(Master[[#This Row],[cu_id]],'[1]Customer Revenue'!$Q:$Q,'[1]Customer Revenue'!$L:$L, "None")</f>
        <v>None</v>
      </c>
      <c r="AG943" s="53">
        <v>21.348888888888901</v>
      </c>
      <c r="AH943" s="53">
        <v>37.771111111111118</v>
      </c>
      <c r="AI943" s="53">
        <v>29.752857142857149</v>
      </c>
      <c r="AJ943" s="53">
        <v>23.259999999999998</v>
      </c>
      <c r="AK943" s="53" t="str">
        <f>_xlfn.XLOOKUP(Master[[#This Row],[cu_id]],'[1]Customer Revenue'!$Q:$Q,'[1]Customer Revenue'!$I:$I, "None")</f>
        <v>None</v>
      </c>
      <c r="AL943" s="53">
        <v>29.560000000000009</v>
      </c>
      <c r="AM943" s="61">
        <v>0.375</v>
      </c>
      <c r="AN943" s="60">
        <v>0.70833333333333337</v>
      </c>
      <c r="AO943" s="60" t="s">
        <v>36</v>
      </c>
      <c r="AP943" s="60" t="s">
        <v>36</v>
      </c>
      <c r="AQ943" s="58" t="s">
        <v>0</v>
      </c>
      <c r="AR943" s="58"/>
      <c r="AS943" s="58"/>
      <c r="AT943" s="52">
        <v>0</v>
      </c>
      <c r="AU943" s="52" t="e">
        <f>IF(Master[[#This Row],[RSP StopTime override]] &lt;&gt; "",Master[[#This Row],[RSP StopTime override]],IF(Master[[#This Row],[Avg stop time helper]] &lt;&gt; 0, Master[[#This Row],[Avg stop time helper]],Average_Stop_Time))</f>
        <v>#DIV/0!</v>
      </c>
      <c r="AV943" s="21"/>
      <c r="AW943" s="20">
        <f>Master[[#This Row],[RSP StopTime override]]-Master[[#This Row],[Avg stop time helper]]</f>
        <v>0</v>
      </c>
    </row>
    <row r="944" spans="1:49" x14ac:dyDescent="0.3">
      <c r="A944" s="66" t="s">
        <v>4969</v>
      </c>
      <c r="B944" s="58">
        <v>52</v>
      </c>
      <c r="C944" s="58" t="s">
        <v>43</v>
      </c>
      <c r="D944" s="65">
        <v>99051</v>
      </c>
      <c r="E944" s="65" t="s">
        <v>1526</v>
      </c>
      <c r="F944" s="65" t="s">
        <v>1640</v>
      </c>
      <c r="G944" s="65" t="s">
        <v>1639</v>
      </c>
      <c r="H944" s="65" t="s">
        <v>32</v>
      </c>
      <c r="I944" s="65" t="s">
        <v>1627</v>
      </c>
      <c r="J944" s="65" t="s">
        <v>5</v>
      </c>
      <c r="K944" s="65" t="s">
        <v>1605</v>
      </c>
      <c r="L944" s="64" t="s">
        <v>67</v>
      </c>
      <c r="M944" s="58" t="s">
        <v>3</v>
      </c>
      <c r="N944" s="58" t="s">
        <v>2</v>
      </c>
      <c r="O944" s="58">
        <v>20</v>
      </c>
      <c r="P944" s="58">
        <v>0</v>
      </c>
      <c r="Q944" s="58">
        <v>0</v>
      </c>
      <c r="R944" s="58">
        <v>0</v>
      </c>
      <c r="S944" s="58">
        <v>20</v>
      </c>
      <c r="T944" s="58">
        <v>0</v>
      </c>
      <c r="U944" s="58">
        <v>53</v>
      </c>
      <c r="V944" s="62"/>
      <c r="W944" s="62"/>
      <c r="X944" s="63">
        <f>IFERROR(1 -(Master[[#This Row],[Avg Garment Scans per Delivery]]/Master[[#This Row],[Garment Inventory]]), 0)</f>
        <v>0</v>
      </c>
      <c r="Y944" s="62"/>
      <c r="Z944" s="62"/>
      <c r="AA944" s="53">
        <v>94.935502958579889</v>
      </c>
      <c r="AB944" s="53">
        <v>139.60911242603552</v>
      </c>
      <c r="AC944" s="53">
        <v>97.124788069073844</v>
      </c>
      <c r="AD944" s="53">
        <v>154.79213500784931</v>
      </c>
      <c r="AE944" s="53" t="str">
        <f>_xlfn.XLOOKUP(Master[[#This Row],[cu_id]],'[1]Customer Revenue'!$Q:$Q,'[1]Customer Revenue'!$K:$K, "None")</f>
        <v>None</v>
      </c>
      <c r="AF944" s="53" t="str">
        <f>_xlfn.XLOOKUP(Master[[#This Row],[cu_id]],'[1]Customer Revenue'!$Q:$Q,'[1]Customer Revenue'!$L:$L, "None")</f>
        <v>None</v>
      </c>
      <c r="AG944" s="53">
        <v>90.766568047337259</v>
      </c>
      <c r="AH944" s="53">
        <v>138.08112426035501</v>
      </c>
      <c r="AI944" s="53">
        <v>117.27230769230771</v>
      </c>
      <c r="AJ944" s="53">
        <v>125.95846153846158</v>
      </c>
      <c r="AK944" s="53" t="str">
        <f>_xlfn.XLOOKUP(Master[[#This Row],[cu_id]],'[1]Customer Revenue'!$Q:$Q,'[1]Customer Revenue'!$I:$I, "None")</f>
        <v>None</v>
      </c>
      <c r="AL944" s="53">
        <v>114.42384615384614</v>
      </c>
      <c r="AM944" s="61">
        <v>0.39583333333333331</v>
      </c>
      <c r="AN944" s="60">
        <v>0.70833333333333337</v>
      </c>
      <c r="AO944" s="60" t="s">
        <v>36</v>
      </c>
      <c r="AP944" s="60" t="s">
        <v>36</v>
      </c>
      <c r="AQ944" s="58" t="s">
        <v>0</v>
      </c>
      <c r="AR944" s="58"/>
      <c r="AS944" s="58"/>
      <c r="AT944" s="52">
        <v>0</v>
      </c>
      <c r="AU944" s="52" t="e">
        <f>IF(Master[[#This Row],[RSP StopTime override]] &lt;&gt; "",Master[[#This Row],[RSP StopTime override]],IF(Master[[#This Row],[Avg stop time helper]] &lt;&gt; 0, Master[[#This Row],[Avg stop time helper]],Average_Stop_Time))</f>
        <v>#DIV/0!</v>
      </c>
      <c r="AV944" s="21"/>
      <c r="AW944" s="20">
        <f>Master[[#This Row],[RSP StopTime override]]-Master[[#This Row],[Avg stop time helper]]</f>
        <v>0</v>
      </c>
    </row>
    <row r="945" spans="1:49" x14ac:dyDescent="0.3">
      <c r="A945" s="66" t="s">
        <v>4970</v>
      </c>
      <c r="B945" s="58">
        <v>52</v>
      </c>
      <c r="C945" s="58" t="s">
        <v>43</v>
      </c>
      <c r="D945" s="65">
        <v>99059</v>
      </c>
      <c r="E945" s="65" t="s">
        <v>686</v>
      </c>
      <c r="F945" s="65" t="s">
        <v>3714</v>
      </c>
      <c r="G945" s="65" t="s">
        <v>1638</v>
      </c>
      <c r="H945" s="65" t="s">
        <v>32</v>
      </c>
      <c r="I945" s="65" t="s">
        <v>1637</v>
      </c>
      <c r="J945" s="65" t="s">
        <v>5</v>
      </c>
      <c r="K945" s="65" t="s">
        <v>1636</v>
      </c>
      <c r="L945" s="64" t="s">
        <v>67</v>
      </c>
      <c r="M945" s="58" t="s">
        <v>3</v>
      </c>
      <c r="N945" s="58" t="s">
        <v>2</v>
      </c>
      <c r="O945" s="58">
        <v>15</v>
      </c>
      <c r="P945" s="58">
        <v>0</v>
      </c>
      <c r="Q945" s="58">
        <v>0</v>
      </c>
      <c r="R945" s="58">
        <v>0</v>
      </c>
      <c r="S945" s="58">
        <v>15</v>
      </c>
      <c r="T945" s="58">
        <v>0</v>
      </c>
      <c r="U945" s="58">
        <v>55</v>
      </c>
      <c r="V945" s="62">
        <v>82</v>
      </c>
      <c r="W945" s="62">
        <v>18</v>
      </c>
      <c r="X945" s="63">
        <f>IFERROR(1 -(Master[[#This Row],[Avg Garment Scans per Delivery]]/Master[[#This Row],[Garment Inventory]]), 0)</f>
        <v>0.78048780487804881</v>
      </c>
      <c r="Y945" s="62">
        <v>8</v>
      </c>
      <c r="Z945" s="62">
        <v>81</v>
      </c>
      <c r="AA945" s="53">
        <v>183.74402366863907</v>
      </c>
      <c r="AB945" s="53">
        <v>197.98213017751479</v>
      </c>
      <c r="AC945" s="53">
        <v>190.83455621301775</v>
      </c>
      <c r="AD945" s="53">
        <v>211.81775147928991</v>
      </c>
      <c r="AE945" s="53" t="str">
        <f>_xlfn.XLOOKUP(Master[[#This Row],[cu_id]],'[1]Customer Revenue'!$Q:$Q,'[1]Customer Revenue'!$K:$K, "None")</f>
        <v>None</v>
      </c>
      <c r="AF945" s="53" t="str">
        <f>_xlfn.XLOOKUP(Master[[#This Row],[cu_id]],'[1]Customer Revenue'!$Q:$Q,'[1]Customer Revenue'!$L:$L, "None")</f>
        <v>None</v>
      </c>
      <c r="AG945" s="53">
        <v>184.16408284023674</v>
      </c>
      <c r="AH945" s="53">
        <v>204.74822485207113</v>
      </c>
      <c r="AI945" s="53">
        <v>190.86307692307693</v>
      </c>
      <c r="AJ945" s="53">
        <v>201.32615384615383</v>
      </c>
      <c r="AK945" s="53" t="str">
        <f>_xlfn.XLOOKUP(Master[[#This Row],[cu_id]],'[1]Customer Revenue'!$Q:$Q,'[1]Customer Revenue'!$I:$I, "None")</f>
        <v>None</v>
      </c>
      <c r="AL945" s="53">
        <v>194.45615384615394</v>
      </c>
      <c r="AM945" s="61">
        <v>0.25</v>
      </c>
      <c r="AN945" s="60">
        <v>0.70833333333333337</v>
      </c>
      <c r="AO945" s="60" t="s">
        <v>36</v>
      </c>
      <c r="AP945" s="60" t="s">
        <v>36</v>
      </c>
      <c r="AQ945" s="58" t="s">
        <v>0</v>
      </c>
      <c r="AR945" s="58"/>
      <c r="AS945" s="58"/>
      <c r="AT945" s="52">
        <v>0</v>
      </c>
      <c r="AU945" s="52" t="e">
        <f>IF(Master[[#This Row],[RSP StopTime override]] &lt;&gt; "",Master[[#This Row],[RSP StopTime override]],IF(Master[[#This Row],[Avg stop time helper]] &lt;&gt; 0, Master[[#This Row],[Avg stop time helper]],Average_Stop_Time))</f>
        <v>#DIV/0!</v>
      </c>
      <c r="AV945" s="21"/>
      <c r="AW945" s="20">
        <f>Master[[#This Row],[RSP StopTime override]]-Master[[#This Row],[Avg stop time helper]]</f>
        <v>0</v>
      </c>
    </row>
    <row r="946" spans="1:49" x14ac:dyDescent="0.3">
      <c r="A946" s="66" t="s">
        <v>4971</v>
      </c>
      <c r="B946" s="58">
        <v>52</v>
      </c>
      <c r="C946" s="58" t="s">
        <v>43</v>
      </c>
      <c r="D946" s="65">
        <v>99061</v>
      </c>
      <c r="E946" s="65" t="s">
        <v>1177</v>
      </c>
      <c r="F946" s="65" t="s">
        <v>1635</v>
      </c>
      <c r="G946" s="65" t="s">
        <v>1620</v>
      </c>
      <c r="H946" s="65" t="s">
        <v>32</v>
      </c>
      <c r="I946" s="65" t="s">
        <v>1606</v>
      </c>
      <c r="J946" s="65" t="s">
        <v>5</v>
      </c>
      <c r="K946" s="65" t="s">
        <v>1605</v>
      </c>
      <c r="L946" s="64" t="s">
        <v>67</v>
      </c>
      <c r="M946" s="58" t="s">
        <v>3</v>
      </c>
      <c r="N946" s="58" t="s">
        <v>2</v>
      </c>
      <c r="O946" s="58">
        <v>35</v>
      </c>
      <c r="P946" s="58">
        <v>0</v>
      </c>
      <c r="Q946" s="58">
        <v>0</v>
      </c>
      <c r="R946" s="58">
        <v>0</v>
      </c>
      <c r="S946" s="58">
        <v>35</v>
      </c>
      <c r="T946" s="58">
        <v>0</v>
      </c>
      <c r="U946" s="58">
        <v>53</v>
      </c>
      <c r="V946" s="62"/>
      <c r="W946" s="62"/>
      <c r="X946" s="63">
        <f>IFERROR(1 -(Master[[#This Row],[Avg Garment Scans per Delivery]]/Master[[#This Row],[Garment Inventory]]), 0)</f>
        <v>0</v>
      </c>
      <c r="Y946" s="62"/>
      <c r="Z946" s="62"/>
      <c r="AA946" s="53">
        <v>7.7867455621301778</v>
      </c>
      <c r="AB946" s="53">
        <v>14.462485207100592</v>
      </c>
      <c r="AC946" s="53">
        <v>9.9385798816568034</v>
      </c>
      <c r="AD946" s="53">
        <v>14.784497041420117</v>
      </c>
      <c r="AE946" s="53" t="str">
        <f>_xlfn.XLOOKUP(Master[[#This Row],[cu_id]],'[1]Customer Revenue'!$Q:$Q,'[1]Customer Revenue'!$K:$K, "None")</f>
        <v>None</v>
      </c>
      <c r="AF946" s="53" t="str">
        <f>_xlfn.XLOOKUP(Master[[#This Row],[cu_id]],'[1]Customer Revenue'!$Q:$Q,'[1]Customer Revenue'!$L:$L, "None")</f>
        <v>None</v>
      </c>
      <c r="AG946" s="53">
        <v>8.4505325443786976</v>
      </c>
      <c r="AH946" s="53">
        <v>12.341005917159761</v>
      </c>
      <c r="AI946" s="53">
        <v>11.124615384615385</v>
      </c>
      <c r="AJ946" s="53">
        <v>12.36153846153846</v>
      </c>
      <c r="AK946" s="53" t="str">
        <f>_xlfn.XLOOKUP(Master[[#This Row],[cu_id]],'[1]Customer Revenue'!$Q:$Q,'[1]Customer Revenue'!$I:$I, "None")</f>
        <v>None</v>
      </c>
      <c r="AL946" s="53">
        <v>10.395769230769229</v>
      </c>
      <c r="AM946" s="61">
        <v>0.25</v>
      </c>
      <c r="AN946" s="60">
        <v>0.70833333333333337</v>
      </c>
      <c r="AO946" s="60" t="s">
        <v>36</v>
      </c>
      <c r="AP946" s="60" t="s">
        <v>36</v>
      </c>
      <c r="AQ946" s="58" t="s">
        <v>0</v>
      </c>
      <c r="AR946" s="58"/>
      <c r="AS946" s="58"/>
      <c r="AT946" s="52">
        <v>0</v>
      </c>
      <c r="AU946" s="52" t="e">
        <f>IF(Master[[#This Row],[RSP StopTime override]] &lt;&gt; "",Master[[#This Row],[RSP StopTime override]],IF(Master[[#This Row],[Avg stop time helper]] &lt;&gt; 0, Master[[#This Row],[Avg stop time helper]],Average_Stop_Time))</f>
        <v>#DIV/0!</v>
      </c>
      <c r="AV946" s="21"/>
      <c r="AW946" s="20">
        <f>Master[[#This Row],[RSP StopTime override]]-Master[[#This Row],[Avg stop time helper]]</f>
        <v>0</v>
      </c>
    </row>
    <row r="947" spans="1:49" x14ac:dyDescent="0.3">
      <c r="A947" s="66" t="s">
        <v>4972</v>
      </c>
      <c r="B947" s="58">
        <v>52</v>
      </c>
      <c r="C947" s="58" t="s">
        <v>43</v>
      </c>
      <c r="D947" s="65">
        <v>99061</v>
      </c>
      <c r="E947" s="65" t="s">
        <v>1634</v>
      </c>
      <c r="F947" s="65" t="s">
        <v>1633</v>
      </c>
      <c r="G947" s="65" t="s">
        <v>1620</v>
      </c>
      <c r="H947" s="65" t="s">
        <v>32</v>
      </c>
      <c r="I947" s="65" t="s">
        <v>1606</v>
      </c>
      <c r="J947" s="65" t="s">
        <v>5</v>
      </c>
      <c r="K947" s="65" t="s">
        <v>1605</v>
      </c>
      <c r="L947" s="64" t="s">
        <v>67</v>
      </c>
      <c r="M947" s="58" t="s">
        <v>3</v>
      </c>
      <c r="N947" s="58" t="s">
        <v>2</v>
      </c>
      <c r="O947" s="58">
        <v>35</v>
      </c>
      <c r="P947" s="58">
        <v>0</v>
      </c>
      <c r="Q947" s="58">
        <v>0</v>
      </c>
      <c r="R947" s="58">
        <v>0</v>
      </c>
      <c r="S947" s="58">
        <v>35</v>
      </c>
      <c r="T947" s="58">
        <v>0</v>
      </c>
      <c r="U947" s="58">
        <v>53</v>
      </c>
      <c r="V947" s="62"/>
      <c r="W947" s="62"/>
      <c r="X947" s="63">
        <f>IFERROR(1 -(Master[[#This Row],[Avg Garment Scans per Delivery]]/Master[[#This Row],[Garment Inventory]]), 0)</f>
        <v>0</v>
      </c>
      <c r="Y947" s="62"/>
      <c r="Z947" s="62"/>
      <c r="AA947" s="53">
        <v>20.775857988165676</v>
      </c>
      <c r="AB947" s="53">
        <v>24.654911242603546</v>
      </c>
      <c r="AC947" s="53">
        <v>21.849704142011834</v>
      </c>
      <c r="AD947" s="53">
        <v>27.196449704142008</v>
      </c>
      <c r="AE947" s="53" t="str">
        <f>_xlfn.XLOOKUP(Master[[#This Row],[cu_id]],'[1]Customer Revenue'!$Q:$Q,'[1]Customer Revenue'!$K:$K, "None")</f>
        <v>None</v>
      </c>
      <c r="AF947" s="53" t="str">
        <f>_xlfn.XLOOKUP(Master[[#This Row],[cu_id]],'[1]Customer Revenue'!$Q:$Q,'[1]Customer Revenue'!$L:$L, "None")</f>
        <v>None</v>
      </c>
      <c r="AG947" s="53">
        <v>20.500443786982245</v>
      </c>
      <c r="AH947" s="53">
        <v>23.971094674556213</v>
      </c>
      <c r="AI947" s="53">
        <v>22.715384615384611</v>
      </c>
      <c r="AJ947" s="53">
        <v>24.523076923076921</v>
      </c>
      <c r="AK947" s="53" t="str">
        <f>_xlfn.XLOOKUP(Master[[#This Row],[cu_id]],'[1]Customer Revenue'!$Q:$Q,'[1]Customer Revenue'!$I:$I, "None")</f>
        <v>None</v>
      </c>
      <c r="AL947" s="53">
        <v>22.235769230769229</v>
      </c>
      <c r="AM947" s="61">
        <v>0.25</v>
      </c>
      <c r="AN947" s="60">
        <v>0.70833333333333337</v>
      </c>
      <c r="AO947" s="60" t="s">
        <v>36</v>
      </c>
      <c r="AP947" s="60" t="s">
        <v>36</v>
      </c>
      <c r="AQ947" s="58" t="s">
        <v>0</v>
      </c>
      <c r="AR947" s="58"/>
      <c r="AS947" s="58"/>
      <c r="AT947" s="52">
        <v>0</v>
      </c>
      <c r="AU947" s="52" t="e">
        <f>IF(Master[[#This Row],[RSP StopTime override]] &lt;&gt; "",Master[[#This Row],[RSP StopTime override]],IF(Master[[#This Row],[Avg stop time helper]] &lt;&gt; 0, Master[[#This Row],[Avg stop time helper]],Average_Stop_Time))</f>
        <v>#DIV/0!</v>
      </c>
      <c r="AV947" s="21"/>
      <c r="AW947" s="20">
        <f>Master[[#This Row],[RSP StopTime override]]-Master[[#This Row],[Avg stop time helper]]</f>
        <v>0</v>
      </c>
    </row>
    <row r="948" spans="1:49" x14ac:dyDescent="0.3">
      <c r="A948" s="66" t="s">
        <v>4973</v>
      </c>
      <c r="B948" s="58">
        <v>52</v>
      </c>
      <c r="C948" s="58" t="s">
        <v>43</v>
      </c>
      <c r="D948" s="65">
        <v>99061</v>
      </c>
      <c r="E948" s="65" t="s">
        <v>1632</v>
      </c>
      <c r="F948" s="65" t="s">
        <v>1631</v>
      </c>
      <c r="G948" s="65" t="s">
        <v>1620</v>
      </c>
      <c r="H948" s="65" t="s">
        <v>32</v>
      </c>
      <c r="I948" s="65" t="s">
        <v>1606</v>
      </c>
      <c r="J948" s="65" t="s">
        <v>5</v>
      </c>
      <c r="K948" s="65" t="s">
        <v>1605</v>
      </c>
      <c r="L948" s="64" t="s">
        <v>67</v>
      </c>
      <c r="M948" s="58" t="s">
        <v>3</v>
      </c>
      <c r="N948" s="58" t="s">
        <v>2</v>
      </c>
      <c r="O948" s="58">
        <v>35</v>
      </c>
      <c r="P948" s="58">
        <v>0</v>
      </c>
      <c r="Q948" s="58">
        <v>0</v>
      </c>
      <c r="R948" s="58">
        <v>0</v>
      </c>
      <c r="S948" s="58">
        <v>35</v>
      </c>
      <c r="T948" s="58">
        <v>0</v>
      </c>
      <c r="U948" s="58">
        <v>53</v>
      </c>
      <c r="V948" s="62"/>
      <c r="W948" s="62"/>
      <c r="X948" s="63">
        <f>IFERROR(1 -(Master[[#This Row],[Avg Garment Scans per Delivery]]/Master[[#This Row],[Garment Inventory]]), 0)</f>
        <v>0</v>
      </c>
      <c r="Y948" s="62"/>
      <c r="Z948" s="62"/>
      <c r="AA948" s="53">
        <v>27.12207100591716</v>
      </c>
      <c r="AB948" s="53">
        <v>31.802544378698226</v>
      </c>
      <c r="AC948" s="53">
        <v>26.40355029585799</v>
      </c>
      <c r="AD948" s="53">
        <v>46.599526627218943</v>
      </c>
      <c r="AE948" s="53" t="str">
        <f>_xlfn.XLOOKUP(Master[[#This Row],[cu_id]],'[1]Customer Revenue'!$Q:$Q,'[1]Customer Revenue'!$K:$K, "None")</f>
        <v>None</v>
      </c>
      <c r="AF948" s="53" t="str">
        <f>_xlfn.XLOOKUP(Master[[#This Row],[cu_id]],'[1]Customer Revenue'!$Q:$Q,'[1]Customer Revenue'!$L:$L, "None")</f>
        <v>None</v>
      </c>
      <c r="AG948" s="53">
        <v>27.498313609467456</v>
      </c>
      <c r="AH948" s="53">
        <v>30.887071005917161</v>
      </c>
      <c r="AI948" s="53">
        <v>29.462307692307693</v>
      </c>
      <c r="AJ948" s="53">
        <v>36.501538461538466</v>
      </c>
      <c r="AK948" s="53" t="str">
        <f>_xlfn.XLOOKUP(Master[[#This Row],[cu_id]],'[1]Customer Revenue'!$Q:$Q,'[1]Customer Revenue'!$I:$I, "None")</f>
        <v>None</v>
      </c>
      <c r="AL948" s="53">
        <v>29.192692307692308</v>
      </c>
      <c r="AM948" s="61">
        <v>0.25</v>
      </c>
      <c r="AN948" s="60">
        <v>0.70833333333333337</v>
      </c>
      <c r="AO948" s="60" t="s">
        <v>36</v>
      </c>
      <c r="AP948" s="60" t="s">
        <v>36</v>
      </c>
      <c r="AQ948" s="58" t="s">
        <v>0</v>
      </c>
      <c r="AR948" s="58"/>
      <c r="AS948" s="58"/>
      <c r="AT948" s="52">
        <v>0</v>
      </c>
      <c r="AU948" s="52" t="e">
        <f>IF(Master[[#This Row],[RSP StopTime override]] &lt;&gt; "",Master[[#This Row],[RSP StopTime override]],IF(Master[[#This Row],[Avg stop time helper]] &lt;&gt; 0, Master[[#This Row],[Avg stop time helper]],Average_Stop_Time))</f>
        <v>#DIV/0!</v>
      </c>
      <c r="AV948" s="21"/>
      <c r="AW948" s="20">
        <f>Master[[#This Row],[RSP StopTime override]]-Master[[#This Row],[Avg stop time helper]]</f>
        <v>0</v>
      </c>
    </row>
    <row r="949" spans="1:49" x14ac:dyDescent="0.3">
      <c r="A949" s="66" t="s">
        <v>4974</v>
      </c>
      <c r="B949" s="58">
        <v>52</v>
      </c>
      <c r="C949" s="58" t="s">
        <v>43</v>
      </c>
      <c r="D949" s="65">
        <v>99061</v>
      </c>
      <c r="E949" s="65" t="s">
        <v>1345</v>
      </c>
      <c r="F949" s="65" t="s">
        <v>1630</v>
      </c>
      <c r="G949" s="65" t="s">
        <v>1620</v>
      </c>
      <c r="H949" s="65" t="s">
        <v>32</v>
      </c>
      <c r="I949" s="65" t="s">
        <v>1606</v>
      </c>
      <c r="J949" s="65" t="s">
        <v>5</v>
      </c>
      <c r="K949" s="65" t="s">
        <v>1605</v>
      </c>
      <c r="L949" s="64" t="s">
        <v>67</v>
      </c>
      <c r="M949" s="58" t="s">
        <v>3</v>
      </c>
      <c r="N949" s="58" t="s">
        <v>2</v>
      </c>
      <c r="O949" s="58">
        <v>35</v>
      </c>
      <c r="P949" s="58">
        <v>0</v>
      </c>
      <c r="Q949" s="58">
        <v>0</v>
      </c>
      <c r="R949" s="58">
        <v>0</v>
      </c>
      <c r="S949" s="58">
        <v>35</v>
      </c>
      <c r="T949" s="58">
        <v>0</v>
      </c>
      <c r="U949" s="58">
        <v>53</v>
      </c>
      <c r="V949" s="62">
        <v>22</v>
      </c>
      <c r="W949" s="62">
        <v>4</v>
      </c>
      <c r="X949" s="63">
        <f>IFERROR(1 -(Master[[#This Row],[Avg Garment Scans per Delivery]]/Master[[#This Row],[Garment Inventory]]), 0)</f>
        <v>0.81818181818181812</v>
      </c>
      <c r="Y949" s="62">
        <v>2</v>
      </c>
      <c r="Z949" s="62">
        <v>21</v>
      </c>
      <c r="AA949" s="53">
        <v>7.5281065088757391</v>
      </c>
      <c r="AB949" s="53">
        <v>9.399585798816565</v>
      </c>
      <c r="AC949" s="53">
        <v>9.6084615384615351</v>
      </c>
      <c r="AD949" s="53">
        <v>13.731538461538461</v>
      </c>
      <c r="AE949" s="53" t="str">
        <f>_xlfn.XLOOKUP(Master[[#This Row],[cu_id]],'[1]Customer Revenue'!$Q:$Q,'[1]Customer Revenue'!$K:$K, "None")</f>
        <v>None</v>
      </c>
      <c r="AF949" s="53" t="str">
        <f>_xlfn.XLOOKUP(Master[[#This Row],[cu_id]],'[1]Customer Revenue'!$Q:$Q,'[1]Customer Revenue'!$L:$L, "None")</f>
        <v>None</v>
      </c>
      <c r="AG949" s="53">
        <v>7.5065976331360931</v>
      </c>
      <c r="AH949" s="53">
        <v>8.6387869822485133</v>
      </c>
      <c r="AI949" s="53">
        <v>8.463846153846152</v>
      </c>
      <c r="AJ949" s="53">
        <v>11.669999999999998</v>
      </c>
      <c r="AK949" s="53" t="str">
        <f>_xlfn.XLOOKUP(Master[[#This Row],[cu_id]],'[1]Customer Revenue'!$Q:$Q,'[1]Customer Revenue'!$I:$I, "None")</f>
        <v>None</v>
      </c>
      <c r="AL949" s="53">
        <v>8.0726923076923036</v>
      </c>
      <c r="AM949" s="61">
        <v>0.25</v>
      </c>
      <c r="AN949" s="60">
        <v>0.70833333333333337</v>
      </c>
      <c r="AO949" s="60" t="s">
        <v>36</v>
      </c>
      <c r="AP949" s="60" t="s">
        <v>36</v>
      </c>
      <c r="AQ949" s="58" t="s">
        <v>0</v>
      </c>
      <c r="AR949" s="58"/>
      <c r="AS949" s="58"/>
      <c r="AT949" s="52">
        <v>0</v>
      </c>
      <c r="AU949" s="52" t="e">
        <f>IF(Master[[#This Row],[RSP StopTime override]] &lt;&gt; "",Master[[#This Row],[RSP StopTime override]],IF(Master[[#This Row],[Avg stop time helper]] &lt;&gt; 0, Master[[#This Row],[Avg stop time helper]],Average_Stop_Time))</f>
        <v>#DIV/0!</v>
      </c>
      <c r="AV949" s="21"/>
      <c r="AW949" s="20">
        <f>Master[[#This Row],[RSP StopTime override]]-Master[[#This Row],[Avg stop time helper]]</f>
        <v>0</v>
      </c>
    </row>
    <row r="950" spans="1:49" x14ac:dyDescent="0.3">
      <c r="A950" s="66" t="s">
        <v>4975</v>
      </c>
      <c r="B950" s="58">
        <v>52</v>
      </c>
      <c r="C950" s="58" t="s">
        <v>43</v>
      </c>
      <c r="D950" s="65">
        <v>99061</v>
      </c>
      <c r="E950" s="65" t="s">
        <v>1354</v>
      </c>
      <c r="F950" s="65" t="s">
        <v>1629</v>
      </c>
      <c r="G950" s="65" t="s">
        <v>1620</v>
      </c>
      <c r="H950" s="65" t="s">
        <v>32</v>
      </c>
      <c r="I950" s="65" t="s">
        <v>1606</v>
      </c>
      <c r="J950" s="65" t="s">
        <v>5</v>
      </c>
      <c r="K950" s="65" t="s">
        <v>1605</v>
      </c>
      <c r="L950" s="64" t="s">
        <v>67</v>
      </c>
      <c r="M950" s="58" t="s">
        <v>3</v>
      </c>
      <c r="N950" s="58" t="s">
        <v>2</v>
      </c>
      <c r="O950" s="58">
        <v>35</v>
      </c>
      <c r="P950" s="58">
        <v>0</v>
      </c>
      <c r="Q950" s="58">
        <v>0</v>
      </c>
      <c r="R950" s="58">
        <v>0</v>
      </c>
      <c r="S950" s="58">
        <v>35</v>
      </c>
      <c r="T950" s="58">
        <v>0</v>
      </c>
      <c r="U950" s="58">
        <v>53</v>
      </c>
      <c r="V950" s="62"/>
      <c r="W950" s="62"/>
      <c r="X950" s="63">
        <f>IFERROR(1 -(Master[[#This Row],[Avg Garment Scans per Delivery]]/Master[[#This Row],[Garment Inventory]]), 0)</f>
        <v>0</v>
      </c>
      <c r="Y950" s="62"/>
      <c r="Z950" s="62"/>
      <c r="AA950" s="53">
        <v>99.517633136094673</v>
      </c>
      <c r="AB950" s="53">
        <v>155.87005917159763</v>
      </c>
      <c r="AC950" s="53">
        <v>86.462781065088762</v>
      </c>
      <c r="AD950" s="53">
        <v>165.18491124260356</v>
      </c>
      <c r="AE950" s="53" t="str">
        <f>_xlfn.XLOOKUP(Master[[#This Row],[cu_id]],'[1]Customer Revenue'!$Q:$Q,'[1]Customer Revenue'!$K:$K, "None")</f>
        <v>None</v>
      </c>
      <c r="AF950" s="53" t="str">
        <f>_xlfn.XLOOKUP(Master[[#This Row],[cu_id]],'[1]Customer Revenue'!$Q:$Q,'[1]Customer Revenue'!$L:$L, "None")</f>
        <v>None</v>
      </c>
      <c r="AG950" s="53">
        <v>65.14260355029586</v>
      </c>
      <c r="AH950" s="53">
        <v>132.97047337278107</v>
      </c>
      <c r="AI950" s="53">
        <v>127.69384615384615</v>
      </c>
      <c r="AJ950" s="53">
        <v>125.82384615384616</v>
      </c>
      <c r="AK950" s="53" t="str">
        <f>_xlfn.XLOOKUP(Master[[#This Row],[cu_id]],'[1]Customer Revenue'!$Q:$Q,'[1]Customer Revenue'!$I:$I, "None")</f>
        <v>None</v>
      </c>
      <c r="AL950" s="53">
        <v>99.056538461538466</v>
      </c>
      <c r="AM950" s="61">
        <v>0.25</v>
      </c>
      <c r="AN950" s="60">
        <v>0.70833333333333337</v>
      </c>
      <c r="AO950" s="60" t="s">
        <v>36</v>
      </c>
      <c r="AP950" s="60" t="s">
        <v>36</v>
      </c>
      <c r="AQ950" s="58" t="s">
        <v>0</v>
      </c>
      <c r="AR950" s="58"/>
      <c r="AS950" s="58"/>
      <c r="AT950" s="52">
        <v>0</v>
      </c>
      <c r="AU950" s="52" t="e">
        <f>IF(Master[[#This Row],[RSP StopTime override]] &lt;&gt; "",Master[[#This Row],[RSP StopTime override]],IF(Master[[#This Row],[Avg stop time helper]] &lt;&gt; 0, Master[[#This Row],[Avg stop time helper]],Average_Stop_Time))</f>
        <v>#DIV/0!</v>
      </c>
      <c r="AV950" s="21"/>
      <c r="AW950" s="20">
        <f>Master[[#This Row],[RSP StopTime override]]-Master[[#This Row],[Avg stop time helper]]</f>
        <v>0</v>
      </c>
    </row>
    <row r="951" spans="1:49" x14ac:dyDescent="0.3">
      <c r="A951" s="66" t="s">
        <v>4976</v>
      </c>
      <c r="B951" s="58">
        <v>52</v>
      </c>
      <c r="C951" s="58" t="s">
        <v>43</v>
      </c>
      <c r="D951" s="65">
        <v>99079</v>
      </c>
      <c r="E951" s="65" t="s">
        <v>1201</v>
      </c>
      <c r="F951" s="65" t="s">
        <v>3715</v>
      </c>
      <c r="G951" s="65" t="s">
        <v>1628</v>
      </c>
      <c r="H951" s="65" t="s">
        <v>32</v>
      </c>
      <c r="I951" s="65" t="s">
        <v>1627</v>
      </c>
      <c r="J951" s="65" t="s">
        <v>5</v>
      </c>
      <c r="K951" s="65" t="s">
        <v>1605</v>
      </c>
      <c r="L951" s="64" t="s">
        <v>67</v>
      </c>
      <c r="M951" s="58" t="s">
        <v>3</v>
      </c>
      <c r="N951" s="58" t="s">
        <v>2</v>
      </c>
      <c r="O951" s="58">
        <v>40</v>
      </c>
      <c r="P951" s="58">
        <v>0</v>
      </c>
      <c r="Q951" s="58">
        <v>0</v>
      </c>
      <c r="R951" s="58">
        <v>0</v>
      </c>
      <c r="S951" s="58">
        <v>40</v>
      </c>
      <c r="T951" s="58">
        <v>0</v>
      </c>
      <c r="U951" s="58">
        <v>55</v>
      </c>
      <c r="V951" s="62"/>
      <c r="W951" s="62"/>
      <c r="X951" s="63">
        <f>IFERROR(1 -(Master[[#This Row],[Avg Garment Scans per Delivery]]/Master[[#This Row],[Garment Inventory]]), 0)</f>
        <v>0</v>
      </c>
      <c r="Y951" s="62"/>
      <c r="Z951" s="62"/>
      <c r="AA951" s="53">
        <v>127.30792899408283</v>
      </c>
      <c r="AB951" s="53">
        <v>140.69822485207101</v>
      </c>
      <c r="AC951" s="53">
        <v>117.07964497041419</v>
      </c>
      <c r="AD951" s="53">
        <v>129.62497041420119</v>
      </c>
      <c r="AE951" s="53" t="str">
        <f>_xlfn.XLOOKUP(Master[[#This Row],[cu_id]],'[1]Customer Revenue'!$Q:$Q,'[1]Customer Revenue'!$K:$K, "None")</f>
        <v>None</v>
      </c>
      <c r="AF951" s="53" t="str">
        <f>_xlfn.XLOOKUP(Master[[#This Row],[cu_id]],'[1]Customer Revenue'!$Q:$Q,'[1]Customer Revenue'!$L:$L, "None")</f>
        <v>None</v>
      </c>
      <c r="AG951" s="53">
        <v>115.19289940828401</v>
      </c>
      <c r="AH951" s="53">
        <v>136.23479289940826</v>
      </c>
      <c r="AI951" s="53">
        <v>134.00307692307692</v>
      </c>
      <c r="AJ951" s="53">
        <v>123.35230769230769</v>
      </c>
      <c r="AK951" s="53" t="str">
        <f>_xlfn.XLOOKUP(Master[[#This Row],[cu_id]],'[1]Customer Revenue'!$Q:$Q,'[1]Customer Revenue'!$I:$I, "None")</f>
        <v>None</v>
      </c>
      <c r="AL951" s="53">
        <v>125.71384615384613</v>
      </c>
      <c r="AM951" s="61">
        <v>0.33333333333333331</v>
      </c>
      <c r="AN951" s="60">
        <v>0.70833333333333337</v>
      </c>
      <c r="AO951" s="60" t="s">
        <v>36</v>
      </c>
      <c r="AP951" s="60" t="s">
        <v>36</v>
      </c>
      <c r="AQ951" s="58" t="s">
        <v>0</v>
      </c>
      <c r="AR951" s="58"/>
      <c r="AS951" s="58"/>
      <c r="AT951" s="52">
        <v>0</v>
      </c>
      <c r="AU951" s="52" t="e">
        <f>IF(Master[[#This Row],[RSP StopTime override]] &lt;&gt; "",Master[[#This Row],[RSP StopTime override]],IF(Master[[#This Row],[Avg stop time helper]] &lt;&gt; 0, Master[[#This Row],[Avg stop time helper]],Average_Stop_Time))</f>
        <v>#DIV/0!</v>
      </c>
      <c r="AV951" s="21"/>
      <c r="AW951" s="20">
        <f>Master[[#This Row],[RSP StopTime override]]-Master[[#This Row],[Avg stop time helper]]</f>
        <v>0</v>
      </c>
    </row>
    <row r="952" spans="1:49" x14ac:dyDescent="0.3">
      <c r="A952" s="66" t="s">
        <v>4977</v>
      </c>
      <c r="B952" s="58">
        <v>52</v>
      </c>
      <c r="C952" s="58" t="s">
        <v>43</v>
      </c>
      <c r="D952" s="65">
        <v>99094</v>
      </c>
      <c r="E952" s="65" t="s">
        <v>1158</v>
      </c>
      <c r="F952" s="65" t="s">
        <v>1626</v>
      </c>
      <c r="G952" s="65" t="s">
        <v>1625</v>
      </c>
      <c r="H952" s="65" t="s">
        <v>7</v>
      </c>
      <c r="I952" s="65" t="s">
        <v>1600</v>
      </c>
      <c r="J952" s="65" t="s">
        <v>5</v>
      </c>
      <c r="K952" s="65" t="s">
        <v>1624</v>
      </c>
      <c r="L952" s="64" t="s">
        <v>67</v>
      </c>
      <c r="M952" s="58" t="s">
        <v>3</v>
      </c>
      <c r="N952" s="58" t="s">
        <v>2</v>
      </c>
      <c r="O952" s="58">
        <v>50</v>
      </c>
      <c r="P952" s="58">
        <v>0</v>
      </c>
      <c r="Q952" s="58">
        <v>0</v>
      </c>
      <c r="R952" s="58">
        <v>0</v>
      </c>
      <c r="S952" s="58">
        <v>50</v>
      </c>
      <c r="T952" s="58">
        <v>0</v>
      </c>
      <c r="U952" s="58">
        <v>38</v>
      </c>
      <c r="V952" s="62"/>
      <c r="W952" s="62"/>
      <c r="X952" s="63">
        <f>IFERROR(1 -(Master[[#This Row],[Avg Garment Scans per Delivery]]/Master[[#This Row],[Garment Inventory]]), 0)</f>
        <v>0</v>
      </c>
      <c r="Y952" s="62"/>
      <c r="Z952" s="62"/>
      <c r="AA952" s="53">
        <v>25.29437869822485</v>
      </c>
      <c r="AB952" s="53">
        <v>27.337928994082827</v>
      </c>
      <c r="AC952" s="53">
        <v>16.5002</v>
      </c>
      <c r="AD952" s="53">
        <v>32.029800000000002</v>
      </c>
      <c r="AE952" s="53" t="str">
        <f>_xlfn.XLOOKUP(Master[[#This Row],[cu_id]],'[1]Customer Revenue'!$Q:$Q,'[1]Customer Revenue'!$K:$K, "None")</f>
        <v>None</v>
      </c>
      <c r="AF952" s="53" t="str">
        <f>_xlfn.XLOOKUP(Master[[#This Row],[cu_id]],'[1]Customer Revenue'!$Q:$Q,'[1]Customer Revenue'!$L:$L, "None")</f>
        <v>None</v>
      </c>
      <c r="AG952" s="53">
        <v>19.999999999999986</v>
      </c>
      <c r="AH952" s="53">
        <v>26.842499999999987</v>
      </c>
      <c r="AI952" s="53">
        <v>26.316153846153838</v>
      </c>
      <c r="AJ952" s="53">
        <v>24.265000000000001</v>
      </c>
      <c r="AK952" s="53" t="str">
        <f>_xlfn.XLOOKUP(Master[[#This Row],[cu_id]],'[1]Customer Revenue'!$Q:$Q,'[1]Customer Revenue'!$I:$I, "None")</f>
        <v>None</v>
      </c>
      <c r="AL952" s="53">
        <v>23.421249999999986</v>
      </c>
      <c r="AM952" s="61">
        <v>0.375</v>
      </c>
      <c r="AN952" s="60">
        <v>0.70833333333333337</v>
      </c>
      <c r="AO952" s="60" t="s">
        <v>36</v>
      </c>
      <c r="AP952" s="60" t="s">
        <v>36</v>
      </c>
      <c r="AQ952" s="58" t="s">
        <v>0</v>
      </c>
      <c r="AR952" s="58"/>
      <c r="AS952" s="58"/>
      <c r="AT952" s="52">
        <v>0</v>
      </c>
      <c r="AU952" s="52" t="e">
        <f>IF(Master[[#This Row],[RSP StopTime override]] &lt;&gt; "",Master[[#This Row],[RSP StopTime override]],IF(Master[[#This Row],[Avg stop time helper]] &lt;&gt; 0, Master[[#This Row],[Avg stop time helper]],Average_Stop_Time))</f>
        <v>#DIV/0!</v>
      </c>
      <c r="AV952" s="21"/>
      <c r="AW952" s="20">
        <f>Master[[#This Row],[RSP StopTime override]]-Master[[#This Row],[Avg stop time helper]]</f>
        <v>0</v>
      </c>
    </row>
    <row r="953" spans="1:49" x14ac:dyDescent="0.3">
      <c r="A953" s="66" t="s">
        <v>4978</v>
      </c>
      <c r="B953" s="58">
        <v>52</v>
      </c>
      <c r="C953" s="58" t="s">
        <v>43</v>
      </c>
      <c r="D953" s="65">
        <v>99133</v>
      </c>
      <c r="E953" s="65" t="s">
        <v>42</v>
      </c>
      <c r="F953" s="65" t="s">
        <v>1623</v>
      </c>
      <c r="G953" s="65" t="s">
        <v>1622</v>
      </c>
      <c r="H953" s="65" t="s">
        <v>7</v>
      </c>
      <c r="I953" s="65" t="s">
        <v>1606</v>
      </c>
      <c r="J953" s="65" t="s">
        <v>5</v>
      </c>
      <c r="K953" s="65" t="s">
        <v>1605</v>
      </c>
      <c r="L953" s="64" t="s">
        <v>67</v>
      </c>
      <c r="M953" s="58" t="s">
        <v>3</v>
      </c>
      <c r="N953" s="58" t="s">
        <v>2</v>
      </c>
      <c r="O953" s="58">
        <v>30</v>
      </c>
      <c r="P953" s="58">
        <v>0</v>
      </c>
      <c r="Q953" s="58">
        <v>0</v>
      </c>
      <c r="R953" s="58">
        <v>0</v>
      </c>
      <c r="S953" s="58">
        <v>30</v>
      </c>
      <c r="T953" s="58">
        <v>0</v>
      </c>
      <c r="U953" s="58">
        <v>53</v>
      </c>
      <c r="V953" s="62"/>
      <c r="W953" s="62"/>
      <c r="X953" s="63">
        <f>IFERROR(1 -(Master[[#This Row],[Avg Garment Scans per Delivery]]/Master[[#This Row],[Garment Inventory]]), 0)</f>
        <v>0</v>
      </c>
      <c r="Y953" s="62"/>
      <c r="Z953" s="62"/>
      <c r="AA953" s="53">
        <v>122.39</v>
      </c>
      <c r="AB953" s="53">
        <v>122.39000000000006</v>
      </c>
      <c r="AC953" s="53">
        <v>122.39</v>
      </c>
      <c r="AD953" s="53">
        <v>122.39000000000006</v>
      </c>
      <c r="AE953" s="53" t="str">
        <f>_xlfn.XLOOKUP(Master[[#This Row],[cu_id]],'[1]Customer Revenue'!$Q:$Q,'[1]Customer Revenue'!$K:$K, "None")</f>
        <v>None</v>
      </c>
      <c r="AF953" s="53" t="str">
        <f>_xlfn.XLOOKUP(Master[[#This Row],[cu_id]],'[1]Customer Revenue'!$Q:$Q,'[1]Customer Revenue'!$L:$L, "None")</f>
        <v>None</v>
      </c>
      <c r="AG953" s="53">
        <v>122.38999999999994</v>
      </c>
      <c r="AH953" s="53">
        <v>122.39</v>
      </c>
      <c r="AI953" s="53">
        <v>122.39000000000003</v>
      </c>
      <c r="AJ953" s="53">
        <v>122.39000000000003</v>
      </c>
      <c r="AK953" s="53" t="str">
        <f>_xlfn.XLOOKUP(Master[[#This Row],[cu_id]],'[1]Customer Revenue'!$Q:$Q,'[1]Customer Revenue'!$I:$I, "None")</f>
        <v>None</v>
      </c>
      <c r="AL953" s="53">
        <v>122.38999999999997</v>
      </c>
      <c r="AM953" s="61">
        <v>0.33333333333333331</v>
      </c>
      <c r="AN953" s="60">
        <v>0.70833333333333337</v>
      </c>
      <c r="AO953" s="60" t="s">
        <v>36</v>
      </c>
      <c r="AP953" s="60" t="s">
        <v>36</v>
      </c>
      <c r="AQ953" s="58" t="s">
        <v>0</v>
      </c>
      <c r="AR953" s="58"/>
      <c r="AS953" s="58"/>
      <c r="AT953" s="52">
        <v>0</v>
      </c>
      <c r="AU953" s="52" t="e">
        <f>IF(Master[[#This Row],[RSP StopTime override]] &lt;&gt; "",Master[[#This Row],[RSP StopTime override]],IF(Master[[#This Row],[Avg stop time helper]] &lt;&gt; 0, Master[[#This Row],[Avg stop time helper]],Average_Stop_Time))</f>
        <v>#DIV/0!</v>
      </c>
      <c r="AV953" s="21"/>
      <c r="AW953" s="20">
        <f>Master[[#This Row],[RSP StopTime override]]-Master[[#This Row],[Avg stop time helper]]</f>
        <v>0</v>
      </c>
    </row>
    <row r="954" spans="1:49" x14ac:dyDescent="0.3">
      <c r="A954" s="66" t="s">
        <v>4979</v>
      </c>
      <c r="B954" s="58">
        <v>52</v>
      </c>
      <c r="C954" s="58" t="s">
        <v>43</v>
      </c>
      <c r="D954" s="65">
        <v>99161</v>
      </c>
      <c r="E954" s="65" t="s">
        <v>1177</v>
      </c>
      <c r="F954" s="65" t="s">
        <v>1621</v>
      </c>
      <c r="G954" s="65" t="s">
        <v>1620</v>
      </c>
      <c r="H954" s="65" t="s">
        <v>7</v>
      </c>
      <c r="I954" s="65" t="s">
        <v>1606</v>
      </c>
      <c r="J954" s="65" t="s">
        <v>5</v>
      </c>
      <c r="K954" s="65" t="s">
        <v>1605</v>
      </c>
      <c r="L954" s="64" t="s">
        <v>67</v>
      </c>
      <c r="M954" s="58" t="s">
        <v>3</v>
      </c>
      <c r="N954" s="58" t="s">
        <v>2</v>
      </c>
      <c r="O954" s="58">
        <v>35</v>
      </c>
      <c r="P954" s="58">
        <v>0</v>
      </c>
      <c r="Q954" s="58">
        <v>0</v>
      </c>
      <c r="R954" s="58">
        <v>0</v>
      </c>
      <c r="S954" s="58">
        <v>35</v>
      </c>
      <c r="T954" s="58">
        <v>0</v>
      </c>
      <c r="U954" s="58">
        <v>1</v>
      </c>
      <c r="V954" s="62"/>
      <c r="W954" s="62"/>
      <c r="X954" s="63">
        <f>IFERROR(1 -(Master[[#This Row],[Avg Garment Scans per Delivery]]/Master[[#This Row],[Garment Inventory]]), 0)</f>
        <v>0</v>
      </c>
      <c r="Y954" s="62"/>
      <c r="Z954" s="62"/>
      <c r="AA954" s="53"/>
      <c r="AB954" s="53"/>
      <c r="AC954" s="53">
        <v>99.097633136094672</v>
      </c>
      <c r="AD954" s="53">
        <v>131.90236686390534</v>
      </c>
      <c r="AE954" s="53" t="str">
        <f>_xlfn.XLOOKUP(Master[[#This Row],[cu_id]],'[1]Customer Revenue'!$Q:$Q,'[1]Customer Revenue'!$K:$K, "None")</f>
        <v>None</v>
      </c>
      <c r="AF954" s="53" t="str">
        <f>_xlfn.XLOOKUP(Master[[#This Row],[cu_id]],'[1]Customer Revenue'!$Q:$Q,'[1]Customer Revenue'!$L:$L, "None")</f>
        <v>None</v>
      </c>
      <c r="AG954" s="53"/>
      <c r="AH954" s="53"/>
      <c r="AI954" s="53"/>
      <c r="AJ954" s="53">
        <v>115.5</v>
      </c>
      <c r="AK954" s="53" t="str">
        <f>_xlfn.XLOOKUP(Master[[#This Row],[cu_id]],'[1]Customer Revenue'!$Q:$Q,'[1]Customer Revenue'!$I:$I, "None")</f>
        <v>None</v>
      </c>
      <c r="AL954" s="53"/>
      <c r="AM954" s="61">
        <v>0.25</v>
      </c>
      <c r="AN954" s="60">
        <v>0.70833333333333337</v>
      </c>
      <c r="AO954" s="60" t="s">
        <v>36</v>
      </c>
      <c r="AP954" s="60" t="s">
        <v>36</v>
      </c>
      <c r="AQ954" s="58" t="s">
        <v>0</v>
      </c>
      <c r="AR954" s="58"/>
      <c r="AS954" s="58"/>
      <c r="AT954" s="52">
        <v>0</v>
      </c>
      <c r="AU954" s="52" t="e">
        <f>IF(Master[[#This Row],[RSP StopTime override]] &lt;&gt; "",Master[[#This Row],[RSP StopTime override]],IF(Master[[#This Row],[Avg stop time helper]] &lt;&gt; 0, Master[[#This Row],[Avg stop time helper]],Average_Stop_Time))</f>
        <v>#DIV/0!</v>
      </c>
      <c r="AV954" s="21"/>
      <c r="AW954" s="20">
        <f>Master[[#This Row],[RSP StopTime override]]-Master[[#This Row],[Avg stop time helper]]</f>
        <v>0</v>
      </c>
    </row>
    <row r="955" spans="1:49" x14ac:dyDescent="0.3">
      <c r="A955" s="73" t="s">
        <v>4042</v>
      </c>
      <c r="B955" s="64">
        <v>52</v>
      </c>
      <c r="C955" s="64" t="s">
        <v>43</v>
      </c>
      <c r="D955" s="65">
        <v>99161</v>
      </c>
      <c r="E955" s="65" t="s">
        <v>1619</v>
      </c>
      <c r="F955" s="65" t="s">
        <v>3716</v>
      </c>
      <c r="G955" s="65" t="s">
        <v>1618</v>
      </c>
      <c r="H955" s="65" t="s">
        <v>7</v>
      </c>
      <c r="I955" s="65" t="s">
        <v>1617</v>
      </c>
      <c r="J955" s="65" t="s">
        <v>5</v>
      </c>
      <c r="K955" s="65" t="s">
        <v>1599</v>
      </c>
      <c r="L955" s="64" t="s">
        <v>67</v>
      </c>
      <c r="M955" s="65" t="s">
        <v>3</v>
      </c>
      <c r="N955" s="65" t="s">
        <v>2</v>
      </c>
      <c r="O955" s="65">
        <v>1</v>
      </c>
      <c r="P955" s="65">
        <v>0</v>
      </c>
      <c r="Q955" s="65">
        <v>0</v>
      </c>
      <c r="R955" s="65">
        <v>0</v>
      </c>
      <c r="S955" s="65">
        <v>1</v>
      </c>
      <c r="T955" s="65">
        <v>0</v>
      </c>
      <c r="U955" s="65"/>
      <c r="V955" s="65"/>
      <c r="W955" s="65"/>
      <c r="X955" s="72">
        <f>IFERROR(1 -(Master[[#This Row],[Avg Garment Scans per Delivery]]/Master[[#This Row],[Garment Inventory]]), 0)</f>
        <v>0</v>
      </c>
      <c r="Y955" s="65"/>
      <c r="Z955" s="65"/>
      <c r="AA955" s="53"/>
      <c r="AB955" s="53"/>
      <c r="AC955" s="53"/>
      <c r="AD955" s="53"/>
      <c r="AE955" s="53" t="str">
        <f>_xlfn.XLOOKUP(Master[[#This Row],[cu_id]],'[1]Customer Revenue'!$Q:$Q,'[1]Customer Revenue'!$K:$K, "None")</f>
        <v>None</v>
      </c>
      <c r="AF955" s="53" t="str">
        <f>_xlfn.XLOOKUP(Master[[#This Row],[cu_id]],'[1]Customer Revenue'!$Q:$Q,'[1]Customer Revenue'!$L:$L, "None")</f>
        <v>None</v>
      </c>
      <c r="AG955" s="53"/>
      <c r="AH955" s="53"/>
      <c r="AI955" s="53"/>
      <c r="AJ955" s="53"/>
      <c r="AK955" s="53" t="str">
        <f>_xlfn.XLOOKUP(Master[[#This Row],[cu_id]],'[1]Customer Revenue'!$Q:$Q,'[1]Customer Revenue'!$I:$I, "None")</f>
        <v>None</v>
      </c>
      <c r="AL955" s="53"/>
      <c r="AM955" s="71" t="s">
        <v>1</v>
      </c>
      <c r="AN955" s="71" t="s">
        <v>1</v>
      </c>
      <c r="AO955" s="71" t="s">
        <v>36</v>
      </c>
      <c r="AP955" s="71" t="s">
        <v>36</v>
      </c>
      <c r="AQ955" s="64" t="s">
        <v>0</v>
      </c>
      <c r="AR955" s="64"/>
      <c r="AS955" s="65"/>
      <c r="AT955" s="52">
        <v>0</v>
      </c>
      <c r="AU955" s="52" t="e">
        <f>IF(Master[[#This Row],[RSP StopTime override]] &lt;&gt; "",Master[[#This Row],[RSP StopTime override]],IF(Master[[#This Row],[Avg stop time helper]] &lt;&gt; 0, Master[[#This Row],[Avg stop time helper]],Average_Stop_Time))</f>
        <v>#DIV/0!</v>
      </c>
      <c r="AV955" s="21"/>
      <c r="AW955" s="20">
        <f>Master[[#This Row],[RSP StopTime override]]-Master[[#This Row],[Avg stop time helper]]</f>
        <v>0</v>
      </c>
    </row>
    <row r="956" spans="1:49" x14ac:dyDescent="0.3">
      <c r="A956" s="66" t="s">
        <v>4980</v>
      </c>
      <c r="B956" s="58">
        <v>52</v>
      </c>
      <c r="C956" s="58" t="s">
        <v>43</v>
      </c>
      <c r="D956" s="65">
        <v>522456</v>
      </c>
      <c r="E956" s="65" t="s">
        <v>1455</v>
      </c>
      <c r="F956" s="65" t="s">
        <v>1616</v>
      </c>
      <c r="G956" s="65" t="s">
        <v>1615</v>
      </c>
      <c r="H956" s="65" t="s">
        <v>32</v>
      </c>
      <c r="I956" s="65" t="s">
        <v>12</v>
      </c>
      <c r="J956" s="65" t="s">
        <v>5</v>
      </c>
      <c r="K956" s="65" t="s">
        <v>61</v>
      </c>
      <c r="L956" s="64" t="s">
        <v>67</v>
      </c>
      <c r="M956" s="58" t="s">
        <v>3</v>
      </c>
      <c r="N956" s="58" t="s">
        <v>2</v>
      </c>
      <c r="O956" s="58">
        <v>5</v>
      </c>
      <c r="P956" s="58">
        <v>0</v>
      </c>
      <c r="Q956" s="58">
        <v>0</v>
      </c>
      <c r="R956" s="58">
        <v>0</v>
      </c>
      <c r="S956" s="58">
        <v>5</v>
      </c>
      <c r="T956" s="58">
        <v>0</v>
      </c>
      <c r="U956" s="58">
        <v>60</v>
      </c>
      <c r="V956" s="62"/>
      <c r="W956" s="62"/>
      <c r="X956" s="63">
        <f>IFERROR(1 -(Master[[#This Row],[Avg Garment Scans per Delivery]]/Master[[#This Row],[Garment Inventory]]), 0)</f>
        <v>0</v>
      </c>
      <c r="Y956" s="62"/>
      <c r="Z956" s="62"/>
      <c r="AA956" s="53">
        <v>1219.1624852071006</v>
      </c>
      <c r="AB956" s="53">
        <v>1271.2990532544379</v>
      </c>
      <c r="AC956" s="53">
        <v>1120.372582417582</v>
      </c>
      <c r="AD956" s="53">
        <v>1475.8197252747252</v>
      </c>
      <c r="AE956" s="53" t="str">
        <f>_xlfn.XLOOKUP(Master[[#This Row],[cu_id]],'[1]Customer Revenue'!$Q:$Q,'[1]Customer Revenue'!$K:$K, "None")</f>
        <v>None</v>
      </c>
      <c r="AF956" s="53" t="str">
        <f>_xlfn.XLOOKUP(Master[[#This Row],[cu_id]],'[1]Customer Revenue'!$Q:$Q,'[1]Customer Revenue'!$L:$L, "None")</f>
        <v>None</v>
      </c>
      <c r="AG956" s="53">
        <v>1205.3703550295857</v>
      </c>
      <c r="AH956" s="53">
        <v>1308.0381065088752</v>
      </c>
      <c r="AI956" s="53">
        <v>1245.2307692307693</v>
      </c>
      <c r="AJ956" s="53">
        <v>1298.0961538461536</v>
      </c>
      <c r="AK956" s="53" t="str">
        <f>_xlfn.XLOOKUP(Master[[#This Row],[cu_id]],'[1]Customer Revenue'!$Q:$Q,'[1]Customer Revenue'!$I:$I, "None")</f>
        <v>None</v>
      </c>
      <c r="AL956" s="53">
        <v>1256.7042307692304</v>
      </c>
      <c r="AM956" s="61" t="s">
        <v>36</v>
      </c>
      <c r="AN956" s="60" t="s">
        <v>36</v>
      </c>
      <c r="AO956" s="60" t="s">
        <v>36</v>
      </c>
      <c r="AP956" s="60" t="s">
        <v>36</v>
      </c>
      <c r="AQ956" s="58" t="s">
        <v>0</v>
      </c>
      <c r="AR956" s="58"/>
      <c r="AS956" s="58"/>
      <c r="AT956" s="52">
        <v>0</v>
      </c>
      <c r="AU956" s="52" t="e">
        <f>IF(Master[[#This Row],[RSP StopTime override]] &lt;&gt; "",Master[[#This Row],[RSP StopTime override]],IF(Master[[#This Row],[Avg stop time helper]] &lt;&gt; 0, Master[[#This Row],[Avg stop time helper]],Average_Stop_Time))</f>
        <v>#DIV/0!</v>
      </c>
      <c r="AV956" s="21"/>
      <c r="AW956" s="20">
        <f>Master[[#This Row],[RSP StopTime override]]-Master[[#This Row],[Avg stop time helper]]</f>
        <v>0</v>
      </c>
    </row>
    <row r="957" spans="1:49" x14ac:dyDescent="0.3">
      <c r="A957" s="66" t="s">
        <v>4981</v>
      </c>
      <c r="B957" s="58">
        <v>52</v>
      </c>
      <c r="C957" s="58" t="s">
        <v>43</v>
      </c>
      <c r="D957" s="65">
        <v>530035</v>
      </c>
      <c r="E957" s="65" t="s">
        <v>42</v>
      </c>
      <c r="F957" s="65" t="s">
        <v>1614</v>
      </c>
      <c r="G957" s="65" t="s">
        <v>1613</v>
      </c>
      <c r="H957" s="65" t="s">
        <v>7</v>
      </c>
      <c r="I957" s="65" t="s">
        <v>1600</v>
      </c>
      <c r="J957" s="65" t="s">
        <v>5</v>
      </c>
      <c r="K957" s="65" t="s">
        <v>1599</v>
      </c>
      <c r="L957" s="64" t="s">
        <v>77</v>
      </c>
      <c r="M957" s="58" t="s">
        <v>29</v>
      </c>
      <c r="N957" s="58" t="s">
        <v>2</v>
      </c>
      <c r="O957" s="58">
        <v>60</v>
      </c>
      <c r="P957" s="58">
        <v>0</v>
      </c>
      <c r="Q957" s="58">
        <v>0</v>
      </c>
      <c r="R957" s="58">
        <v>0</v>
      </c>
      <c r="S957" s="58">
        <v>60</v>
      </c>
      <c r="T957" s="58">
        <v>0</v>
      </c>
      <c r="U957" s="58">
        <v>26</v>
      </c>
      <c r="V957" s="62"/>
      <c r="W957" s="62"/>
      <c r="X957" s="63">
        <f>IFERROR(1 -(Master[[#This Row],[Avg Garment Scans per Delivery]]/Master[[#This Row],[Garment Inventory]]), 0)</f>
        <v>0</v>
      </c>
      <c r="Y957" s="62"/>
      <c r="Z957" s="62"/>
      <c r="AA957" s="53">
        <v>69.47</v>
      </c>
      <c r="AB957" s="53">
        <v>123.98000000000002</v>
      </c>
      <c r="AC957" s="53">
        <v>101.43897959183673</v>
      </c>
      <c r="AD957" s="53">
        <v>139.58673469387756</v>
      </c>
      <c r="AE957" s="53" t="str">
        <f>_xlfn.XLOOKUP(Master[[#This Row],[cu_id]],'[1]Customer Revenue'!$Q:$Q,'[1]Customer Revenue'!$K:$K, "None")</f>
        <v>None</v>
      </c>
      <c r="AF957" s="53" t="str">
        <f>_xlfn.XLOOKUP(Master[[#This Row],[cu_id]],'[1]Customer Revenue'!$Q:$Q,'[1]Customer Revenue'!$L:$L, "None")</f>
        <v>None</v>
      </c>
      <c r="AG957" s="53">
        <v>71.502899408284023</v>
      </c>
      <c r="AH957" s="53">
        <v>129.29248520710058</v>
      </c>
      <c r="AI957" s="53">
        <v>96.725000000000009</v>
      </c>
      <c r="AJ957" s="53">
        <v>120.51285714285714</v>
      </c>
      <c r="AK957" s="53" t="str">
        <f>_xlfn.XLOOKUP(Master[[#This Row],[cu_id]],'[1]Customer Revenue'!$Q:$Q,'[1]Customer Revenue'!$I:$I, "None")</f>
        <v>None</v>
      </c>
      <c r="AL957" s="53">
        <v>100.39769230769231</v>
      </c>
      <c r="AM957" s="61">
        <v>0.33333333333333331</v>
      </c>
      <c r="AN957" s="60">
        <v>0.70833333333333337</v>
      </c>
      <c r="AO957" s="60" t="s">
        <v>36</v>
      </c>
      <c r="AP957" s="60" t="s">
        <v>36</v>
      </c>
      <c r="AQ957" s="58" t="s">
        <v>0</v>
      </c>
      <c r="AR957" s="58"/>
      <c r="AS957" s="58"/>
      <c r="AT957" s="52">
        <v>0</v>
      </c>
      <c r="AU957" s="52" t="e">
        <f>IF(Master[[#This Row],[RSP StopTime override]] &lt;&gt; "",Master[[#This Row],[RSP StopTime override]],IF(Master[[#This Row],[Avg stop time helper]] &lt;&gt; 0, Master[[#This Row],[Avg stop time helper]],Average_Stop_Time))</f>
        <v>#DIV/0!</v>
      </c>
      <c r="AV957" s="21"/>
      <c r="AW957" s="20">
        <f>Master[[#This Row],[RSP StopTime override]]-Master[[#This Row],[Avg stop time helper]]</f>
        <v>0</v>
      </c>
    </row>
    <row r="958" spans="1:49" x14ac:dyDescent="0.3">
      <c r="A958" s="66" t="s">
        <v>4982</v>
      </c>
      <c r="B958" s="58">
        <v>52</v>
      </c>
      <c r="C958" s="58" t="s">
        <v>43</v>
      </c>
      <c r="D958" s="65">
        <v>531104</v>
      </c>
      <c r="E958" s="65" t="s">
        <v>42</v>
      </c>
      <c r="F958" s="65" t="s">
        <v>1612</v>
      </c>
      <c r="G958" s="65" t="s">
        <v>1610</v>
      </c>
      <c r="H958" s="65" t="s">
        <v>7</v>
      </c>
      <c r="I958" s="65" t="s">
        <v>1600</v>
      </c>
      <c r="J958" s="65" t="s">
        <v>5</v>
      </c>
      <c r="K958" s="65" t="s">
        <v>1605</v>
      </c>
      <c r="L958" s="64" t="s">
        <v>145</v>
      </c>
      <c r="M958" s="58" t="s">
        <v>123</v>
      </c>
      <c r="N958" s="58" t="s">
        <v>144</v>
      </c>
      <c r="O958" s="58">
        <v>50</v>
      </c>
      <c r="P958" s="58">
        <v>0</v>
      </c>
      <c r="Q958" s="58">
        <v>0</v>
      </c>
      <c r="R958" s="58">
        <v>0</v>
      </c>
      <c r="S958" s="58">
        <v>50</v>
      </c>
      <c r="T958" s="58">
        <v>0</v>
      </c>
      <c r="U958" s="58">
        <v>24</v>
      </c>
      <c r="V958" s="62"/>
      <c r="W958" s="62"/>
      <c r="X958" s="63">
        <f>IFERROR(1 -(Master[[#This Row],[Avg Garment Scans per Delivery]]/Master[[#This Row],[Garment Inventory]]), 0)</f>
        <v>0</v>
      </c>
      <c r="Y958" s="62"/>
      <c r="Z958" s="62"/>
      <c r="AA958" s="53">
        <v>13.460000000000008</v>
      </c>
      <c r="AB958" s="53">
        <v>174.18</v>
      </c>
      <c r="AC958" s="53">
        <v>55.609999999999985</v>
      </c>
      <c r="AD958" s="53">
        <v>335.02499999999998</v>
      </c>
      <c r="AE958" s="53" t="str">
        <f>_xlfn.XLOOKUP(Master[[#This Row],[cu_id]],'[1]Customer Revenue'!$Q:$Q,'[1]Customer Revenue'!$K:$K, "None")</f>
        <v>None</v>
      </c>
      <c r="AF958" s="53" t="str">
        <f>_xlfn.XLOOKUP(Master[[#This Row],[cu_id]],'[1]Customer Revenue'!$Q:$Q,'[1]Customer Revenue'!$L:$L, "None")</f>
        <v>None</v>
      </c>
      <c r="AG958" s="53">
        <v>39.38432098765432</v>
      </c>
      <c r="AH958" s="53">
        <v>287.9379012345679</v>
      </c>
      <c r="AI958" s="53">
        <v>93.820000000000007</v>
      </c>
      <c r="AJ958" s="53">
        <v>195.3175</v>
      </c>
      <c r="AK958" s="53" t="str">
        <f>_xlfn.XLOOKUP(Master[[#This Row],[cu_id]],'[1]Customer Revenue'!$Q:$Q,'[1]Customer Revenue'!$I:$I, "None")</f>
        <v>None</v>
      </c>
      <c r="AL958" s="53">
        <v>163.66111111111113</v>
      </c>
      <c r="AM958" s="61">
        <v>0.33333333333333331</v>
      </c>
      <c r="AN958" s="60">
        <v>0.70833333333333337</v>
      </c>
      <c r="AO958" s="60" t="s">
        <v>36</v>
      </c>
      <c r="AP958" s="60" t="s">
        <v>36</v>
      </c>
      <c r="AQ958" s="58" t="s">
        <v>0</v>
      </c>
      <c r="AR958" s="58"/>
      <c r="AS958" s="58"/>
      <c r="AT958" s="52">
        <v>0</v>
      </c>
      <c r="AU958" s="52" t="e">
        <f>IF(Master[[#This Row],[RSP StopTime override]] &lt;&gt; "",Master[[#This Row],[RSP StopTime override]],IF(Master[[#This Row],[Avg stop time helper]] &lt;&gt; 0, Master[[#This Row],[Avg stop time helper]],Average_Stop_Time))</f>
        <v>#DIV/0!</v>
      </c>
      <c r="AV958" s="21"/>
      <c r="AW958" s="20">
        <f>Master[[#This Row],[RSP StopTime override]]-Master[[#This Row],[Avg stop time helper]]</f>
        <v>0</v>
      </c>
    </row>
    <row r="959" spans="1:49" x14ac:dyDescent="0.3">
      <c r="A959" s="66" t="s">
        <v>4983</v>
      </c>
      <c r="B959" s="58">
        <v>52</v>
      </c>
      <c r="C959" s="58" t="s">
        <v>43</v>
      </c>
      <c r="D959" s="65">
        <v>531104</v>
      </c>
      <c r="E959" s="65" t="s">
        <v>686</v>
      </c>
      <c r="F959" s="65" t="s">
        <v>1611</v>
      </c>
      <c r="G959" s="65" t="s">
        <v>1610</v>
      </c>
      <c r="H959" s="65" t="s">
        <v>7</v>
      </c>
      <c r="I959" s="65" t="s">
        <v>1600</v>
      </c>
      <c r="J959" s="65" t="s">
        <v>5</v>
      </c>
      <c r="K959" s="65" t="s">
        <v>1605</v>
      </c>
      <c r="L959" s="64" t="s">
        <v>67</v>
      </c>
      <c r="M959" s="58" t="s">
        <v>3</v>
      </c>
      <c r="N959" s="58" t="s">
        <v>2</v>
      </c>
      <c r="O959" s="58">
        <v>25</v>
      </c>
      <c r="P959" s="58">
        <v>0</v>
      </c>
      <c r="Q959" s="58">
        <v>0</v>
      </c>
      <c r="R959" s="58">
        <v>0</v>
      </c>
      <c r="S959" s="58">
        <v>25</v>
      </c>
      <c r="T959" s="58">
        <v>0</v>
      </c>
      <c r="U959" s="58">
        <v>63</v>
      </c>
      <c r="V959" s="62"/>
      <c r="W959" s="62"/>
      <c r="X959" s="63">
        <f>IFERROR(1 -(Master[[#This Row],[Avg Garment Scans per Delivery]]/Master[[#This Row],[Garment Inventory]]), 0)</f>
        <v>0</v>
      </c>
      <c r="Y959" s="62"/>
      <c r="Z959" s="62"/>
      <c r="AA959" s="53">
        <v>129.08828402366862</v>
      </c>
      <c r="AB959" s="53">
        <v>181.13940828402355</v>
      </c>
      <c r="AC959" s="53">
        <v>137.38999999999987</v>
      </c>
      <c r="AD959" s="53">
        <v>137.38999999999999</v>
      </c>
      <c r="AE959" s="53" t="str">
        <f>_xlfn.XLOOKUP(Master[[#This Row],[cu_id]],'[1]Customer Revenue'!$Q:$Q,'[1]Customer Revenue'!$K:$K, "None")</f>
        <v>None</v>
      </c>
      <c r="AF959" s="53" t="str">
        <f>_xlfn.XLOOKUP(Master[[#This Row],[cu_id]],'[1]Customer Revenue'!$Q:$Q,'[1]Customer Revenue'!$L:$L, "None")</f>
        <v>None</v>
      </c>
      <c r="AG959" s="53">
        <v>130.6089644970414</v>
      </c>
      <c r="AH959" s="53">
        <v>183.23180473372773</v>
      </c>
      <c r="AI959" s="53">
        <v>155.11384615384608</v>
      </c>
      <c r="AJ959" s="53">
        <v>137.38999999999993</v>
      </c>
      <c r="AK959" s="53" t="str">
        <f>_xlfn.XLOOKUP(Master[[#This Row],[cu_id]],'[1]Customer Revenue'!$Q:$Q,'[1]Customer Revenue'!$I:$I, "None")</f>
        <v>None</v>
      </c>
      <c r="AL959" s="53">
        <v>156.92038461538456</v>
      </c>
      <c r="AM959" s="61">
        <v>0.33333333333333331</v>
      </c>
      <c r="AN959" s="60">
        <v>0.70833333333333337</v>
      </c>
      <c r="AO959" s="60" t="s">
        <v>36</v>
      </c>
      <c r="AP959" s="60" t="s">
        <v>36</v>
      </c>
      <c r="AQ959" s="58" t="s">
        <v>0</v>
      </c>
      <c r="AR959" s="58"/>
      <c r="AS959" s="58"/>
      <c r="AT959" s="52">
        <v>0</v>
      </c>
      <c r="AU959" s="52" t="e">
        <f>IF(Master[[#This Row],[RSP StopTime override]] &lt;&gt; "",Master[[#This Row],[RSP StopTime override]],IF(Master[[#This Row],[Avg stop time helper]] &lt;&gt; 0, Master[[#This Row],[Avg stop time helper]],Average_Stop_Time))</f>
        <v>#DIV/0!</v>
      </c>
      <c r="AV959" s="21"/>
      <c r="AW959" s="20">
        <f>Master[[#This Row],[RSP StopTime override]]-Master[[#This Row],[Avg stop time helper]]</f>
        <v>0</v>
      </c>
    </row>
    <row r="960" spans="1:49" x14ac:dyDescent="0.3">
      <c r="A960" s="66" t="s">
        <v>4984</v>
      </c>
      <c r="B960" s="58">
        <v>52</v>
      </c>
      <c r="C960" s="58" t="s">
        <v>43</v>
      </c>
      <c r="D960" s="65">
        <v>532558</v>
      </c>
      <c r="E960" s="65" t="s">
        <v>42</v>
      </c>
      <c r="F960" s="65" t="s">
        <v>1609</v>
      </c>
      <c r="G960" s="65" t="s">
        <v>1608</v>
      </c>
      <c r="H960" s="65" t="s">
        <v>1607</v>
      </c>
      <c r="I960" s="65" t="s">
        <v>1606</v>
      </c>
      <c r="J960" s="65" t="s">
        <v>5</v>
      </c>
      <c r="K960" s="65" t="s">
        <v>1605</v>
      </c>
      <c r="L960" s="64" t="s">
        <v>77</v>
      </c>
      <c r="M960" s="58" t="s">
        <v>29</v>
      </c>
      <c r="N960" s="58" t="s">
        <v>2</v>
      </c>
      <c r="O960" s="58">
        <v>45</v>
      </c>
      <c r="P960" s="58">
        <v>0</v>
      </c>
      <c r="Q960" s="58">
        <v>0</v>
      </c>
      <c r="R960" s="58">
        <v>0</v>
      </c>
      <c r="S960" s="58">
        <v>45</v>
      </c>
      <c r="T960" s="58">
        <v>0</v>
      </c>
      <c r="U960" s="58">
        <v>26</v>
      </c>
      <c r="V960" s="62"/>
      <c r="W960" s="62"/>
      <c r="X960" s="63">
        <f>IFERROR(1 -(Master[[#This Row],[Avg Garment Scans per Delivery]]/Master[[#This Row],[Garment Inventory]]), 0)</f>
        <v>0</v>
      </c>
      <c r="Y960" s="62"/>
      <c r="Z960" s="62"/>
      <c r="AA960" s="53">
        <v>39.65</v>
      </c>
      <c r="AB960" s="53">
        <v>40.9</v>
      </c>
      <c r="AC960" s="53">
        <v>25.556693877551012</v>
      </c>
      <c r="AD960" s="53">
        <v>60.807306122448978</v>
      </c>
      <c r="AE960" s="53" t="str">
        <f>_xlfn.XLOOKUP(Master[[#This Row],[cu_id]],'[1]Customer Revenue'!$Q:$Q,'[1]Customer Revenue'!$K:$K, "None")</f>
        <v>None</v>
      </c>
      <c r="AF960" s="53" t="str">
        <f>_xlfn.XLOOKUP(Master[[#This Row],[cu_id]],'[1]Customer Revenue'!$Q:$Q,'[1]Customer Revenue'!$L:$L, "None")</f>
        <v>None</v>
      </c>
      <c r="AG960" s="53">
        <v>37.929585798816554</v>
      </c>
      <c r="AH960" s="53">
        <v>40.181183431952654</v>
      </c>
      <c r="AI960" s="53">
        <v>40.274999999999999</v>
      </c>
      <c r="AJ960" s="53">
        <v>43.181999999999995</v>
      </c>
      <c r="AK960" s="53" t="str">
        <f>_xlfn.XLOOKUP(Master[[#This Row],[cu_id]],'[1]Customer Revenue'!$Q:$Q,'[1]Customer Revenue'!$I:$I, "None")</f>
        <v>None</v>
      </c>
      <c r="AL960" s="53">
        <v>39.055384615384604</v>
      </c>
      <c r="AM960" s="61">
        <v>0.33333333333333331</v>
      </c>
      <c r="AN960" s="60">
        <v>0.70833333333333337</v>
      </c>
      <c r="AO960" s="60" t="s">
        <v>36</v>
      </c>
      <c r="AP960" s="60" t="s">
        <v>36</v>
      </c>
      <c r="AQ960" s="58" t="s">
        <v>0</v>
      </c>
      <c r="AR960" s="58"/>
      <c r="AS960" s="58"/>
      <c r="AT960" s="52">
        <v>0</v>
      </c>
      <c r="AU960" s="52" t="e">
        <f>IF(Master[[#This Row],[RSP StopTime override]] &lt;&gt; "",Master[[#This Row],[RSP StopTime override]],IF(Master[[#This Row],[Avg stop time helper]] &lt;&gt; 0, Master[[#This Row],[Avg stop time helper]],Average_Stop_Time))</f>
        <v>#DIV/0!</v>
      </c>
      <c r="AV960" s="21"/>
      <c r="AW960" s="20">
        <f>Master[[#This Row],[RSP StopTime override]]-Master[[#This Row],[Avg stop time helper]]</f>
        <v>0</v>
      </c>
    </row>
    <row r="961" spans="1:49" x14ac:dyDescent="0.3">
      <c r="A961" s="66" t="s">
        <v>4985</v>
      </c>
      <c r="B961" s="58">
        <v>52</v>
      </c>
      <c r="C961" s="58" t="s">
        <v>43</v>
      </c>
      <c r="D961" s="65">
        <v>533454</v>
      </c>
      <c r="E961" s="65" t="s">
        <v>42</v>
      </c>
      <c r="F961" s="65" t="s">
        <v>1604</v>
      </c>
      <c r="G961" s="65" t="s">
        <v>1603</v>
      </c>
      <c r="H961" s="65" t="s">
        <v>7</v>
      </c>
      <c r="I961" s="65" t="s">
        <v>1600</v>
      </c>
      <c r="J961" s="65" t="s">
        <v>5</v>
      </c>
      <c r="K961" s="65" t="s">
        <v>1599</v>
      </c>
      <c r="L961" s="64" t="s">
        <v>77</v>
      </c>
      <c r="M961" s="58" t="s">
        <v>29</v>
      </c>
      <c r="N961" s="58" t="s">
        <v>2</v>
      </c>
      <c r="O961" s="58">
        <v>55</v>
      </c>
      <c r="P961" s="58">
        <v>0</v>
      </c>
      <c r="Q961" s="58">
        <v>0</v>
      </c>
      <c r="R961" s="58">
        <v>0</v>
      </c>
      <c r="S961" s="58">
        <v>55</v>
      </c>
      <c r="T961" s="58">
        <v>0</v>
      </c>
      <c r="U961" s="58">
        <v>15</v>
      </c>
      <c r="V961" s="62"/>
      <c r="W961" s="62"/>
      <c r="X961" s="63">
        <f>IFERROR(1 -(Master[[#This Row],[Avg Garment Scans per Delivery]]/Master[[#This Row],[Garment Inventory]]), 0)</f>
        <v>0</v>
      </c>
      <c r="Y961" s="62"/>
      <c r="Z961" s="62"/>
      <c r="AA961" s="53">
        <v>35.634444444444441</v>
      </c>
      <c r="AB961" s="53">
        <v>63.045555555555552</v>
      </c>
      <c r="AC961" s="53">
        <v>54.496326530612237</v>
      </c>
      <c r="AD961" s="53">
        <v>56.475102040816324</v>
      </c>
      <c r="AE961" s="53" t="str">
        <f>_xlfn.XLOOKUP(Master[[#This Row],[cu_id]],'[1]Customer Revenue'!$Q:$Q,'[1]Customer Revenue'!$K:$K, "None")</f>
        <v>None</v>
      </c>
      <c r="AF961" s="53" t="str">
        <f>_xlfn.XLOOKUP(Master[[#This Row],[cu_id]],'[1]Customer Revenue'!$Q:$Q,'[1]Customer Revenue'!$L:$L, "None")</f>
        <v>None</v>
      </c>
      <c r="AG961" s="53">
        <v>38.3243047337278</v>
      </c>
      <c r="AH961" s="53">
        <v>53.210695266272182</v>
      </c>
      <c r="AI961" s="53">
        <v>49.339999999999996</v>
      </c>
      <c r="AJ961" s="53">
        <v>55.48571428571428</v>
      </c>
      <c r="AK961" s="53" t="str">
        <f>_xlfn.XLOOKUP(Master[[#This Row],[cu_id]],'[1]Customer Revenue'!$Q:$Q,'[1]Customer Revenue'!$I:$I, "None")</f>
        <v>None</v>
      </c>
      <c r="AL961" s="53">
        <v>45.767499999999991</v>
      </c>
      <c r="AM961" s="61">
        <v>0.33333333333333331</v>
      </c>
      <c r="AN961" s="60">
        <v>0.70833333333333337</v>
      </c>
      <c r="AO961" s="60" t="s">
        <v>36</v>
      </c>
      <c r="AP961" s="60" t="s">
        <v>36</v>
      </c>
      <c r="AQ961" s="58" t="s">
        <v>0</v>
      </c>
      <c r="AR961" s="58"/>
      <c r="AS961" s="58"/>
      <c r="AT961" s="52">
        <v>0</v>
      </c>
      <c r="AU961" s="52" t="e">
        <f>IF(Master[[#This Row],[RSP StopTime override]] &lt;&gt; "",Master[[#This Row],[RSP StopTime override]],IF(Master[[#This Row],[Avg stop time helper]] &lt;&gt; 0, Master[[#This Row],[Avg stop time helper]],Average_Stop_Time))</f>
        <v>#DIV/0!</v>
      </c>
      <c r="AV961" s="21"/>
      <c r="AW961" s="20">
        <f>Master[[#This Row],[RSP StopTime override]]-Master[[#This Row],[Avg stop time helper]]</f>
        <v>0</v>
      </c>
    </row>
    <row r="962" spans="1:49" x14ac:dyDescent="0.3">
      <c r="A962" s="81" t="s">
        <v>4986</v>
      </c>
      <c r="B962" s="79">
        <v>52</v>
      </c>
      <c r="C962" s="79" t="s">
        <v>43</v>
      </c>
      <c r="D962" s="80">
        <v>533647</v>
      </c>
      <c r="E962" s="80">
        <v>0</v>
      </c>
      <c r="F962" s="79" t="s">
        <v>1602</v>
      </c>
      <c r="G962" s="79" t="s">
        <v>1601</v>
      </c>
      <c r="H962" s="79" t="s">
        <v>7</v>
      </c>
      <c r="I962" s="79" t="s">
        <v>1600</v>
      </c>
      <c r="J962" s="79" t="s">
        <v>5</v>
      </c>
      <c r="K962" s="79" t="s">
        <v>1599</v>
      </c>
      <c r="L962" s="79">
        <v>6</v>
      </c>
      <c r="M962" s="79" t="s">
        <v>29</v>
      </c>
      <c r="N962" s="79" t="s">
        <v>2</v>
      </c>
      <c r="O962" s="58">
        <v>65</v>
      </c>
      <c r="P962" s="79">
        <v>0</v>
      </c>
      <c r="Q962" s="79">
        <v>0</v>
      </c>
      <c r="R962" s="79">
        <v>0</v>
      </c>
      <c r="S962" s="79">
        <v>65</v>
      </c>
      <c r="T962" s="79">
        <v>0</v>
      </c>
      <c r="U962" s="79"/>
      <c r="V962" s="79"/>
      <c r="W962" s="79"/>
      <c r="X962" s="79"/>
      <c r="Y962" s="79"/>
      <c r="Z962" s="79"/>
      <c r="AA962" s="78">
        <v>37.49</v>
      </c>
      <c r="AB962" s="78"/>
      <c r="AC962" s="78"/>
      <c r="AD962" s="78"/>
      <c r="AE962" s="53" t="str">
        <f>_xlfn.XLOOKUP(Master[[#This Row],[cu_id]],'[1]Customer Revenue'!$Q:$Q,'[1]Customer Revenue'!$K:$K, "None")</f>
        <v>None</v>
      </c>
      <c r="AF962" s="53" t="str">
        <f>_xlfn.XLOOKUP(Master[[#This Row],[cu_id]],'[1]Customer Revenue'!$Q:$Q,'[1]Customer Revenue'!$L:$L, "None")</f>
        <v>None</v>
      </c>
      <c r="AG962" s="78"/>
      <c r="AH962" s="78"/>
      <c r="AI962" s="78"/>
      <c r="AJ962" s="78"/>
      <c r="AK962" s="53" t="str">
        <f>_xlfn.XLOOKUP(Master[[#This Row],[cu_id]],'[1]Customer Revenue'!$Q:$Q,'[1]Customer Revenue'!$I:$I, "None")</f>
        <v>None</v>
      </c>
      <c r="AL962" s="78"/>
      <c r="AM962" s="77" t="s">
        <v>1</v>
      </c>
      <c r="AN962" s="77" t="s">
        <v>1</v>
      </c>
      <c r="AO962" s="77" t="s">
        <v>36</v>
      </c>
      <c r="AP962" s="77" t="s">
        <v>36</v>
      </c>
      <c r="AQ962" s="77" t="s">
        <v>0</v>
      </c>
      <c r="AR962" s="77"/>
      <c r="AS962" s="76"/>
      <c r="AT962" s="76"/>
      <c r="AU962" s="76"/>
      <c r="AV962" s="75"/>
      <c r="AW962" s="20">
        <f>Master[[#This Row],[RSP StopTime override]]-Master[[#This Row],[Avg stop time helper]]</f>
        <v>0</v>
      </c>
    </row>
    <row r="963" spans="1:49" x14ac:dyDescent="0.3">
      <c r="A963" s="66" t="s">
        <v>4987</v>
      </c>
      <c r="B963" s="58">
        <v>52</v>
      </c>
      <c r="C963" s="58" t="s">
        <v>15</v>
      </c>
      <c r="D963" s="65">
        <v>99033</v>
      </c>
      <c r="E963" s="65" t="s">
        <v>1598</v>
      </c>
      <c r="F963" s="65" t="s">
        <v>1597</v>
      </c>
      <c r="G963" s="65" t="s">
        <v>1596</v>
      </c>
      <c r="H963" s="65" t="s">
        <v>32</v>
      </c>
      <c r="I963" s="65" t="s">
        <v>12</v>
      </c>
      <c r="J963" s="65" t="s">
        <v>5</v>
      </c>
      <c r="K963" s="65" t="s">
        <v>57</v>
      </c>
      <c r="L963" s="64" t="s">
        <v>67</v>
      </c>
      <c r="M963" s="58" t="s">
        <v>3</v>
      </c>
      <c r="N963" s="58" t="s">
        <v>2</v>
      </c>
      <c r="O963" s="58">
        <v>45</v>
      </c>
      <c r="P963" s="58">
        <v>0</v>
      </c>
      <c r="Q963" s="58">
        <v>0</v>
      </c>
      <c r="R963" s="58">
        <v>0</v>
      </c>
      <c r="S963" s="58">
        <v>0</v>
      </c>
      <c r="T963" s="58">
        <v>45</v>
      </c>
      <c r="U963" s="58">
        <v>100</v>
      </c>
      <c r="V963" s="62"/>
      <c r="W963" s="62"/>
      <c r="X963" s="63">
        <f>IFERROR(1 -(Master[[#This Row],[Avg Garment Scans per Delivery]]/Master[[#This Row],[Garment Inventory]]), 0)</f>
        <v>0</v>
      </c>
      <c r="Y963" s="62"/>
      <c r="Z963" s="62"/>
      <c r="AA963" s="53">
        <v>648.74585798816577</v>
      </c>
      <c r="AB963" s="53">
        <v>917.58491124260365</v>
      </c>
      <c r="AC963" s="53">
        <v>660.9751020408163</v>
      </c>
      <c r="AD963" s="53">
        <v>927.22061224489801</v>
      </c>
      <c r="AE963" s="53" t="str">
        <f>_xlfn.XLOOKUP(Master[[#This Row],[cu_id]],'[1]Customer Revenue'!$Q:$Q,'[1]Customer Revenue'!$K:$K, "None")</f>
        <v>None</v>
      </c>
      <c r="AF963" s="53" t="str">
        <f>_xlfn.XLOOKUP(Master[[#This Row],[cu_id]],'[1]Customer Revenue'!$Q:$Q,'[1]Customer Revenue'!$L:$L, "None")</f>
        <v>None</v>
      </c>
      <c r="AG963" s="53">
        <v>655.00285714285724</v>
      </c>
      <c r="AH963" s="53">
        <v>901.25714285714298</v>
      </c>
      <c r="AI963" s="53">
        <v>783.16538461538471</v>
      </c>
      <c r="AJ963" s="53">
        <v>794.09785714285715</v>
      </c>
      <c r="AK963" s="53" t="str">
        <f>_xlfn.XLOOKUP(Master[[#This Row],[cu_id]],'[1]Customer Revenue'!$Q:$Q,'[1]Customer Revenue'!$I:$I, "None")</f>
        <v>None</v>
      </c>
      <c r="AL963" s="53">
        <v>778.13000000000011</v>
      </c>
      <c r="AM963" s="61">
        <v>0.29166666666666669</v>
      </c>
      <c r="AN963" s="60">
        <v>0.70833333333333337</v>
      </c>
      <c r="AO963" s="60" t="s">
        <v>36</v>
      </c>
      <c r="AP963" s="60" t="s">
        <v>36</v>
      </c>
      <c r="AQ963" s="58" t="s">
        <v>0</v>
      </c>
      <c r="AR963" s="58"/>
      <c r="AS963" s="58"/>
      <c r="AT963" s="52">
        <v>0</v>
      </c>
      <c r="AU963" s="52" t="e">
        <f>IF(Master[[#This Row],[RSP StopTime override]] &lt;&gt; "",Master[[#This Row],[RSP StopTime override]],IF(Master[[#This Row],[Avg stop time helper]] &lt;&gt; 0, Master[[#This Row],[Avg stop time helper]],Average_Stop_Time))</f>
        <v>#DIV/0!</v>
      </c>
      <c r="AV963" s="21"/>
      <c r="AW963" s="20">
        <f>Master[[#This Row],[RSP StopTime override]]-Master[[#This Row],[Avg stop time helper]]</f>
        <v>0</v>
      </c>
    </row>
    <row r="964" spans="1:49" x14ac:dyDescent="0.3">
      <c r="A964" s="66" t="s">
        <v>3923</v>
      </c>
      <c r="B964" s="58">
        <v>52</v>
      </c>
      <c r="C964" s="58" t="s">
        <v>15</v>
      </c>
      <c r="D964" s="65">
        <v>99061</v>
      </c>
      <c r="E964" s="65" t="s">
        <v>1585</v>
      </c>
      <c r="F964" s="65" t="s">
        <v>3717</v>
      </c>
      <c r="G964" s="65" t="s">
        <v>1583</v>
      </c>
      <c r="H964" s="65" t="s">
        <v>32</v>
      </c>
      <c r="I964" s="65" t="s">
        <v>1582</v>
      </c>
      <c r="J964" s="65" t="s">
        <v>5</v>
      </c>
      <c r="K964" s="65" t="s">
        <v>1578</v>
      </c>
      <c r="L964" s="64" t="s">
        <v>67</v>
      </c>
      <c r="M964" s="58" t="s">
        <v>3</v>
      </c>
      <c r="N964" s="58" t="s">
        <v>2</v>
      </c>
      <c r="O964" s="58">
        <v>20</v>
      </c>
      <c r="P964" s="58">
        <v>0</v>
      </c>
      <c r="Q964" s="58">
        <v>0</v>
      </c>
      <c r="R964" s="58">
        <v>0</v>
      </c>
      <c r="S964" s="58">
        <v>0</v>
      </c>
      <c r="T964" s="58">
        <v>20</v>
      </c>
      <c r="U964" s="58">
        <v>52</v>
      </c>
      <c r="V964" s="62"/>
      <c r="W964" s="62"/>
      <c r="X964" s="63">
        <f>IFERROR(1 -(Master[[#This Row],[Avg Garment Scans per Delivery]]/Master[[#This Row],[Garment Inventory]]), 0)</f>
        <v>0</v>
      </c>
      <c r="Y964" s="62"/>
      <c r="Z964" s="62"/>
      <c r="AA964" s="53">
        <v>45.699444444444445</v>
      </c>
      <c r="AB964" s="53">
        <v>51.997222222222227</v>
      </c>
      <c r="AC964" s="53">
        <v>39.924082840236693</v>
      </c>
      <c r="AD964" s="53">
        <v>65.729763313609467</v>
      </c>
      <c r="AE964" s="53" t="str">
        <f>_xlfn.XLOOKUP(Master[[#This Row],[cu_id]],'[1]Customer Revenue'!$Q:$Q,'[1]Customer Revenue'!$K:$K, "None")</f>
        <v>None</v>
      </c>
      <c r="AF964" s="53" t="str">
        <f>_xlfn.XLOOKUP(Master[[#This Row],[cu_id]],'[1]Customer Revenue'!$Q:$Q,'[1]Customer Revenue'!$L:$L, "None")</f>
        <v>None</v>
      </c>
      <c r="AG964" s="53">
        <v>33.441538461538464</v>
      </c>
      <c r="AH964" s="53">
        <v>49.205384615384624</v>
      </c>
      <c r="AI964" s="53">
        <v>48.848333333333336</v>
      </c>
      <c r="AJ964" s="53">
        <v>52.82692307692308</v>
      </c>
      <c r="AK964" s="53" t="str">
        <f>_xlfn.XLOOKUP(Master[[#This Row],[cu_id]],'[1]Customer Revenue'!$Q:$Q,'[1]Customer Revenue'!$I:$I, "None")</f>
        <v>None</v>
      </c>
      <c r="AL964" s="53">
        <v>41.323461538461544</v>
      </c>
      <c r="AM964" s="61">
        <v>0.25</v>
      </c>
      <c r="AN964" s="60">
        <v>0.70833333333333337</v>
      </c>
      <c r="AO964" s="60" t="s">
        <v>36</v>
      </c>
      <c r="AP964" s="60" t="s">
        <v>36</v>
      </c>
      <c r="AQ964" s="58" t="s">
        <v>0</v>
      </c>
      <c r="AR964" s="58"/>
      <c r="AS964" s="58"/>
      <c r="AT964" s="52">
        <v>0</v>
      </c>
      <c r="AU964" s="52" t="e">
        <f>IF(Master[[#This Row],[RSP StopTime override]] &lt;&gt; "",Master[[#This Row],[RSP StopTime override]],IF(Master[[#This Row],[Avg stop time helper]] &lt;&gt; 0, Master[[#This Row],[Avg stop time helper]],Average_Stop_Time))</f>
        <v>#DIV/0!</v>
      </c>
      <c r="AV964" s="21"/>
      <c r="AW964" s="20">
        <f>Master[[#This Row],[RSP StopTime override]]-Master[[#This Row],[Avg stop time helper]]</f>
        <v>0</v>
      </c>
    </row>
    <row r="965" spans="1:49" x14ac:dyDescent="0.3">
      <c r="A965" s="66" t="s">
        <v>3925</v>
      </c>
      <c r="B965" s="58">
        <v>52</v>
      </c>
      <c r="C965" s="58" t="s">
        <v>15</v>
      </c>
      <c r="D965" s="65">
        <v>99061</v>
      </c>
      <c r="E965" s="65" t="s">
        <v>1595</v>
      </c>
      <c r="F965" s="65" t="s">
        <v>3718</v>
      </c>
      <c r="G965" s="65" t="s">
        <v>1583</v>
      </c>
      <c r="H965" s="65" t="s">
        <v>32</v>
      </c>
      <c r="I965" s="65" t="s">
        <v>1582</v>
      </c>
      <c r="J965" s="65" t="s">
        <v>5</v>
      </c>
      <c r="K965" s="65" t="s">
        <v>1578</v>
      </c>
      <c r="L965" s="64" t="s">
        <v>67</v>
      </c>
      <c r="M965" s="58" t="s">
        <v>3</v>
      </c>
      <c r="N965" s="58" t="s">
        <v>2</v>
      </c>
      <c r="O965" s="58">
        <v>20</v>
      </c>
      <c r="P965" s="58">
        <v>0</v>
      </c>
      <c r="Q965" s="58">
        <v>0</v>
      </c>
      <c r="R965" s="58">
        <v>0</v>
      </c>
      <c r="S965" s="58">
        <v>0</v>
      </c>
      <c r="T965" s="58">
        <v>20</v>
      </c>
      <c r="U965" s="58">
        <v>52</v>
      </c>
      <c r="V965" s="62">
        <v>25</v>
      </c>
      <c r="W965" s="62">
        <v>3</v>
      </c>
      <c r="X965" s="63">
        <f>IFERROR(1 -(Master[[#This Row],[Avg Garment Scans per Delivery]]/Master[[#This Row],[Garment Inventory]]), 0)</f>
        <v>0.88</v>
      </c>
      <c r="Y965" s="62">
        <v>2</v>
      </c>
      <c r="Z965" s="62">
        <v>27</v>
      </c>
      <c r="AA965" s="53">
        <v>32.604999999999997</v>
      </c>
      <c r="AB965" s="53">
        <v>43.514999999999993</v>
      </c>
      <c r="AC965" s="53">
        <v>35.394733727810653</v>
      </c>
      <c r="AD965" s="53">
        <v>44.342189349112424</v>
      </c>
      <c r="AE965" s="53" t="str">
        <f>_xlfn.XLOOKUP(Master[[#This Row],[cu_id]],'[1]Customer Revenue'!$Q:$Q,'[1]Customer Revenue'!$K:$K, "None")</f>
        <v>None</v>
      </c>
      <c r="AF965" s="53" t="str">
        <f>_xlfn.XLOOKUP(Master[[#This Row],[cu_id]],'[1]Customer Revenue'!$Q:$Q,'[1]Customer Revenue'!$L:$L, "None")</f>
        <v>None</v>
      </c>
      <c r="AG965" s="53">
        <v>28.408846153846131</v>
      </c>
      <c r="AH965" s="53">
        <v>40.721153846153832</v>
      </c>
      <c r="AI965" s="53">
        <v>38.059999999999995</v>
      </c>
      <c r="AJ965" s="53">
        <v>39.868461538461538</v>
      </c>
      <c r="AK965" s="53" t="str">
        <f>_xlfn.XLOOKUP(Master[[#This Row],[cu_id]],'[1]Customer Revenue'!$Q:$Q,'[1]Customer Revenue'!$I:$I, "None")</f>
        <v>None</v>
      </c>
      <c r="AL965" s="53">
        <v>34.564999999999984</v>
      </c>
      <c r="AM965" s="61">
        <v>0.25</v>
      </c>
      <c r="AN965" s="60">
        <v>0.70833333333333337</v>
      </c>
      <c r="AO965" s="60" t="s">
        <v>36</v>
      </c>
      <c r="AP965" s="60" t="s">
        <v>36</v>
      </c>
      <c r="AQ965" s="58" t="s">
        <v>0</v>
      </c>
      <c r="AR965" s="58"/>
      <c r="AS965" s="58"/>
      <c r="AT965" s="52">
        <v>0</v>
      </c>
      <c r="AU965" s="52" t="e">
        <f>IF(Master[[#This Row],[RSP StopTime override]] &lt;&gt; "",Master[[#This Row],[RSP StopTime override]],IF(Master[[#This Row],[Avg stop time helper]] &lt;&gt; 0, Master[[#This Row],[Avg stop time helper]],Average_Stop_Time))</f>
        <v>#DIV/0!</v>
      </c>
      <c r="AV965" s="21"/>
      <c r="AW965" s="20">
        <f>Master[[#This Row],[RSP StopTime override]]-Master[[#This Row],[Avg stop time helper]]</f>
        <v>0</v>
      </c>
    </row>
    <row r="966" spans="1:49" x14ac:dyDescent="0.3">
      <c r="A966" s="66" t="s">
        <v>3927</v>
      </c>
      <c r="B966" s="58">
        <v>52</v>
      </c>
      <c r="C966" s="58" t="s">
        <v>15</v>
      </c>
      <c r="D966" s="65">
        <v>99061</v>
      </c>
      <c r="E966" s="65" t="s">
        <v>1594</v>
      </c>
      <c r="F966" s="65" t="s">
        <v>3719</v>
      </c>
      <c r="G966" s="65" t="s">
        <v>1583</v>
      </c>
      <c r="H966" s="65" t="s">
        <v>32</v>
      </c>
      <c r="I966" s="65" t="s">
        <v>1582</v>
      </c>
      <c r="J966" s="65" t="s">
        <v>5</v>
      </c>
      <c r="K966" s="65" t="s">
        <v>1578</v>
      </c>
      <c r="L966" s="64" t="s">
        <v>67</v>
      </c>
      <c r="M966" s="58" t="s">
        <v>3</v>
      </c>
      <c r="N966" s="58" t="s">
        <v>2</v>
      </c>
      <c r="O966" s="58">
        <v>20</v>
      </c>
      <c r="P966" s="58">
        <v>0</v>
      </c>
      <c r="Q966" s="58">
        <v>0</v>
      </c>
      <c r="R966" s="58">
        <v>0</v>
      </c>
      <c r="S966" s="58">
        <v>0</v>
      </c>
      <c r="T966" s="58">
        <v>20</v>
      </c>
      <c r="U966" s="58">
        <v>52</v>
      </c>
      <c r="V966" s="62"/>
      <c r="W966" s="62"/>
      <c r="X966" s="63">
        <f>IFERROR(1 -(Master[[#This Row],[Avg Garment Scans per Delivery]]/Master[[#This Row],[Garment Inventory]]), 0)</f>
        <v>0</v>
      </c>
      <c r="Y966" s="62"/>
      <c r="Z966" s="62"/>
      <c r="AA966" s="53">
        <v>2.2555555555555555</v>
      </c>
      <c r="AB966" s="53">
        <v>4.1911111111111108</v>
      </c>
      <c r="AC966" s="53">
        <v>2.8493491124260357</v>
      </c>
      <c r="AD966" s="53">
        <v>5.0060355029585804</v>
      </c>
      <c r="AE966" s="53" t="str">
        <f>_xlfn.XLOOKUP(Master[[#This Row],[cu_id]],'[1]Customer Revenue'!$Q:$Q,'[1]Customer Revenue'!$K:$K, "None")</f>
        <v>None</v>
      </c>
      <c r="AF966" s="53" t="str">
        <f>_xlfn.XLOOKUP(Master[[#This Row],[cu_id]],'[1]Customer Revenue'!$Q:$Q,'[1]Customer Revenue'!$L:$L, "None")</f>
        <v>None</v>
      </c>
      <c r="AG966" s="53">
        <v>2.3423372781065082</v>
      </c>
      <c r="AH966" s="53">
        <v>4.0368934911242595</v>
      </c>
      <c r="AI966" s="53">
        <v>3.2233333333333332</v>
      </c>
      <c r="AJ966" s="53">
        <v>3.927692307692308</v>
      </c>
      <c r="AK966" s="53" t="str">
        <f>_xlfn.XLOOKUP(Master[[#This Row],[cu_id]],'[1]Customer Revenue'!$Q:$Q,'[1]Customer Revenue'!$I:$I, "None")</f>
        <v>None</v>
      </c>
      <c r="AL966" s="53">
        <v>3.1896153846153839</v>
      </c>
      <c r="AM966" s="61">
        <v>0.25</v>
      </c>
      <c r="AN966" s="60">
        <v>0.70833333333333337</v>
      </c>
      <c r="AO966" s="60" t="s">
        <v>36</v>
      </c>
      <c r="AP966" s="60" t="s">
        <v>36</v>
      </c>
      <c r="AQ966" s="58" t="s">
        <v>0</v>
      </c>
      <c r="AR966" s="58"/>
      <c r="AS966" s="58"/>
      <c r="AT966" s="52">
        <v>0</v>
      </c>
      <c r="AU966" s="52" t="e">
        <f>IF(Master[[#This Row],[RSP StopTime override]] &lt;&gt; "",Master[[#This Row],[RSP StopTime override]],IF(Master[[#This Row],[Avg stop time helper]] &lt;&gt; 0, Master[[#This Row],[Avg stop time helper]],Average_Stop_Time))</f>
        <v>#DIV/0!</v>
      </c>
      <c r="AV966" s="21"/>
      <c r="AW966" s="20">
        <f>Master[[#This Row],[RSP StopTime override]]-Master[[#This Row],[Avg stop time helper]]</f>
        <v>0</v>
      </c>
    </row>
    <row r="967" spans="1:49" x14ac:dyDescent="0.3">
      <c r="A967" s="66" t="s">
        <v>3929</v>
      </c>
      <c r="B967" s="58">
        <v>52</v>
      </c>
      <c r="C967" s="58" t="s">
        <v>15</v>
      </c>
      <c r="D967" s="65">
        <v>99061</v>
      </c>
      <c r="E967" s="65" t="s">
        <v>1593</v>
      </c>
      <c r="F967" s="65" t="s">
        <v>3720</v>
      </c>
      <c r="G967" s="65" t="s">
        <v>1583</v>
      </c>
      <c r="H967" s="65" t="s">
        <v>32</v>
      </c>
      <c r="I967" s="65" t="s">
        <v>1582</v>
      </c>
      <c r="J967" s="65" t="s">
        <v>5</v>
      </c>
      <c r="K967" s="65" t="s">
        <v>1578</v>
      </c>
      <c r="L967" s="64" t="s">
        <v>67</v>
      </c>
      <c r="M967" s="58" t="s">
        <v>3</v>
      </c>
      <c r="N967" s="58" t="s">
        <v>2</v>
      </c>
      <c r="O967" s="58">
        <v>20</v>
      </c>
      <c r="P967" s="58">
        <v>0</v>
      </c>
      <c r="Q967" s="58">
        <v>0</v>
      </c>
      <c r="R967" s="58">
        <v>0</v>
      </c>
      <c r="S967" s="58">
        <v>0</v>
      </c>
      <c r="T967" s="58">
        <v>20</v>
      </c>
      <c r="U967" s="58">
        <v>52</v>
      </c>
      <c r="V967" s="62"/>
      <c r="W967" s="62"/>
      <c r="X967" s="63">
        <f>IFERROR(1 -(Master[[#This Row],[Avg Garment Scans per Delivery]]/Master[[#This Row],[Garment Inventory]]), 0)</f>
        <v>0</v>
      </c>
      <c r="Y967" s="62"/>
      <c r="Z967" s="62"/>
      <c r="AA967" s="53">
        <v>15.798333333333336</v>
      </c>
      <c r="AB967" s="53">
        <v>20.641666666666669</v>
      </c>
      <c r="AC967" s="53">
        <v>17.606390532544378</v>
      </c>
      <c r="AD967" s="53">
        <v>24.424378698224853</v>
      </c>
      <c r="AE967" s="53" t="str">
        <f>_xlfn.XLOOKUP(Master[[#This Row],[cu_id]],'[1]Customer Revenue'!$Q:$Q,'[1]Customer Revenue'!$K:$K, "None")</f>
        <v>None</v>
      </c>
      <c r="AF967" s="53" t="str">
        <f>_xlfn.XLOOKUP(Master[[#This Row],[cu_id]],'[1]Customer Revenue'!$Q:$Q,'[1]Customer Revenue'!$L:$L, "None")</f>
        <v>None</v>
      </c>
      <c r="AG967" s="53">
        <v>15.561775147928998</v>
      </c>
      <c r="AH967" s="53">
        <v>20.325147928994085</v>
      </c>
      <c r="AI967" s="53">
        <v>18.220000000000002</v>
      </c>
      <c r="AJ967" s="53">
        <v>21.015384615384615</v>
      </c>
      <c r="AK967" s="53" t="str">
        <f>_xlfn.XLOOKUP(Master[[#This Row],[cu_id]],'[1]Customer Revenue'!$Q:$Q,'[1]Customer Revenue'!$I:$I, "None")</f>
        <v>None</v>
      </c>
      <c r="AL967" s="53">
        <v>17.943461538461541</v>
      </c>
      <c r="AM967" s="61">
        <v>0.25</v>
      </c>
      <c r="AN967" s="60">
        <v>0.70833333333333337</v>
      </c>
      <c r="AO967" s="60" t="s">
        <v>36</v>
      </c>
      <c r="AP967" s="60" t="s">
        <v>36</v>
      </c>
      <c r="AQ967" s="58" t="s">
        <v>0</v>
      </c>
      <c r="AR967" s="58"/>
      <c r="AS967" s="58"/>
      <c r="AT967" s="52">
        <v>0</v>
      </c>
      <c r="AU967" s="52" t="e">
        <f>IF(Master[[#This Row],[RSP StopTime override]] &lt;&gt; "",Master[[#This Row],[RSP StopTime override]],IF(Master[[#This Row],[Avg stop time helper]] &lt;&gt; 0, Master[[#This Row],[Avg stop time helper]],Average_Stop_Time))</f>
        <v>#DIV/0!</v>
      </c>
      <c r="AV967" s="21"/>
      <c r="AW967" s="20">
        <f>Master[[#This Row],[RSP StopTime override]]-Master[[#This Row],[Avg stop time helper]]</f>
        <v>0</v>
      </c>
    </row>
    <row r="968" spans="1:49" x14ac:dyDescent="0.3">
      <c r="A968" s="66" t="s">
        <v>3931</v>
      </c>
      <c r="B968" s="58">
        <v>52</v>
      </c>
      <c r="C968" s="58" t="s">
        <v>15</v>
      </c>
      <c r="D968" s="65">
        <v>99061</v>
      </c>
      <c r="E968" s="65" t="s">
        <v>1592</v>
      </c>
      <c r="F968" s="65" t="s">
        <v>3721</v>
      </c>
      <c r="G968" s="65" t="s">
        <v>1583</v>
      </c>
      <c r="H968" s="65" t="s">
        <v>32</v>
      </c>
      <c r="I968" s="65" t="s">
        <v>1582</v>
      </c>
      <c r="J968" s="65" t="s">
        <v>5</v>
      </c>
      <c r="K968" s="65" t="s">
        <v>1578</v>
      </c>
      <c r="L968" s="64" t="s">
        <v>67</v>
      </c>
      <c r="M968" s="58" t="s">
        <v>3</v>
      </c>
      <c r="N968" s="58" t="s">
        <v>2</v>
      </c>
      <c r="O968" s="58">
        <v>20</v>
      </c>
      <c r="P968" s="58">
        <v>0</v>
      </c>
      <c r="Q968" s="58">
        <v>0</v>
      </c>
      <c r="R968" s="58">
        <v>0</v>
      </c>
      <c r="S968" s="58">
        <v>0</v>
      </c>
      <c r="T968" s="58">
        <v>20</v>
      </c>
      <c r="U968" s="58">
        <v>53</v>
      </c>
      <c r="V968" s="62"/>
      <c r="W968" s="62"/>
      <c r="X968" s="63">
        <f>IFERROR(1 -(Master[[#This Row],[Avg Garment Scans per Delivery]]/Master[[#This Row],[Garment Inventory]]), 0)</f>
        <v>0</v>
      </c>
      <c r="Y968" s="62"/>
      <c r="Z968" s="62"/>
      <c r="AA968" s="53">
        <v>31.589583333333337</v>
      </c>
      <c r="AB968" s="53">
        <v>38.295416666666668</v>
      </c>
      <c r="AC968" s="53">
        <v>33.037337278106506</v>
      </c>
      <c r="AD968" s="53">
        <v>38.145739644970405</v>
      </c>
      <c r="AE968" s="53" t="str">
        <f>_xlfn.XLOOKUP(Master[[#This Row],[cu_id]],'[1]Customer Revenue'!$Q:$Q,'[1]Customer Revenue'!$K:$K, "None")</f>
        <v>None</v>
      </c>
      <c r="AF968" s="53" t="str">
        <f>_xlfn.XLOOKUP(Master[[#This Row],[cu_id]],'[1]Customer Revenue'!$Q:$Q,'[1]Customer Revenue'!$L:$L, "None")</f>
        <v>None</v>
      </c>
      <c r="AG968" s="53">
        <v>32.336213017751469</v>
      </c>
      <c r="AH968" s="53">
        <v>37.729940828402356</v>
      </c>
      <c r="AI968" s="53">
        <v>34.942500000000003</v>
      </c>
      <c r="AJ968" s="53">
        <v>35.591538461538455</v>
      </c>
      <c r="AK968" s="53" t="str">
        <f>_xlfn.XLOOKUP(Master[[#This Row],[cu_id]],'[1]Customer Revenue'!$Q:$Q,'[1]Customer Revenue'!$I:$I, "None")</f>
        <v>None</v>
      </c>
      <c r="AL968" s="53">
        <v>35.033076923076912</v>
      </c>
      <c r="AM968" s="61">
        <v>0.25</v>
      </c>
      <c r="AN968" s="60">
        <v>0.70833333333333337</v>
      </c>
      <c r="AO968" s="60" t="s">
        <v>36</v>
      </c>
      <c r="AP968" s="60" t="s">
        <v>36</v>
      </c>
      <c r="AQ968" s="58" t="s">
        <v>0</v>
      </c>
      <c r="AR968" s="58"/>
      <c r="AS968" s="58"/>
      <c r="AT968" s="52">
        <v>0</v>
      </c>
      <c r="AU968" s="52" t="e">
        <f>IF(Master[[#This Row],[RSP StopTime override]] &lt;&gt; "",Master[[#This Row],[RSP StopTime override]],IF(Master[[#This Row],[Avg stop time helper]] &lt;&gt; 0, Master[[#This Row],[Avg stop time helper]],Average_Stop_Time))</f>
        <v>#DIV/0!</v>
      </c>
      <c r="AV968" s="21"/>
      <c r="AW968" s="20">
        <f>Master[[#This Row],[RSP StopTime override]]-Master[[#This Row],[Avg stop time helper]]</f>
        <v>0</v>
      </c>
    </row>
    <row r="969" spans="1:49" x14ac:dyDescent="0.3">
      <c r="A969" s="66" t="s">
        <v>3902</v>
      </c>
      <c r="B969" s="58">
        <v>52</v>
      </c>
      <c r="C969" s="58" t="s">
        <v>15</v>
      </c>
      <c r="D969" s="65">
        <v>99061</v>
      </c>
      <c r="E969" s="65" t="s">
        <v>1581</v>
      </c>
      <c r="F969" s="65" t="s">
        <v>3722</v>
      </c>
      <c r="G969" s="65" t="s">
        <v>1580</v>
      </c>
      <c r="H969" s="65" t="s">
        <v>32</v>
      </c>
      <c r="I969" s="65" t="s">
        <v>1591</v>
      </c>
      <c r="J969" s="65" t="s">
        <v>5</v>
      </c>
      <c r="K969" s="65" t="s">
        <v>1578</v>
      </c>
      <c r="L969" s="64" t="s">
        <v>67</v>
      </c>
      <c r="M969" s="58" t="s">
        <v>3</v>
      </c>
      <c r="N969" s="58" t="s">
        <v>2</v>
      </c>
      <c r="O969" s="58">
        <v>15</v>
      </c>
      <c r="P969" s="58">
        <v>0</v>
      </c>
      <c r="Q969" s="58">
        <v>0</v>
      </c>
      <c r="R969" s="58">
        <v>0</v>
      </c>
      <c r="S969" s="58">
        <v>0</v>
      </c>
      <c r="T969" s="58">
        <v>15</v>
      </c>
      <c r="U969" s="58">
        <v>52</v>
      </c>
      <c r="V969" s="62"/>
      <c r="W969" s="62"/>
      <c r="X969" s="63">
        <f>IFERROR(1 -(Master[[#This Row],[Avg Garment Scans per Delivery]]/Master[[#This Row],[Garment Inventory]]), 0)</f>
        <v>0</v>
      </c>
      <c r="Y969" s="62"/>
      <c r="Z969" s="62"/>
      <c r="AA969" s="53">
        <v>27.110277777777778</v>
      </c>
      <c r="AB969" s="53">
        <v>33.951388888888886</v>
      </c>
      <c r="AC969" s="53">
        <v>27.933076923076925</v>
      </c>
      <c r="AD969" s="53">
        <v>30.406923076923078</v>
      </c>
      <c r="AE969" s="53" t="str">
        <f>_xlfn.XLOOKUP(Master[[#This Row],[cu_id]],'[1]Customer Revenue'!$Q:$Q,'[1]Customer Revenue'!$K:$K, "None")</f>
        <v>None</v>
      </c>
      <c r="AF969" s="53" t="str">
        <f>_xlfn.XLOOKUP(Master[[#This Row],[cu_id]],'[1]Customer Revenue'!$Q:$Q,'[1]Customer Revenue'!$L:$L, "None")</f>
        <v>None</v>
      </c>
      <c r="AG969" s="53">
        <v>23.417337278106512</v>
      </c>
      <c r="AH969" s="53">
        <v>31.791893491124267</v>
      </c>
      <c r="AI969" s="53">
        <v>30.530833333333334</v>
      </c>
      <c r="AJ969" s="53">
        <v>29.17</v>
      </c>
      <c r="AK969" s="53" t="str">
        <f>_xlfn.XLOOKUP(Master[[#This Row],[cu_id]],'[1]Customer Revenue'!$Q:$Q,'[1]Customer Revenue'!$I:$I, "None")</f>
        <v>None</v>
      </c>
      <c r="AL969" s="53">
        <v>27.604615384615389</v>
      </c>
      <c r="AM969" s="61">
        <v>0.25</v>
      </c>
      <c r="AN969" s="60">
        <v>0.70833333333333337</v>
      </c>
      <c r="AO969" s="60" t="s">
        <v>36</v>
      </c>
      <c r="AP969" s="60" t="s">
        <v>36</v>
      </c>
      <c r="AQ969" s="58" t="s">
        <v>0</v>
      </c>
      <c r="AR969" s="58"/>
      <c r="AS969" s="58"/>
      <c r="AT969" s="52">
        <v>0</v>
      </c>
      <c r="AU969" s="52" t="e">
        <f>IF(Master[[#This Row],[RSP StopTime override]] &lt;&gt; "",Master[[#This Row],[RSP StopTime override]],IF(Master[[#This Row],[Avg stop time helper]] &lt;&gt; 0, Master[[#This Row],[Avg stop time helper]],Average_Stop_Time))</f>
        <v>#DIV/0!</v>
      </c>
      <c r="AV969" s="21"/>
      <c r="AW969" s="20">
        <f>Master[[#This Row],[RSP StopTime override]]-Master[[#This Row],[Avg stop time helper]]</f>
        <v>0</v>
      </c>
    </row>
    <row r="970" spans="1:49" x14ac:dyDescent="0.3">
      <c r="A970" s="66" t="s">
        <v>4988</v>
      </c>
      <c r="B970" s="58">
        <v>52</v>
      </c>
      <c r="C970" s="58" t="s">
        <v>15</v>
      </c>
      <c r="D970" s="65">
        <v>99094</v>
      </c>
      <c r="E970" s="65" t="s">
        <v>1590</v>
      </c>
      <c r="F970" s="65" t="s">
        <v>1589</v>
      </c>
      <c r="G970" s="65" t="s">
        <v>1588</v>
      </c>
      <c r="H970" s="65" t="s">
        <v>7</v>
      </c>
      <c r="I970" s="65" t="s">
        <v>12</v>
      </c>
      <c r="J970" s="65" t="s">
        <v>5</v>
      </c>
      <c r="K970" s="65" t="s">
        <v>1578</v>
      </c>
      <c r="L970" s="64" t="s">
        <v>77</v>
      </c>
      <c r="M970" s="58" t="s">
        <v>29</v>
      </c>
      <c r="N970" s="58" t="s">
        <v>2</v>
      </c>
      <c r="O970" s="58">
        <v>25</v>
      </c>
      <c r="P970" s="58">
        <v>0</v>
      </c>
      <c r="Q970" s="58">
        <v>0</v>
      </c>
      <c r="R970" s="58">
        <v>0</v>
      </c>
      <c r="S970" s="58">
        <v>0</v>
      </c>
      <c r="T970" s="58">
        <v>25</v>
      </c>
      <c r="U970" s="58">
        <v>19</v>
      </c>
      <c r="V970" s="62"/>
      <c r="W970" s="62"/>
      <c r="X970" s="63">
        <f>IFERROR(1 -(Master[[#This Row],[Avg Garment Scans per Delivery]]/Master[[#This Row],[Garment Inventory]]), 0)</f>
        <v>0</v>
      </c>
      <c r="Y970" s="62"/>
      <c r="Z970" s="62"/>
      <c r="AA970" s="53">
        <v>27.860000000000003</v>
      </c>
      <c r="AB970" s="53">
        <v>29.110000000000017</v>
      </c>
      <c r="AC970" s="53">
        <v>16.866666666666667</v>
      </c>
      <c r="AD970" s="53">
        <v>43.853333333333332</v>
      </c>
      <c r="AE970" s="53" t="str">
        <f>_xlfn.XLOOKUP(Master[[#This Row],[cu_id]],'[1]Customer Revenue'!$Q:$Q,'[1]Customer Revenue'!$K:$K, "None")</f>
        <v>None</v>
      </c>
      <c r="AF970" s="53" t="str">
        <f>_xlfn.XLOOKUP(Master[[#This Row],[cu_id]],'[1]Customer Revenue'!$Q:$Q,'[1]Customer Revenue'!$L:$L, "None")</f>
        <v>None</v>
      </c>
      <c r="AG970" s="53">
        <v>18.408383568303364</v>
      </c>
      <c r="AH970" s="53">
        <v>38.34102819640254</v>
      </c>
      <c r="AI970" s="53">
        <v>28.48500000000001</v>
      </c>
      <c r="AJ970" s="53">
        <v>30.36</v>
      </c>
      <c r="AK970" s="53" t="str">
        <f>_xlfn.XLOOKUP(Master[[#This Row],[cu_id]],'[1]Customer Revenue'!$Q:$Q,'[1]Customer Revenue'!$I:$I, "None")</f>
        <v>None</v>
      </c>
      <c r="AL970" s="53">
        <v>28.374705882352952</v>
      </c>
      <c r="AM970" s="61">
        <v>0.375</v>
      </c>
      <c r="AN970" s="60">
        <v>0.70833333333333337</v>
      </c>
      <c r="AO970" s="60" t="s">
        <v>36</v>
      </c>
      <c r="AP970" s="60" t="s">
        <v>36</v>
      </c>
      <c r="AQ970" s="58" t="s">
        <v>0</v>
      </c>
      <c r="AR970" s="58"/>
      <c r="AS970" s="58"/>
      <c r="AT970" s="52">
        <v>0</v>
      </c>
      <c r="AU970" s="52" t="e">
        <f>IF(Master[[#This Row],[RSP StopTime override]] &lt;&gt; "",Master[[#This Row],[RSP StopTime override]],IF(Master[[#This Row],[Avg stop time helper]] &lt;&gt; 0, Master[[#This Row],[Avg stop time helper]],Average_Stop_Time))</f>
        <v>#DIV/0!</v>
      </c>
      <c r="AV970" s="21"/>
      <c r="AW970" s="20">
        <f>Master[[#This Row],[RSP StopTime override]]-Master[[#This Row],[Avg stop time helper]]</f>
        <v>0</v>
      </c>
    </row>
    <row r="971" spans="1:49" x14ac:dyDescent="0.3">
      <c r="A971" s="66" t="s">
        <v>4989</v>
      </c>
      <c r="B971" s="58">
        <v>52</v>
      </c>
      <c r="C971" s="58" t="s">
        <v>15</v>
      </c>
      <c r="D971" s="65">
        <v>99094</v>
      </c>
      <c r="E971" s="65" t="s">
        <v>1154</v>
      </c>
      <c r="F971" s="65" t="s">
        <v>1587</v>
      </c>
      <c r="G971" s="65" t="s">
        <v>1586</v>
      </c>
      <c r="H971" s="65" t="s">
        <v>7</v>
      </c>
      <c r="I971" s="65" t="s">
        <v>12</v>
      </c>
      <c r="J971" s="65" t="s">
        <v>5</v>
      </c>
      <c r="K971" s="65" t="s">
        <v>11</v>
      </c>
      <c r="L971" s="64" t="s">
        <v>91</v>
      </c>
      <c r="M971" s="58" t="s">
        <v>90</v>
      </c>
      <c r="N971" s="58" t="s">
        <v>2</v>
      </c>
      <c r="O971" s="58">
        <v>70</v>
      </c>
      <c r="P971" s="58">
        <v>0</v>
      </c>
      <c r="Q971" s="58">
        <v>0</v>
      </c>
      <c r="R971" s="58">
        <v>0</v>
      </c>
      <c r="S971" s="58">
        <v>0</v>
      </c>
      <c r="T971" s="58">
        <v>70</v>
      </c>
      <c r="U971" s="58">
        <v>8</v>
      </c>
      <c r="V971" s="62"/>
      <c r="W971" s="62"/>
      <c r="X971" s="63">
        <f>IFERROR(1 -(Master[[#This Row],[Avg Garment Scans per Delivery]]/Master[[#This Row],[Garment Inventory]]), 0)</f>
        <v>0</v>
      </c>
      <c r="Y971" s="62"/>
      <c r="Z971" s="62"/>
      <c r="AA971" s="53">
        <v>20</v>
      </c>
      <c r="AB971" s="53">
        <v>20</v>
      </c>
      <c r="AC971" s="53">
        <v>20</v>
      </c>
      <c r="AD971" s="53">
        <v>20</v>
      </c>
      <c r="AE971" s="53" t="str">
        <f>_xlfn.XLOOKUP(Master[[#This Row],[cu_id]],'[1]Customer Revenue'!$Q:$Q,'[1]Customer Revenue'!$K:$K, "None")</f>
        <v>None</v>
      </c>
      <c r="AF971" s="53" t="str">
        <f>_xlfn.XLOOKUP(Master[[#This Row],[cu_id]],'[1]Customer Revenue'!$Q:$Q,'[1]Customer Revenue'!$L:$L, "None")</f>
        <v>None</v>
      </c>
      <c r="AG971" s="53">
        <v>20</v>
      </c>
      <c r="AH971" s="53">
        <v>20</v>
      </c>
      <c r="AI971" s="53">
        <v>20</v>
      </c>
      <c r="AJ971" s="53">
        <v>20</v>
      </c>
      <c r="AK971" s="53" t="str">
        <f>_xlfn.XLOOKUP(Master[[#This Row],[cu_id]],'[1]Customer Revenue'!$Q:$Q,'[1]Customer Revenue'!$I:$I, "None")</f>
        <v>None</v>
      </c>
      <c r="AL971" s="53">
        <v>20</v>
      </c>
      <c r="AM971" s="61">
        <v>0.375</v>
      </c>
      <c r="AN971" s="60">
        <v>0.70833333333333337</v>
      </c>
      <c r="AO971" s="60" t="s">
        <v>36</v>
      </c>
      <c r="AP971" s="60" t="s">
        <v>36</v>
      </c>
      <c r="AQ971" s="58" t="s">
        <v>0</v>
      </c>
      <c r="AR971" s="58"/>
      <c r="AS971" s="58"/>
      <c r="AT971" s="52">
        <v>0</v>
      </c>
      <c r="AU971" s="52" t="e">
        <f>IF(Master[[#This Row],[RSP StopTime override]] &lt;&gt; "",Master[[#This Row],[RSP StopTime override]],IF(Master[[#This Row],[Avg stop time helper]] &lt;&gt; 0, Master[[#This Row],[Avg stop time helper]],Average_Stop_Time))</f>
        <v>#DIV/0!</v>
      </c>
      <c r="AV971" s="21"/>
      <c r="AW971" s="20">
        <f>Master[[#This Row],[RSP StopTime override]]-Master[[#This Row],[Avg stop time helper]]</f>
        <v>0</v>
      </c>
    </row>
    <row r="972" spans="1:49" x14ac:dyDescent="0.3">
      <c r="A972" s="66" t="s">
        <v>4990</v>
      </c>
      <c r="B972" s="58">
        <v>52</v>
      </c>
      <c r="C972" s="58" t="s">
        <v>15</v>
      </c>
      <c r="D972" s="65">
        <v>99161</v>
      </c>
      <c r="E972" s="65" t="s">
        <v>1585</v>
      </c>
      <c r="F972" s="65" t="s">
        <v>1584</v>
      </c>
      <c r="G972" s="65" t="s">
        <v>1583</v>
      </c>
      <c r="H972" s="65" t="s">
        <v>7</v>
      </c>
      <c r="I972" s="65" t="s">
        <v>1582</v>
      </c>
      <c r="J972" s="65" t="s">
        <v>5</v>
      </c>
      <c r="K972" s="65" t="s">
        <v>1578</v>
      </c>
      <c r="L972" s="64" t="s">
        <v>67</v>
      </c>
      <c r="M972" s="58" t="s">
        <v>3</v>
      </c>
      <c r="N972" s="58" t="s">
        <v>2</v>
      </c>
      <c r="O972" s="58">
        <v>1</v>
      </c>
      <c r="P972" s="58">
        <v>0</v>
      </c>
      <c r="Q972" s="58">
        <v>0</v>
      </c>
      <c r="R972" s="58">
        <v>0</v>
      </c>
      <c r="S972" s="58">
        <v>0</v>
      </c>
      <c r="T972" s="58">
        <v>1</v>
      </c>
      <c r="U972" s="58">
        <v>2</v>
      </c>
      <c r="V972" s="62"/>
      <c r="W972" s="62"/>
      <c r="X972" s="63">
        <f>IFERROR(1 -(Master[[#This Row],[Avg Garment Scans per Delivery]]/Master[[#This Row],[Garment Inventory]]), 0)</f>
        <v>0</v>
      </c>
      <c r="Y972" s="62"/>
      <c r="Z972" s="62"/>
      <c r="AA972" s="53"/>
      <c r="AB972" s="53"/>
      <c r="AC972" s="53">
        <v>14.86</v>
      </c>
      <c r="AD972" s="53">
        <v>44.58</v>
      </c>
      <c r="AE972" s="53" t="str">
        <f>_xlfn.XLOOKUP(Master[[#This Row],[cu_id]],'[1]Customer Revenue'!$Q:$Q,'[1]Customer Revenue'!$K:$K, "None")</f>
        <v>None</v>
      </c>
      <c r="AF972" s="53" t="str">
        <f>_xlfn.XLOOKUP(Master[[#This Row],[cu_id]],'[1]Customer Revenue'!$Q:$Q,'[1]Customer Revenue'!$L:$L, "None")</f>
        <v>None</v>
      </c>
      <c r="AG972" s="53"/>
      <c r="AH972" s="53"/>
      <c r="AI972" s="53"/>
      <c r="AJ972" s="53">
        <v>29.72</v>
      </c>
      <c r="AK972" s="53" t="str">
        <f>_xlfn.XLOOKUP(Master[[#This Row],[cu_id]],'[1]Customer Revenue'!$Q:$Q,'[1]Customer Revenue'!$I:$I, "None")</f>
        <v>None</v>
      </c>
      <c r="AL972" s="53"/>
      <c r="AM972" s="61">
        <v>0.25</v>
      </c>
      <c r="AN972" s="60">
        <v>0.70833333333333337</v>
      </c>
      <c r="AO972" s="60" t="s">
        <v>36</v>
      </c>
      <c r="AP972" s="60" t="s">
        <v>36</v>
      </c>
      <c r="AQ972" s="58" t="s">
        <v>0</v>
      </c>
      <c r="AR972" s="58"/>
      <c r="AS972" s="58"/>
      <c r="AT972" s="52">
        <v>0</v>
      </c>
      <c r="AU972" s="52" t="e">
        <f>IF(Master[[#This Row],[RSP StopTime override]] &lt;&gt; "",Master[[#This Row],[RSP StopTime override]],IF(Master[[#This Row],[Avg stop time helper]] &lt;&gt; 0, Master[[#This Row],[Avg stop time helper]],Average_Stop_Time))</f>
        <v>#DIV/0!</v>
      </c>
      <c r="AV972" s="21"/>
      <c r="AW972" s="20">
        <f>Master[[#This Row],[RSP StopTime override]]-Master[[#This Row],[Avg stop time helper]]</f>
        <v>0</v>
      </c>
    </row>
    <row r="973" spans="1:49" x14ac:dyDescent="0.3">
      <c r="A973" s="73" t="s">
        <v>4034</v>
      </c>
      <c r="B973" s="64">
        <v>52</v>
      </c>
      <c r="C973" s="64" t="s">
        <v>15</v>
      </c>
      <c r="D973" s="65">
        <v>99161</v>
      </c>
      <c r="E973" s="65" t="s">
        <v>1581</v>
      </c>
      <c r="F973" s="65" t="s">
        <v>3723</v>
      </c>
      <c r="G973" s="65" t="s">
        <v>1580</v>
      </c>
      <c r="H973" s="65" t="s">
        <v>7</v>
      </c>
      <c r="I973" s="65" t="s">
        <v>1579</v>
      </c>
      <c r="J973" s="65" t="s">
        <v>5</v>
      </c>
      <c r="K973" s="65" t="s">
        <v>1578</v>
      </c>
      <c r="L973" s="64" t="s">
        <v>67</v>
      </c>
      <c r="M973" s="65" t="s">
        <v>3</v>
      </c>
      <c r="N973" s="65" t="s">
        <v>2</v>
      </c>
      <c r="O973" s="65">
        <v>1</v>
      </c>
      <c r="P973" s="65">
        <v>0</v>
      </c>
      <c r="Q973" s="65">
        <v>0</v>
      </c>
      <c r="R973" s="65">
        <v>0</v>
      </c>
      <c r="S973" s="65">
        <v>0</v>
      </c>
      <c r="T973" s="65">
        <v>1</v>
      </c>
      <c r="U973" s="65">
        <v>1</v>
      </c>
      <c r="V973" s="65"/>
      <c r="W973" s="65"/>
      <c r="X973" s="72">
        <f>IFERROR(1 -(Master[[#This Row],[Avg Garment Scans per Delivery]]/Master[[#This Row],[Garment Inventory]]), 0)</f>
        <v>0</v>
      </c>
      <c r="Y973" s="65"/>
      <c r="Z973" s="65"/>
      <c r="AA973" s="53"/>
      <c r="AB973" s="53"/>
      <c r="AC973" s="53">
        <v>48.44</v>
      </c>
      <c r="AD973" s="53">
        <v>48.44</v>
      </c>
      <c r="AE973" s="53" t="str">
        <f>_xlfn.XLOOKUP(Master[[#This Row],[cu_id]],'[1]Customer Revenue'!$Q:$Q,'[1]Customer Revenue'!$K:$K, "None")</f>
        <v>None</v>
      </c>
      <c r="AF973" s="53" t="str">
        <f>_xlfn.XLOOKUP(Master[[#This Row],[cu_id]],'[1]Customer Revenue'!$Q:$Q,'[1]Customer Revenue'!$L:$L, "None")</f>
        <v>None</v>
      </c>
      <c r="AG973" s="53"/>
      <c r="AH973" s="53"/>
      <c r="AI973" s="53"/>
      <c r="AJ973" s="53">
        <v>48.44</v>
      </c>
      <c r="AK973" s="53" t="str">
        <f>_xlfn.XLOOKUP(Master[[#This Row],[cu_id]],'[1]Customer Revenue'!$Q:$Q,'[1]Customer Revenue'!$I:$I, "None")</f>
        <v>None</v>
      </c>
      <c r="AL973" s="53"/>
      <c r="AM973" s="71">
        <v>0.25</v>
      </c>
      <c r="AN973" s="60">
        <v>0.70833333333333337</v>
      </c>
      <c r="AO973" s="71" t="s">
        <v>36</v>
      </c>
      <c r="AP973" s="71" t="s">
        <v>36</v>
      </c>
      <c r="AQ973" s="64" t="s">
        <v>0</v>
      </c>
      <c r="AR973" s="64"/>
      <c r="AS973" s="65"/>
      <c r="AT973" s="52">
        <v>0</v>
      </c>
      <c r="AU973" s="52" t="e">
        <f>IF(Master[[#This Row],[RSP StopTime override]] &lt;&gt; "",Master[[#This Row],[RSP StopTime override]],IF(Master[[#This Row],[Avg stop time helper]] &lt;&gt; 0, Master[[#This Row],[Avg stop time helper]],Average_Stop_Time))</f>
        <v>#DIV/0!</v>
      </c>
      <c r="AV973" s="21"/>
      <c r="AW973" s="20">
        <f>Master[[#This Row],[RSP StopTime override]]-Master[[#This Row],[Avg stop time helper]]</f>
        <v>0</v>
      </c>
    </row>
    <row r="974" spans="1:49" x14ac:dyDescent="0.3">
      <c r="A974" s="66" t="s">
        <v>4991</v>
      </c>
      <c r="B974" s="58">
        <v>52</v>
      </c>
      <c r="C974" s="58" t="s">
        <v>15</v>
      </c>
      <c r="D974" s="65">
        <v>518724</v>
      </c>
      <c r="E974" s="65" t="s">
        <v>42</v>
      </c>
      <c r="F974" s="65" t="s">
        <v>1577</v>
      </c>
      <c r="G974" s="65" t="s">
        <v>1576</v>
      </c>
      <c r="H974" s="65" t="s">
        <v>1575</v>
      </c>
      <c r="I974" s="65" t="s">
        <v>50</v>
      </c>
      <c r="J974" s="65" t="s">
        <v>5</v>
      </c>
      <c r="K974" s="65" t="s">
        <v>61</v>
      </c>
      <c r="L974" s="64" t="s">
        <v>67</v>
      </c>
      <c r="M974" s="58" t="s">
        <v>3</v>
      </c>
      <c r="N974" s="58" t="s">
        <v>2</v>
      </c>
      <c r="O974" s="58">
        <v>10</v>
      </c>
      <c r="P974" s="58">
        <v>0</v>
      </c>
      <c r="Q974" s="58">
        <v>0</v>
      </c>
      <c r="R974" s="58">
        <v>0</v>
      </c>
      <c r="S974" s="58">
        <v>0</v>
      </c>
      <c r="T974" s="58">
        <v>10</v>
      </c>
      <c r="U974" s="58">
        <v>54</v>
      </c>
      <c r="V974" s="62">
        <v>16</v>
      </c>
      <c r="W974" s="62"/>
      <c r="X974" s="63">
        <f>IFERROR(1 -(Master[[#This Row],[Avg Garment Scans per Delivery]]/Master[[#This Row],[Garment Inventory]]), 0)</f>
        <v>1</v>
      </c>
      <c r="Y974" s="62"/>
      <c r="Z974" s="62"/>
      <c r="AA974" s="53">
        <v>219.49</v>
      </c>
      <c r="AB974" s="53">
        <v>220.74</v>
      </c>
      <c r="AC974" s="53">
        <v>190.68905808477246</v>
      </c>
      <c r="AD974" s="53">
        <v>251.24171114599687</v>
      </c>
      <c r="AE974" s="53" t="str">
        <f>_xlfn.XLOOKUP(Master[[#This Row],[cu_id]],'[1]Customer Revenue'!$Q:$Q,'[1]Customer Revenue'!$K:$K, "None")</f>
        <v>None</v>
      </c>
      <c r="AF974" s="53" t="str">
        <f>_xlfn.XLOOKUP(Master[[#This Row],[cu_id]],'[1]Customer Revenue'!$Q:$Q,'[1]Customer Revenue'!$L:$L, "None")</f>
        <v>None</v>
      </c>
      <c r="AG974" s="53">
        <v>211.69852071005911</v>
      </c>
      <c r="AH974" s="53">
        <v>239.34917159763299</v>
      </c>
      <c r="AI974" s="53">
        <v>220.11500000000001</v>
      </c>
      <c r="AJ974" s="53">
        <v>220.96538461538466</v>
      </c>
      <c r="AK974" s="53" t="str">
        <f>_xlfn.XLOOKUP(Master[[#This Row],[cu_id]],'[1]Customer Revenue'!$Q:$Q,'[1]Customer Revenue'!$I:$I, "None")</f>
        <v>None</v>
      </c>
      <c r="AL974" s="53">
        <v>225.52384615384605</v>
      </c>
      <c r="AM974" s="61">
        <v>0.25</v>
      </c>
      <c r="AN974" s="60">
        <v>0.70833333333333337</v>
      </c>
      <c r="AO974" s="60" t="s">
        <v>36</v>
      </c>
      <c r="AP974" s="60" t="s">
        <v>36</v>
      </c>
      <c r="AQ974" s="58" t="s">
        <v>0</v>
      </c>
      <c r="AR974" s="58"/>
      <c r="AS974" s="58"/>
      <c r="AT974" s="52">
        <v>0</v>
      </c>
      <c r="AU974" s="52" t="e">
        <f>IF(Master[[#This Row],[RSP StopTime override]] &lt;&gt; "",Master[[#This Row],[RSP StopTime override]],IF(Master[[#This Row],[Avg stop time helper]] &lt;&gt; 0, Master[[#This Row],[Avg stop time helper]],Average_Stop_Time))</f>
        <v>#DIV/0!</v>
      </c>
      <c r="AV974" s="21"/>
      <c r="AW974" s="20">
        <f>Master[[#This Row],[RSP StopTime override]]-Master[[#This Row],[Avg stop time helper]]</f>
        <v>0</v>
      </c>
    </row>
    <row r="975" spans="1:49" x14ac:dyDescent="0.3">
      <c r="A975" s="66" t="s">
        <v>4992</v>
      </c>
      <c r="B975" s="58">
        <v>52</v>
      </c>
      <c r="C975" s="58" t="s">
        <v>15</v>
      </c>
      <c r="D975" s="65">
        <v>523413</v>
      </c>
      <c r="E975" s="65" t="s">
        <v>42</v>
      </c>
      <c r="F975" s="65" t="s">
        <v>1574</v>
      </c>
      <c r="G975" s="65" t="s">
        <v>1573</v>
      </c>
      <c r="H975" s="65" t="s">
        <v>32</v>
      </c>
      <c r="I975" s="65" t="s">
        <v>50</v>
      </c>
      <c r="J975" s="65" t="s">
        <v>5</v>
      </c>
      <c r="K975" s="65" t="s">
        <v>11</v>
      </c>
      <c r="L975" s="64" t="s">
        <v>67</v>
      </c>
      <c r="M975" s="58" t="s">
        <v>3</v>
      </c>
      <c r="N975" s="58" t="s">
        <v>2</v>
      </c>
      <c r="O975" s="58">
        <v>55</v>
      </c>
      <c r="P975" s="58">
        <v>0</v>
      </c>
      <c r="Q975" s="58">
        <v>0</v>
      </c>
      <c r="R975" s="58">
        <v>0</v>
      </c>
      <c r="S975" s="58">
        <v>0</v>
      </c>
      <c r="T975" s="58">
        <v>55</v>
      </c>
      <c r="U975" s="58">
        <v>52</v>
      </c>
      <c r="V975" s="62">
        <v>68</v>
      </c>
      <c r="W975" s="62">
        <v>20</v>
      </c>
      <c r="X975" s="63">
        <f>IFERROR(1 -(Master[[#This Row],[Avg Garment Scans per Delivery]]/Master[[#This Row],[Garment Inventory]]), 0)</f>
        <v>0.70588235294117641</v>
      </c>
      <c r="Y975" s="62">
        <v>5</v>
      </c>
      <c r="Z975" s="62">
        <v>71</v>
      </c>
      <c r="AA975" s="53">
        <v>100.57222222222222</v>
      </c>
      <c r="AB975" s="53">
        <v>105.83444444444444</v>
      </c>
      <c r="AC975" s="53">
        <v>94.704277864992221</v>
      </c>
      <c r="AD975" s="53">
        <v>123.67264521193094</v>
      </c>
      <c r="AE975" s="53" t="str">
        <f>_xlfn.XLOOKUP(Master[[#This Row],[cu_id]],'[1]Customer Revenue'!$Q:$Q,'[1]Customer Revenue'!$K:$K, "None")</f>
        <v>None</v>
      </c>
      <c r="AF975" s="53" t="str">
        <f>_xlfn.XLOOKUP(Master[[#This Row],[cu_id]],'[1]Customer Revenue'!$Q:$Q,'[1]Customer Revenue'!$L:$L, "None")</f>
        <v>None</v>
      </c>
      <c r="AG975" s="53">
        <v>101.8980177514793</v>
      </c>
      <c r="AH975" s="53">
        <v>129.41352071005917</v>
      </c>
      <c r="AI975" s="53">
        <v>103.20333333333333</v>
      </c>
      <c r="AJ975" s="53">
        <v>109.18846153846158</v>
      </c>
      <c r="AK975" s="53" t="str">
        <f>_xlfn.XLOOKUP(Master[[#This Row],[cu_id]],'[1]Customer Revenue'!$Q:$Q,'[1]Customer Revenue'!$I:$I, "None")</f>
        <v>None</v>
      </c>
      <c r="AL975" s="53">
        <v>115.65576923076924</v>
      </c>
      <c r="AM975" s="61">
        <v>0.375</v>
      </c>
      <c r="AN975" s="60">
        <v>0.70833333333333337</v>
      </c>
      <c r="AO975" s="60" t="s">
        <v>36</v>
      </c>
      <c r="AP975" s="60" t="s">
        <v>36</v>
      </c>
      <c r="AQ975" s="58" t="s">
        <v>0</v>
      </c>
      <c r="AR975" s="58"/>
      <c r="AS975" s="58"/>
      <c r="AT975" s="52">
        <v>0</v>
      </c>
      <c r="AU975" s="52" t="e">
        <f>IF(Master[[#This Row],[RSP StopTime override]] &lt;&gt; "",Master[[#This Row],[RSP StopTime override]],IF(Master[[#This Row],[Avg stop time helper]] &lt;&gt; 0, Master[[#This Row],[Avg stop time helper]],Average_Stop_Time))</f>
        <v>#DIV/0!</v>
      </c>
      <c r="AV975" s="21"/>
      <c r="AW975" s="20">
        <f>Master[[#This Row],[RSP StopTime override]]-Master[[#This Row],[Avg stop time helper]]</f>
        <v>0</v>
      </c>
    </row>
    <row r="976" spans="1:49" x14ac:dyDescent="0.3">
      <c r="A976" s="66" t="s">
        <v>4993</v>
      </c>
      <c r="B976" s="58">
        <v>52</v>
      </c>
      <c r="C976" s="58" t="s">
        <v>15</v>
      </c>
      <c r="D976" s="65">
        <v>523413</v>
      </c>
      <c r="E976" s="65" t="s">
        <v>1572</v>
      </c>
      <c r="F976" s="65" t="s">
        <v>1571</v>
      </c>
      <c r="G976" s="65" t="s">
        <v>1570</v>
      </c>
      <c r="H976" s="65" t="s">
        <v>32</v>
      </c>
      <c r="I976" s="65" t="s">
        <v>50</v>
      </c>
      <c r="J976" s="65" t="s">
        <v>5</v>
      </c>
      <c r="K976" s="65" t="s">
        <v>11</v>
      </c>
      <c r="L976" s="64" t="s">
        <v>67</v>
      </c>
      <c r="M976" s="58" t="s">
        <v>3</v>
      </c>
      <c r="N976" s="58" t="s">
        <v>2</v>
      </c>
      <c r="O976" s="58">
        <v>65</v>
      </c>
      <c r="P976" s="58">
        <v>0</v>
      </c>
      <c r="Q976" s="58">
        <v>0</v>
      </c>
      <c r="R976" s="58">
        <v>0</v>
      </c>
      <c r="S976" s="58">
        <v>0</v>
      </c>
      <c r="T976" s="58">
        <v>65</v>
      </c>
      <c r="U976" s="58">
        <v>52</v>
      </c>
      <c r="V976" s="62">
        <v>53</v>
      </c>
      <c r="W976" s="62">
        <v>7</v>
      </c>
      <c r="X976" s="63">
        <f>IFERROR(1 -(Master[[#This Row],[Avg Garment Scans per Delivery]]/Master[[#This Row],[Garment Inventory]]), 0)</f>
        <v>0.86792452830188682</v>
      </c>
      <c r="Y976" s="62">
        <v>5</v>
      </c>
      <c r="Z976" s="62">
        <v>66</v>
      </c>
      <c r="AA976" s="53">
        <v>84.669999999999987</v>
      </c>
      <c r="AB976" s="53">
        <v>89.22999999999999</v>
      </c>
      <c r="AC976" s="53">
        <v>79.816601255886965</v>
      </c>
      <c r="AD976" s="53">
        <v>104.23109105180534</v>
      </c>
      <c r="AE976" s="53" t="str">
        <f>_xlfn.XLOOKUP(Master[[#This Row],[cu_id]],'[1]Customer Revenue'!$Q:$Q,'[1]Customer Revenue'!$K:$K, "None")</f>
        <v>None</v>
      </c>
      <c r="AF976" s="53" t="str">
        <f>_xlfn.XLOOKUP(Master[[#This Row],[cu_id]],'[1]Customer Revenue'!$Q:$Q,'[1]Customer Revenue'!$L:$L, "None")</f>
        <v>None</v>
      </c>
      <c r="AG976" s="53">
        <v>84.409940828402355</v>
      </c>
      <c r="AH976" s="53">
        <v>87.214674556213012</v>
      </c>
      <c r="AI976" s="53">
        <v>86.949999999999989</v>
      </c>
      <c r="AJ976" s="53">
        <v>92.023846153846151</v>
      </c>
      <c r="AK976" s="53" t="str">
        <f>_xlfn.XLOOKUP(Master[[#This Row],[cu_id]],'[1]Customer Revenue'!$Q:$Q,'[1]Customer Revenue'!$I:$I, "None")</f>
        <v>None</v>
      </c>
      <c r="AL976" s="53">
        <v>85.812307692307684</v>
      </c>
      <c r="AM976" s="61">
        <v>0.33333333333333331</v>
      </c>
      <c r="AN976" s="60">
        <v>0.70833333333333337</v>
      </c>
      <c r="AO976" s="60" t="s">
        <v>36</v>
      </c>
      <c r="AP976" s="60" t="s">
        <v>36</v>
      </c>
      <c r="AQ976" s="58" t="s">
        <v>0</v>
      </c>
      <c r="AR976" s="58"/>
      <c r="AS976" s="58"/>
      <c r="AT976" s="52">
        <v>0</v>
      </c>
      <c r="AU976" s="52" t="e">
        <f>IF(Master[[#This Row],[RSP StopTime override]] &lt;&gt; "",Master[[#This Row],[RSP StopTime override]],IF(Master[[#This Row],[Avg stop time helper]] &lt;&gt; 0, Master[[#This Row],[Avg stop time helper]],Average_Stop_Time))</f>
        <v>#DIV/0!</v>
      </c>
      <c r="AV976" s="21"/>
      <c r="AW976" s="20">
        <f>Master[[#This Row],[RSP StopTime override]]-Master[[#This Row],[Avg stop time helper]]</f>
        <v>0</v>
      </c>
    </row>
    <row r="977" spans="1:49" x14ac:dyDescent="0.3">
      <c r="A977" s="66" t="s">
        <v>4994</v>
      </c>
      <c r="B977" s="58">
        <v>52</v>
      </c>
      <c r="C977" s="58" t="s">
        <v>15</v>
      </c>
      <c r="D977" s="65">
        <v>523413</v>
      </c>
      <c r="E977" s="65" t="s">
        <v>1569</v>
      </c>
      <c r="F977" s="65" t="s">
        <v>1568</v>
      </c>
      <c r="G977" s="65" t="s">
        <v>1566</v>
      </c>
      <c r="H977" s="65" t="s">
        <v>32</v>
      </c>
      <c r="I977" s="65" t="s">
        <v>50</v>
      </c>
      <c r="J977" s="65" t="s">
        <v>5</v>
      </c>
      <c r="K977" s="65" t="s">
        <v>11</v>
      </c>
      <c r="L977" s="64" t="s">
        <v>67</v>
      </c>
      <c r="M977" s="58" t="s">
        <v>3</v>
      </c>
      <c r="N977" s="58" t="s">
        <v>2</v>
      </c>
      <c r="O977" s="58">
        <v>65</v>
      </c>
      <c r="P977" s="58">
        <v>0</v>
      </c>
      <c r="Q977" s="58">
        <v>0</v>
      </c>
      <c r="R977" s="58">
        <v>0</v>
      </c>
      <c r="S977" s="58">
        <v>0</v>
      </c>
      <c r="T977" s="58">
        <v>65</v>
      </c>
      <c r="U977" s="58">
        <v>52</v>
      </c>
      <c r="V977" s="62">
        <v>84</v>
      </c>
      <c r="W977" s="62">
        <v>13</v>
      </c>
      <c r="X977" s="63">
        <f>IFERROR(1 -(Master[[#This Row],[Avg Garment Scans per Delivery]]/Master[[#This Row],[Garment Inventory]]), 0)</f>
        <v>0.84523809523809523</v>
      </c>
      <c r="Y977" s="62">
        <v>8</v>
      </c>
      <c r="Z977" s="62">
        <v>86</v>
      </c>
      <c r="AA977" s="53">
        <v>106.8138888888889</v>
      </c>
      <c r="AB977" s="53">
        <v>112.38277777777779</v>
      </c>
      <c r="AC977" s="53">
        <v>99.653492935635811</v>
      </c>
      <c r="AD977" s="53">
        <v>130.13573783359499</v>
      </c>
      <c r="AE977" s="53" t="str">
        <f>_xlfn.XLOOKUP(Master[[#This Row],[cu_id]],'[1]Customer Revenue'!$Q:$Q,'[1]Customer Revenue'!$K:$K, "None")</f>
        <v>None</v>
      </c>
      <c r="AF977" s="53" t="str">
        <f>_xlfn.XLOOKUP(Master[[#This Row],[cu_id]],'[1]Customer Revenue'!$Q:$Q,'[1]Customer Revenue'!$L:$L, "None")</f>
        <v>None</v>
      </c>
      <c r="AG977" s="53">
        <v>106.84272189349115</v>
      </c>
      <c r="AH977" s="53">
        <v>110.10497041420125</v>
      </c>
      <c r="AI977" s="53">
        <v>109.59833333333334</v>
      </c>
      <c r="AJ977" s="53">
        <v>114.89461538461539</v>
      </c>
      <c r="AK977" s="53" t="str">
        <f>_xlfn.XLOOKUP(Master[[#This Row],[cu_id]],'[1]Customer Revenue'!$Q:$Q,'[1]Customer Revenue'!$I:$I, "None")</f>
        <v>None</v>
      </c>
      <c r="AL977" s="53">
        <v>108.4738461538462</v>
      </c>
      <c r="AM977" s="61">
        <v>0.33333333333333331</v>
      </c>
      <c r="AN977" s="60">
        <v>0.70833333333333337</v>
      </c>
      <c r="AO977" s="60" t="s">
        <v>36</v>
      </c>
      <c r="AP977" s="60" t="s">
        <v>36</v>
      </c>
      <c r="AQ977" s="58" t="s">
        <v>0</v>
      </c>
      <c r="AR977" s="58"/>
      <c r="AS977" s="58"/>
      <c r="AT977" s="52">
        <v>0</v>
      </c>
      <c r="AU977" s="52" t="e">
        <f>IF(Master[[#This Row],[RSP StopTime override]] &lt;&gt; "",Master[[#This Row],[RSP StopTime override]],IF(Master[[#This Row],[Avg stop time helper]] &lt;&gt; 0, Master[[#This Row],[Avg stop time helper]],Average_Stop_Time))</f>
        <v>#DIV/0!</v>
      </c>
      <c r="AV977" s="21"/>
      <c r="AW977" s="20">
        <f>Master[[#This Row],[RSP StopTime override]]-Master[[#This Row],[Avg stop time helper]]</f>
        <v>0</v>
      </c>
    </row>
    <row r="978" spans="1:49" x14ac:dyDescent="0.3">
      <c r="A978" s="66" t="s">
        <v>4995</v>
      </c>
      <c r="B978" s="58">
        <v>52</v>
      </c>
      <c r="C978" s="58" t="s">
        <v>15</v>
      </c>
      <c r="D978" s="65">
        <v>523413</v>
      </c>
      <c r="E978" s="65" t="s">
        <v>1154</v>
      </c>
      <c r="F978" s="65" t="s">
        <v>1567</v>
      </c>
      <c r="G978" s="65" t="s">
        <v>1566</v>
      </c>
      <c r="H978" s="65" t="s">
        <v>32</v>
      </c>
      <c r="I978" s="65" t="s">
        <v>12</v>
      </c>
      <c r="J978" s="65" t="s">
        <v>5</v>
      </c>
      <c r="K978" s="65" t="s">
        <v>11</v>
      </c>
      <c r="L978" s="64" t="s">
        <v>67</v>
      </c>
      <c r="M978" s="58" t="s">
        <v>3</v>
      </c>
      <c r="N978" s="58" t="s">
        <v>2</v>
      </c>
      <c r="O978" s="58">
        <v>66</v>
      </c>
      <c r="P978" s="58">
        <v>0</v>
      </c>
      <c r="Q978" s="58">
        <v>0</v>
      </c>
      <c r="R978" s="58">
        <v>0</v>
      </c>
      <c r="S978" s="58">
        <v>0</v>
      </c>
      <c r="T978" s="58">
        <v>66</v>
      </c>
      <c r="U978" s="58">
        <v>52</v>
      </c>
      <c r="V978" s="62">
        <v>10</v>
      </c>
      <c r="W978" s="62">
        <v>0</v>
      </c>
      <c r="X978" s="63">
        <f>IFERROR(1 -(Master[[#This Row],[Avg Garment Scans per Delivery]]/Master[[#This Row],[Garment Inventory]]), 0)</f>
        <v>1</v>
      </c>
      <c r="Y978" s="62">
        <v>2</v>
      </c>
      <c r="Z978" s="62">
        <v>10</v>
      </c>
      <c r="AA978" s="53">
        <v>22.515000000000001</v>
      </c>
      <c r="AB978" s="53">
        <v>24.394999999999996</v>
      </c>
      <c r="AC978" s="53">
        <v>22.537676609105183</v>
      </c>
      <c r="AD978" s="53">
        <v>29.431554160125586</v>
      </c>
      <c r="AE978" s="53" t="str">
        <f>_xlfn.XLOOKUP(Master[[#This Row],[cu_id]],'[1]Customer Revenue'!$Q:$Q,'[1]Customer Revenue'!$K:$K, "None")</f>
        <v>None</v>
      </c>
      <c r="AF978" s="53" t="str">
        <f>_xlfn.XLOOKUP(Master[[#This Row],[cu_id]],'[1]Customer Revenue'!$Q:$Q,'[1]Customer Revenue'!$L:$L, "None")</f>
        <v>None</v>
      </c>
      <c r="AG978" s="53">
        <v>22.524733727810652</v>
      </c>
      <c r="AH978" s="53">
        <v>23.626035502958583</v>
      </c>
      <c r="AI978" s="53">
        <v>23.454999999999998</v>
      </c>
      <c r="AJ978" s="53">
        <v>25.984615384615385</v>
      </c>
      <c r="AK978" s="53" t="str">
        <f>_xlfn.XLOOKUP(Master[[#This Row],[cu_id]],'[1]Customer Revenue'!$Q:$Q,'[1]Customer Revenue'!$I:$I, "None")</f>
        <v>None</v>
      </c>
      <c r="AL978" s="53">
        <v>23.075384615384618</v>
      </c>
      <c r="AM978" s="61">
        <v>0.33333333333333331</v>
      </c>
      <c r="AN978" s="60">
        <v>0.70833333333333337</v>
      </c>
      <c r="AO978" s="60" t="s">
        <v>36</v>
      </c>
      <c r="AP978" s="60" t="s">
        <v>36</v>
      </c>
      <c r="AQ978" s="58" t="s">
        <v>0</v>
      </c>
      <c r="AR978" s="58"/>
      <c r="AS978" s="58"/>
      <c r="AT978" s="52">
        <v>0</v>
      </c>
      <c r="AU978" s="52" t="e">
        <f>IF(Master[[#This Row],[RSP StopTime override]] &lt;&gt; "",Master[[#This Row],[RSP StopTime override]],IF(Master[[#This Row],[Avg stop time helper]] &lt;&gt; 0, Master[[#This Row],[Avg stop time helper]],Average_Stop_Time))</f>
        <v>#DIV/0!</v>
      </c>
      <c r="AV978" s="21"/>
      <c r="AW978" s="20">
        <f>Master[[#This Row],[RSP StopTime override]]-Master[[#This Row],[Avg stop time helper]]</f>
        <v>0</v>
      </c>
    </row>
    <row r="979" spans="1:49" x14ac:dyDescent="0.3">
      <c r="A979" s="66" t="s">
        <v>4996</v>
      </c>
      <c r="B979" s="58">
        <v>52</v>
      </c>
      <c r="C979" s="58" t="s">
        <v>15</v>
      </c>
      <c r="D979" s="65">
        <v>526003</v>
      </c>
      <c r="E979" s="65" t="s">
        <v>42</v>
      </c>
      <c r="F979" s="65" t="s">
        <v>1565</v>
      </c>
      <c r="G979" s="65" t="s">
        <v>1564</v>
      </c>
      <c r="H979" s="65" t="s">
        <v>32</v>
      </c>
      <c r="I979" s="65" t="s">
        <v>50</v>
      </c>
      <c r="J979" s="65" t="s">
        <v>5</v>
      </c>
      <c r="K979" s="65" t="s">
        <v>57</v>
      </c>
      <c r="L979" s="64" t="s">
        <v>67</v>
      </c>
      <c r="M979" s="58" t="s">
        <v>3</v>
      </c>
      <c r="N979" s="58" t="s">
        <v>2</v>
      </c>
      <c r="O979" s="58">
        <v>32</v>
      </c>
      <c r="P979" s="58">
        <v>0</v>
      </c>
      <c r="Q979" s="58">
        <v>0</v>
      </c>
      <c r="R979" s="58">
        <v>0</v>
      </c>
      <c r="S979" s="58">
        <v>0</v>
      </c>
      <c r="T979" s="58">
        <v>32</v>
      </c>
      <c r="U979" s="58">
        <v>56</v>
      </c>
      <c r="V979" s="62">
        <v>66</v>
      </c>
      <c r="W979" s="62">
        <v>18</v>
      </c>
      <c r="X979" s="63">
        <f>IFERROR(1 -(Master[[#This Row],[Avg Garment Scans per Delivery]]/Master[[#This Row],[Garment Inventory]]), 0)</f>
        <v>0.72727272727272729</v>
      </c>
      <c r="Y979" s="62">
        <v>4</v>
      </c>
      <c r="Z979" s="62">
        <v>57</v>
      </c>
      <c r="AA979" s="53">
        <v>291.38211538461542</v>
      </c>
      <c r="AB979" s="53">
        <v>449.29288461538465</v>
      </c>
      <c r="AC979" s="53">
        <v>264.69576138147573</v>
      </c>
      <c r="AD979" s="53">
        <v>428.26270015698589</v>
      </c>
      <c r="AE979" s="53" t="str">
        <f>_xlfn.XLOOKUP(Master[[#This Row],[cu_id]],'[1]Customer Revenue'!$Q:$Q,'[1]Customer Revenue'!$K:$K, "None")</f>
        <v>None</v>
      </c>
      <c r="AF979" s="53" t="str">
        <f>_xlfn.XLOOKUP(Master[[#This Row],[cu_id]],'[1]Customer Revenue'!$Q:$Q,'[1]Customer Revenue'!$L:$L, "None")</f>
        <v>None</v>
      </c>
      <c r="AG979" s="53">
        <v>306.48097959183667</v>
      </c>
      <c r="AH979" s="53">
        <v>497.26302040816324</v>
      </c>
      <c r="AI979" s="53">
        <v>370.33750000000003</v>
      </c>
      <c r="AJ979" s="53">
        <v>346.47923076923081</v>
      </c>
      <c r="AK979" s="53" t="str">
        <f>_xlfn.XLOOKUP(Master[[#This Row],[cu_id]],'[1]Customer Revenue'!$Q:$Q,'[1]Customer Revenue'!$I:$I, "None")</f>
        <v>None</v>
      </c>
      <c r="AL979" s="53">
        <v>401.87199999999996</v>
      </c>
      <c r="AM979" s="61" t="s">
        <v>36</v>
      </c>
      <c r="AN979" s="60" t="s">
        <v>36</v>
      </c>
      <c r="AO979" s="60" t="s">
        <v>36</v>
      </c>
      <c r="AP979" s="60" t="s">
        <v>36</v>
      </c>
      <c r="AQ979" s="58" t="s">
        <v>0</v>
      </c>
      <c r="AR979" s="58"/>
      <c r="AS979" s="58"/>
      <c r="AT979" s="52">
        <v>0</v>
      </c>
      <c r="AU979" s="52" t="e">
        <f>IF(Master[[#This Row],[RSP StopTime override]] &lt;&gt; "",Master[[#This Row],[RSP StopTime override]],IF(Master[[#This Row],[Avg stop time helper]] &lt;&gt; 0, Master[[#This Row],[Avg stop time helper]],Average_Stop_Time))</f>
        <v>#DIV/0!</v>
      </c>
      <c r="AV979" s="21"/>
      <c r="AW979" s="20">
        <f>Master[[#This Row],[RSP StopTime override]]-Master[[#This Row],[Avg stop time helper]]</f>
        <v>0</v>
      </c>
    </row>
    <row r="980" spans="1:49" x14ac:dyDescent="0.3">
      <c r="A980" s="66" t="s">
        <v>4997</v>
      </c>
      <c r="B980" s="58">
        <v>52</v>
      </c>
      <c r="C980" s="58" t="s">
        <v>15</v>
      </c>
      <c r="D980" s="65">
        <v>526072</v>
      </c>
      <c r="E980" s="65" t="s">
        <v>42</v>
      </c>
      <c r="F980" s="65" t="s">
        <v>1563</v>
      </c>
      <c r="G980" s="65" t="s">
        <v>1562</v>
      </c>
      <c r="H980" s="65" t="s">
        <v>32</v>
      </c>
      <c r="I980" s="65" t="s">
        <v>50</v>
      </c>
      <c r="J980" s="65" t="s">
        <v>5</v>
      </c>
      <c r="K980" s="65" t="s">
        <v>61</v>
      </c>
      <c r="L980" s="64" t="s">
        <v>67</v>
      </c>
      <c r="M980" s="58" t="s">
        <v>3</v>
      </c>
      <c r="N980" s="58" t="s">
        <v>2</v>
      </c>
      <c r="O980" s="58">
        <v>30</v>
      </c>
      <c r="P980" s="58">
        <v>0</v>
      </c>
      <c r="Q980" s="58">
        <v>0</v>
      </c>
      <c r="R980" s="58">
        <v>0</v>
      </c>
      <c r="S980" s="58">
        <v>0</v>
      </c>
      <c r="T980" s="58">
        <v>30</v>
      </c>
      <c r="U980" s="58">
        <v>52</v>
      </c>
      <c r="V980" s="62"/>
      <c r="W980" s="62"/>
      <c r="X980" s="63">
        <f>IFERROR(1 -(Master[[#This Row],[Avg Garment Scans per Delivery]]/Master[[#This Row],[Garment Inventory]]), 0)</f>
        <v>0</v>
      </c>
      <c r="Y980" s="62"/>
      <c r="Z980" s="62"/>
      <c r="AA980" s="53">
        <v>149.13611111111118</v>
      </c>
      <c r="AB980" s="53">
        <v>288.40722222222229</v>
      </c>
      <c r="AC980" s="53">
        <v>140.54029585798821</v>
      </c>
      <c r="AD980" s="53">
        <v>338.65816568047342</v>
      </c>
      <c r="AE980" s="53" t="str">
        <f>_xlfn.XLOOKUP(Master[[#This Row],[cu_id]],'[1]Customer Revenue'!$Q:$Q,'[1]Customer Revenue'!$K:$K, "None")</f>
        <v>None</v>
      </c>
      <c r="AF980" s="53" t="str">
        <f>_xlfn.XLOOKUP(Master[[#This Row],[cu_id]],'[1]Customer Revenue'!$Q:$Q,'[1]Customer Revenue'!$L:$L, "None")</f>
        <v>None</v>
      </c>
      <c r="AG980" s="53">
        <v>154.06863905325446</v>
      </c>
      <c r="AH980" s="53">
        <v>334.23905325443786</v>
      </c>
      <c r="AI980" s="53">
        <v>218.77166666666673</v>
      </c>
      <c r="AJ980" s="53">
        <v>239.59923076923081</v>
      </c>
      <c r="AK980" s="53" t="str">
        <f>_xlfn.XLOOKUP(Master[[#This Row],[cu_id]],'[1]Customer Revenue'!$Q:$Q,'[1]Customer Revenue'!$I:$I, "None")</f>
        <v>None</v>
      </c>
      <c r="AL980" s="53">
        <v>244.15384615384616</v>
      </c>
      <c r="AM980" s="61">
        <v>0.33333333333333331</v>
      </c>
      <c r="AN980" s="60">
        <v>0.70833333333333337</v>
      </c>
      <c r="AO980" s="60" t="s">
        <v>36</v>
      </c>
      <c r="AP980" s="60" t="s">
        <v>36</v>
      </c>
      <c r="AQ980" s="58" t="s">
        <v>0</v>
      </c>
      <c r="AR980" s="58"/>
      <c r="AS980" s="58"/>
      <c r="AT980" s="52">
        <v>0</v>
      </c>
      <c r="AU980" s="52" t="e">
        <f>IF(Master[[#This Row],[RSP StopTime override]] &lt;&gt; "",Master[[#This Row],[RSP StopTime override]],IF(Master[[#This Row],[Avg stop time helper]] &lt;&gt; 0, Master[[#This Row],[Avg stop time helper]],Average_Stop_Time))</f>
        <v>#DIV/0!</v>
      </c>
      <c r="AV980" s="21"/>
      <c r="AW980" s="20">
        <f>Master[[#This Row],[RSP StopTime override]]-Master[[#This Row],[Avg stop time helper]]</f>
        <v>0</v>
      </c>
    </row>
    <row r="981" spans="1:49" x14ac:dyDescent="0.3">
      <c r="A981" s="66" t="s">
        <v>4998</v>
      </c>
      <c r="B981" s="58">
        <v>52</v>
      </c>
      <c r="C981" s="58" t="s">
        <v>15</v>
      </c>
      <c r="D981" s="65">
        <v>527714</v>
      </c>
      <c r="E981" s="65" t="s">
        <v>42</v>
      </c>
      <c r="F981" s="65" t="s">
        <v>1561</v>
      </c>
      <c r="G981" s="65" t="s">
        <v>1560</v>
      </c>
      <c r="H981" s="65" t="s">
        <v>32</v>
      </c>
      <c r="I981" s="65" t="s">
        <v>1559</v>
      </c>
      <c r="J981" s="65" t="s">
        <v>5</v>
      </c>
      <c r="K981" s="65" t="s">
        <v>57</v>
      </c>
      <c r="L981" s="64" t="s">
        <v>91</v>
      </c>
      <c r="M981" s="58" t="s">
        <v>90</v>
      </c>
      <c r="N981" s="58" t="s">
        <v>2</v>
      </c>
      <c r="O981" s="58">
        <v>35</v>
      </c>
      <c r="P981" s="58">
        <v>0</v>
      </c>
      <c r="Q981" s="58">
        <v>0</v>
      </c>
      <c r="R981" s="58">
        <v>0</v>
      </c>
      <c r="S981" s="58">
        <v>0</v>
      </c>
      <c r="T981" s="58">
        <v>35</v>
      </c>
      <c r="U981" s="58">
        <v>18</v>
      </c>
      <c r="V981" s="62"/>
      <c r="W981" s="62"/>
      <c r="X981" s="63">
        <f>IFERROR(1 -(Master[[#This Row],[Avg Garment Scans per Delivery]]/Master[[#This Row],[Garment Inventory]]), 0)</f>
        <v>0</v>
      </c>
      <c r="Y981" s="62"/>
      <c r="Z981" s="62"/>
      <c r="AA981" s="53">
        <v>45.820850340136062</v>
      </c>
      <c r="AB981" s="53">
        <v>75.542482993197282</v>
      </c>
      <c r="AC981" s="53">
        <v>46.525555555555556</v>
      </c>
      <c r="AD981" s="53">
        <v>82.314444444444447</v>
      </c>
      <c r="AE981" s="53" t="str">
        <f>_xlfn.XLOOKUP(Master[[#This Row],[cu_id]],'[1]Customer Revenue'!$Q:$Q,'[1]Customer Revenue'!$K:$K, "None")</f>
        <v>None</v>
      </c>
      <c r="AF981" s="53" t="str">
        <f>_xlfn.XLOOKUP(Master[[#This Row],[cu_id]],'[1]Customer Revenue'!$Q:$Q,'[1]Customer Revenue'!$L:$L, "None")</f>
        <v>None</v>
      </c>
      <c r="AG981" s="53">
        <v>44.562976190476213</v>
      </c>
      <c r="AH981" s="53">
        <v>73.468690476190474</v>
      </c>
      <c r="AI981" s="53">
        <v>60.681666666666672</v>
      </c>
      <c r="AJ981" s="53">
        <v>64.42</v>
      </c>
      <c r="AK981" s="53" t="str">
        <f>_xlfn.XLOOKUP(Master[[#This Row],[cu_id]],'[1]Customer Revenue'!$Q:$Q,'[1]Customer Revenue'!$I:$I, "None")</f>
        <v>None</v>
      </c>
      <c r="AL981" s="53">
        <v>59.015833333333347</v>
      </c>
      <c r="AM981" s="61">
        <v>0.33333333333333331</v>
      </c>
      <c r="AN981" s="60">
        <v>0.70833333333333337</v>
      </c>
      <c r="AO981" s="60" t="s">
        <v>36</v>
      </c>
      <c r="AP981" s="60" t="s">
        <v>36</v>
      </c>
      <c r="AQ981" s="58" t="s">
        <v>0</v>
      </c>
      <c r="AR981" s="58"/>
      <c r="AS981" s="58"/>
      <c r="AT981" s="52">
        <v>0</v>
      </c>
      <c r="AU981" s="52" t="e">
        <f>IF(Master[[#This Row],[RSP StopTime override]] &lt;&gt; "",Master[[#This Row],[RSP StopTime override]],IF(Master[[#This Row],[Avg stop time helper]] &lt;&gt; 0, Master[[#This Row],[Avg stop time helper]],Average_Stop_Time))</f>
        <v>#DIV/0!</v>
      </c>
      <c r="AV981" s="21"/>
      <c r="AW981" s="20">
        <f>Master[[#This Row],[RSP StopTime override]]-Master[[#This Row],[Avg stop time helper]]</f>
        <v>0</v>
      </c>
    </row>
    <row r="982" spans="1:49" x14ac:dyDescent="0.3">
      <c r="A982" s="66" t="s">
        <v>4999</v>
      </c>
      <c r="B982" s="58">
        <v>52</v>
      </c>
      <c r="C982" s="58" t="s">
        <v>15</v>
      </c>
      <c r="D982" s="65">
        <v>528843</v>
      </c>
      <c r="E982" s="65" t="s">
        <v>42</v>
      </c>
      <c r="F982" s="65" t="s">
        <v>1558</v>
      </c>
      <c r="G982" s="65" t="s">
        <v>1557</v>
      </c>
      <c r="H982" s="65" t="s">
        <v>32</v>
      </c>
      <c r="I982" s="65" t="s">
        <v>50</v>
      </c>
      <c r="J982" s="65" t="s">
        <v>5</v>
      </c>
      <c r="K982" s="65" t="s">
        <v>1556</v>
      </c>
      <c r="L982" s="64" t="s">
        <v>194</v>
      </c>
      <c r="M982" s="58" t="s">
        <v>193</v>
      </c>
      <c r="N982" s="58" t="s">
        <v>2</v>
      </c>
      <c r="O982" s="58">
        <v>85</v>
      </c>
      <c r="P982" s="58">
        <v>0</v>
      </c>
      <c r="Q982" s="58">
        <v>0</v>
      </c>
      <c r="R982" s="58">
        <v>0</v>
      </c>
      <c r="S982" s="58">
        <v>0</v>
      </c>
      <c r="T982" s="58">
        <v>85</v>
      </c>
      <c r="U982" s="58">
        <v>8</v>
      </c>
      <c r="V982" s="62"/>
      <c r="W982" s="62"/>
      <c r="X982" s="63">
        <f>IFERROR(1 -(Master[[#This Row],[Avg Garment Scans per Delivery]]/Master[[#This Row],[Garment Inventory]]), 0)</f>
        <v>0</v>
      </c>
      <c r="Y982" s="62"/>
      <c r="Z982" s="62"/>
      <c r="AA982" s="53">
        <v>19.466666666666669</v>
      </c>
      <c r="AB982" s="53">
        <v>50.61333333333333</v>
      </c>
      <c r="AC982" s="53">
        <v>23.764583333333334</v>
      </c>
      <c r="AD982" s="53">
        <v>52.282083333333333</v>
      </c>
      <c r="AE982" s="53" t="str">
        <f>_xlfn.XLOOKUP(Master[[#This Row],[cu_id]],'[1]Customer Revenue'!$Q:$Q,'[1]Customer Revenue'!$K:$K, "None")</f>
        <v>None</v>
      </c>
      <c r="AF982" s="53" t="str">
        <f>_xlfn.XLOOKUP(Master[[#This Row],[cu_id]],'[1]Customer Revenue'!$Q:$Q,'[1]Customer Revenue'!$L:$L, "None")</f>
        <v>None</v>
      </c>
      <c r="AG982" s="53">
        <v>19.466666666666669</v>
      </c>
      <c r="AH982" s="53">
        <v>50.61333333333333</v>
      </c>
      <c r="AI982" s="53">
        <v>35.04</v>
      </c>
      <c r="AJ982" s="53">
        <v>38.023333333333333</v>
      </c>
      <c r="AK982" s="53" t="str">
        <f>_xlfn.XLOOKUP(Master[[#This Row],[cu_id]],'[1]Customer Revenue'!$Q:$Q,'[1]Customer Revenue'!$I:$I, "None")</f>
        <v>None</v>
      </c>
      <c r="AL982" s="53">
        <v>35.04</v>
      </c>
      <c r="AM982" s="61">
        <v>0.4375</v>
      </c>
      <c r="AN982" s="60">
        <v>0.70833333333333337</v>
      </c>
      <c r="AO982" s="60" t="s">
        <v>36</v>
      </c>
      <c r="AP982" s="60" t="s">
        <v>36</v>
      </c>
      <c r="AQ982" s="58" t="s">
        <v>0</v>
      </c>
      <c r="AR982" s="58"/>
      <c r="AS982" s="58"/>
      <c r="AT982" s="52">
        <v>0</v>
      </c>
      <c r="AU982" s="52" t="e">
        <f>IF(Master[[#This Row],[RSP StopTime override]] &lt;&gt; "",Master[[#This Row],[RSP StopTime override]],IF(Master[[#This Row],[Avg stop time helper]] &lt;&gt; 0, Master[[#This Row],[Avg stop time helper]],Average_Stop_Time))</f>
        <v>#DIV/0!</v>
      </c>
      <c r="AV982" s="21"/>
      <c r="AW982" s="20">
        <f>Master[[#This Row],[RSP StopTime override]]-Master[[#This Row],[Avg stop time helper]]</f>
        <v>0</v>
      </c>
    </row>
    <row r="983" spans="1:49" x14ac:dyDescent="0.3">
      <c r="A983" s="66" t="s">
        <v>5000</v>
      </c>
      <c r="B983" s="58">
        <v>52</v>
      </c>
      <c r="C983" s="58" t="s">
        <v>15</v>
      </c>
      <c r="D983" s="65">
        <v>530307</v>
      </c>
      <c r="E983" s="65" t="s">
        <v>42</v>
      </c>
      <c r="F983" s="65" t="s">
        <v>1555</v>
      </c>
      <c r="G983" s="65" t="s">
        <v>1554</v>
      </c>
      <c r="H983" s="65" t="s">
        <v>7</v>
      </c>
      <c r="I983" s="65" t="s">
        <v>12</v>
      </c>
      <c r="J983" s="65" t="s">
        <v>5</v>
      </c>
      <c r="K983" s="65" t="s">
        <v>57</v>
      </c>
      <c r="L983" s="64" t="s">
        <v>67</v>
      </c>
      <c r="M983" s="58" t="s">
        <v>3</v>
      </c>
      <c r="N983" s="58" t="s">
        <v>2</v>
      </c>
      <c r="O983" s="58">
        <v>50</v>
      </c>
      <c r="P983" s="58">
        <v>0</v>
      </c>
      <c r="Q983" s="58">
        <v>0</v>
      </c>
      <c r="R983" s="58">
        <v>0</v>
      </c>
      <c r="S983" s="58">
        <v>0</v>
      </c>
      <c r="T983" s="58">
        <v>50</v>
      </c>
      <c r="U983" s="58">
        <v>54</v>
      </c>
      <c r="V983" s="62">
        <v>111</v>
      </c>
      <c r="W983" s="62">
        <v>27</v>
      </c>
      <c r="X983" s="63">
        <f>IFERROR(1 -(Master[[#This Row],[Avg Garment Scans per Delivery]]/Master[[#This Row],[Garment Inventory]]), 0)</f>
        <v>0.7567567567567568</v>
      </c>
      <c r="Y983" s="62">
        <v>3</v>
      </c>
      <c r="Z983" s="62">
        <v>99</v>
      </c>
      <c r="AA983" s="53">
        <v>462.81083333333328</v>
      </c>
      <c r="AB983" s="53">
        <v>684.59416666666675</v>
      </c>
      <c r="AC983" s="53">
        <v>628.90887573964494</v>
      </c>
      <c r="AD983" s="53">
        <v>709.23881656804713</v>
      </c>
      <c r="AE983" s="53" t="str">
        <f>_xlfn.XLOOKUP(Master[[#This Row],[cu_id]],'[1]Customer Revenue'!$Q:$Q,'[1]Customer Revenue'!$K:$K, "None")</f>
        <v>None</v>
      </c>
      <c r="AF983" s="53" t="str">
        <f>_xlfn.XLOOKUP(Master[[#This Row],[cu_id]],'[1]Customer Revenue'!$Q:$Q,'[1]Customer Revenue'!$L:$L, "None")</f>
        <v>None</v>
      </c>
      <c r="AG983" s="53">
        <v>495.8328492935633</v>
      </c>
      <c r="AH983" s="53">
        <v>778.09407378335948</v>
      </c>
      <c r="AI983" s="53">
        <v>573.70249999999999</v>
      </c>
      <c r="AJ983" s="53">
        <v>669.07384615384603</v>
      </c>
      <c r="AK983" s="53" t="str">
        <f>_xlfn.XLOOKUP(Master[[#This Row],[cu_id]],'[1]Customer Revenue'!$Q:$Q,'[1]Customer Revenue'!$I:$I, "None")</f>
        <v>None</v>
      </c>
      <c r="AL983" s="53">
        <v>636.96346153846139</v>
      </c>
      <c r="AM983" s="61">
        <v>0.375</v>
      </c>
      <c r="AN983" s="60">
        <v>0.70833333333333337</v>
      </c>
      <c r="AO983" s="60" t="s">
        <v>36</v>
      </c>
      <c r="AP983" s="60" t="s">
        <v>36</v>
      </c>
      <c r="AQ983" s="58" t="s">
        <v>0</v>
      </c>
      <c r="AR983" s="58"/>
      <c r="AS983" s="58"/>
      <c r="AT983" s="52">
        <v>0</v>
      </c>
      <c r="AU983" s="52" t="e">
        <f>IF(Master[[#This Row],[RSP StopTime override]] &lt;&gt; "",Master[[#This Row],[RSP StopTime override]],IF(Master[[#This Row],[Avg stop time helper]] &lt;&gt; 0, Master[[#This Row],[Avg stop time helper]],Average_Stop_Time))</f>
        <v>#DIV/0!</v>
      </c>
      <c r="AV983" s="21"/>
      <c r="AW983" s="20">
        <f>Master[[#This Row],[RSP StopTime override]]-Master[[#This Row],[Avg stop time helper]]</f>
        <v>0</v>
      </c>
    </row>
    <row r="984" spans="1:49" x14ac:dyDescent="0.3">
      <c r="A984" s="66" t="s">
        <v>5001</v>
      </c>
      <c r="B984" s="58">
        <v>52</v>
      </c>
      <c r="C984" s="58" t="s">
        <v>15</v>
      </c>
      <c r="D984" s="65">
        <v>530559</v>
      </c>
      <c r="E984" s="65" t="s">
        <v>1455</v>
      </c>
      <c r="F984" s="65" t="s">
        <v>1553</v>
      </c>
      <c r="G984" s="65" t="s">
        <v>1552</v>
      </c>
      <c r="H984" s="65" t="s">
        <v>7</v>
      </c>
      <c r="I984" s="65" t="s">
        <v>12</v>
      </c>
      <c r="J984" s="65" t="s">
        <v>5</v>
      </c>
      <c r="K984" s="65" t="s">
        <v>57</v>
      </c>
      <c r="L984" s="64" t="s">
        <v>67</v>
      </c>
      <c r="M984" s="58" t="s">
        <v>3</v>
      </c>
      <c r="N984" s="58" t="s">
        <v>2</v>
      </c>
      <c r="O984" s="58">
        <v>48</v>
      </c>
      <c r="P984" s="58">
        <v>0</v>
      </c>
      <c r="Q984" s="58">
        <v>0</v>
      </c>
      <c r="R984" s="58">
        <v>0</v>
      </c>
      <c r="S984" s="58">
        <v>0</v>
      </c>
      <c r="T984" s="58">
        <v>48</v>
      </c>
      <c r="U984" s="58">
        <v>42</v>
      </c>
      <c r="V984" s="62"/>
      <c r="W984" s="62"/>
      <c r="X984" s="63">
        <f>IFERROR(1 -(Master[[#This Row],[Avg Garment Scans per Delivery]]/Master[[#This Row],[Garment Inventory]]), 0)</f>
        <v>0</v>
      </c>
      <c r="Y984" s="62"/>
      <c r="Z984" s="62"/>
      <c r="AA984" s="53">
        <v>89.700416666666655</v>
      </c>
      <c r="AB984" s="53">
        <v>117.63124999999997</v>
      </c>
      <c r="AC984" s="53">
        <v>100.21165680473372</v>
      </c>
      <c r="AD984" s="53">
        <v>134.20218934911242</v>
      </c>
      <c r="AE984" s="53" t="str">
        <f>_xlfn.XLOOKUP(Master[[#This Row],[cu_id]],'[1]Customer Revenue'!$Q:$Q,'[1]Customer Revenue'!$K:$K, "None")</f>
        <v>None</v>
      </c>
      <c r="AF984" s="53" t="str">
        <f>_xlfn.XLOOKUP(Master[[#This Row],[cu_id]],'[1]Customer Revenue'!$Q:$Q,'[1]Customer Revenue'!$L:$L, "None")</f>
        <v>None</v>
      </c>
      <c r="AG984" s="53">
        <v>75.965521978021997</v>
      </c>
      <c r="AH984" s="53">
        <v>114.02909340659343</v>
      </c>
      <c r="AI984" s="53">
        <v>103.66583333333331</v>
      </c>
      <c r="AJ984" s="53">
        <v>117.20692307692306</v>
      </c>
      <c r="AK984" s="53" t="str">
        <f>_xlfn.XLOOKUP(Master[[#This Row],[cu_id]],'[1]Customer Revenue'!$Q:$Q,'[1]Customer Revenue'!$I:$I, "None")</f>
        <v>None</v>
      </c>
      <c r="AL984" s="53">
        <v>94.997307692307714</v>
      </c>
      <c r="AM984" s="61">
        <v>0.39583333333333331</v>
      </c>
      <c r="AN984" s="60">
        <v>0.70833333333333337</v>
      </c>
      <c r="AO984" s="60" t="s">
        <v>36</v>
      </c>
      <c r="AP984" s="60" t="s">
        <v>36</v>
      </c>
      <c r="AQ984" s="58" t="s">
        <v>0</v>
      </c>
      <c r="AR984" s="58"/>
      <c r="AS984" s="58"/>
      <c r="AT984" s="52">
        <v>0</v>
      </c>
      <c r="AU984" s="52" t="e">
        <f>IF(Master[[#This Row],[RSP StopTime override]] &lt;&gt; "",Master[[#This Row],[RSP StopTime override]],IF(Master[[#This Row],[Avg stop time helper]] &lt;&gt; 0, Master[[#This Row],[Avg stop time helper]],Average_Stop_Time))</f>
        <v>#DIV/0!</v>
      </c>
      <c r="AV984" s="21"/>
      <c r="AW984" s="20">
        <f>Master[[#This Row],[RSP StopTime override]]-Master[[#This Row],[Avg stop time helper]]</f>
        <v>0</v>
      </c>
    </row>
    <row r="985" spans="1:49" x14ac:dyDescent="0.3">
      <c r="A985" s="66" t="s">
        <v>5002</v>
      </c>
      <c r="B985" s="58">
        <v>52</v>
      </c>
      <c r="C985" s="58" t="s">
        <v>15</v>
      </c>
      <c r="D985" s="65">
        <v>531588</v>
      </c>
      <c r="E985" s="65" t="s">
        <v>42</v>
      </c>
      <c r="F985" s="65" t="s">
        <v>1551</v>
      </c>
      <c r="G985" s="65" t="s">
        <v>1550</v>
      </c>
      <c r="H985" s="65" t="s">
        <v>7</v>
      </c>
      <c r="I985" s="65" t="s">
        <v>12</v>
      </c>
      <c r="J985" s="65" t="s">
        <v>5</v>
      </c>
      <c r="K985" s="65" t="s">
        <v>61</v>
      </c>
      <c r="L985" s="64" t="s">
        <v>67</v>
      </c>
      <c r="M985" s="58" t="s">
        <v>3</v>
      </c>
      <c r="N985" s="58" t="s">
        <v>2</v>
      </c>
      <c r="O985" s="58">
        <v>5</v>
      </c>
      <c r="P985" s="58">
        <v>0</v>
      </c>
      <c r="Q985" s="58">
        <v>0</v>
      </c>
      <c r="R985" s="58">
        <v>0</v>
      </c>
      <c r="S985" s="58">
        <v>0</v>
      </c>
      <c r="T985" s="58">
        <v>5</v>
      </c>
      <c r="U985" s="58">
        <v>59</v>
      </c>
      <c r="V985" s="62"/>
      <c r="W985" s="62"/>
      <c r="X985" s="63">
        <f>IFERROR(1 -(Master[[#This Row],[Avg Garment Scans per Delivery]]/Master[[#This Row],[Garment Inventory]]), 0)</f>
        <v>0</v>
      </c>
      <c r="Y985" s="62"/>
      <c r="Z985" s="62"/>
      <c r="AA985" s="53">
        <v>72.928333333333327</v>
      </c>
      <c r="AB985" s="53">
        <v>77.036666666666676</v>
      </c>
      <c r="AC985" s="53">
        <v>60.185117739403445</v>
      </c>
      <c r="AD985" s="53">
        <v>144.52103610675039</v>
      </c>
      <c r="AE985" s="53" t="str">
        <f>_xlfn.XLOOKUP(Master[[#This Row],[cu_id]],'[1]Customer Revenue'!$Q:$Q,'[1]Customer Revenue'!$K:$K, "None")</f>
        <v>None</v>
      </c>
      <c r="AF985" s="53" t="str">
        <f>_xlfn.XLOOKUP(Master[[#This Row],[cu_id]],'[1]Customer Revenue'!$Q:$Q,'[1]Customer Revenue'!$L:$L, "None")</f>
        <v>None</v>
      </c>
      <c r="AG985" s="53">
        <v>70.04056213017752</v>
      </c>
      <c r="AH985" s="53">
        <v>74.784822485207101</v>
      </c>
      <c r="AI985" s="53">
        <v>74.982500000000002</v>
      </c>
      <c r="AJ985" s="53">
        <v>102.35307692307691</v>
      </c>
      <c r="AK985" s="53" t="str">
        <f>_xlfn.XLOOKUP(Master[[#This Row],[cu_id]],'[1]Customer Revenue'!$Q:$Q,'[1]Customer Revenue'!$I:$I, "None")</f>
        <v>None</v>
      </c>
      <c r="AL985" s="53">
        <v>72.412692307692311</v>
      </c>
      <c r="AM985" s="61">
        <v>0.29166666666666669</v>
      </c>
      <c r="AN985" s="60">
        <v>0.70833333333333337</v>
      </c>
      <c r="AO985" s="60" t="s">
        <v>36</v>
      </c>
      <c r="AP985" s="60" t="s">
        <v>36</v>
      </c>
      <c r="AQ985" s="58" t="s">
        <v>0</v>
      </c>
      <c r="AR985" s="58"/>
      <c r="AS985" s="58"/>
      <c r="AT985" s="52">
        <v>0</v>
      </c>
      <c r="AU985" s="52" t="e">
        <f>IF(Master[[#This Row],[RSP StopTime override]] &lt;&gt; "",Master[[#This Row],[RSP StopTime override]],IF(Master[[#This Row],[Avg stop time helper]] &lt;&gt; 0, Master[[#This Row],[Avg stop time helper]],Average_Stop_Time))</f>
        <v>#DIV/0!</v>
      </c>
      <c r="AV985" s="21"/>
      <c r="AW985" s="20">
        <f>Master[[#This Row],[RSP StopTime override]]-Master[[#This Row],[Avg stop time helper]]</f>
        <v>0</v>
      </c>
    </row>
    <row r="986" spans="1:49" x14ac:dyDescent="0.3">
      <c r="A986" s="73" t="s">
        <v>5003</v>
      </c>
      <c r="B986" s="64">
        <v>47</v>
      </c>
      <c r="C986" s="64" t="s">
        <v>15</v>
      </c>
      <c r="D986" s="65">
        <v>532537</v>
      </c>
      <c r="E986" s="65" t="s">
        <v>42</v>
      </c>
      <c r="F986" s="65" t="s">
        <v>2556</v>
      </c>
      <c r="G986" s="65" t="s">
        <v>2555</v>
      </c>
      <c r="H986" s="65" t="s">
        <v>7</v>
      </c>
      <c r="I986" s="65" t="s">
        <v>2081</v>
      </c>
      <c r="J986" s="65" t="s">
        <v>5</v>
      </c>
      <c r="K986" s="65" t="s">
        <v>2080</v>
      </c>
      <c r="L986" s="64" t="s">
        <v>145</v>
      </c>
      <c r="M986" s="58" t="s">
        <v>123</v>
      </c>
      <c r="N986" s="65" t="s">
        <v>144</v>
      </c>
      <c r="O986" s="65">
        <v>9999</v>
      </c>
      <c r="P986" s="65">
        <v>0</v>
      </c>
      <c r="Q986" s="65">
        <v>0</v>
      </c>
      <c r="R986" s="65">
        <v>0</v>
      </c>
      <c r="S986" s="65">
        <v>0</v>
      </c>
      <c r="T986" s="65">
        <v>9999</v>
      </c>
      <c r="U986" s="65"/>
      <c r="V986" s="65"/>
      <c r="W986" s="65"/>
      <c r="X986" s="72">
        <f>IFERROR(1 -(Master[[#This Row],[Avg Garment Scans per Delivery]]/Master[[#This Row],[Garment Inventory]]), 0)</f>
        <v>0</v>
      </c>
      <c r="Y986" s="65"/>
      <c r="Z986" s="65"/>
      <c r="AA986" s="53"/>
      <c r="AB986" s="53"/>
      <c r="AC986" s="53"/>
      <c r="AD986" s="53"/>
      <c r="AE986" s="53">
        <v>120</v>
      </c>
      <c r="AF986" s="53">
        <v>120</v>
      </c>
      <c r="AG986" s="53"/>
      <c r="AH986" s="53"/>
      <c r="AI986" s="53"/>
      <c r="AJ986" s="53"/>
      <c r="AK986" s="53">
        <v>120</v>
      </c>
      <c r="AL986" s="53"/>
      <c r="AM986" s="71" t="s">
        <v>1</v>
      </c>
      <c r="AN986" s="71" t="s">
        <v>1</v>
      </c>
      <c r="AO986" s="71" t="s">
        <v>36</v>
      </c>
      <c r="AP986" s="71" t="s">
        <v>36</v>
      </c>
      <c r="AQ986" s="64" t="s">
        <v>0</v>
      </c>
      <c r="AR986" s="64"/>
      <c r="AS986" s="65"/>
      <c r="AT986" s="52">
        <v>0</v>
      </c>
      <c r="AU986" s="52" t="e">
        <f>IF(Master[[#This Row],[RSP StopTime override]] &lt;&gt; "",Master[[#This Row],[RSP StopTime override]],IF(Master[[#This Row],[Avg stop time helper]] &lt;&gt; 0, Master[[#This Row],[Avg stop time helper]],Average_Stop_Time))</f>
        <v>#DIV/0!</v>
      </c>
      <c r="AV986" s="21"/>
      <c r="AW986" s="20">
        <f>Master[[#This Row],[RSP StopTime override]]-Master[[#This Row],[Avg stop time helper]]</f>
        <v>0</v>
      </c>
    </row>
    <row r="987" spans="1:49" x14ac:dyDescent="0.3">
      <c r="A987" s="66" t="s">
        <v>5004</v>
      </c>
      <c r="B987" s="58">
        <v>52</v>
      </c>
      <c r="C987" s="58" t="s">
        <v>15</v>
      </c>
      <c r="D987" s="65">
        <v>532019</v>
      </c>
      <c r="E987" s="65" t="s">
        <v>42</v>
      </c>
      <c r="F987" s="65" t="s">
        <v>1548</v>
      </c>
      <c r="G987" s="65" t="s">
        <v>1547</v>
      </c>
      <c r="H987" s="65" t="s">
        <v>7</v>
      </c>
      <c r="I987" s="65" t="s">
        <v>12</v>
      </c>
      <c r="J987" s="65" t="s">
        <v>5</v>
      </c>
      <c r="K987" s="65" t="s">
        <v>61</v>
      </c>
      <c r="L987" s="64" t="s">
        <v>67</v>
      </c>
      <c r="M987" s="58" t="s">
        <v>3</v>
      </c>
      <c r="N987" s="58" t="s">
        <v>2</v>
      </c>
      <c r="O987" s="58">
        <v>90</v>
      </c>
      <c r="P987" s="58">
        <v>0</v>
      </c>
      <c r="Q987" s="58">
        <v>0</v>
      </c>
      <c r="R987" s="58">
        <v>0</v>
      </c>
      <c r="S987" s="58">
        <v>0</v>
      </c>
      <c r="T987" s="58">
        <v>90</v>
      </c>
      <c r="U987" s="58">
        <v>54</v>
      </c>
      <c r="V987" s="62"/>
      <c r="W987" s="62"/>
      <c r="X987" s="63">
        <f>IFERROR(1 -(Master[[#This Row],[Avg Garment Scans per Delivery]]/Master[[#This Row],[Garment Inventory]]), 0)</f>
        <v>0</v>
      </c>
      <c r="Y987" s="62"/>
      <c r="Z987" s="62"/>
      <c r="AA987" s="53">
        <v>81.348055555555547</v>
      </c>
      <c r="AB987" s="53">
        <v>92.463611111111092</v>
      </c>
      <c r="AC987" s="53">
        <v>97.775976331360923</v>
      </c>
      <c r="AD987" s="53">
        <v>103.88248520710057</v>
      </c>
      <c r="AE987" s="53" t="str">
        <f>_xlfn.XLOOKUP(Master[[#This Row],[cu_id]],'[1]Customer Revenue'!$Q:$Q,'[1]Customer Revenue'!$K:$K, "None")</f>
        <v>None</v>
      </c>
      <c r="AF987" s="53" t="str">
        <f>_xlfn.XLOOKUP(Master[[#This Row],[cu_id]],'[1]Customer Revenue'!$Q:$Q,'[1]Customer Revenue'!$L:$L, "None")</f>
        <v>None</v>
      </c>
      <c r="AG987" s="53">
        <v>66.229180005488033</v>
      </c>
      <c r="AH987" s="53">
        <v>99.833127686819736</v>
      </c>
      <c r="AI987" s="53">
        <v>86.90583333333332</v>
      </c>
      <c r="AJ987" s="53">
        <v>100.82923076923075</v>
      </c>
      <c r="AK987" s="53" t="str">
        <f>_xlfn.XLOOKUP(Master[[#This Row],[cu_id]],'[1]Customer Revenue'!$Q:$Q,'[1]Customer Revenue'!$I:$I, "None")</f>
        <v>None</v>
      </c>
      <c r="AL987" s="53">
        <v>83.031153846153885</v>
      </c>
      <c r="AM987" s="61">
        <v>0.45833333333333331</v>
      </c>
      <c r="AN987" s="60">
        <v>0.70833333333333337</v>
      </c>
      <c r="AO987" s="60" t="s">
        <v>36</v>
      </c>
      <c r="AP987" s="60" t="s">
        <v>36</v>
      </c>
      <c r="AQ987" s="58" t="s">
        <v>0</v>
      </c>
      <c r="AR987" s="58"/>
      <c r="AS987" s="58"/>
      <c r="AT987" s="52">
        <v>0</v>
      </c>
      <c r="AU987" s="52" t="e">
        <f>IF(Master[[#This Row],[RSP StopTime override]] &lt;&gt; "",Master[[#This Row],[RSP StopTime override]],IF(Master[[#This Row],[Avg stop time helper]] &lt;&gt; 0, Master[[#This Row],[Avg stop time helper]],Average_Stop_Time))</f>
        <v>#DIV/0!</v>
      </c>
      <c r="AV987" s="21"/>
      <c r="AW987" s="20">
        <f>Master[[#This Row],[RSP StopTime override]]-Master[[#This Row],[Avg stop time helper]]</f>
        <v>0</v>
      </c>
    </row>
    <row r="988" spans="1:49" x14ac:dyDescent="0.3">
      <c r="A988" s="66" t="s">
        <v>5005</v>
      </c>
      <c r="B988" s="58">
        <v>52</v>
      </c>
      <c r="C988" s="58" t="s">
        <v>15</v>
      </c>
      <c r="D988" s="65">
        <v>532808</v>
      </c>
      <c r="E988" s="65" t="s">
        <v>42</v>
      </c>
      <c r="F988" s="65" t="s">
        <v>1546</v>
      </c>
      <c r="G988" s="65" t="s">
        <v>1545</v>
      </c>
      <c r="H988" s="65" t="s">
        <v>7</v>
      </c>
      <c r="I988" s="65" t="s">
        <v>12</v>
      </c>
      <c r="J988" s="65" t="s">
        <v>5</v>
      </c>
      <c r="K988" s="65" t="s">
        <v>11</v>
      </c>
      <c r="L988" s="64" t="s">
        <v>67</v>
      </c>
      <c r="M988" s="58" t="s">
        <v>3</v>
      </c>
      <c r="N988" s="58" t="s">
        <v>2</v>
      </c>
      <c r="O988" s="58">
        <v>60</v>
      </c>
      <c r="P988" s="58">
        <v>0</v>
      </c>
      <c r="Q988" s="58">
        <v>0</v>
      </c>
      <c r="R988" s="58">
        <v>0</v>
      </c>
      <c r="S988" s="58">
        <v>0</v>
      </c>
      <c r="T988" s="58">
        <v>60</v>
      </c>
      <c r="U988" s="58">
        <v>52</v>
      </c>
      <c r="V988" s="62"/>
      <c r="W988" s="62"/>
      <c r="X988" s="63">
        <f>IFERROR(1 -(Master[[#This Row],[Avg Garment Scans per Delivery]]/Master[[#This Row],[Garment Inventory]]), 0)</f>
        <v>0</v>
      </c>
      <c r="Y988" s="62"/>
      <c r="Z988" s="62"/>
      <c r="AA988" s="53">
        <v>178.40944444444443</v>
      </c>
      <c r="AB988" s="53">
        <v>186.81222222222215</v>
      </c>
      <c r="AC988" s="53">
        <v>184.28568047337279</v>
      </c>
      <c r="AD988" s="53">
        <v>202.47124260355025</v>
      </c>
      <c r="AE988" s="53" t="str">
        <f>_xlfn.XLOOKUP(Master[[#This Row],[cu_id]],'[1]Customer Revenue'!$Q:$Q,'[1]Customer Revenue'!$K:$K, "None")</f>
        <v>None</v>
      </c>
      <c r="AF988" s="53" t="str">
        <f>_xlfn.XLOOKUP(Master[[#This Row],[cu_id]],'[1]Customer Revenue'!$Q:$Q,'[1]Customer Revenue'!$L:$L, "None")</f>
        <v>None</v>
      </c>
      <c r="AG988" s="53">
        <v>161.11502958579891</v>
      </c>
      <c r="AH988" s="53">
        <v>186.55343195266275</v>
      </c>
      <c r="AI988" s="53">
        <v>182.61083333333329</v>
      </c>
      <c r="AJ988" s="53">
        <v>193.37846153846152</v>
      </c>
      <c r="AK988" s="53" t="str">
        <f>_xlfn.XLOOKUP(Master[[#This Row],[cu_id]],'[1]Customer Revenue'!$Q:$Q,'[1]Customer Revenue'!$I:$I, "None")</f>
        <v>None</v>
      </c>
      <c r="AL988" s="53">
        <v>173.83423076923083</v>
      </c>
      <c r="AM988" s="61" t="s">
        <v>36</v>
      </c>
      <c r="AN988" s="60" t="s">
        <v>36</v>
      </c>
      <c r="AO988" s="60" t="s">
        <v>36</v>
      </c>
      <c r="AP988" s="60" t="s">
        <v>36</v>
      </c>
      <c r="AQ988" s="58" t="s">
        <v>0</v>
      </c>
      <c r="AR988" s="58"/>
      <c r="AS988" s="58"/>
      <c r="AT988" s="52">
        <v>0</v>
      </c>
      <c r="AU988" s="52" t="e">
        <f>IF(Master[[#This Row],[RSP StopTime override]] &lt;&gt; "",Master[[#This Row],[RSP StopTime override]],IF(Master[[#This Row],[Avg stop time helper]] &lt;&gt; 0, Master[[#This Row],[Avg stop time helper]],Average_Stop_Time))</f>
        <v>#DIV/0!</v>
      </c>
      <c r="AV988" s="21"/>
      <c r="AW988" s="20">
        <f>Master[[#This Row],[RSP StopTime override]]-Master[[#This Row],[Avg stop time helper]]</f>
        <v>0</v>
      </c>
    </row>
    <row r="989" spans="1:49" x14ac:dyDescent="0.3">
      <c r="A989" s="66" t="s">
        <v>5006</v>
      </c>
      <c r="B989" s="58">
        <v>52</v>
      </c>
      <c r="C989" s="58" t="s">
        <v>15</v>
      </c>
      <c r="D989" s="65">
        <v>533280</v>
      </c>
      <c r="E989" s="65" t="s">
        <v>42</v>
      </c>
      <c r="F989" s="65" t="s">
        <v>1544</v>
      </c>
      <c r="G989" s="65" t="s">
        <v>1543</v>
      </c>
      <c r="H989" s="65" t="s">
        <v>7</v>
      </c>
      <c r="I989" s="65" t="s">
        <v>12</v>
      </c>
      <c r="J989" s="65" t="s">
        <v>5</v>
      </c>
      <c r="K989" s="65" t="s">
        <v>11</v>
      </c>
      <c r="L989" s="64" t="s">
        <v>67</v>
      </c>
      <c r="M989" s="58" t="s">
        <v>3</v>
      </c>
      <c r="N989" s="58" t="s">
        <v>2</v>
      </c>
      <c r="O989" s="58">
        <v>80</v>
      </c>
      <c r="P989" s="58">
        <v>0</v>
      </c>
      <c r="Q989" s="58">
        <v>0</v>
      </c>
      <c r="R989" s="58">
        <v>0</v>
      </c>
      <c r="S989" s="58">
        <v>0</v>
      </c>
      <c r="T989" s="58">
        <v>80</v>
      </c>
      <c r="U989" s="58">
        <v>59</v>
      </c>
      <c r="V989" s="62"/>
      <c r="W989" s="62"/>
      <c r="X989" s="63">
        <f>IFERROR(1 -(Master[[#This Row],[Avg Garment Scans per Delivery]]/Master[[#This Row],[Garment Inventory]]), 0)</f>
        <v>0</v>
      </c>
      <c r="Y989" s="62"/>
      <c r="Z989" s="62"/>
      <c r="AA989" s="53">
        <v>552.37047337278102</v>
      </c>
      <c r="AB989" s="53">
        <v>1006.3418343195266</v>
      </c>
      <c r="AC989" s="53">
        <v>323.94543269230752</v>
      </c>
      <c r="AD989" s="53">
        <v>906.05918269230756</v>
      </c>
      <c r="AE989" s="53" t="str">
        <f>_xlfn.XLOOKUP(Master[[#This Row],[cu_id]],'[1]Customer Revenue'!$Q:$Q,'[1]Customer Revenue'!$K:$K, "None")</f>
        <v>None</v>
      </c>
      <c r="AF989" s="53" t="str">
        <f>_xlfn.XLOOKUP(Master[[#This Row],[cu_id]],'[1]Customer Revenue'!$Q:$Q,'[1]Customer Revenue'!$L:$L, "None")</f>
        <v>None</v>
      </c>
      <c r="AG989" s="53">
        <v>445.96512556364894</v>
      </c>
      <c r="AH989" s="53">
        <v>862.44620776968429</v>
      </c>
      <c r="AI989" s="53">
        <v>779.3561538461538</v>
      </c>
      <c r="AJ989" s="53">
        <v>615.00230769230757</v>
      </c>
      <c r="AK989" s="53" t="str">
        <f>_xlfn.XLOOKUP(Master[[#This Row],[cu_id]],'[1]Customer Revenue'!$Q:$Q,'[1]Customer Revenue'!$I:$I, "None")</f>
        <v>None</v>
      </c>
      <c r="AL989" s="53">
        <v>654.20566666666662</v>
      </c>
      <c r="AM989" s="61">
        <v>0.41666666666666669</v>
      </c>
      <c r="AN989" s="60">
        <v>0.70833333333333337</v>
      </c>
      <c r="AO989" s="60" t="s">
        <v>36</v>
      </c>
      <c r="AP989" s="60" t="s">
        <v>36</v>
      </c>
      <c r="AQ989" s="58" t="s">
        <v>0</v>
      </c>
      <c r="AR989" s="58"/>
      <c r="AS989" s="58"/>
      <c r="AT989" s="52">
        <v>0</v>
      </c>
      <c r="AU989" s="52" t="e">
        <f>IF(Master[[#This Row],[RSP StopTime override]] &lt;&gt; "",Master[[#This Row],[RSP StopTime override]],IF(Master[[#This Row],[Avg stop time helper]] &lt;&gt; 0, Master[[#This Row],[Avg stop time helper]],Average_Stop_Time))</f>
        <v>#DIV/0!</v>
      </c>
      <c r="AV989" s="21"/>
      <c r="AW989" s="20">
        <f>Master[[#This Row],[RSP StopTime override]]-Master[[#This Row],[Avg stop time helper]]</f>
        <v>0</v>
      </c>
    </row>
    <row r="990" spans="1:49" x14ac:dyDescent="0.3">
      <c r="A990" s="66" t="s">
        <v>5007</v>
      </c>
      <c r="B990" s="58">
        <v>52</v>
      </c>
      <c r="C990" s="58" t="s">
        <v>15</v>
      </c>
      <c r="D990" s="65">
        <v>533474</v>
      </c>
      <c r="E990" s="65" t="s">
        <v>42</v>
      </c>
      <c r="F990" s="65" t="s">
        <v>1542</v>
      </c>
      <c r="G990" s="65" t="s">
        <v>1541</v>
      </c>
      <c r="H990" s="65" t="s">
        <v>347</v>
      </c>
      <c r="I990" s="65" t="s">
        <v>12</v>
      </c>
      <c r="J990" s="65" t="s">
        <v>5</v>
      </c>
      <c r="K990" s="65" t="s">
        <v>57</v>
      </c>
      <c r="L990" s="64" t="s">
        <v>67</v>
      </c>
      <c r="M990" s="58" t="s">
        <v>3</v>
      </c>
      <c r="N990" s="58" t="s">
        <v>2</v>
      </c>
      <c r="O990" s="58">
        <v>53</v>
      </c>
      <c r="P990" s="58">
        <v>0</v>
      </c>
      <c r="Q990" s="58">
        <v>0</v>
      </c>
      <c r="R990" s="58">
        <v>0</v>
      </c>
      <c r="S990" s="58">
        <v>0</v>
      </c>
      <c r="T990" s="58">
        <v>53</v>
      </c>
      <c r="U990" s="58">
        <v>22</v>
      </c>
      <c r="V990" s="62"/>
      <c r="W990" s="62">
        <v>1</v>
      </c>
      <c r="X990" s="63">
        <f>IFERROR(1 -(Master[[#This Row],[Avg Garment Scans per Delivery]]/Master[[#This Row],[Garment Inventory]]), 0)</f>
        <v>0</v>
      </c>
      <c r="Y990" s="62"/>
      <c r="Z990" s="62"/>
      <c r="AA990" s="53">
        <v>38.739999999999995</v>
      </c>
      <c r="AB990" s="53">
        <v>68.540000000000006</v>
      </c>
      <c r="AC990" s="53">
        <v>41.563472222222224</v>
      </c>
      <c r="AD990" s="53">
        <v>76.348194444444459</v>
      </c>
      <c r="AE990" s="53" t="str">
        <f>_xlfn.XLOOKUP(Master[[#This Row],[cu_id]],'[1]Customer Revenue'!$Q:$Q,'[1]Customer Revenue'!$K:$K, "None")</f>
        <v>None</v>
      </c>
      <c r="AF990" s="53" t="str">
        <f>_xlfn.XLOOKUP(Master[[#This Row],[cu_id]],'[1]Customer Revenue'!$Q:$Q,'[1]Customer Revenue'!$L:$L, "None")</f>
        <v>None</v>
      </c>
      <c r="AG990" s="53">
        <v>43.743080808080862</v>
      </c>
      <c r="AH990" s="53">
        <v>61.304191919191922</v>
      </c>
      <c r="AI990" s="53">
        <v>53.64</v>
      </c>
      <c r="AJ990" s="53">
        <v>58.955833333333338</v>
      </c>
      <c r="AK990" s="53" t="str">
        <f>_xlfn.XLOOKUP(Master[[#This Row],[cu_id]],'[1]Customer Revenue'!$Q:$Q,'[1]Customer Revenue'!$I:$I, "None")</f>
        <v>None</v>
      </c>
      <c r="AL990" s="53">
        <v>52.523636363636392</v>
      </c>
      <c r="AM990" s="61">
        <v>0.33333333333333331</v>
      </c>
      <c r="AN990" s="60">
        <v>0.70833333333333337</v>
      </c>
      <c r="AO990" s="60" t="s">
        <v>36</v>
      </c>
      <c r="AP990" s="60" t="s">
        <v>36</v>
      </c>
      <c r="AQ990" s="58" t="s">
        <v>0</v>
      </c>
      <c r="AR990" s="58"/>
      <c r="AS990" s="58"/>
      <c r="AT990" s="52">
        <v>0</v>
      </c>
      <c r="AU990" s="52" t="e">
        <f>IF(Master[[#This Row],[RSP StopTime override]] &lt;&gt; "",Master[[#This Row],[RSP StopTime override]],IF(Master[[#This Row],[Avg stop time helper]] &lt;&gt; 0, Master[[#This Row],[Avg stop time helper]],Average_Stop_Time))</f>
        <v>#DIV/0!</v>
      </c>
      <c r="AV990" s="21"/>
      <c r="AW990" s="20">
        <f>Master[[#This Row],[RSP StopTime override]]-Master[[#This Row],[Avg stop time helper]]</f>
        <v>0</v>
      </c>
    </row>
    <row r="991" spans="1:49" x14ac:dyDescent="0.3">
      <c r="A991" s="66" t="s">
        <v>5008</v>
      </c>
      <c r="B991" s="58">
        <v>56</v>
      </c>
      <c r="C991" s="58" t="s">
        <v>24</v>
      </c>
      <c r="D991" s="65">
        <v>99031</v>
      </c>
      <c r="E991" s="65" t="s">
        <v>1338</v>
      </c>
      <c r="F991" s="65" t="s">
        <v>1540</v>
      </c>
      <c r="G991" s="65" t="s">
        <v>1539</v>
      </c>
      <c r="H991" s="65" t="s">
        <v>1178</v>
      </c>
      <c r="I991" s="65" t="s">
        <v>6</v>
      </c>
      <c r="J991" s="65" t="s">
        <v>5</v>
      </c>
      <c r="K991" s="65" t="s">
        <v>146</v>
      </c>
      <c r="L991" s="64" t="s">
        <v>67</v>
      </c>
      <c r="M991" s="58" t="s">
        <v>3</v>
      </c>
      <c r="N991" s="58" t="s">
        <v>2</v>
      </c>
      <c r="O991" s="58">
        <v>180</v>
      </c>
      <c r="P991" s="58">
        <v>180</v>
      </c>
      <c r="Q991" s="58">
        <v>0</v>
      </c>
      <c r="R991" s="58">
        <v>0</v>
      </c>
      <c r="S991" s="58">
        <v>0</v>
      </c>
      <c r="T991" s="58">
        <v>0</v>
      </c>
      <c r="U991" s="58">
        <v>53</v>
      </c>
      <c r="V991" s="62"/>
      <c r="W991" s="62"/>
      <c r="X991" s="63">
        <f>IFERROR(1 -(Master[[#This Row],[Avg Garment Scans per Delivery]]/Master[[#This Row],[Garment Inventory]]), 0)</f>
        <v>0</v>
      </c>
      <c r="Y991" s="62"/>
      <c r="Z991" s="62"/>
      <c r="AA991" s="53">
        <v>63.559171597633139</v>
      </c>
      <c r="AB991" s="53">
        <v>109.33313609467456</v>
      </c>
      <c r="AC991" s="53">
        <v>65.038744113029836</v>
      </c>
      <c r="AD991" s="53">
        <v>105.50894819466249</v>
      </c>
      <c r="AE991" s="53" t="str">
        <f>_xlfn.XLOOKUP(Master[[#This Row],[cu_id]],'[1]Customer Revenue'!$Q:$Q,'[1]Customer Revenue'!$K:$K, "None")</f>
        <v>None</v>
      </c>
      <c r="AF991" s="53" t="str">
        <f>_xlfn.XLOOKUP(Master[[#This Row],[cu_id]],'[1]Customer Revenue'!$Q:$Q,'[1]Customer Revenue'!$L:$L, "None")</f>
        <v>None</v>
      </c>
      <c r="AG991" s="53">
        <v>63.35757396449705</v>
      </c>
      <c r="AH991" s="53">
        <v>119.26319526627219</v>
      </c>
      <c r="AI991" s="53">
        <v>86.446153846153848</v>
      </c>
      <c r="AJ991" s="53">
        <v>85.273846153846165</v>
      </c>
      <c r="AK991" s="53" t="str">
        <f>_xlfn.XLOOKUP(Master[[#This Row],[cu_id]],'[1]Customer Revenue'!$Q:$Q,'[1]Customer Revenue'!$I:$I, "None")</f>
        <v>None</v>
      </c>
      <c r="AL991" s="53">
        <v>91.310384615384621</v>
      </c>
      <c r="AM991" s="61" t="s">
        <v>36</v>
      </c>
      <c r="AN991" s="60" t="s">
        <v>36</v>
      </c>
      <c r="AO991" s="60" t="s">
        <v>36</v>
      </c>
      <c r="AP991" s="60" t="s">
        <v>36</v>
      </c>
      <c r="AQ991" s="58" t="s">
        <v>0</v>
      </c>
      <c r="AR991" s="58"/>
      <c r="AS991" s="58"/>
      <c r="AT991" s="52">
        <v>0</v>
      </c>
      <c r="AU991" s="52" t="e">
        <f>IF(Master[[#This Row],[RSP StopTime override]] &lt;&gt; "",Master[[#This Row],[RSP StopTime override]],IF(Master[[#This Row],[Avg stop time helper]] &lt;&gt; 0, Master[[#This Row],[Avg stop time helper]],Average_Stop_Time))</f>
        <v>#DIV/0!</v>
      </c>
      <c r="AV991" s="21"/>
      <c r="AW991" s="20">
        <f>Master[[#This Row],[RSP StopTime override]]-Master[[#This Row],[Avg stop time helper]]</f>
        <v>0</v>
      </c>
    </row>
    <row r="992" spans="1:49" x14ac:dyDescent="0.3">
      <c r="A992" s="66" t="s">
        <v>5009</v>
      </c>
      <c r="B992" s="58">
        <v>56</v>
      </c>
      <c r="C992" s="58" t="s">
        <v>24</v>
      </c>
      <c r="D992" s="65">
        <v>99031</v>
      </c>
      <c r="E992" s="65" t="s">
        <v>1257</v>
      </c>
      <c r="F992" s="65" t="s">
        <v>1538</v>
      </c>
      <c r="G992" s="65" t="s">
        <v>1537</v>
      </c>
      <c r="H992" s="65" t="s">
        <v>1178</v>
      </c>
      <c r="I992" s="65" t="s">
        <v>6</v>
      </c>
      <c r="J992" s="65" t="s">
        <v>5</v>
      </c>
      <c r="K992" s="65" t="s">
        <v>115</v>
      </c>
      <c r="L992" s="64" t="s">
        <v>67</v>
      </c>
      <c r="M992" s="58" t="s">
        <v>3</v>
      </c>
      <c r="N992" s="58" t="s">
        <v>2</v>
      </c>
      <c r="O992" s="58">
        <v>25</v>
      </c>
      <c r="P992" s="58">
        <v>25</v>
      </c>
      <c r="Q992" s="58">
        <v>0</v>
      </c>
      <c r="R992" s="58">
        <v>0</v>
      </c>
      <c r="S992" s="58">
        <v>0</v>
      </c>
      <c r="T992" s="58">
        <v>0</v>
      </c>
      <c r="U992" s="58">
        <v>52</v>
      </c>
      <c r="V992" s="62"/>
      <c r="W992" s="62"/>
      <c r="X992" s="63">
        <f>IFERROR(1 -(Master[[#This Row],[Avg Garment Scans per Delivery]]/Master[[#This Row],[Garment Inventory]]), 0)</f>
        <v>0</v>
      </c>
      <c r="Y992" s="62"/>
      <c r="Z992" s="62"/>
      <c r="AA992" s="53">
        <v>52.146390532544373</v>
      </c>
      <c r="AB992" s="53">
        <v>75.915147928994074</v>
      </c>
      <c r="AC992" s="53">
        <v>36.306022727272719</v>
      </c>
      <c r="AD992" s="53">
        <v>108.24852272727271</v>
      </c>
      <c r="AE992" s="53" t="str">
        <f>_xlfn.XLOOKUP(Master[[#This Row],[cu_id]],'[1]Customer Revenue'!$Q:$Q,'[1]Customer Revenue'!$K:$K, "None")</f>
        <v>None</v>
      </c>
      <c r="AF992" s="53" t="str">
        <f>_xlfn.XLOOKUP(Master[[#This Row],[cu_id]],'[1]Customer Revenue'!$Q:$Q,'[1]Customer Revenue'!$L:$L, "None")</f>
        <v>None</v>
      </c>
      <c r="AG992" s="53">
        <v>46.411183431952665</v>
      </c>
      <c r="AH992" s="53">
        <v>80.704970414201142</v>
      </c>
      <c r="AI992" s="53">
        <v>64.030769230769224</v>
      </c>
      <c r="AJ992" s="53">
        <v>72.277272727272717</v>
      </c>
      <c r="AK992" s="53" t="str">
        <f>_xlfn.XLOOKUP(Master[[#This Row],[cu_id]],'[1]Customer Revenue'!$Q:$Q,'[1]Customer Revenue'!$I:$I, "None")</f>
        <v>None</v>
      </c>
      <c r="AL992" s="53">
        <v>63.558076923076904</v>
      </c>
      <c r="AM992" s="61" t="s">
        <v>36</v>
      </c>
      <c r="AN992" s="60" t="s">
        <v>36</v>
      </c>
      <c r="AO992" s="60" t="s">
        <v>36</v>
      </c>
      <c r="AP992" s="60" t="s">
        <v>36</v>
      </c>
      <c r="AQ992" s="58" t="s">
        <v>0</v>
      </c>
      <c r="AR992" s="58"/>
      <c r="AS992" s="58"/>
      <c r="AT992" s="52">
        <v>0</v>
      </c>
      <c r="AU992" s="52" t="e">
        <f>IF(Master[[#This Row],[RSP StopTime override]] &lt;&gt; "",Master[[#This Row],[RSP StopTime override]],IF(Master[[#This Row],[Avg stop time helper]] &lt;&gt; 0, Master[[#This Row],[Avg stop time helper]],Average_Stop_Time))</f>
        <v>#DIV/0!</v>
      </c>
      <c r="AV992" s="21"/>
      <c r="AW992" s="20">
        <f>Master[[#This Row],[RSP StopTime override]]-Master[[#This Row],[Avg stop time helper]]</f>
        <v>0</v>
      </c>
    </row>
    <row r="993" spans="1:49" x14ac:dyDescent="0.3">
      <c r="A993" s="66" t="s">
        <v>5010</v>
      </c>
      <c r="B993" s="58">
        <v>47</v>
      </c>
      <c r="C993" s="58" t="s">
        <v>43</v>
      </c>
      <c r="D993" s="65">
        <v>99035</v>
      </c>
      <c r="E993" s="65" t="s">
        <v>2689</v>
      </c>
      <c r="F993" s="65" t="s">
        <v>2688</v>
      </c>
      <c r="G993" s="65" t="s">
        <v>2687</v>
      </c>
      <c r="H993" s="65" t="s">
        <v>7</v>
      </c>
      <c r="I993" s="65" t="s">
        <v>2621</v>
      </c>
      <c r="J993" s="65" t="s">
        <v>5</v>
      </c>
      <c r="K993" s="65" t="s">
        <v>2620</v>
      </c>
      <c r="L993" s="64">
        <v>7</v>
      </c>
      <c r="M993" s="58" t="s">
        <v>205</v>
      </c>
      <c r="N993" s="58" t="s">
        <v>2</v>
      </c>
      <c r="O993" s="58">
        <v>207</v>
      </c>
      <c r="P993" s="58">
        <v>0</v>
      </c>
      <c r="Q993" s="58">
        <v>0</v>
      </c>
      <c r="R993" s="58">
        <v>0</v>
      </c>
      <c r="S993" s="58">
        <v>207</v>
      </c>
      <c r="T993" s="58">
        <v>0</v>
      </c>
      <c r="U993" s="58">
        <v>29</v>
      </c>
      <c r="V993" s="62"/>
      <c r="W993" s="62"/>
      <c r="X993" s="63">
        <f>IFERROR(1 -(Master[[#This Row],[Avg Garment Scans per Delivery]]/Master[[#This Row],[Garment Inventory]]), 0)</f>
        <v>0</v>
      </c>
      <c r="Y993" s="62"/>
      <c r="Z993" s="62"/>
      <c r="AA993" s="53">
        <v>133.66041420118344</v>
      </c>
      <c r="AB993" s="53">
        <v>135.25804733727816</v>
      </c>
      <c r="AC993" s="53">
        <v>113.20559999999999</v>
      </c>
      <c r="AD993" s="53">
        <v>187.77839999999998</v>
      </c>
      <c r="AE993" s="53" t="str">
        <f>_xlfn.XLOOKUP(Master[[#This Row],[cu_id]],'[1]Customer Revenue'!$Q:$Q,'[1]Customer Revenue'!$K:$K, "None")</f>
        <v>None</v>
      </c>
      <c r="AF993" s="53" t="str">
        <f>_xlfn.XLOOKUP(Master[[#This Row],[cu_id]],'[1]Customer Revenue'!$Q:$Q,'[1]Customer Revenue'!$L:$L, "None")</f>
        <v>None</v>
      </c>
      <c r="AG993" s="53">
        <v>123.86107750472596</v>
      </c>
      <c r="AH993" s="53">
        <v>137.30153119092628</v>
      </c>
      <c r="AI993" s="53">
        <v>134.4592307692308</v>
      </c>
      <c r="AJ993" s="53">
        <v>150.49199999999999</v>
      </c>
      <c r="AK993" s="53" t="str">
        <f>_xlfn.XLOOKUP(Master[[#This Row],[cu_id]],'[1]Customer Revenue'!$Q:$Q,'[1]Customer Revenue'!$I:$I, "None")</f>
        <v>None</v>
      </c>
      <c r="AL993" s="53">
        <v>130.58130434782612</v>
      </c>
      <c r="AM993" s="61">
        <v>0.375</v>
      </c>
      <c r="AN993" s="60">
        <v>0.70833333333333337</v>
      </c>
      <c r="AO993" s="60" t="s">
        <v>36</v>
      </c>
      <c r="AP993" s="60" t="s">
        <v>36</v>
      </c>
      <c r="AQ993" s="58" t="s">
        <v>0</v>
      </c>
      <c r="AR993" s="58"/>
      <c r="AS993" s="58"/>
      <c r="AT993" s="52">
        <v>0</v>
      </c>
      <c r="AU993" s="52" t="e">
        <f>IF(Master[[#This Row],[RSP StopTime override]] &lt;&gt; "",Master[[#This Row],[RSP StopTime override]],IF(Master[[#This Row],[Avg stop time helper]] &lt;&gt; 0, Master[[#This Row],[Avg stop time helper]],Average_Stop_Time))</f>
        <v>#DIV/0!</v>
      </c>
      <c r="AV993" s="21"/>
      <c r="AW993" s="20">
        <f>Master[[#This Row],[RSP StopTime override]]-Master[[#This Row],[Avg stop time helper]]</f>
        <v>0</v>
      </c>
    </row>
    <row r="994" spans="1:49" x14ac:dyDescent="0.3">
      <c r="A994" s="66" t="s">
        <v>5011</v>
      </c>
      <c r="B994" s="58">
        <v>56</v>
      </c>
      <c r="C994" s="58" t="s">
        <v>24</v>
      </c>
      <c r="D994" s="65">
        <v>99051</v>
      </c>
      <c r="E994" s="65" t="s">
        <v>1332</v>
      </c>
      <c r="F994" s="65" t="s">
        <v>1533</v>
      </c>
      <c r="G994" s="65" t="s">
        <v>1532</v>
      </c>
      <c r="H994" s="65" t="s">
        <v>32</v>
      </c>
      <c r="I994" s="65" t="s">
        <v>677</v>
      </c>
      <c r="J994" s="65" t="s">
        <v>5</v>
      </c>
      <c r="K994" s="65" t="s">
        <v>115</v>
      </c>
      <c r="L994" s="64" t="s">
        <v>67</v>
      </c>
      <c r="M994" s="58" t="s">
        <v>3</v>
      </c>
      <c r="N994" s="58" t="s">
        <v>2</v>
      </c>
      <c r="O994" s="58">
        <v>40</v>
      </c>
      <c r="P994" s="58">
        <v>40</v>
      </c>
      <c r="Q994" s="58">
        <v>0</v>
      </c>
      <c r="R994" s="58">
        <v>0</v>
      </c>
      <c r="S994" s="58">
        <v>0</v>
      </c>
      <c r="T994" s="58">
        <v>0</v>
      </c>
      <c r="U994" s="58">
        <v>53</v>
      </c>
      <c r="V994" s="62"/>
      <c r="W994" s="62"/>
      <c r="X994" s="63">
        <f>IFERROR(1 -(Master[[#This Row],[Avg Garment Scans per Delivery]]/Master[[#This Row],[Garment Inventory]]), 0)</f>
        <v>0</v>
      </c>
      <c r="Y994" s="62"/>
      <c r="Z994" s="62"/>
      <c r="AA994" s="53">
        <v>41.608284023668638</v>
      </c>
      <c r="AB994" s="53">
        <v>46.234792899408284</v>
      </c>
      <c r="AC994" s="53">
        <v>41.324378698224855</v>
      </c>
      <c r="AD994" s="53">
        <v>41.72485207100592</v>
      </c>
      <c r="AE994" s="53" t="str">
        <f>_xlfn.XLOOKUP(Master[[#This Row],[cu_id]],'[1]Customer Revenue'!$Q:$Q,'[1]Customer Revenue'!$K:$K, "None")</f>
        <v>None</v>
      </c>
      <c r="AF994" s="53" t="str">
        <f>_xlfn.XLOOKUP(Master[[#This Row],[cu_id]],'[1]Customer Revenue'!$Q:$Q,'[1]Customer Revenue'!$L:$L, "None")</f>
        <v>None</v>
      </c>
      <c r="AG994" s="53">
        <v>36.224940828402381</v>
      </c>
      <c r="AH994" s="53">
        <v>44.206597633136113</v>
      </c>
      <c r="AI994" s="53">
        <v>43.921538461538461</v>
      </c>
      <c r="AJ994" s="53">
        <v>41.524615384615387</v>
      </c>
      <c r="AK994" s="53" t="str">
        <f>_xlfn.XLOOKUP(Master[[#This Row],[cu_id]],'[1]Customer Revenue'!$Q:$Q,'[1]Customer Revenue'!$I:$I, "None")</f>
        <v>None</v>
      </c>
      <c r="AL994" s="53">
        <v>40.215769230769247</v>
      </c>
      <c r="AM994" s="61">
        <v>0.375</v>
      </c>
      <c r="AN994" s="60">
        <v>0.70833333333333337</v>
      </c>
      <c r="AO994" s="60" t="s">
        <v>36</v>
      </c>
      <c r="AP994" s="60" t="s">
        <v>36</v>
      </c>
      <c r="AQ994" s="58" t="s">
        <v>0</v>
      </c>
      <c r="AR994" s="58"/>
      <c r="AS994" s="58"/>
      <c r="AT994" s="52">
        <v>0</v>
      </c>
      <c r="AU994" s="52" t="e">
        <f>IF(Master[[#This Row],[RSP StopTime override]] &lt;&gt; "",Master[[#This Row],[RSP StopTime override]],IF(Master[[#This Row],[Avg stop time helper]] &lt;&gt; 0, Master[[#This Row],[Avg stop time helper]],Average_Stop_Time))</f>
        <v>#DIV/0!</v>
      </c>
      <c r="AV994" s="21"/>
      <c r="AW994" s="20">
        <f>Master[[#This Row],[RSP StopTime override]]-Master[[#This Row],[Avg stop time helper]]</f>
        <v>0</v>
      </c>
    </row>
    <row r="995" spans="1:49" x14ac:dyDescent="0.3">
      <c r="A995" s="66" t="s">
        <v>5012</v>
      </c>
      <c r="B995" s="58">
        <v>56</v>
      </c>
      <c r="C995" s="58" t="s">
        <v>24</v>
      </c>
      <c r="D995" s="65">
        <v>99063</v>
      </c>
      <c r="E995" s="65" t="s">
        <v>1156</v>
      </c>
      <c r="F995" s="65" t="s">
        <v>1531</v>
      </c>
      <c r="G995" s="65" t="s">
        <v>1530</v>
      </c>
      <c r="H995" s="65" t="s">
        <v>7</v>
      </c>
      <c r="I995" s="65" t="s">
        <v>677</v>
      </c>
      <c r="J995" s="65" t="s">
        <v>5</v>
      </c>
      <c r="K995" s="65" t="s">
        <v>146</v>
      </c>
      <c r="L995" s="64" t="s">
        <v>194</v>
      </c>
      <c r="M995" s="58" t="s">
        <v>193</v>
      </c>
      <c r="N995" s="58" t="s">
        <v>2</v>
      </c>
      <c r="O995" s="58">
        <v>150</v>
      </c>
      <c r="P995" s="58">
        <v>150</v>
      </c>
      <c r="Q995" s="58">
        <v>0</v>
      </c>
      <c r="R995" s="58">
        <v>0</v>
      </c>
      <c r="S995" s="58">
        <v>0</v>
      </c>
      <c r="T995" s="58">
        <v>0</v>
      </c>
      <c r="U995" s="58">
        <v>11</v>
      </c>
      <c r="V995" s="62"/>
      <c r="W995" s="62"/>
      <c r="X995" s="63">
        <f>IFERROR(1 -(Master[[#This Row],[Avg Garment Scans per Delivery]]/Master[[#This Row],[Garment Inventory]]), 0)</f>
        <v>0</v>
      </c>
      <c r="Y995" s="62"/>
      <c r="Z995" s="62"/>
      <c r="AA995" s="53">
        <v>103.76666666666667</v>
      </c>
      <c r="AB995" s="53">
        <v>269.79333333333335</v>
      </c>
      <c r="AC995" s="53">
        <v>198.65444444444444</v>
      </c>
      <c r="AD995" s="53">
        <v>209.09888888888889</v>
      </c>
      <c r="AE995" s="53" t="str">
        <f>_xlfn.XLOOKUP(Master[[#This Row],[cu_id]],'[1]Customer Revenue'!$Q:$Q,'[1]Customer Revenue'!$K:$K, "None")</f>
        <v>None</v>
      </c>
      <c r="AF995" s="53" t="str">
        <f>_xlfn.XLOOKUP(Master[[#This Row],[cu_id]],'[1]Customer Revenue'!$Q:$Q,'[1]Customer Revenue'!$L:$L, "None")</f>
        <v>None</v>
      </c>
      <c r="AG995" s="53">
        <v>134.89666666666668</v>
      </c>
      <c r="AH995" s="53">
        <v>238.66333333333333</v>
      </c>
      <c r="AI995" s="53">
        <v>186.78</v>
      </c>
      <c r="AJ995" s="53">
        <v>203.87666666666667</v>
      </c>
      <c r="AK995" s="53" t="str">
        <f>_xlfn.XLOOKUP(Master[[#This Row],[cu_id]],'[1]Customer Revenue'!$Q:$Q,'[1]Customer Revenue'!$I:$I, "None")</f>
        <v>None</v>
      </c>
      <c r="AL995" s="53">
        <v>186.78</v>
      </c>
      <c r="AM995" s="61">
        <v>0.29166666666666669</v>
      </c>
      <c r="AN995" s="60">
        <v>0.70833333333333337</v>
      </c>
      <c r="AO995" s="60" t="s">
        <v>36</v>
      </c>
      <c r="AP995" s="60" t="s">
        <v>36</v>
      </c>
      <c r="AQ995" s="58" t="s">
        <v>0</v>
      </c>
      <c r="AR995" s="58"/>
      <c r="AS995" s="58"/>
      <c r="AT995" s="52">
        <v>0</v>
      </c>
      <c r="AU995" s="52" t="e">
        <f>IF(Master[[#This Row],[RSP StopTime override]] &lt;&gt; "",Master[[#This Row],[RSP StopTime override]],IF(Master[[#This Row],[Avg stop time helper]] &lt;&gt; 0, Master[[#This Row],[Avg stop time helper]],Average_Stop_Time))</f>
        <v>#DIV/0!</v>
      </c>
      <c r="AV995" s="21"/>
      <c r="AW995" s="20">
        <f>Master[[#This Row],[RSP StopTime override]]-Master[[#This Row],[Avg stop time helper]]</f>
        <v>0</v>
      </c>
    </row>
    <row r="996" spans="1:49" x14ac:dyDescent="0.3">
      <c r="A996" s="66" t="s">
        <v>5013</v>
      </c>
      <c r="B996" s="58">
        <v>56</v>
      </c>
      <c r="C996" s="58" t="s">
        <v>24</v>
      </c>
      <c r="D996" s="65">
        <v>99088</v>
      </c>
      <c r="E996" s="65" t="s">
        <v>1529</v>
      </c>
      <c r="F996" s="65" t="s">
        <v>1528</v>
      </c>
      <c r="G996" s="65" t="s">
        <v>1527</v>
      </c>
      <c r="H996" s="65" t="s">
        <v>7</v>
      </c>
      <c r="I996" s="65" t="s">
        <v>6</v>
      </c>
      <c r="J996" s="65" t="s">
        <v>5</v>
      </c>
      <c r="K996" s="65" t="s">
        <v>68</v>
      </c>
      <c r="L996" s="64" t="s">
        <v>67</v>
      </c>
      <c r="M996" s="58" t="s">
        <v>3</v>
      </c>
      <c r="N996" s="58" t="s">
        <v>2</v>
      </c>
      <c r="O996" s="58">
        <v>190</v>
      </c>
      <c r="P996" s="58">
        <v>190</v>
      </c>
      <c r="Q996" s="58">
        <v>0</v>
      </c>
      <c r="R996" s="58">
        <v>0</v>
      </c>
      <c r="S996" s="58">
        <v>0</v>
      </c>
      <c r="T996" s="58">
        <v>0</v>
      </c>
      <c r="U996" s="58">
        <v>52</v>
      </c>
      <c r="V996" s="62">
        <v>264</v>
      </c>
      <c r="W996" s="62">
        <v>4</v>
      </c>
      <c r="X996" s="63">
        <f>IFERROR(1 -(Master[[#This Row],[Avg Garment Scans per Delivery]]/Master[[#This Row],[Garment Inventory]]), 0)</f>
        <v>0.98484848484848486</v>
      </c>
      <c r="Y996" s="62">
        <v>12</v>
      </c>
      <c r="Z996" s="62">
        <v>264</v>
      </c>
      <c r="AA996" s="53">
        <v>88.8814201183432</v>
      </c>
      <c r="AB996" s="53">
        <v>92.183195266272193</v>
      </c>
      <c r="AC996" s="53">
        <v>72.065621301775124</v>
      </c>
      <c r="AD996" s="53">
        <v>87.898994082840218</v>
      </c>
      <c r="AE996" s="53" t="str">
        <f>_xlfn.XLOOKUP(Master[[#This Row],[cu_id]],'[1]Customer Revenue'!$Q:$Q,'[1]Customer Revenue'!$K:$K, "None")</f>
        <v>None</v>
      </c>
      <c r="AF996" s="53" t="str">
        <f>_xlfn.XLOOKUP(Master[[#This Row],[cu_id]],'[1]Customer Revenue'!$Q:$Q,'[1]Customer Revenue'!$L:$L, "None")</f>
        <v>None</v>
      </c>
      <c r="AG996" s="53">
        <v>85.372514792899381</v>
      </c>
      <c r="AH996" s="53">
        <v>92.100562130177508</v>
      </c>
      <c r="AI996" s="53">
        <v>90.532307692307697</v>
      </c>
      <c r="AJ996" s="53">
        <v>79.982307692307671</v>
      </c>
      <c r="AK996" s="53" t="str">
        <f>_xlfn.XLOOKUP(Master[[#This Row],[cu_id]],'[1]Customer Revenue'!$Q:$Q,'[1]Customer Revenue'!$I:$I, "None")</f>
        <v>None</v>
      </c>
      <c r="AL996" s="53">
        <v>88.736538461538444</v>
      </c>
      <c r="AM996" s="61" t="s">
        <v>36</v>
      </c>
      <c r="AN996" s="60" t="s">
        <v>36</v>
      </c>
      <c r="AO996" s="60" t="s">
        <v>36</v>
      </c>
      <c r="AP996" s="60" t="s">
        <v>36</v>
      </c>
      <c r="AQ996" s="58" t="s">
        <v>0</v>
      </c>
      <c r="AR996" s="58"/>
      <c r="AS996" s="58"/>
      <c r="AT996" s="52">
        <v>0</v>
      </c>
      <c r="AU996" s="52" t="e">
        <f>IF(Master[[#This Row],[RSP StopTime override]] &lt;&gt; "",Master[[#This Row],[RSP StopTime override]],IF(Master[[#This Row],[Avg stop time helper]] &lt;&gt; 0, Master[[#This Row],[Avg stop time helper]],Average_Stop_Time))</f>
        <v>#DIV/0!</v>
      </c>
      <c r="AV996" s="21"/>
      <c r="AW996" s="20">
        <f>Master[[#This Row],[RSP StopTime override]]-Master[[#This Row],[Avg stop time helper]]</f>
        <v>0</v>
      </c>
    </row>
    <row r="997" spans="1:49" x14ac:dyDescent="0.3">
      <c r="A997" s="66" t="s">
        <v>5014</v>
      </c>
      <c r="B997" s="58">
        <v>56</v>
      </c>
      <c r="C997" s="58" t="s">
        <v>24</v>
      </c>
      <c r="D997" s="65">
        <v>99094</v>
      </c>
      <c r="E997" s="65" t="s">
        <v>1526</v>
      </c>
      <c r="F997" s="65" t="s">
        <v>1525</v>
      </c>
      <c r="G997" s="65" t="s">
        <v>1524</v>
      </c>
      <c r="H997" s="65" t="s">
        <v>7</v>
      </c>
      <c r="I997" s="65" t="s">
        <v>6</v>
      </c>
      <c r="J997" s="65" t="s">
        <v>5</v>
      </c>
      <c r="K997" s="65" t="s">
        <v>115</v>
      </c>
      <c r="L997" s="64" t="s">
        <v>91</v>
      </c>
      <c r="M997" s="58" t="s">
        <v>90</v>
      </c>
      <c r="N997" s="58" t="s">
        <v>2</v>
      </c>
      <c r="O997" s="58">
        <v>65</v>
      </c>
      <c r="P997" s="58">
        <v>65</v>
      </c>
      <c r="Q997" s="58">
        <v>0</v>
      </c>
      <c r="R997" s="58">
        <v>0</v>
      </c>
      <c r="S997" s="58">
        <v>0</v>
      </c>
      <c r="T997" s="58">
        <v>0</v>
      </c>
      <c r="U997" s="58">
        <v>36</v>
      </c>
      <c r="V997" s="62"/>
      <c r="W997" s="62"/>
      <c r="X997" s="63">
        <f>IFERROR(1 -(Master[[#This Row],[Avg Garment Scans per Delivery]]/Master[[#This Row],[Garment Inventory]]), 0)</f>
        <v>0</v>
      </c>
      <c r="Y997" s="62"/>
      <c r="Z997" s="62"/>
      <c r="AA997" s="53">
        <v>20.437988165680476</v>
      </c>
      <c r="AB997" s="53">
        <v>25.349704142011834</v>
      </c>
      <c r="AC997" s="53">
        <v>14.700000000000001</v>
      </c>
      <c r="AD997" s="53">
        <v>38.22</v>
      </c>
      <c r="AE997" s="53" t="str">
        <f>_xlfn.XLOOKUP(Master[[#This Row],[cu_id]],'[1]Customer Revenue'!$Q:$Q,'[1]Customer Revenue'!$K:$K, "None")</f>
        <v>None</v>
      </c>
      <c r="AF997" s="53" t="str">
        <f>_xlfn.XLOOKUP(Master[[#This Row],[cu_id]],'[1]Customer Revenue'!$Q:$Q,'[1]Customer Revenue'!$L:$L, "None")</f>
        <v>None</v>
      </c>
      <c r="AG997" s="53">
        <v>19.677542533081279</v>
      </c>
      <c r="AH997" s="53">
        <v>23.837240075614353</v>
      </c>
      <c r="AI997" s="53">
        <v>22.893846153846155</v>
      </c>
      <c r="AJ997" s="53">
        <v>26.46</v>
      </c>
      <c r="AK997" s="53" t="str">
        <f>_xlfn.XLOOKUP(Master[[#This Row],[cu_id]],'[1]Customer Revenue'!$Q:$Q,'[1]Customer Revenue'!$I:$I, "None")</f>
        <v>None</v>
      </c>
      <c r="AL997" s="53">
        <v>21.757391304347816</v>
      </c>
      <c r="AM997" s="61">
        <v>0.375</v>
      </c>
      <c r="AN997" s="60">
        <v>0.70833333333333337</v>
      </c>
      <c r="AO997" s="60" t="s">
        <v>36</v>
      </c>
      <c r="AP997" s="60" t="s">
        <v>36</v>
      </c>
      <c r="AQ997" s="58" t="s">
        <v>0</v>
      </c>
      <c r="AR997" s="58"/>
      <c r="AS997" s="58"/>
      <c r="AT997" s="52">
        <v>0</v>
      </c>
      <c r="AU997" s="52" t="e">
        <f>IF(Master[[#This Row],[RSP StopTime override]] &lt;&gt; "",Master[[#This Row],[RSP StopTime override]],IF(Master[[#This Row],[Avg stop time helper]] &lt;&gt; 0, Master[[#This Row],[Avg stop time helper]],Average_Stop_Time))</f>
        <v>#DIV/0!</v>
      </c>
      <c r="AV997" s="21"/>
      <c r="AW997" s="20">
        <f>Master[[#This Row],[RSP StopTime override]]-Master[[#This Row],[Avg stop time helper]]</f>
        <v>0</v>
      </c>
    </row>
    <row r="998" spans="1:49" x14ac:dyDescent="0.3">
      <c r="A998" s="66" t="s">
        <v>5015</v>
      </c>
      <c r="B998" s="58">
        <v>56</v>
      </c>
      <c r="C998" s="58" t="s">
        <v>24</v>
      </c>
      <c r="D998" s="65">
        <v>99104</v>
      </c>
      <c r="E998" s="65" t="s">
        <v>1523</v>
      </c>
      <c r="F998" s="65" t="s">
        <v>1522</v>
      </c>
      <c r="G998" s="65" t="s">
        <v>1521</v>
      </c>
      <c r="H998" s="65" t="s">
        <v>7</v>
      </c>
      <c r="I998" s="65" t="s">
        <v>12</v>
      </c>
      <c r="J998" s="65" t="s">
        <v>5</v>
      </c>
      <c r="K998" s="65" t="s">
        <v>30</v>
      </c>
      <c r="L998" s="64" t="s">
        <v>141</v>
      </c>
      <c r="M998" s="58" t="s">
        <v>140</v>
      </c>
      <c r="N998" s="58" t="s">
        <v>2</v>
      </c>
      <c r="O998" s="58">
        <v>200</v>
      </c>
      <c r="P998" s="58">
        <v>200</v>
      </c>
      <c r="Q998" s="58">
        <v>0</v>
      </c>
      <c r="R998" s="58">
        <v>0</v>
      </c>
      <c r="S998" s="58">
        <v>0</v>
      </c>
      <c r="T998" s="58">
        <v>0</v>
      </c>
      <c r="U998" s="58">
        <v>15</v>
      </c>
      <c r="V998" s="62"/>
      <c r="W998" s="62"/>
      <c r="X998" s="63">
        <f>IFERROR(1 -(Master[[#This Row],[Avg Garment Scans per Delivery]]/Master[[#This Row],[Garment Inventory]]), 0)</f>
        <v>0</v>
      </c>
      <c r="Y998" s="62"/>
      <c r="Z998" s="62"/>
      <c r="AA998" s="53">
        <v>66.132222222222239</v>
      </c>
      <c r="AB998" s="53">
        <v>112.59444444444445</v>
      </c>
      <c r="AC998" s="53">
        <v>30.616666666666667</v>
      </c>
      <c r="AD998" s="53">
        <v>116.80333333333331</v>
      </c>
      <c r="AE998" s="53" t="str">
        <f>_xlfn.XLOOKUP(Master[[#This Row],[cu_id]],'[1]Customer Revenue'!$Q:$Q,'[1]Customer Revenue'!$K:$K, "None")</f>
        <v>None</v>
      </c>
      <c r="AF998" s="53" t="str">
        <f>_xlfn.XLOOKUP(Master[[#This Row],[cu_id]],'[1]Customer Revenue'!$Q:$Q,'[1]Customer Revenue'!$L:$L, "None")</f>
        <v>None</v>
      </c>
      <c r="AG998" s="53">
        <v>38.829687499999991</v>
      </c>
      <c r="AH998" s="53">
        <v>83.732812500000009</v>
      </c>
      <c r="AI998" s="53">
        <v>89.363333333333344</v>
      </c>
      <c r="AJ998" s="53">
        <v>73.709999999999994</v>
      </c>
      <c r="AK998" s="53" t="str">
        <f>_xlfn.XLOOKUP(Master[[#This Row],[cu_id]],'[1]Customer Revenue'!$Q:$Q,'[1]Customer Revenue'!$I:$I, "None")</f>
        <v>None</v>
      </c>
      <c r="AL998" s="53">
        <v>61.28125</v>
      </c>
      <c r="AM998" s="61">
        <v>0.375</v>
      </c>
      <c r="AN998" s="60">
        <v>0.70833333333333337</v>
      </c>
      <c r="AO998" s="60" t="s">
        <v>36</v>
      </c>
      <c r="AP998" s="60" t="s">
        <v>36</v>
      </c>
      <c r="AQ998" s="58" t="s">
        <v>0</v>
      </c>
      <c r="AR998" s="58"/>
      <c r="AS998" s="58"/>
      <c r="AT998" s="52">
        <v>0</v>
      </c>
      <c r="AU998" s="52" t="e">
        <f>IF(Master[[#This Row],[RSP StopTime override]] &lt;&gt; "",Master[[#This Row],[RSP StopTime override]],IF(Master[[#This Row],[Avg stop time helper]] &lt;&gt; 0, Master[[#This Row],[Avg stop time helper]],Average_Stop_Time))</f>
        <v>#DIV/0!</v>
      </c>
      <c r="AV998" s="21"/>
      <c r="AW998" s="20">
        <f>Master[[#This Row],[RSP StopTime override]]-Master[[#This Row],[Avg stop time helper]]</f>
        <v>0</v>
      </c>
    </row>
    <row r="999" spans="1:49" x14ac:dyDescent="0.3">
      <c r="A999" s="66" t="s">
        <v>5016</v>
      </c>
      <c r="B999" s="58">
        <v>56</v>
      </c>
      <c r="C999" s="58" t="s">
        <v>24</v>
      </c>
      <c r="D999" s="65">
        <v>99104</v>
      </c>
      <c r="E999" s="65" t="s">
        <v>1520</v>
      </c>
      <c r="F999" s="65" t="s">
        <v>1519</v>
      </c>
      <c r="G999" s="65" t="s">
        <v>1518</v>
      </c>
      <c r="H999" s="65" t="s">
        <v>7</v>
      </c>
      <c r="I999" s="65" t="s">
        <v>6</v>
      </c>
      <c r="J999" s="65" t="s">
        <v>5</v>
      </c>
      <c r="K999" s="65" t="s">
        <v>146</v>
      </c>
      <c r="L999" s="64" t="s">
        <v>67</v>
      </c>
      <c r="M999" s="58" t="s">
        <v>3</v>
      </c>
      <c r="N999" s="58" t="s">
        <v>2</v>
      </c>
      <c r="O999" s="58">
        <v>5</v>
      </c>
      <c r="P999" s="58">
        <v>5</v>
      </c>
      <c r="Q999" s="58">
        <v>0</v>
      </c>
      <c r="R999" s="58">
        <v>0</v>
      </c>
      <c r="S999" s="58">
        <v>0</v>
      </c>
      <c r="T999" s="58">
        <v>0</v>
      </c>
      <c r="U999" s="58">
        <v>52</v>
      </c>
      <c r="V999" s="62">
        <v>22</v>
      </c>
      <c r="W999" s="62">
        <v>6</v>
      </c>
      <c r="X999" s="63">
        <f>IFERROR(1 -(Master[[#This Row],[Avg Garment Scans per Delivery]]/Master[[#This Row],[Garment Inventory]]), 0)</f>
        <v>0.72727272727272729</v>
      </c>
      <c r="Y999" s="62">
        <v>1</v>
      </c>
      <c r="Z999" s="62">
        <v>22</v>
      </c>
      <c r="AA999" s="53">
        <v>25.87655416012559</v>
      </c>
      <c r="AB999" s="53">
        <v>44.912676609105191</v>
      </c>
      <c r="AC999" s="53">
        <v>29.011183431952663</v>
      </c>
      <c r="AD999" s="53">
        <v>44.996508875739636</v>
      </c>
      <c r="AE999" s="53" t="str">
        <f>_xlfn.XLOOKUP(Master[[#This Row],[cu_id]],'[1]Customer Revenue'!$Q:$Q,'[1]Customer Revenue'!$K:$K, "None")</f>
        <v>None</v>
      </c>
      <c r="AF999" s="53" t="str">
        <f>_xlfn.XLOOKUP(Master[[#This Row],[cu_id]],'[1]Customer Revenue'!$Q:$Q,'[1]Customer Revenue'!$L:$L, "None")</f>
        <v>None</v>
      </c>
      <c r="AG999" s="53">
        <v>26.743589743589741</v>
      </c>
      <c r="AH999" s="53">
        <v>41.850256410256407</v>
      </c>
      <c r="AI999" s="53">
        <v>35.394615384615392</v>
      </c>
      <c r="AJ999" s="53">
        <v>37.003846153846148</v>
      </c>
      <c r="AK999" s="53" t="str">
        <f>_xlfn.XLOOKUP(Master[[#This Row],[cu_id]],'[1]Customer Revenue'!$Q:$Q,'[1]Customer Revenue'!$I:$I, "None")</f>
        <v>None</v>
      </c>
      <c r="AL999" s="53">
        <v>34.296923076923072</v>
      </c>
      <c r="AM999" s="61">
        <v>0.29166666666666669</v>
      </c>
      <c r="AN999" s="60">
        <v>0.70833333333333337</v>
      </c>
      <c r="AO999" s="60" t="s">
        <v>36</v>
      </c>
      <c r="AP999" s="60" t="s">
        <v>36</v>
      </c>
      <c r="AQ999" s="58" t="s">
        <v>0</v>
      </c>
      <c r="AR999" s="58"/>
      <c r="AS999" s="58"/>
      <c r="AT999" s="52">
        <v>0</v>
      </c>
      <c r="AU999" s="52" t="e">
        <f>IF(Master[[#This Row],[RSP StopTime override]] &lt;&gt; "",Master[[#This Row],[RSP StopTime override]],IF(Master[[#This Row],[Avg stop time helper]] &lt;&gt; 0, Master[[#This Row],[Avg stop time helper]],Average_Stop_Time))</f>
        <v>#DIV/0!</v>
      </c>
      <c r="AV999" s="21"/>
      <c r="AW999" s="20">
        <f>Master[[#This Row],[RSP StopTime override]]-Master[[#This Row],[Avg stop time helper]]</f>
        <v>0</v>
      </c>
    </row>
    <row r="1000" spans="1:49" x14ac:dyDescent="0.3">
      <c r="A1000" s="66" t="s">
        <v>5017</v>
      </c>
      <c r="B1000" s="58">
        <v>56</v>
      </c>
      <c r="C1000" s="58" t="s">
        <v>24</v>
      </c>
      <c r="D1000" s="65">
        <v>99117</v>
      </c>
      <c r="E1000" s="65" t="s">
        <v>1517</v>
      </c>
      <c r="F1000" s="65" t="s">
        <v>3724</v>
      </c>
      <c r="G1000" s="65" t="s">
        <v>1516</v>
      </c>
      <c r="H1000" s="65" t="s">
        <v>7</v>
      </c>
      <c r="I1000" s="65" t="s">
        <v>6</v>
      </c>
      <c r="J1000" s="65" t="s">
        <v>5</v>
      </c>
      <c r="K1000" s="65" t="s">
        <v>115</v>
      </c>
      <c r="L1000" s="64" t="s">
        <v>67</v>
      </c>
      <c r="M1000" s="58" t="s">
        <v>3</v>
      </c>
      <c r="N1000" s="58" t="s">
        <v>2</v>
      </c>
      <c r="O1000" s="58">
        <v>65</v>
      </c>
      <c r="P1000" s="58">
        <v>65</v>
      </c>
      <c r="Q1000" s="58">
        <v>0</v>
      </c>
      <c r="R1000" s="58">
        <v>0</v>
      </c>
      <c r="S1000" s="58">
        <v>0</v>
      </c>
      <c r="T1000" s="58">
        <v>0</v>
      </c>
      <c r="U1000" s="58">
        <v>47</v>
      </c>
      <c r="V1000" s="62"/>
      <c r="W1000" s="62"/>
      <c r="X1000" s="63">
        <f>IFERROR(1 -(Master[[#This Row],[Avg Garment Scans per Delivery]]/Master[[#This Row],[Garment Inventory]]), 0)</f>
        <v>0</v>
      </c>
      <c r="Y1000" s="62"/>
      <c r="Z1000" s="62"/>
      <c r="AA1000" s="53">
        <v>42.936575443786964</v>
      </c>
      <c r="AB1000" s="53">
        <v>120.12592455621301</v>
      </c>
      <c r="AC1000" s="53">
        <v>40.732438016528931</v>
      </c>
      <c r="AD1000" s="53">
        <v>110.91756198347107</v>
      </c>
      <c r="AE1000" s="53" t="str">
        <f>_xlfn.XLOOKUP(Master[[#This Row],[cu_id]],'[1]Customer Revenue'!$Q:$Q,'[1]Customer Revenue'!$K:$K, "None")</f>
        <v>None</v>
      </c>
      <c r="AF1000" s="53" t="str">
        <f>_xlfn.XLOOKUP(Master[[#This Row],[cu_id]],'[1]Customer Revenue'!$Q:$Q,'[1]Customer Revenue'!$L:$L, "None")</f>
        <v>None</v>
      </c>
      <c r="AG1000" s="53">
        <v>48.712690898844755</v>
      </c>
      <c r="AH1000" s="53">
        <v>92.616832910679079</v>
      </c>
      <c r="AI1000" s="53">
        <v>81.531249999999986</v>
      </c>
      <c r="AJ1000" s="53">
        <v>75.825000000000003</v>
      </c>
      <c r="AK1000" s="53" t="str">
        <f>_xlfn.XLOOKUP(Master[[#This Row],[cu_id]],'[1]Customer Revenue'!$Q:$Q,'[1]Customer Revenue'!$I:$I, "None")</f>
        <v>None</v>
      </c>
      <c r="AL1000" s="53">
        <v>70.664761904761917</v>
      </c>
      <c r="AM1000" s="61" t="s">
        <v>36</v>
      </c>
      <c r="AN1000" s="60" t="s">
        <v>36</v>
      </c>
      <c r="AO1000" s="60" t="s">
        <v>36</v>
      </c>
      <c r="AP1000" s="60" t="s">
        <v>36</v>
      </c>
      <c r="AQ1000" s="58" t="s">
        <v>0</v>
      </c>
      <c r="AR1000" s="58"/>
      <c r="AS1000" s="58"/>
      <c r="AT1000" s="52">
        <v>0</v>
      </c>
      <c r="AU1000" s="52" t="e">
        <f>IF(Master[[#This Row],[RSP StopTime override]] &lt;&gt; "",Master[[#This Row],[RSP StopTime override]],IF(Master[[#This Row],[Avg stop time helper]] &lt;&gt; 0, Master[[#This Row],[Avg stop time helper]],Average_Stop_Time))</f>
        <v>#DIV/0!</v>
      </c>
      <c r="AV1000" s="21"/>
      <c r="AW1000" s="20">
        <f>Master[[#This Row],[RSP StopTime override]]-Master[[#This Row],[Avg stop time helper]]</f>
        <v>0</v>
      </c>
    </row>
    <row r="1001" spans="1:49" x14ac:dyDescent="0.3">
      <c r="A1001" s="66" t="s">
        <v>5018</v>
      </c>
      <c r="B1001" s="58">
        <v>56</v>
      </c>
      <c r="C1001" s="58" t="s">
        <v>24</v>
      </c>
      <c r="D1001" s="65">
        <v>99117</v>
      </c>
      <c r="E1001" s="65" t="s">
        <v>1154</v>
      </c>
      <c r="F1001" s="65" t="s">
        <v>3725</v>
      </c>
      <c r="G1001" s="65" t="s">
        <v>1515</v>
      </c>
      <c r="H1001" s="65" t="s">
        <v>7</v>
      </c>
      <c r="I1001" s="65" t="s">
        <v>6</v>
      </c>
      <c r="J1001" s="65" t="s">
        <v>5</v>
      </c>
      <c r="K1001" s="65" t="s">
        <v>115</v>
      </c>
      <c r="L1001" s="64" t="s">
        <v>67</v>
      </c>
      <c r="M1001" s="58" t="s">
        <v>3</v>
      </c>
      <c r="N1001" s="58" t="s">
        <v>2</v>
      </c>
      <c r="O1001" s="58">
        <v>60</v>
      </c>
      <c r="P1001" s="58">
        <v>60</v>
      </c>
      <c r="Q1001" s="58">
        <v>0</v>
      </c>
      <c r="R1001" s="58">
        <v>0</v>
      </c>
      <c r="S1001" s="58">
        <v>0</v>
      </c>
      <c r="T1001" s="58">
        <v>0</v>
      </c>
      <c r="U1001" s="58">
        <v>52</v>
      </c>
      <c r="V1001" s="62"/>
      <c r="W1001" s="62"/>
      <c r="X1001" s="63">
        <f>IFERROR(1 -(Master[[#This Row],[Avg Garment Scans per Delivery]]/Master[[#This Row],[Garment Inventory]]), 0)</f>
        <v>0</v>
      </c>
      <c r="Y1001" s="62"/>
      <c r="Z1001" s="62"/>
      <c r="AA1001" s="53">
        <v>94.80680473372783</v>
      </c>
      <c r="AB1001" s="53">
        <v>101.29011834319527</v>
      </c>
      <c r="AC1001" s="53">
        <v>97.019171597633132</v>
      </c>
      <c r="AD1001" s="53">
        <v>100.91313609467453</v>
      </c>
      <c r="AE1001" s="53" t="str">
        <f>_xlfn.XLOOKUP(Master[[#This Row],[cu_id]],'[1]Customer Revenue'!$Q:$Q,'[1]Customer Revenue'!$K:$K, "None")</f>
        <v>None</v>
      </c>
      <c r="AF1001" s="53" t="str">
        <f>_xlfn.XLOOKUP(Master[[#This Row],[cu_id]],'[1]Customer Revenue'!$Q:$Q,'[1]Customer Revenue'!$L:$L, "None")</f>
        <v>None</v>
      </c>
      <c r="AG1001" s="53">
        <v>93.234733727810678</v>
      </c>
      <c r="AH1001" s="53">
        <v>98.711420118343241</v>
      </c>
      <c r="AI1001" s="53">
        <v>98.048461538461552</v>
      </c>
      <c r="AJ1001" s="53">
        <v>98.96615384615383</v>
      </c>
      <c r="AK1001" s="53" t="str">
        <f>_xlfn.XLOOKUP(Master[[#This Row],[cu_id]],'[1]Customer Revenue'!$Q:$Q,'[1]Customer Revenue'!$I:$I, "None")</f>
        <v>None</v>
      </c>
      <c r="AL1001" s="53">
        <v>95.97307692307696</v>
      </c>
      <c r="AM1001" s="61" t="s">
        <v>36</v>
      </c>
      <c r="AN1001" s="60" t="s">
        <v>36</v>
      </c>
      <c r="AO1001" s="60" t="s">
        <v>36</v>
      </c>
      <c r="AP1001" s="60" t="s">
        <v>36</v>
      </c>
      <c r="AQ1001" s="58" t="s">
        <v>0</v>
      </c>
      <c r="AR1001" s="58"/>
      <c r="AS1001" s="58"/>
      <c r="AT1001" s="52">
        <v>0</v>
      </c>
      <c r="AU1001" s="52" t="e">
        <f>IF(Master[[#This Row],[RSP StopTime override]] &lt;&gt; "",Master[[#This Row],[RSP StopTime override]],IF(Master[[#This Row],[Avg stop time helper]] &lt;&gt; 0, Master[[#This Row],[Avg stop time helper]],Average_Stop_Time))</f>
        <v>#DIV/0!</v>
      </c>
      <c r="AV1001" s="21"/>
      <c r="AW1001" s="20">
        <f>Master[[#This Row],[RSP StopTime override]]-Master[[#This Row],[Avg stop time helper]]</f>
        <v>0</v>
      </c>
    </row>
    <row r="1002" spans="1:49" x14ac:dyDescent="0.3">
      <c r="A1002" s="66" t="s">
        <v>5019</v>
      </c>
      <c r="B1002" s="58">
        <v>56</v>
      </c>
      <c r="C1002" s="58" t="s">
        <v>24</v>
      </c>
      <c r="D1002" s="65">
        <v>99117</v>
      </c>
      <c r="E1002" s="65" t="s">
        <v>1169</v>
      </c>
      <c r="F1002" s="65" t="s">
        <v>3726</v>
      </c>
      <c r="G1002" s="65" t="s">
        <v>1514</v>
      </c>
      <c r="H1002" s="65" t="s">
        <v>7</v>
      </c>
      <c r="I1002" s="65" t="s">
        <v>6</v>
      </c>
      <c r="J1002" s="65" t="s">
        <v>5</v>
      </c>
      <c r="K1002" s="65" t="s">
        <v>1513</v>
      </c>
      <c r="L1002" s="64" t="s">
        <v>67</v>
      </c>
      <c r="M1002" s="58" t="s">
        <v>3</v>
      </c>
      <c r="N1002" s="58" t="s">
        <v>2</v>
      </c>
      <c r="O1002" s="58">
        <v>118</v>
      </c>
      <c r="P1002" s="58">
        <v>118</v>
      </c>
      <c r="Q1002" s="58">
        <v>0</v>
      </c>
      <c r="R1002" s="58">
        <v>0</v>
      </c>
      <c r="S1002" s="58">
        <v>0</v>
      </c>
      <c r="T1002" s="58">
        <v>0</v>
      </c>
      <c r="U1002" s="58">
        <v>53</v>
      </c>
      <c r="V1002" s="62"/>
      <c r="W1002" s="62"/>
      <c r="X1002" s="63">
        <f>IFERROR(1 -(Master[[#This Row],[Avg Garment Scans per Delivery]]/Master[[#This Row],[Garment Inventory]]), 0)</f>
        <v>0</v>
      </c>
      <c r="Y1002" s="62"/>
      <c r="Z1002" s="62"/>
      <c r="AA1002" s="53">
        <v>74.273609467455628</v>
      </c>
      <c r="AB1002" s="53">
        <v>75.338698224852095</v>
      </c>
      <c r="AC1002" s="53">
        <v>54.165976331360952</v>
      </c>
      <c r="AD1002" s="53">
        <v>70.770946745562142</v>
      </c>
      <c r="AE1002" s="53" t="str">
        <f>_xlfn.XLOOKUP(Master[[#This Row],[cu_id]],'[1]Customer Revenue'!$Q:$Q,'[1]Customer Revenue'!$K:$K, "None")</f>
        <v>None</v>
      </c>
      <c r="AF1002" s="53" t="str">
        <f>_xlfn.XLOOKUP(Master[[#This Row],[cu_id]],'[1]Customer Revenue'!$Q:$Q,'[1]Customer Revenue'!$L:$L, "None")</f>
        <v>None</v>
      </c>
      <c r="AG1002" s="53">
        <v>62.211479289940868</v>
      </c>
      <c r="AH1002" s="53">
        <v>76.393136094674574</v>
      </c>
      <c r="AI1002" s="53">
        <v>74.806153846153862</v>
      </c>
      <c r="AJ1002" s="53">
        <v>62.468461538461547</v>
      </c>
      <c r="AK1002" s="53" t="str">
        <f>_xlfn.XLOOKUP(Master[[#This Row],[cu_id]],'[1]Customer Revenue'!$Q:$Q,'[1]Customer Revenue'!$I:$I, "None")</f>
        <v>None</v>
      </c>
      <c r="AL1002" s="53">
        <v>69.302307692307721</v>
      </c>
      <c r="AM1002" s="61" t="s">
        <v>36</v>
      </c>
      <c r="AN1002" s="60" t="s">
        <v>36</v>
      </c>
      <c r="AO1002" s="60" t="s">
        <v>36</v>
      </c>
      <c r="AP1002" s="60" t="s">
        <v>36</v>
      </c>
      <c r="AQ1002" s="58" t="s">
        <v>0</v>
      </c>
      <c r="AR1002" s="58"/>
      <c r="AS1002" s="58"/>
      <c r="AT1002" s="52">
        <v>0</v>
      </c>
      <c r="AU1002" s="52" t="e">
        <f>IF(Master[[#This Row],[RSP StopTime override]] &lt;&gt; "",Master[[#This Row],[RSP StopTime override]],IF(Master[[#This Row],[Avg stop time helper]] &lt;&gt; 0, Master[[#This Row],[Avg stop time helper]],Average_Stop_Time))</f>
        <v>#DIV/0!</v>
      </c>
      <c r="AV1002" s="21"/>
      <c r="AW1002" s="20">
        <f>Master[[#This Row],[RSP StopTime override]]-Master[[#This Row],[Avg stop time helper]]</f>
        <v>0</v>
      </c>
    </row>
    <row r="1003" spans="1:49" x14ac:dyDescent="0.3">
      <c r="A1003" s="66" t="s">
        <v>5020</v>
      </c>
      <c r="B1003" s="58">
        <v>56</v>
      </c>
      <c r="C1003" s="58" t="s">
        <v>24</v>
      </c>
      <c r="D1003" s="65">
        <v>99117</v>
      </c>
      <c r="E1003" s="65" t="s">
        <v>1167</v>
      </c>
      <c r="F1003" s="65" t="s">
        <v>3727</v>
      </c>
      <c r="G1003" s="65" t="s">
        <v>1512</v>
      </c>
      <c r="H1003" s="65" t="s">
        <v>7</v>
      </c>
      <c r="I1003" s="65" t="s">
        <v>6</v>
      </c>
      <c r="J1003" s="65" t="s">
        <v>5</v>
      </c>
      <c r="K1003" s="65" t="s">
        <v>146</v>
      </c>
      <c r="L1003" s="64" t="s">
        <v>67</v>
      </c>
      <c r="M1003" s="58" t="s">
        <v>3</v>
      </c>
      <c r="N1003" s="58" t="s">
        <v>2</v>
      </c>
      <c r="O1003" s="58">
        <v>173</v>
      </c>
      <c r="P1003" s="58">
        <v>173</v>
      </c>
      <c r="Q1003" s="58">
        <v>0</v>
      </c>
      <c r="R1003" s="58">
        <v>0</v>
      </c>
      <c r="S1003" s="58">
        <v>0</v>
      </c>
      <c r="T1003" s="58">
        <v>0</v>
      </c>
      <c r="U1003" s="58">
        <v>52</v>
      </c>
      <c r="V1003" s="62"/>
      <c r="W1003" s="62"/>
      <c r="X1003" s="63">
        <f>IFERROR(1 -(Master[[#This Row],[Avg Garment Scans per Delivery]]/Master[[#This Row],[Garment Inventory]]), 0)</f>
        <v>0</v>
      </c>
      <c r="Y1003" s="62"/>
      <c r="Z1003" s="62"/>
      <c r="AA1003" s="53">
        <v>94.183609467455625</v>
      </c>
      <c r="AB1003" s="53">
        <v>95.248698224852063</v>
      </c>
      <c r="AC1003" s="53">
        <v>77.798816568047329</v>
      </c>
      <c r="AD1003" s="53">
        <v>91.567337278106521</v>
      </c>
      <c r="AE1003" s="53" t="str">
        <f>_xlfn.XLOOKUP(Master[[#This Row],[cu_id]],'[1]Customer Revenue'!$Q:$Q,'[1]Customer Revenue'!$K:$K, "None")</f>
        <v>None</v>
      </c>
      <c r="AF1003" s="53" t="str">
        <f>_xlfn.XLOOKUP(Master[[#This Row],[cu_id]],'[1]Customer Revenue'!$Q:$Q,'[1]Customer Revenue'!$L:$L, "None")</f>
        <v>None</v>
      </c>
      <c r="AG1003" s="53">
        <v>85.880887573964401</v>
      </c>
      <c r="AH1003" s="53">
        <v>96.694497041420107</v>
      </c>
      <c r="AI1003" s="53">
        <v>94.716153846153844</v>
      </c>
      <c r="AJ1003" s="53">
        <v>84.683076923076925</v>
      </c>
      <c r="AK1003" s="53" t="str">
        <f>_xlfn.XLOOKUP(Master[[#This Row],[cu_id]],'[1]Customer Revenue'!$Q:$Q,'[1]Customer Revenue'!$I:$I, "None")</f>
        <v>None</v>
      </c>
      <c r="AL1003" s="53">
        <v>91.287692307692254</v>
      </c>
      <c r="AM1003" s="61" t="s">
        <v>36</v>
      </c>
      <c r="AN1003" s="60" t="s">
        <v>36</v>
      </c>
      <c r="AO1003" s="60" t="s">
        <v>36</v>
      </c>
      <c r="AP1003" s="60" t="s">
        <v>36</v>
      </c>
      <c r="AQ1003" s="58" t="s">
        <v>0</v>
      </c>
      <c r="AR1003" s="58"/>
      <c r="AS1003" s="58"/>
      <c r="AT1003" s="52">
        <v>0</v>
      </c>
      <c r="AU1003" s="52" t="e">
        <f>IF(Master[[#This Row],[RSP StopTime override]] &lt;&gt; "",Master[[#This Row],[RSP StopTime override]],IF(Master[[#This Row],[Avg stop time helper]] &lt;&gt; 0, Master[[#This Row],[Avg stop time helper]],Average_Stop_Time))</f>
        <v>#DIV/0!</v>
      </c>
      <c r="AV1003" s="21"/>
      <c r="AW1003" s="20">
        <f>Master[[#This Row],[RSP StopTime override]]-Master[[#This Row],[Avg stop time helper]]</f>
        <v>0</v>
      </c>
    </row>
    <row r="1004" spans="1:49" x14ac:dyDescent="0.3">
      <c r="A1004" s="66" t="s">
        <v>5021</v>
      </c>
      <c r="B1004" s="58">
        <v>56</v>
      </c>
      <c r="C1004" s="58" t="s">
        <v>24</v>
      </c>
      <c r="D1004" s="65">
        <v>99117</v>
      </c>
      <c r="E1004" s="65" t="s">
        <v>1165</v>
      </c>
      <c r="F1004" s="65" t="s">
        <v>3728</v>
      </c>
      <c r="G1004" s="65" t="s">
        <v>1511</v>
      </c>
      <c r="H1004" s="65" t="s">
        <v>7</v>
      </c>
      <c r="I1004" s="65" t="s">
        <v>6</v>
      </c>
      <c r="J1004" s="65" t="s">
        <v>5</v>
      </c>
      <c r="K1004" s="65" t="s">
        <v>146</v>
      </c>
      <c r="L1004" s="64" t="s">
        <v>67</v>
      </c>
      <c r="M1004" s="58" t="s">
        <v>3</v>
      </c>
      <c r="N1004" s="58" t="s">
        <v>2</v>
      </c>
      <c r="O1004" s="58">
        <v>176</v>
      </c>
      <c r="P1004" s="58">
        <v>176</v>
      </c>
      <c r="Q1004" s="58">
        <v>0</v>
      </c>
      <c r="R1004" s="58">
        <v>0</v>
      </c>
      <c r="S1004" s="58">
        <v>0</v>
      </c>
      <c r="T1004" s="58">
        <v>0</v>
      </c>
      <c r="U1004" s="58">
        <v>53</v>
      </c>
      <c r="V1004" s="62"/>
      <c r="W1004" s="62"/>
      <c r="X1004" s="63">
        <f>IFERROR(1 -(Master[[#This Row],[Avg Garment Scans per Delivery]]/Master[[#This Row],[Garment Inventory]]), 0)</f>
        <v>0</v>
      </c>
      <c r="Y1004" s="62"/>
      <c r="Z1004" s="62"/>
      <c r="AA1004" s="53">
        <v>81.957633136094699</v>
      </c>
      <c r="AB1004" s="53">
        <v>85.353136094674568</v>
      </c>
      <c r="AC1004" s="53">
        <v>73.755029585798823</v>
      </c>
      <c r="AD1004" s="53">
        <v>76.940355029585803</v>
      </c>
      <c r="AE1004" s="53" t="str">
        <f>_xlfn.XLOOKUP(Master[[#This Row],[cu_id]],'[1]Customer Revenue'!$Q:$Q,'[1]Customer Revenue'!$K:$K, "None")</f>
        <v>None</v>
      </c>
      <c r="AF1004" s="53" t="str">
        <f>_xlfn.XLOOKUP(Master[[#This Row],[cu_id]],'[1]Customer Revenue'!$Q:$Q,'[1]Customer Revenue'!$L:$L, "None")</f>
        <v>None</v>
      </c>
      <c r="AG1004" s="53">
        <v>70.914497041420148</v>
      </c>
      <c r="AH1004" s="53">
        <v>84.028579881656825</v>
      </c>
      <c r="AI1004" s="53">
        <v>83.655384615384634</v>
      </c>
      <c r="AJ1004" s="53">
        <v>75.347692307692313</v>
      </c>
      <c r="AK1004" s="53" t="str">
        <f>_xlfn.XLOOKUP(Master[[#This Row],[cu_id]],'[1]Customer Revenue'!$Q:$Q,'[1]Customer Revenue'!$I:$I, "None")</f>
        <v>None</v>
      </c>
      <c r="AL1004" s="53">
        <v>77.471538461538486</v>
      </c>
      <c r="AM1004" s="61" t="s">
        <v>36</v>
      </c>
      <c r="AN1004" s="60" t="s">
        <v>36</v>
      </c>
      <c r="AO1004" s="60" t="s">
        <v>36</v>
      </c>
      <c r="AP1004" s="60" t="s">
        <v>36</v>
      </c>
      <c r="AQ1004" s="58" t="s">
        <v>0</v>
      </c>
      <c r="AR1004" s="58"/>
      <c r="AS1004" s="58"/>
      <c r="AT1004" s="52">
        <v>0</v>
      </c>
      <c r="AU1004" s="52" t="e">
        <f>IF(Master[[#This Row],[RSP StopTime override]] &lt;&gt; "",Master[[#This Row],[RSP StopTime override]],IF(Master[[#This Row],[Avg stop time helper]] &lt;&gt; 0, Master[[#This Row],[Avg stop time helper]],Average_Stop_Time))</f>
        <v>#DIV/0!</v>
      </c>
      <c r="AV1004" s="21"/>
      <c r="AW1004" s="20">
        <f>Master[[#This Row],[RSP StopTime override]]-Master[[#This Row],[Avg stop time helper]]</f>
        <v>0</v>
      </c>
    </row>
    <row r="1005" spans="1:49" x14ac:dyDescent="0.3">
      <c r="A1005" s="66" t="s">
        <v>5022</v>
      </c>
      <c r="B1005" s="58">
        <v>56</v>
      </c>
      <c r="C1005" s="58" t="s">
        <v>24</v>
      </c>
      <c r="D1005" s="65">
        <v>99117</v>
      </c>
      <c r="E1005" s="65" t="s">
        <v>803</v>
      </c>
      <c r="F1005" s="65" t="s">
        <v>3729</v>
      </c>
      <c r="G1005" s="65" t="s">
        <v>1510</v>
      </c>
      <c r="H1005" s="65" t="s">
        <v>7</v>
      </c>
      <c r="I1005" s="65" t="s">
        <v>6</v>
      </c>
      <c r="J1005" s="65" t="s">
        <v>5</v>
      </c>
      <c r="K1005" s="65" t="s">
        <v>68</v>
      </c>
      <c r="L1005" s="64" t="s">
        <v>67</v>
      </c>
      <c r="M1005" s="58" t="s">
        <v>3</v>
      </c>
      <c r="N1005" s="58" t="s">
        <v>2</v>
      </c>
      <c r="O1005" s="58">
        <v>195</v>
      </c>
      <c r="P1005" s="58">
        <v>195</v>
      </c>
      <c r="Q1005" s="58">
        <v>0</v>
      </c>
      <c r="R1005" s="58">
        <v>0</v>
      </c>
      <c r="S1005" s="58">
        <v>0</v>
      </c>
      <c r="T1005" s="58">
        <v>0</v>
      </c>
      <c r="U1005" s="58">
        <v>52</v>
      </c>
      <c r="V1005" s="62"/>
      <c r="W1005" s="62"/>
      <c r="X1005" s="63">
        <f>IFERROR(1 -(Master[[#This Row],[Avg Garment Scans per Delivery]]/Master[[#This Row],[Garment Inventory]]), 0)</f>
        <v>0</v>
      </c>
      <c r="Y1005" s="62"/>
      <c r="Z1005" s="62"/>
      <c r="AA1005" s="53">
        <v>69.113609467455603</v>
      </c>
      <c r="AB1005" s="53">
        <v>70.178698224852042</v>
      </c>
      <c r="AC1005" s="53">
        <v>70.59704142011833</v>
      </c>
      <c r="AD1005" s="53">
        <v>72.058343195266275</v>
      </c>
      <c r="AE1005" s="53" t="str">
        <f>_xlfn.XLOOKUP(Master[[#This Row],[cu_id]],'[1]Customer Revenue'!$Q:$Q,'[1]Customer Revenue'!$K:$K, "None")</f>
        <v>None</v>
      </c>
      <c r="AF1005" s="53" t="str">
        <f>_xlfn.XLOOKUP(Master[[#This Row],[cu_id]],'[1]Customer Revenue'!$Q:$Q,'[1]Customer Revenue'!$L:$L, "None")</f>
        <v>None</v>
      </c>
      <c r="AG1005" s="53">
        <v>67.709171597633087</v>
      </c>
      <c r="AH1005" s="53">
        <v>69.966213017751471</v>
      </c>
      <c r="AI1005" s="53">
        <v>69.646153846153823</v>
      </c>
      <c r="AJ1005" s="53">
        <v>71.327692307692303</v>
      </c>
      <c r="AK1005" s="53" t="str">
        <f>_xlfn.XLOOKUP(Master[[#This Row],[cu_id]],'[1]Customer Revenue'!$Q:$Q,'[1]Customer Revenue'!$I:$I, "None")</f>
        <v>None</v>
      </c>
      <c r="AL1005" s="53">
        <v>68.837692307692279</v>
      </c>
      <c r="AM1005" s="61" t="s">
        <v>36</v>
      </c>
      <c r="AN1005" s="60" t="s">
        <v>36</v>
      </c>
      <c r="AO1005" s="60" t="s">
        <v>36</v>
      </c>
      <c r="AP1005" s="60" t="s">
        <v>36</v>
      </c>
      <c r="AQ1005" s="58" t="s">
        <v>0</v>
      </c>
      <c r="AR1005" s="58"/>
      <c r="AS1005" s="58"/>
      <c r="AT1005" s="52">
        <v>0</v>
      </c>
      <c r="AU1005" s="52" t="e">
        <f>IF(Master[[#This Row],[RSP StopTime override]] &lt;&gt; "",Master[[#This Row],[RSP StopTime override]],IF(Master[[#This Row],[Avg stop time helper]] &lt;&gt; 0, Master[[#This Row],[Avg stop time helper]],Average_Stop_Time))</f>
        <v>#DIV/0!</v>
      </c>
      <c r="AV1005" s="21"/>
      <c r="AW1005" s="20">
        <f>Master[[#This Row],[RSP StopTime override]]-Master[[#This Row],[Avg stop time helper]]</f>
        <v>0</v>
      </c>
    </row>
    <row r="1006" spans="1:49" x14ac:dyDescent="0.3">
      <c r="A1006" s="66" t="s">
        <v>5023</v>
      </c>
      <c r="B1006" s="58">
        <v>56</v>
      </c>
      <c r="C1006" s="58" t="s">
        <v>24</v>
      </c>
      <c r="D1006" s="65">
        <v>99117</v>
      </c>
      <c r="E1006" s="65" t="s">
        <v>1171</v>
      </c>
      <c r="F1006" s="65" t="s">
        <v>3730</v>
      </c>
      <c r="G1006" s="65" t="s">
        <v>1509</v>
      </c>
      <c r="H1006" s="65" t="s">
        <v>7</v>
      </c>
      <c r="I1006" s="65" t="s">
        <v>6</v>
      </c>
      <c r="J1006" s="65" t="s">
        <v>5</v>
      </c>
      <c r="K1006" s="65" t="s">
        <v>68</v>
      </c>
      <c r="L1006" s="64" t="s">
        <v>67</v>
      </c>
      <c r="M1006" s="58" t="s">
        <v>3</v>
      </c>
      <c r="N1006" s="58" t="s">
        <v>2</v>
      </c>
      <c r="O1006" s="58">
        <v>115</v>
      </c>
      <c r="P1006" s="58">
        <v>115</v>
      </c>
      <c r="Q1006" s="58">
        <v>0</v>
      </c>
      <c r="R1006" s="58">
        <v>0</v>
      </c>
      <c r="S1006" s="58">
        <v>0</v>
      </c>
      <c r="T1006" s="58">
        <v>0</v>
      </c>
      <c r="U1006" s="58">
        <v>52</v>
      </c>
      <c r="V1006" s="62"/>
      <c r="W1006" s="62"/>
      <c r="X1006" s="63">
        <f>IFERROR(1 -(Master[[#This Row],[Avg Garment Scans per Delivery]]/Master[[#This Row],[Garment Inventory]]), 0)</f>
        <v>0</v>
      </c>
      <c r="Y1006" s="62"/>
      <c r="Z1006" s="62"/>
      <c r="AA1006" s="53">
        <v>87.001834319526665</v>
      </c>
      <c r="AB1006" s="53">
        <v>90.424319526627215</v>
      </c>
      <c r="AC1006" s="53">
        <v>89.663195266272183</v>
      </c>
      <c r="AD1006" s="53">
        <v>91.635266272189355</v>
      </c>
      <c r="AE1006" s="53" t="str">
        <f>_xlfn.XLOOKUP(Master[[#This Row],[cu_id]],'[1]Customer Revenue'!$Q:$Q,'[1]Customer Revenue'!$K:$K, "None")</f>
        <v>None</v>
      </c>
      <c r="AF1006" s="53" t="str">
        <f>_xlfn.XLOOKUP(Master[[#This Row],[cu_id]],'[1]Customer Revenue'!$Q:$Q,'[1]Customer Revenue'!$L:$L, "None")</f>
        <v>None</v>
      </c>
      <c r="AG1006" s="53">
        <v>83.12452662721897</v>
      </c>
      <c r="AH1006" s="53">
        <v>90.900857988165697</v>
      </c>
      <c r="AI1006" s="53">
        <v>88.71307692307694</v>
      </c>
      <c r="AJ1006" s="53">
        <v>90.649230769230769</v>
      </c>
      <c r="AK1006" s="53" t="str">
        <f>_xlfn.XLOOKUP(Master[[#This Row],[cu_id]],'[1]Customer Revenue'!$Q:$Q,'[1]Customer Revenue'!$I:$I, "None")</f>
        <v>None</v>
      </c>
      <c r="AL1006" s="53">
        <v>87.012692307692333</v>
      </c>
      <c r="AM1006" s="61" t="s">
        <v>36</v>
      </c>
      <c r="AN1006" s="60" t="s">
        <v>36</v>
      </c>
      <c r="AO1006" s="60" t="s">
        <v>36</v>
      </c>
      <c r="AP1006" s="60" t="s">
        <v>36</v>
      </c>
      <c r="AQ1006" s="58" t="s">
        <v>0</v>
      </c>
      <c r="AR1006" s="58"/>
      <c r="AS1006" s="58"/>
      <c r="AT1006" s="52">
        <v>0</v>
      </c>
      <c r="AU1006" s="52" t="e">
        <f>IF(Master[[#This Row],[RSP StopTime override]] &lt;&gt; "",Master[[#This Row],[RSP StopTime override]],IF(Master[[#This Row],[Avg stop time helper]] &lt;&gt; 0, Master[[#This Row],[Avg stop time helper]],Average_Stop_Time))</f>
        <v>#DIV/0!</v>
      </c>
      <c r="AV1006" s="21"/>
      <c r="AW1006" s="20">
        <f>Master[[#This Row],[RSP StopTime override]]-Master[[#This Row],[Avg stop time helper]]</f>
        <v>0</v>
      </c>
    </row>
    <row r="1007" spans="1:49" x14ac:dyDescent="0.3">
      <c r="A1007" s="66" t="s">
        <v>5024</v>
      </c>
      <c r="B1007" s="58">
        <v>56</v>
      </c>
      <c r="C1007" s="58" t="s">
        <v>24</v>
      </c>
      <c r="D1007" s="65">
        <v>99135</v>
      </c>
      <c r="E1007" s="65" t="s">
        <v>42</v>
      </c>
      <c r="F1007" s="65" t="s">
        <v>1508</v>
      </c>
      <c r="G1007" s="65" t="s">
        <v>1507</v>
      </c>
      <c r="H1007" s="65" t="s">
        <v>7</v>
      </c>
      <c r="I1007" s="65" t="s">
        <v>6</v>
      </c>
      <c r="J1007" s="65" t="s">
        <v>5</v>
      </c>
      <c r="K1007" s="65" t="s">
        <v>151</v>
      </c>
      <c r="L1007" s="64" t="s">
        <v>91</v>
      </c>
      <c r="M1007" s="58" t="s">
        <v>90</v>
      </c>
      <c r="N1007" s="58" t="s">
        <v>2</v>
      </c>
      <c r="O1007" s="58">
        <v>116</v>
      </c>
      <c r="P1007" s="58">
        <v>116</v>
      </c>
      <c r="Q1007" s="58">
        <v>0</v>
      </c>
      <c r="R1007" s="58">
        <v>0</v>
      </c>
      <c r="S1007" s="58">
        <v>0</v>
      </c>
      <c r="T1007" s="58">
        <v>0</v>
      </c>
      <c r="U1007" s="58">
        <v>27</v>
      </c>
      <c r="V1007" s="62"/>
      <c r="W1007" s="62"/>
      <c r="X1007" s="63">
        <f>IFERROR(1 -(Master[[#This Row],[Avg Garment Scans per Delivery]]/Master[[#This Row],[Garment Inventory]]), 0)</f>
        <v>0</v>
      </c>
      <c r="Y1007" s="62"/>
      <c r="Z1007" s="62"/>
      <c r="AA1007" s="53">
        <v>41.884489795918363</v>
      </c>
      <c r="AB1007" s="53">
        <v>43.721224489795922</v>
      </c>
      <c r="AC1007" s="53">
        <v>44.141111111111108</v>
      </c>
      <c r="AD1007" s="53">
        <v>46.292222222222215</v>
      </c>
      <c r="AE1007" s="53" t="str">
        <f>_xlfn.XLOOKUP(Master[[#This Row],[cu_id]],'[1]Customer Revenue'!$Q:$Q,'[1]Customer Revenue'!$K:$K, "None")</f>
        <v>None</v>
      </c>
      <c r="AF1007" s="53" t="str">
        <f>_xlfn.XLOOKUP(Master[[#This Row],[cu_id]],'[1]Customer Revenue'!$Q:$Q,'[1]Customer Revenue'!$L:$L, "None")</f>
        <v>None</v>
      </c>
      <c r="AG1007" s="53">
        <v>41.920355029585792</v>
      </c>
      <c r="AH1007" s="53">
        <v>43.091952662721866</v>
      </c>
      <c r="AI1007" s="53">
        <v>42.802857142857142</v>
      </c>
      <c r="AJ1007" s="53">
        <v>45.216666666666661</v>
      </c>
      <c r="AK1007" s="53" t="str">
        <f>_xlfn.XLOOKUP(Master[[#This Row],[cu_id]],'[1]Customer Revenue'!$Q:$Q,'[1]Customer Revenue'!$I:$I, "None")</f>
        <v>None</v>
      </c>
      <c r="AL1007" s="53">
        <v>42.506153846153829</v>
      </c>
      <c r="AM1007" s="61">
        <v>0.39583333333333331</v>
      </c>
      <c r="AN1007" s="60">
        <v>0.70833333333333337</v>
      </c>
      <c r="AO1007" s="60" t="s">
        <v>36</v>
      </c>
      <c r="AP1007" s="60" t="s">
        <v>36</v>
      </c>
      <c r="AQ1007" s="58" t="s">
        <v>0</v>
      </c>
      <c r="AR1007" s="58"/>
      <c r="AS1007" s="58"/>
      <c r="AT1007" s="52">
        <v>0</v>
      </c>
      <c r="AU1007" s="52" t="e">
        <f>IF(Master[[#This Row],[RSP StopTime override]] &lt;&gt; "",Master[[#This Row],[RSP StopTime override]],IF(Master[[#This Row],[Avg stop time helper]] &lt;&gt; 0, Master[[#This Row],[Avg stop time helper]],Average_Stop_Time))</f>
        <v>#DIV/0!</v>
      </c>
      <c r="AV1007" s="21"/>
      <c r="AW1007" s="20">
        <f>Master[[#This Row],[RSP StopTime override]]-Master[[#This Row],[Avg stop time helper]]</f>
        <v>0</v>
      </c>
    </row>
    <row r="1008" spans="1:49" x14ac:dyDescent="0.3">
      <c r="A1008" s="66" t="s">
        <v>5025</v>
      </c>
      <c r="B1008" s="58">
        <v>56</v>
      </c>
      <c r="C1008" s="58" t="s">
        <v>24</v>
      </c>
      <c r="D1008" s="65">
        <v>499014</v>
      </c>
      <c r="E1008" s="65" t="s">
        <v>1338</v>
      </c>
      <c r="F1008" s="65" t="s">
        <v>1149</v>
      </c>
      <c r="G1008" s="65" t="s">
        <v>1506</v>
      </c>
      <c r="H1008" s="65" t="s">
        <v>32</v>
      </c>
      <c r="I1008" s="65" t="s">
        <v>677</v>
      </c>
      <c r="J1008" s="65" t="s">
        <v>5</v>
      </c>
      <c r="K1008" s="65" t="s">
        <v>68</v>
      </c>
      <c r="L1008" s="64" t="s">
        <v>141</v>
      </c>
      <c r="M1008" s="58" t="s">
        <v>140</v>
      </c>
      <c r="N1008" s="58" t="s">
        <v>2</v>
      </c>
      <c r="O1008" s="58">
        <v>122</v>
      </c>
      <c r="P1008" s="58">
        <v>122</v>
      </c>
      <c r="Q1008" s="58">
        <v>0</v>
      </c>
      <c r="R1008" s="58">
        <v>0</v>
      </c>
      <c r="S1008" s="58">
        <v>0</v>
      </c>
      <c r="T1008" s="58">
        <v>0</v>
      </c>
      <c r="U1008" s="58">
        <v>13</v>
      </c>
      <c r="V1008" s="62"/>
      <c r="W1008" s="62"/>
      <c r="X1008" s="63">
        <f>IFERROR(1 -(Master[[#This Row],[Avg Garment Scans per Delivery]]/Master[[#This Row],[Garment Inventory]]), 0)</f>
        <v>0</v>
      </c>
      <c r="Y1008" s="62"/>
      <c r="Z1008" s="62"/>
      <c r="AA1008" s="53">
        <v>37.65</v>
      </c>
      <c r="AB1008" s="53">
        <v>39.65</v>
      </c>
      <c r="AC1008" s="53">
        <v>36.659999999999997</v>
      </c>
      <c r="AD1008" s="53">
        <v>62.099999999999994</v>
      </c>
      <c r="AE1008" s="53" t="str">
        <f>_xlfn.XLOOKUP(Master[[#This Row],[cu_id]],'[1]Customer Revenue'!$Q:$Q,'[1]Customer Revenue'!$K:$K, "None")</f>
        <v>None</v>
      </c>
      <c r="AF1008" s="53" t="str">
        <f>_xlfn.XLOOKUP(Master[[#This Row],[cu_id]],'[1]Customer Revenue'!$Q:$Q,'[1]Customer Revenue'!$L:$L, "None")</f>
        <v>None</v>
      </c>
      <c r="AG1008" s="53">
        <v>37.670408163265307</v>
      </c>
      <c r="AH1008" s="53">
        <v>38.772448979591843</v>
      </c>
      <c r="AI1008" s="53">
        <v>38.65</v>
      </c>
      <c r="AJ1008" s="53">
        <v>49.379999999999995</v>
      </c>
      <c r="AK1008" s="53" t="str">
        <f>_xlfn.XLOOKUP(Master[[#This Row],[cu_id]],'[1]Customer Revenue'!$Q:$Q,'[1]Customer Revenue'!$I:$I, "None")</f>
        <v>None</v>
      </c>
      <c r="AL1008" s="53">
        <v>38.221428571428575</v>
      </c>
      <c r="AM1008" s="61">
        <v>0.375</v>
      </c>
      <c r="AN1008" s="60">
        <v>0.70833333333333337</v>
      </c>
      <c r="AO1008" s="60" t="s">
        <v>36</v>
      </c>
      <c r="AP1008" s="60" t="s">
        <v>36</v>
      </c>
      <c r="AQ1008" s="58" t="s">
        <v>0</v>
      </c>
      <c r="AR1008" s="58"/>
      <c r="AS1008" s="58"/>
      <c r="AT1008" s="52">
        <v>0</v>
      </c>
      <c r="AU1008" s="52" t="e">
        <f>IF(Master[[#This Row],[RSP StopTime override]] &lt;&gt; "",Master[[#This Row],[RSP StopTime override]],IF(Master[[#This Row],[Avg stop time helper]] &lt;&gt; 0, Master[[#This Row],[Avg stop time helper]],Average_Stop_Time))</f>
        <v>#DIV/0!</v>
      </c>
      <c r="AV1008" s="21"/>
      <c r="AW1008" s="20">
        <f>Master[[#This Row],[RSP StopTime override]]-Master[[#This Row],[Avg stop time helper]]</f>
        <v>0</v>
      </c>
    </row>
    <row r="1009" spans="1:49" x14ac:dyDescent="0.3">
      <c r="A1009" s="66" t="s">
        <v>5026</v>
      </c>
      <c r="B1009" s="58">
        <v>56</v>
      </c>
      <c r="C1009" s="58" t="s">
        <v>24</v>
      </c>
      <c r="D1009" s="65">
        <v>499014</v>
      </c>
      <c r="E1009" s="65" t="s">
        <v>1505</v>
      </c>
      <c r="F1009" s="65" t="s">
        <v>1149</v>
      </c>
      <c r="G1009" s="65" t="s">
        <v>1504</v>
      </c>
      <c r="H1009" s="65" t="s">
        <v>1503</v>
      </c>
      <c r="I1009" s="65" t="s">
        <v>169</v>
      </c>
      <c r="J1009" s="65" t="s">
        <v>5</v>
      </c>
      <c r="K1009" s="65" t="s">
        <v>115</v>
      </c>
      <c r="L1009" s="64" t="s">
        <v>141</v>
      </c>
      <c r="M1009" s="58" t="s">
        <v>140</v>
      </c>
      <c r="N1009" s="58" t="s">
        <v>2</v>
      </c>
      <c r="O1009" s="58">
        <v>30</v>
      </c>
      <c r="P1009" s="58">
        <v>30</v>
      </c>
      <c r="Q1009" s="58">
        <v>0</v>
      </c>
      <c r="R1009" s="58">
        <v>0</v>
      </c>
      <c r="S1009" s="58">
        <v>0</v>
      </c>
      <c r="T1009" s="58">
        <v>0</v>
      </c>
      <c r="U1009" s="58">
        <v>34</v>
      </c>
      <c r="V1009" s="62"/>
      <c r="W1009" s="62">
        <v>0</v>
      </c>
      <c r="X1009" s="63">
        <f>IFERROR(1 -(Master[[#This Row],[Avg Garment Scans per Delivery]]/Master[[#This Row],[Garment Inventory]]), 0)</f>
        <v>0</v>
      </c>
      <c r="Y1009" s="62"/>
      <c r="Z1009" s="62"/>
      <c r="AA1009" s="53">
        <v>36.619999999999997</v>
      </c>
      <c r="AB1009" s="53">
        <v>38.619999999999997</v>
      </c>
      <c r="AC1009" s="53">
        <v>37.976666666666667</v>
      </c>
      <c r="AD1009" s="53">
        <v>39.243333333333332</v>
      </c>
      <c r="AE1009" s="53" t="str">
        <f>_xlfn.XLOOKUP(Master[[#This Row],[cu_id]],'[1]Customer Revenue'!$Q:$Q,'[1]Customer Revenue'!$K:$K, "None")</f>
        <v>None</v>
      </c>
      <c r="AF1009" s="53" t="str">
        <f>_xlfn.XLOOKUP(Master[[#This Row],[cu_id]],'[1]Customer Revenue'!$Q:$Q,'[1]Customer Revenue'!$L:$L, "None")</f>
        <v>None</v>
      </c>
      <c r="AG1009" s="53">
        <v>36.640408163265306</v>
      </c>
      <c r="AH1009" s="53">
        <v>37.742448979591828</v>
      </c>
      <c r="AI1009" s="53">
        <v>37.619999999999997</v>
      </c>
      <c r="AJ1009" s="53">
        <v>38.61</v>
      </c>
      <c r="AK1009" s="53" t="str">
        <f>_xlfn.XLOOKUP(Master[[#This Row],[cu_id]],'[1]Customer Revenue'!$Q:$Q,'[1]Customer Revenue'!$I:$I, "None")</f>
        <v>None</v>
      </c>
      <c r="AL1009" s="53">
        <v>37.191428571428567</v>
      </c>
      <c r="AM1009" s="61">
        <v>0.375</v>
      </c>
      <c r="AN1009" s="60">
        <v>0.70833333333333337</v>
      </c>
      <c r="AO1009" s="60" t="s">
        <v>36</v>
      </c>
      <c r="AP1009" s="60" t="s">
        <v>36</v>
      </c>
      <c r="AQ1009" s="58" t="s">
        <v>0</v>
      </c>
      <c r="AR1009" s="58"/>
      <c r="AS1009" s="58"/>
      <c r="AT1009" s="52">
        <v>0</v>
      </c>
      <c r="AU1009" s="52" t="e">
        <f>IF(Master[[#This Row],[RSP StopTime override]] &lt;&gt; "",Master[[#This Row],[RSP StopTime override]],IF(Master[[#This Row],[Avg stop time helper]] &lt;&gt; 0, Master[[#This Row],[Avg stop time helper]],Average_Stop_Time))</f>
        <v>#DIV/0!</v>
      </c>
      <c r="AV1009" s="21"/>
      <c r="AW1009" s="20">
        <f>Master[[#This Row],[RSP StopTime override]]-Master[[#This Row],[Avg stop time helper]]</f>
        <v>0</v>
      </c>
    </row>
    <row r="1010" spans="1:49" x14ac:dyDescent="0.3">
      <c r="A1010" s="66" t="s">
        <v>5027</v>
      </c>
      <c r="B1010" s="58">
        <v>56</v>
      </c>
      <c r="C1010" s="58" t="s">
        <v>24</v>
      </c>
      <c r="D1010" s="65">
        <v>505208</v>
      </c>
      <c r="E1010" s="65" t="s">
        <v>42</v>
      </c>
      <c r="F1010" s="65" t="s">
        <v>1502</v>
      </c>
      <c r="G1010" s="65" t="s">
        <v>1501</v>
      </c>
      <c r="H1010" s="65" t="s">
        <v>32</v>
      </c>
      <c r="I1010" s="65" t="s">
        <v>677</v>
      </c>
      <c r="J1010" s="65" t="s">
        <v>5</v>
      </c>
      <c r="K1010" s="65" t="s">
        <v>68</v>
      </c>
      <c r="L1010" s="64" t="s">
        <v>91</v>
      </c>
      <c r="M1010" s="58" t="s">
        <v>90</v>
      </c>
      <c r="N1010" s="58" t="s">
        <v>2</v>
      </c>
      <c r="O1010" s="58">
        <v>200</v>
      </c>
      <c r="P1010" s="58">
        <v>200</v>
      </c>
      <c r="Q1010" s="58">
        <v>0</v>
      </c>
      <c r="R1010" s="58">
        <v>0</v>
      </c>
      <c r="S1010" s="58">
        <v>0</v>
      </c>
      <c r="T1010" s="58">
        <v>0</v>
      </c>
      <c r="U1010" s="58">
        <v>26</v>
      </c>
      <c r="V1010" s="62"/>
      <c r="W1010" s="62"/>
      <c r="X1010" s="63">
        <f>IFERROR(1 -(Master[[#This Row],[Avg Garment Scans per Delivery]]/Master[[#This Row],[Garment Inventory]]), 0)</f>
        <v>0</v>
      </c>
      <c r="Y1010" s="62"/>
      <c r="Z1010" s="62"/>
      <c r="AA1010" s="53">
        <v>98.465714285714284</v>
      </c>
      <c r="AB1010" s="53">
        <v>110.09428571428572</v>
      </c>
      <c r="AC1010" s="53">
        <v>109.64555555555556</v>
      </c>
      <c r="AD1010" s="53">
        <v>113.68111111111112</v>
      </c>
      <c r="AE1010" s="53" t="str">
        <f>_xlfn.XLOOKUP(Master[[#This Row],[cu_id]],'[1]Customer Revenue'!$Q:$Q,'[1]Customer Revenue'!$K:$K, "None")</f>
        <v>None</v>
      </c>
      <c r="AF1010" s="53" t="str">
        <f>_xlfn.XLOOKUP(Master[[#This Row],[cu_id]],'[1]Customer Revenue'!$Q:$Q,'[1]Customer Revenue'!$L:$L, "None")</f>
        <v>None</v>
      </c>
      <c r="AG1010" s="53">
        <v>102.30591715976333</v>
      </c>
      <c r="AH1010" s="53">
        <v>109.59562130177515</v>
      </c>
      <c r="AI1010" s="53">
        <v>104.28</v>
      </c>
      <c r="AJ1010" s="53">
        <v>111.66333333333334</v>
      </c>
      <c r="AK1010" s="53" t="str">
        <f>_xlfn.XLOOKUP(Master[[#This Row],[cu_id]],'[1]Customer Revenue'!$Q:$Q,'[1]Customer Revenue'!$I:$I, "None")</f>
        <v>None</v>
      </c>
      <c r="AL1010" s="53">
        <v>105.95076923076924</v>
      </c>
      <c r="AM1010" s="61">
        <v>0.375</v>
      </c>
      <c r="AN1010" s="60">
        <v>0.70833333333333337</v>
      </c>
      <c r="AO1010" s="60" t="s">
        <v>36</v>
      </c>
      <c r="AP1010" s="60" t="s">
        <v>36</v>
      </c>
      <c r="AQ1010" s="58" t="s">
        <v>0</v>
      </c>
      <c r="AR1010" s="58"/>
      <c r="AS1010" s="58"/>
      <c r="AT1010" s="52">
        <v>0</v>
      </c>
      <c r="AU1010" s="52" t="e">
        <f>IF(Master[[#This Row],[RSP StopTime override]] &lt;&gt; "",Master[[#This Row],[RSP StopTime override]],IF(Master[[#This Row],[Avg stop time helper]] &lt;&gt; 0, Master[[#This Row],[Avg stop time helper]],Average_Stop_Time))</f>
        <v>#DIV/0!</v>
      </c>
      <c r="AV1010" s="21"/>
      <c r="AW1010" s="20">
        <f>Master[[#This Row],[RSP StopTime override]]-Master[[#This Row],[Avg stop time helper]]</f>
        <v>0</v>
      </c>
    </row>
    <row r="1011" spans="1:49" x14ac:dyDescent="0.3">
      <c r="A1011" s="66" t="s">
        <v>5028</v>
      </c>
      <c r="B1011" s="58">
        <v>56</v>
      </c>
      <c r="C1011" s="58" t="s">
        <v>24</v>
      </c>
      <c r="D1011" s="65">
        <v>518116</v>
      </c>
      <c r="E1011" s="65" t="s">
        <v>42</v>
      </c>
      <c r="F1011" s="65" t="s">
        <v>3731</v>
      </c>
      <c r="G1011" s="65" t="s">
        <v>1500</v>
      </c>
      <c r="H1011" s="65" t="s">
        <v>32</v>
      </c>
      <c r="I1011" s="65" t="s">
        <v>677</v>
      </c>
      <c r="J1011" s="65" t="s">
        <v>5</v>
      </c>
      <c r="K1011" s="65" t="s">
        <v>115</v>
      </c>
      <c r="L1011" s="64" t="s">
        <v>194</v>
      </c>
      <c r="M1011" s="58" t="s">
        <v>193</v>
      </c>
      <c r="N1011" s="58" t="s">
        <v>2</v>
      </c>
      <c r="O1011" s="58">
        <v>62</v>
      </c>
      <c r="P1011" s="58">
        <v>62</v>
      </c>
      <c r="Q1011" s="58">
        <v>0</v>
      </c>
      <c r="R1011" s="58">
        <v>0</v>
      </c>
      <c r="S1011" s="58">
        <v>0</v>
      </c>
      <c r="T1011" s="58">
        <v>0</v>
      </c>
      <c r="U1011" s="58">
        <v>13</v>
      </c>
      <c r="V1011" s="62"/>
      <c r="W1011" s="62"/>
      <c r="X1011" s="63">
        <f>IFERROR(1 -(Master[[#This Row],[Avg Garment Scans per Delivery]]/Master[[#This Row],[Garment Inventory]]), 0)</f>
        <v>0</v>
      </c>
      <c r="Y1011" s="62"/>
      <c r="Z1011" s="62"/>
      <c r="AA1011" s="53">
        <v>37.558750000000003</v>
      </c>
      <c r="AB1011" s="53">
        <v>39.246250000000003</v>
      </c>
      <c r="AC1011" s="53">
        <v>40.824444444444445</v>
      </c>
      <c r="AD1011" s="53">
        <v>44.548888888888889</v>
      </c>
      <c r="AE1011" s="53" t="str">
        <f>_xlfn.XLOOKUP(Master[[#This Row],[cu_id]],'[1]Customer Revenue'!$Q:$Q,'[1]Customer Revenue'!$K:$K, "None")</f>
        <v>None</v>
      </c>
      <c r="AF1011" s="53" t="str">
        <f>_xlfn.XLOOKUP(Master[[#This Row],[cu_id]],'[1]Customer Revenue'!$Q:$Q,'[1]Customer Revenue'!$L:$L, "None")</f>
        <v>None</v>
      </c>
      <c r="AG1011" s="53">
        <v>37.610408163265312</v>
      </c>
      <c r="AH1011" s="53">
        <v>38.712448979591834</v>
      </c>
      <c r="AI1011" s="53">
        <v>38.402500000000003</v>
      </c>
      <c r="AJ1011" s="53">
        <v>42.686666666666667</v>
      </c>
      <c r="AK1011" s="53" t="str">
        <f>_xlfn.XLOOKUP(Master[[#This Row],[cu_id]],'[1]Customer Revenue'!$Q:$Q,'[1]Customer Revenue'!$I:$I, "None")</f>
        <v>None</v>
      </c>
      <c r="AL1011" s="53">
        <v>38.161428571428573</v>
      </c>
      <c r="AM1011" s="61">
        <v>0.41666666666666669</v>
      </c>
      <c r="AN1011" s="60">
        <v>0.70833333333333337</v>
      </c>
      <c r="AO1011" s="60" t="s">
        <v>36</v>
      </c>
      <c r="AP1011" s="60" t="s">
        <v>36</v>
      </c>
      <c r="AQ1011" s="58" t="s">
        <v>0</v>
      </c>
      <c r="AR1011" s="58"/>
      <c r="AS1011" s="58"/>
      <c r="AT1011" s="52">
        <v>0</v>
      </c>
      <c r="AU1011" s="52" t="e">
        <f>IF(Master[[#This Row],[RSP StopTime override]] &lt;&gt; "",Master[[#This Row],[RSP StopTime override]],IF(Master[[#This Row],[Avg stop time helper]] &lt;&gt; 0, Master[[#This Row],[Avg stop time helper]],Average_Stop_Time))</f>
        <v>#DIV/0!</v>
      </c>
      <c r="AV1011" s="21"/>
      <c r="AW1011" s="20">
        <f>Master[[#This Row],[RSP StopTime override]]-Master[[#This Row],[Avg stop time helper]]</f>
        <v>0</v>
      </c>
    </row>
    <row r="1012" spans="1:49" x14ac:dyDescent="0.3">
      <c r="A1012" s="66" t="s">
        <v>5029</v>
      </c>
      <c r="B1012" s="58">
        <v>56</v>
      </c>
      <c r="C1012" s="58" t="s">
        <v>24</v>
      </c>
      <c r="D1012" s="65">
        <v>520030</v>
      </c>
      <c r="E1012" s="65" t="s">
        <v>42</v>
      </c>
      <c r="F1012" s="65" t="s">
        <v>1499</v>
      </c>
      <c r="G1012" s="65" t="s">
        <v>1498</v>
      </c>
      <c r="H1012" s="65" t="s">
        <v>7</v>
      </c>
      <c r="I1012" s="65" t="s">
        <v>677</v>
      </c>
      <c r="J1012" s="65" t="s">
        <v>5</v>
      </c>
      <c r="K1012" s="65" t="s">
        <v>146</v>
      </c>
      <c r="L1012" s="64" t="s">
        <v>67</v>
      </c>
      <c r="M1012" s="58" t="s">
        <v>3</v>
      </c>
      <c r="N1012" s="58" t="s">
        <v>2</v>
      </c>
      <c r="O1012" s="58">
        <v>10</v>
      </c>
      <c r="P1012" s="58">
        <v>10</v>
      </c>
      <c r="Q1012" s="58">
        <v>0</v>
      </c>
      <c r="R1012" s="58">
        <v>0</v>
      </c>
      <c r="S1012" s="58">
        <v>0</v>
      </c>
      <c r="T1012" s="58">
        <v>0</v>
      </c>
      <c r="U1012" s="58">
        <v>50</v>
      </c>
      <c r="V1012" s="62"/>
      <c r="W1012" s="62"/>
      <c r="X1012" s="63">
        <f>IFERROR(1 -(Master[[#This Row],[Avg Garment Scans per Delivery]]/Master[[#This Row],[Garment Inventory]]), 0)</f>
        <v>0</v>
      </c>
      <c r="Y1012" s="62"/>
      <c r="Z1012" s="62"/>
      <c r="AA1012" s="53">
        <v>86.703873050026885</v>
      </c>
      <c r="AB1012" s="53">
        <v>147.7433996772458</v>
      </c>
      <c r="AC1012" s="53">
        <v>121.74047337278108</v>
      </c>
      <c r="AD1012" s="53">
        <v>130.95798816568049</v>
      </c>
      <c r="AE1012" s="53" t="str">
        <f>_xlfn.XLOOKUP(Master[[#This Row],[cu_id]],'[1]Customer Revenue'!$Q:$Q,'[1]Customer Revenue'!$K:$K, "None")</f>
        <v>None</v>
      </c>
      <c r="AF1012" s="53" t="str">
        <f>_xlfn.XLOOKUP(Master[[#This Row],[cu_id]],'[1]Customer Revenue'!$Q:$Q,'[1]Customer Revenue'!$L:$L, "None")</f>
        <v>None</v>
      </c>
      <c r="AG1012" s="53">
        <v>100.29130917159763</v>
      </c>
      <c r="AH1012" s="53">
        <v>133.49119082840238</v>
      </c>
      <c r="AI1012" s="53">
        <v>117.22363636363634</v>
      </c>
      <c r="AJ1012" s="53">
        <v>126.34923076923079</v>
      </c>
      <c r="AK1012" s="53" t="str">
        <f>_xlfn.XLOOKUP(Master[[#This Row],[cu_id]],'[1]Customer Revenue'!$Q:$Q,'[1]Customer Revenue'!$I:$I, "None")</f>
        <v>None</v>
      </c>
      <c r="AL1012" s="53">
        <v>116.89125</v>
      </c>
      <c r="AM1012" s="61">
        <v>0.29166666666666669</v>
      </c>
      <c r="AN1012" s="60">
        <v>0.70833333333333337</v>
      </c>
      <c r="AO1012" s="60" t="s">
        <v>36</v>
      </c>
      <c r="AP1012" s="60" t="s">
        <v>36</v>
      </c>
      <c r="AQ1012" s="58" t="s">
        <v>0</v>
      </c>
      <c r="AR1012" s="58"/>
      <c r="AS1012" s="58"/>
      <c r="AT1012" s="52">
        <v>0</v>
      </c>
      <c r="AU1012" s="52" t="e">
        <f>IF(Master[[#This Row],[RSP StopTime override]] &lt;&gt; "",Master[[#This Row],[RSP StopTime override]],IF(Master[[#This Row],[Avg stop time helper]] &lt;&gt; 0, Master[[#This Row],[Avg stop time helper]],Average_Stop_Time))</f>
        <v>#DIV/0!</v>
      </c>
      <c r="AV1012" s="21"/>
      <c r="AW1012" s="20">
        <f>Master[[#This Row],[RSP StopTime override]]-Master[[#This Row],[Avg stop time helper]]</f>
        <v>0</v>
      </c>
    </row>
    <row r="1013" spans="1:49" x14ac:dyDescent="0.3">
      <c r="A1013" s="66" t="s">
        <v>5030</v>
      </c>
      <c r="B1013" s="58">
        <v>56</v>
      </c>
      <c r="C1013" s="58" t="s">
        <v>24</v>
      </c>
      <c r="D1013" s="65">
        <v>526541</v>
      </c>
      <c r="E1013" s="65" t="s">
        <v>42</v>
      </c>
      <c r="F1013" s="65" t="s">
        <v>1497</v>
      </c>
      <c r="G1013" s="65" t="s">
        <v>1496</v>
      </c>
      <c r="H1013" s="65" t="s">
        <v>32</v>
      </c>
      <c r="I1013" s="65" t="s">
        <v>31</v>
      </c>
      <c r="J1013" s="65" t="s">
        <v>5</v>
      </c>
      <c r="K1013" s="65" t="s">
        <v>30</v>
      </c>
      <c r="L1013" s="64" t="s">
        <v>77</v>
      </c>
      <c r="M1013" s="58" t="s">
        <v>29</v>
      </c>
      <c r="N1013" s="58" t="s">
        <v>2</v>
      </c>
      <c r="O1013" s="58">
        <v>1</v>
      </c>
      <c r="P1013" s="58">
        <v>1</v>
      </c>
      <c r="Q1013" s="58">
        <v>0</v>
      </c>
      <c r="R1013" s="58">
        <v>0</v>
      </c>
      <c r="S1013" s="58">
        <v>0</v>
      </c>
      <c r="T1013" s="58">
        <v>0</v>
      </c>
      <c r="U1013" s="58">
        <v>26</v>
      </c>
      <c r="V1013" s="62"/>
      <c r="W1013" s="62"/>
      <c r="X1013" s="63">
        <f>IFERROR(1 -(Master[[#This Row],[Avg Garment Scans per Delivery]]/Master[[#This Row],[Garment Inventory]]), 0)</f>
        <v>0</v>
      </c>
      <c r="Y1013" s="62"/>
      <c r="Z1013" s="62"/>
      <c r="AA1013" s="53">
        <v>47.974444444444444</v>
      </c>
      <c r="AB1013" s="53">
        <v>84.952222222222204</v>
      </c>
      <c r="AC1013" s="53">
        <v>48.895306122448986</v>
      </c>
      <c r="AD1013" s="53">
        <v>82.021836734693878</v>
      </c>
      <c r="AE1013" s="53" t="str">
        <f>_xlfn.XLOOKUP(Master[[#This Row],[cu_id]],'[1]Customer Revenue'!$Q:$Q,'[1]Customer Revenue'!$K:$K, "None")</f>
        <v>None</v>
      </c>
      <c r="AF1013" s="53" t="str">
        <f>_xlfn.XLOOKUP(Master[[#This Row],[cu_id]],'[1]Customer Revenue'!$Q:$Q,'[1]Customer Revenue'!$L:$L, "None")</f>
        <v>None</v>
      </c>
      <c r="AG1013" s="53">
        <v>50.923195266272188</v>
      </c>
      <c r="AH1013" s="53">
        <v>69.858343195266301</v>
      </c>
      <c r="AI1013" s="53">
        <v>66.463333333333324</v>
      </c>
      <c r="AJ1013" s="53">
        <v>65.458571428571432</v>
      </c>
      <c r="AK1013" s="53" t="str">
        <f>_xlfn.XLOOKUP(Master[[#This Row],[cu_id]],'[1]Customer Revenue'!$Q:$Q,'[1]Customer Revenue'!$I:$I, "None")</f>
        <v>None</v>
      </c>
      <c r="AL1013" s="53">
        <v>60.390769230769244</v>
      </c>
      <c r="AM1013" s="61">
        <v>0.25</v>
      </c>
      <c r="AN1013" s="60">
        <v>0.70833333333333337</v>
      </c>
      <c r="AO1013" s="60" t="s">
        <v>36</v>
      </c>
      <c r="AP1013" s="60" t="s">
        <v>36</v>
      </c>
      <c r="AQ1013" s="58" t="s">
        <v>0</v>
      </c>
      <c r="AR1013" s="58"/>
      <c r="AS1013" s="58"/>
      <c r="AT1013" s="52">
        <v>0</v>
      </c>
      <c r="AU1013" s="52" t="e">
        <f>IF(Master[[#This Row],[RSP StopTime override]] &lt;&gt; "",Master[[#This Row],[RSP StopTime override]],IF(Master[[#This Row],[Avg stop time helper]] &lt;&gt; 0, Master[[#This Row],[Avg stop time helper]],Average_Stop_Time))</f>
        <v>#DIV/0!</v>
      </c>
      <c r="AV1013" s="21"/>
      <c r="AW1013" s="20">
        <f>Master[[#This Row],[RSP StopTime override]]-Master[[#This Row],[Avg stop time helper]]</f>
        <v>0</v>
      </c>
    </row>
    <row r="1014" spans="1:49" x14ac:dyDescent="0.3">
      <c r="A1014" s="66" t="s">
        <v>5031</v>
      </c>
      <c r="B1014" s="58">
        <v>56</v>
      </c>
      <c r="C1014" s="58" t="s">
        <v>24</v>
      </c>
      <c r="D1014" s="65">
        <v>528366</v>
      </c>
      <c r="E1014" s="65" t="s">
        <v>42</v>
      </c>
      <c r="F1014" s="65" t="s">
        <v>1495</v>
      </c>
      <c r="G1014" s="65" t="s">
        <v>1494</v>
      </c>
      <c r="H1014" s="65" t="s">
        <v>32</v>
      </c>
      <c r="I1014" s="65" t="s">
        <v>677</v>
      </c>
      <c r="J1014" s="65" t="s">
        <v>5</v>
      </c>
      <c r="K1014" s="65" t="s">
        <v>115</v>
      </c>
      <c r="L1014" s="64" t="s">
        <v>67</v>
      </c>
      <c r="M1014" s="58" t="s">
        <v>3</v>
      </c>
      <c r="N1014" s="58" t="s">
        <v>2</v>
      </c>
      <c r="O1014" s="58">
        <v>95</v>
      </c>
      <c r="P1014" s="58">
        <v>95</v>
      </c>
      <c r="Q1014" s="58">
        <v>0</v>
      </c>
      <c r="R1014" s="58">
        <v>0</v>
      </c>
      <c r="S1014" s="58">
        <v>0</v>
      </c>
      <c r="T1014" s="58">
        <v>0</v>
      </c>
      <c r="U1014" s="58">
        <v>52</v>
      </c>
      <c r="V1014" s="62"/>
      <c r="W1014" s="62"/>
      <c r="X1014" s="63">
        <f>IFERROR(1 -(Master[[#This Row],[Avg Garment Scans per Delivery]]/Master[[#This Row],[Garment Inventory]]), 0)</f>
        <v>0</v>
      </c>
      <c r="Y1014" s="62"/>
      <c r="Z1014" s="62"/>
      <c r="AA1014" s="53">
        <v>58.754792899408287</v>
      </c>
      <c r="AB1014" s="53">
        <v>81.309822485207107</v>
      </c>
      <c r="AC1014" s="53">
        <v>59.648994082840247</v>
      </c>
      <c r="AD1014" s="53">
        <v>61.600236686390559</v>
      </c>
      <c r="AE1014" s="53" t="str">
        <f>_xlfn.XLOOKUP(Master[[#This Row],[cu_id]],'[1]Customer Revenue'!$Q:$Q,'[1]Customer Revenue'!$K:$K, "None")</f>
        <v>None</v>
      </c>
      <c r="AF1014" s="53" t="str">
        <f>_xlfn.XLOOKUP(Master[[#This Row],[cu_id]],'[1]Customer Revenue'!$Q:$Q,'[1]Customer Revenue'!$L:$L, "None")</f>
        <v>None</v>
      </c>
      <c r="AG1014" s="53">
        <v>66.912928994082819</v>
      </c>
      <c r="AH1014" s="53">
        <v>82.50937869822485</v>
      </c>
      <c r="AI1014" s="53">
        <v>70.032307692307697</v>
      </c>
      <c r="AJ1014" s="53">
        <v>60.624615384615403</v>
      </c>
      <c r="AK1014" s="53" t="str">
        <f>_xlfn.XLOOKUP(Master[[#This Row],[cu_id]],'[1]Customer Revenue'!$Q:$Q,'[1]Customer Revenue'!$I:$I, "None")</f>
        <v>None</v>
      </c>
      <c r="AL1014" s="53">
        <v>74.711153846153834</v>
      </c>
      <c r="AM1014" s="61">
        <v>0.39583333333333331</v>
      </c>
      <c r="AN1014" s="60">
        <v>0.70833333333333337</v>
      </c>
      <c r="AO1014" s="60" t="s">
        <v>36</v>
      </c>
      <c r="AP1014" s="60" t="s">
        <v>36</v>
      </c>
      <c r="AQ1014" s="58" t="s">
        <v>0</v>
      </c>
      <c r="AR1014" s="58"/>
      <c r="AS1014" s="58"/>
      <c r="AT1014" s="52">
        <v>0</v>
      </c>
      <c r="AU1014" s="52" t="e">
        <f>IF(Master[[#This Row],[RSP StopTime override]] &lt;&gt; "",Master[[#This Row],[RSP StopTime override]],IF(Master[[#This Row],[Avg stop time helper]] &lt;&gt; 0, Master[[#This Row],[Avg stop time helper]],Average_Stop_Time))</f>
        <v>#DIV/0!</v>
      </c>
      <c r="AV1014" s="21"/>
      <c r="AW1014" s="20">
        <f>Master[[#This Row],[RSP StopTime override]]-Master[[#This Row],[Avg stop time helper]]</f>
        <v>0</v>
      </c>
    </row>
    <row r="1015" spans="1:49" x14ac:dyDescent="0.3">
      <c r="A1015" s="66" t="s">
        <v>5032</v>
      </c>
      <c r="B1015" s="58">
        <v>56</v>
      </c>
      <c r="C1015" s="58" t="s">
        <v>24</v>
      </c>
      <c r="D1015" s="65">
        <v>529380</v>
      </c>
      <c r="E1015" s="65" t="s">
        <v>42</v>
      </c>
      <c r="F1015" s="65" t="s">
        <v>1493</v>
      </c>
      <c r="G1015" s="65" t="s">
        <v>1492</v>
      </c>
      <c r="H1015" s="65" t="s">
        <v>32</v>
      </c>
      <c r="I1015" s="65" t="s">
        <v>1491</v>
      </c>
      <c r="J1015" s="65" t="s">
        <v>5</v>
      </c>
      <c r="K1015" s="65" t="s">
        <v>146</v>
      </c>
      <c r="L1015" s="64" t="s">
        <v>67</v>
      </c>
      <c r="M1015" s="58" t="s">
        <v>3</v>
      </c>
      <c r="N1015" s="58" t="s">
        <v>2</v>
      </c>
      <c r="O1015" s="58">
        <v>170</v>
      </c>
      <c r="P1015" s="58">
        <v>170</v>
      </c>
      <c r="Q1015" s="58">
        <v>0</v>
      </c>
      <c r="R1015" s="58">
        <v>0</v>
      </c>
      <c r="S1015" s="58">
        <v>0</v>
      </c>
      <c r="T1015" s="58">
        <v>0</v>
      </c>
      <c r="U1015" s="58">
        <v>52</v>
      </c>
      <c r="V1015" s="62">
        <v>264</v>
      </c>
      <c r="W1015" s="62">
        <v>77</v>
      </c>
      <c r="X1015" s="63">
        <f>IFERROR(1 -(Master[[#This Row],[Avg Garment Scans per Delivery]]/Master[[#This Row],[Garment Inventory]]), 0)</f>
        <v>0.70833333333333326</v>
      </c>
      <c r="Y1015" s="62">
        <v>12</v>
      </c>
      <c r="Z1015" s="62">
        <v>269</v>
      </c>
      <c r="AA1015" s="53">
        <v>226.1927394034538</v>
      </c>
      <c r="AB1015" s="53">
        <v>295.38110675039246</v>
      </c>
      <c r="AC1015" s="53">
        <v>250.48441130298283</v>
      </c>
      <c r="AD1015" s="53">
        <v>342.56481946624808</v>
      </c>
      <c r="AE1015" s="53" t="str">
        <f>_xlfn.XLOOKUP(Master[[#This Row],[cu_id]],'[1]Customer Revenue'!$Q:$Q,'[1]Customer Revenue'!$K:$K, "None")</f>
        <v>None</v>
      </c>
      <c r="AF1015" s="53" t="str">
        <f>_xlfn.XLOOKUP(Master[[#This Row],[cu_id]],'[1]Customer Revenue'!$Q:$Q,'[1]Customer Revenue'!$L:$L, "None")</f>
        <v>None</v>
      </c>
      <c r="AG1015" s="53">
        <v>250.52487126727863</v>
      </c>
      <c r="AH1015" s="53">
        <v>293.81743642502886</v>
      </c>
      <c r="AI1015" s="53">
        <v>260.78692307692313</v>
      </c>
      <c r="AJ1015" s="53">
        <v>296.52461538461546</v>
      </c>
      <c r="AK1015" s="53" t="str">
        <f>_xlfn.XLOOKUP(Master[[#This Row],[cu_id]],'[1]Customer Revenue'!$Q:$Q,'[1]Customer Revenue'!$I:$I, "None")</f>
        <v>None</v>
      </c>
      <c r="AL1015" s="53">
        <v>272.17115384615374</v>
      </c>
      <c r="AM1015" s="61">
        <v>0.25</v>
      </c>
      <c r="AN1015" s="60">
        <v>0.70833333333333337</v>
      </c>
      <c r="AO1015" s="60" t="s">
        <v>36</v>
      </c>
      <c r="AP1015" s="60" t="s">
        <v>36</v>
      </c>
      <c r="AQ1015" s="58" t="s">
        <v>0</v>
      </c>
      <c r="AR1015" s="58"/>
      <c r="AS1015" s="58"/>
      <c r="AT1015" s="52">
        <v>0</v>
      </c>
      <c r="AU1015" s="52" t="e">
        <f>IF(Master[[#This Row],[RSP StopTime override]] &lt;&gt; "",Master[[#This Row],[RSP StopTime override]],IF(Master[[#This Row],[Avg stop time helper]] &lt;&gt; 0, Master[[#This Row],[Avg stop time helper]],Average_Stop_Time))</f>
        <v>#DIV/0!</v>
      </c>
      <c r="AV1015" s="21"/>
      <c r="AW1015" s="20">
        <f>Master[[#This Row],[RSP StopTime override]]-Master[[#This Row],[Avg stop time helper]]</f>
        <v>0</v>
      </c>
    </row>
    <row r="1016" spans="1:49" x14ac:dyDescent="0.3">
      <c r="A1016" s="66" t="s">
        <v>5033</v>
      </c>
      <c r="B1016" s="58">
        <v>56</v>
      </c>
      <c r="C1016" s="58" t="s">
        <v>24</v>
      </c>
      <c r="D1016" s="65">
        <v>529912</v>
      </c>
      <c r="E1016" s="65" t="s">
        <v>42</v>
      </c>
      <c r="F1016" s="65" t="s">
        <v>1490</v>
      </c>
      <c r="G1016" s="65" t="s">
        <v>1489</v>
      </c>
      <c r="H1016" s="65" t="s">
        <v>7</v>
      </c>
      <c r="I1016" s="65" t="s">
        <v>169</v>
      </c>
      <c r="J1016" s="65" t="s">
        <v>5</v>
      </c>
      <c r="K1016" s="65" t="s">
        <v>115</v>
      </c>
      <c r="L1016" s="64" t="s">
        <v>194</v>
      </c>
      <c r="M1016" s="58" t="s">
        <v>193</v>
      </c>
      <c r="N1016" s="58" t="s">
        <v>2</v>
      </c>
      <c r="O1016" s="58">
        <v>20</v>
      </c>
      <c r="P1016" s="58">
        <v>20</v>
      </c>
      <c r="Q1016" s="58">
        <v>0</v>
      </c>
      <c r="R1016" s="58">
        <v>0</v>
      </c>
      <c r="S1016" s="58">
        <v>0</v>
      </c>
      <c r="T1016" s="58">
        <v>0</v>
      </c>
      <c r="U1016" s="58">
        <v>8</v>
      </c>
      <c r="V1016" s="62"/>
      <c r="W1016" s="62"/>
      <c r="X1016" s="63">
        <f>IFERROR(1 -(Master[[#This Row],[Avg Garment Scans per Delivery]]/Master[[#This Row],[Garment Inventory]]), 0)</f>
        <v>0</v>
      </c>
      <c r="Y1016" s="62"/>
      <c r="Z1016" s="62"/>
      <c r="AA1016" s="53">
        <v>35</v>
      </c>
      <c r="AB1016" s="53">
        <v>35</v>
      </c>
      <c r="AC1016" s="53">
        <v>35</v>
      </c>
      <c r="AD1016" s="53">
        <v>35</v>
      </c>
      <c r="AE1016" s="53" t="str">
        <f>_xlfn.XLOOKUP(Master[[#This Row],[cu_id]],'[1]Customer Revenue'!$Q:$Q,'[1]Customer Revenue'!$K:$K, "None")</f>
        <v>None</v>
      </c>
      <c r="AF1016" s="53" t="str">
        <f>_xlfn.XLOOKUP(Master[[#This Row],[cu_id]],'[1]Customer Revenue'!$Q:$Q,'[1]Customer Revenue'!$L:$L, "None")</f>
        <v>None</v>
      </c>
      <c r="AG1016" s="53">
        <v>25.277777777777779</v>
      </c>
      <c r="AH1016" s="53">
        <v>44.722222222222221</v>
      </c>
      <c r="AI1016" s="53">
        <v>35</v>
      </c>
      <c r="AJ1016" s="53">
        <v>35</v>
      </c>
      <c r="AK1016" s="53" t="str">
        <f>_xlfn.XLOOKUP(Master[[#This Row],[cu_id]],'[1]Customer Revenue'!$Q:$Q,'[1]Customer Revenue'!$I:$I, "None")</f>
        <v>None</v>
      </c>
      <c r="AL1016" s="53">
        <v>35</v>
      </c>
      <c r="AM1016" s="61" t="s">
        <v>36</v>
      </c>
      <c r="AN1016" s="60" t="s">
        <v>36</v>
      </c>
      <c r="AO1016" s="60" t="s">
        <v>36</v>
      </c>
      <c r="AP1016" s="60" t="s">
        <v>36</v>
      </c>
      <c r="AQ1016" s="58" t="s">
        <v>0</v>
      </c>
      <c r="AR1016" s="58"/>
      <c r="AS1016" s="58"/>
      <c r="AT1016" s="52">
        <v>0</v>
      </c>
      <c r="AU1016" s="52" t="e">
        <f>IF(Master[[#This Row],[RSP StopTime override]] &lt;&gt; "",Master[[#This Row],[RSP StopTime override]],IF(Master[[#This Row],[Avg stop time helper]] &lt;&gt; 0, Master[[#This Row],[Avg stop time helper]],Average_Stop_Time))</f>
        <v>#DIV/0!</v>
      </c>
      <c r="AV1016" s="21"/>
      <c r="AW1016" s="20">
        <f>Master[[#This Row],[RSP StopTime override]]-Master[[#This Row],[Avg stop time helper]]</f>
        <v>0</v>
      </c>
    </row>
    <row r="1017" spans="1:49" x14ac:dyDescent="0.3">
      <c r="A1017" s="66" t="s">
        <v>5034</v>
      </c>
      <c r="B1017" s="58">
        <v>56</v>
      </c>
      <c r="C1017" s="58" t="s">
        <v>24</v>
      </c>
      <c r="D1017" s="65">
        <v>530232</v>
      </c>
      <c r="E1017" s="65" t="s">
        <v>42</v>
      </c>
      <c r="F1017" s="65" t="s">
        <v>1488</v>
      </c>
      <c r="G1017" s="65" t="s">
        <v>1487</v>
      </c>
      <c r="H1017" s="65" t="s">
        <v>7</v>
      </c>
      <c r="I1017" s="65" t="s">
        <v>6</v>
      </c>
      <c r="J1017" s="65" t="s">
        <v>5</v>
      </c>
      <c r="K1017" s="65" t="s">
        <v>115</v>
      </c>
      <c r="L1017" s="64" t="s">
        <v>77</v>
      </c>
      <c r="M1017" s="58" t="s">
        <v>29</v>
      </c>
      <c r="N1017" s="58" t="s">
        <v>2</v>
      </c>
      <c r="O1017" s="58">
        <v>62</v>
      </c>
      <c r="P1017" s="58">
        <v>62</v>
      </c>
      <c r="Q1017" s="58">
        <v>0</v>
      </c>
      <c r="R1017" s="58">
        <v>0</v>
      </c>
      <c r="S1017" s="58">
        <v>0</v>
      </c>
      <c r="T1017" s="58">
        <v>0</v>
      </c>
      <c r="U1017" s="58">
        <v>27</v>
      </c>
      <c r="V1017" s="62"/>
      <c r="W1017" s="62"/>
      <c r="X1017" s="63">
        <f>IFERROR(1 -(Master[[#This Row],[Avg Garment Scans per Delivery]]/Master[[#This Row],[Garment Inventory]]), 0)</f>
        <v>0</v>
      </c>
      <c r="Y1017" s="62"/>
      <c r="Z1017" s="62"/>
      <c r="AA1017" s="53">
        <v>152.97</v>
      </c>
      <c r="AB1017" s="53">
        <v>154.22</v>
      </c>
      <c r="AC1017" s="53">
        <v>69.089469387755116</v>
      </c>
      <c r="AD1017" s="53">
        <v>205.10253061224489</v>
      </c>
      <c r="AE1017" s="53" t="str">
        <f>_xlfn.XLOOKUP(Master[[#This Row],[cu_id]],'[1]Customer Revenue'!$Q:$Q,'[1]Customer Revenue'!$K:$K, "None")</f>
        <v>None</v>
      </c>
      <c r="AF1017" s="53" t="str">
        <f>_xlfn.XLOOKUP(Master[[#This Row],[cu_id]],'[1]Customer Revenue'!$Q:$Q,'[1]Customer Revenue'!$L:$L, "None")</f>
        <v>None</v>
      </c>
      <c r="AG1017" s="53">
        <v>140.45632653061222</v>
      </c>
      <c r="AH1017" s="53">
        <v>194.79224489795916</v>
      </c>
      <c r="AI1017" s="53">
        <v>153.595</v>
      </c>
      <c r="AJ1017" s="53">
        <v>137.096</v>
      </c>
      <c r="AK1017" s="53" t="str">
        <f>_xlfn.XLOOKUP(Master[[#This Row],[cu_id]],'[1]Customer Revenue'!$Q:$Q,'[1]Customer Revenue'!$I:$I, "None")</f>
        <v>None</v>
      </c>
      <c r="AL1017" s="53">
        <v>167.62428571428569</v>
      </c>
      <c r="AM1017" s="61">
        <v>0.41666666666666669</v>
      </c>
      <c r="AN1017" s="60">
        <v>0.70833333333333337</v>
      </c>
      <c r="AO1017" s="60" t="s">
        <v>36</v>
      </c>
      <c r="AP1017" s="60" t="s">
        <v>36</v>
      </c>
      <c r="AQ1017" s="58" t="s">
        <v>174</v>
      </c>
      <c r="AR1017" s="58"/>
      <c r="AS1017" s="58"/>
      <c r="AT1017" s="52">
        <v>0</v>
      </c>
      <c r="AU1017" s="52" t="e">
        <f>IF(Master[[#This Row],[RSP StopTime override]] &lt;&gt; "",Master[[#This Row],[RSP StopTime override]],IF(Master[[#This Row],[Avg stop time helper]] &lt;&gt; 0, Master[[#This Row],[Avg stop time helper]],Average_Stop_Time))</f>
        <v>#DIV/0!</v>
      </c>
      <c r="AV1017" s="21"/>
      <c r="AW1017" s="20">
        <f>Master[[#This Row],[RSP StopTime override]]-Master[[#This Row],[Avg stop time helper]]</f>
        <v>0</v>
      </c>
    </row>
    <row r="1018" spans="1:49" x14ac:dyDescent="0.3">
      <c r="A1018" s="66" t="s">
        <v>5035</v>
      </c>
      <c r="B1018" s="58">
        <v>56</v>
      </c>
      <c r="C1018" s="58" t="s">
        <v>24</v>
      </c>
      <c r="D1018" s="65">
        <v>531778</v>
      </c>
      <c r="E1018" s="65" t="s">
        <v>42</v>
      </c>
      <c r="F1018" s="65" t="s">
        <v>1486</v>
      </c>
      <c r="G1018" s="65" t="s">
        <v>1485</v>
      </c>
      <c r="H1018" s="65" t="s">
        <v>7</v>
      </c>
      <c r="I1018" s="65" t="s">
        <v>6</v>
      </c>
      <c r="J1018" s="65" t="s">
        <v>5</v>
      </c>
      <c r="K1018" s="65" t="s">
        <v>68</v>
      </c>
      <c r="L1018" s="64" t="s">
        <v>67</v>
      </c>
      <c r="M1018" s="58" t="s">
        <v>3</v>
      </c>
      <c r="N1018" s="58" t="s">
        <v>2</v>
      </c>
      <c r="O1018" s="58">
        <v>110</v>
      </c>
      <c r="P1018" s="58">
        <v>110</v>
      </c>
      <c r="Q1018" s="58">
        <v>0</v>
      </c>
      <c r="R1018" s="58">
        <v>0</v>
      </c>
      <c r="S1018" s="58">
        <v>0</v>
      </c>
      <c r="T1018" s="58">
        <v>0</v>
      </c>
      <c r="U1018" s="58">
        <v>52</v>
      </c>
      <c r="V1018" s="62"/>
      <c r="W1018" s="62"/>
      <c r="X1018" s="63">
        <f>IFERROR(1 -(Master[[#This Row],[Avg Garment Scans per Delivery]]/Master[[#This Row],[Garment Inventory]]), 0)</f>
        <v>0</v>
      </c>
      <c r="Y1018" s="62"/>
      <c r="Z1018" s="62"/>
      <c r="AA1018" s="53">
        <v>45.263136094674543</v>
      </c>
      <c r="AB1018" s="53">
        <v>60.37532544378697</v>
      </c>
      <c r="AC1018" s="53">
        <v>49.043609467455603</v>
      </c>
      <c r="AD1018" s="53">
        <v>68.17023668639051</v>
      </c>
      <c r="AE1018" s="53" t="str">
        <f>_xlfn.XLOOKUP(Master[[#This Row],[cu_id]],'[1]Customer Revenue'!$Q:$Q,'[1]Customer Revenue'!$K:$K, "None")</f>
        <v>None</v>
      </c>
      <c r="AF1018" s="53" t="str">
        <f>_xlfn.XLOOKUP(Master[[#This Row],[cu_id]],'[1]Customer Revenue'!$Q:$Q,'[1]Customer Revenue'!$L:$L, "None")</f>
        <v>None</v>
      </c>
      <c r="AG1018" s="53">
        <v>45.506153846153865</v>
      </c>
      <c r="AH1018" s="53">
        <v>60.803076923076944</v>
      </c>
      <c r="AI1018" s="53">
        <v>52.819230769230757</v>
      </c>
      <c r="AJ1018" s="53">
        <v>58.60692307692306</v>
      </c>
      <c r="AK1018" s="53" t="str">
        <f>_xlfn.XLOOKUP(Master[[#This Row],[cu_id]],'[1]Customer Revenue'!$Q:$Q,'[1]Customer Revenue'!$I:$I, "None")</f>
        <v>None</v>
      </c>
      <c r="AL1018" s="53">
        <v>53.154615384615404</v>
      </c>
      <c r="AM1018" s="61">
        <v>0.4375</v>
      </c>
      <c r="AN1018" s="60">
        <v>0.70833333333333337</v>
      </c>
      <c r="AO1018" s="60" t="s">
        <v>36</v>
      </c>
      <c r="AP1018" s="60" t="s">
        <v>36</v>
      </c>
      <c r="AQ1018" s="58" t="s">
        <v>0</v>
      </c>
      <c r="AR1018" s="58"/>
      <c r="AS1018" s="58"/>
      <c r="AT1018" s="52">
        <v>0</v>
      </c>
      <c r="AU1018" s="52" t="e">
        <f>IF(Master[[#This Row],[RSP StopTime override]] &lt;&gt; "",Master[[#This Row],[RSP StopTime override]],IF(Master[[#This Row],[Avg stop time helper]] &lt;&gt; 0, Master[[#This Row],[Avg stop time helper]],Average_Stop_Time))</f>
        <v>#DIV/0!</v>
      </c>
      <c r="AV1018" s="21"/>
      <c r="AW1018" s="20">
        <f>Master[[#This Row],[RSP StopTime override]]-Master[[#This Row],[Avg stop time helper]]</f>
        <v>0</v>
      </c>
    </row>
    <row r="1019" spans="1:49" x14ac:dyDescent="0.3">
      <c r="A1019" s="152" t="s">
        <v>5036</v>
      </c>
      <c r="B1019" s="17">
        <v>52</v>
      </c>
      <c r="C1019" s="17" t="s">
        <v>35</v>
      </c>
      <c r="D1019" s="19">
        <v>518292</v>
      </c>
      <c r="E1019" s="19">
        <v>0</v>
      </c>
      <c r="F1019" s="19" t="s">
        <v>34</v>
      </c>
      <c r="G1019" s="19" t="s">
        <v>33</v>
      </c>
      <c r="H1019" s="19" t="s">
        <v>32</v>
      </c>
      <c r="I1019" s="19" t="s">
        <v>31</v>
      </c>
      <c r="J1019" s="19" t="s">
        <v>5</v>
      </c>
      <c r="K1019" s="19" t="s">
        <v>30</v>
      </c>
      <c r="L1019" s="18">
        <v>6</v>
      </c>
      <c r="M1019" s="17" t="s">
        <v>29</v>
      </c>
      <c r="N1019" s="17" t="s">
        <v>2</v>
      </c>
      <c r="O1019" s="17">
        <v>140</v>
      </c>
      <c r="P1019" s="17">
        <v>0</v>
      </c>
      <c r="Q1019" s="17">
        <v>140</v>
      </c>
      <c r="R1019" s="17">
        <v>0</v>
      </c>
      <c r="S1019" s="17">
        <v>0</v>
      </c>
      <c r="T1019" s="17">
        <v>0</v>
      </c>
      <c r="U1019" s="17">
        <v>22</v>
      </c>
      <c r="V1019" s="17"/>
      <c r="W1019" s="16"/>
      <c r="X1019" s="16"/>
      <c r="Y1019" s="98">
        <f>IFERROR(1 -(Master[[#This Row],[Avg Garment Scans per Delivery]]/Master[[#This Row],[Garment Inventory]]), 0)</f>
        <v>0</v>
      </c>
      <c r="Z1019" s="16"/>
      <c r="AA1019" s="14"/>
      <c r="AB1019" s="14"/>
      <c r="AC1019" s="14"/>
      <c r="AD1019" s="14"/>
      <c r="AE1019" s="14">
        <v>20</v>
      </c>
      <c r="AF1019" s="14">
        <v>95</v>
      </c>
      <c r="AG1019" s="14"/>
      <c r="AH1019" s="14"/>
      <c r="AI1019" s="14">
        <v>56.865699999999997</v>
      </c>
      <c r="AJ1019" s="14">
        <v>61.766599999999997</v>
      </c>
      <c r="AK1019" s="14">
        <v>62.563299999999998</v>
      </c>
      <c r="AL1019" s="14">
        <v>67.396600000000007</v>
      </c>
      <c r="AM1019" s="14" t="s">
        <v>1</v>
      </c>
      <c r="AN1019" s="14" t="s">
        <v>1</v>
      </c>
      <c r="AO1019" s="15"/>
      <c r="AP1019" s="15"/>
      <c r="AQ1019" s="14" t="s">
        <v>0</v>
      </c>
      <c r="AR1019" s="14"/>
      <c r="AS1019" s="14"/>
      <c r="AT1019" s="13">
        <v>0</v>
      </c>
      <c r="AU1019" s="13" t="e">
        <f>IF(Master[[#This Row],[RSP StopTime override]] &lt;&gt; "",Master[[#This Row],[RSP StopTime override]],IF(Master[[#This Row],[Avg stop time helper]] &lt;&gt; 0, Master[[#This Row],[Avg stop time helper]],Average_Stop_Time))</f>
        <v>#DIV/0!</v>
      </c>
      <c r="AV1019" s="12"/>
      <c r="AW1019" s="11">
        <f>Master[[#This Row],[RSP StopTime override]]-Master[[#This Row],[Avg stop time helper]]</f>
        <v>0</v>
      </c>
    </row>
    <row r="1020" spans="1:49" x14ac:dyDescent="0.3">
      <c r="A1020" s="66" t="s">
        <v>5037</v>
      </c>
      <c r="B1020" s="58">
        <v>56</v>
      </c>
      <c r="C1020" s="58" t="s">
        <v>24</v>
      </c>
      <c r="D1020" s="65">
        <v>532726</v>
      </c>
      <c r="E1020" s="65" t="s">
        <v>42</v>
      </c>
      <c r="F1020" s="65" t="s">
        <v>1484</v>
      </c>
      <c r="G1020" s="65" t="s">
        <v>1483</v>
      </c>
      <c r="H1020" s="65" t="s">
        <v>7</v>
      </c>
      <c r="I1020" s="65" t="s">
        <v>12</v>
      </c>
      <c r="J1020" s="65" t="s">
        <v>5</v>
      </c>
      <c r="K1020" s="65" t="s">
        <v>1215</v>
      </c>
      <c r="L1020" s="64" t="s">
        <v>67</v>
      </c>
      <c r="M1020" s="58" t="s">
        <v>3</v>
      </c>
      <c r="N1020" s="58" t="s">
        <v>2</v>
      </c>
      <c r="O1020" s="58">
        <v>205</v>
      </c>
      <c r="P1020" s="58">
        <v>205</v>
      </c>
      <c r="Q1020" s="58">
        <v>0</v>
      </c>
      <c r="R1020" s="58">
        <v>0</v>
      </c>
      <c r="S1020" s="58">
        <v>0</v>
      </c>
      <c r="T1020" s="58">
        <v>0</v>
      </c>
      <c r="U1020" s="58">
        <v>52</v>
      </c>
      <c r="V1020" s="62">
        <v>77</v>
      </c>
      <c r="W1020" s="62">
        <v>23</v>
      </c>
      <c r="X1020" s="63">
        <f>IFERROR(1 -(Master[[#This Row],[Avg Garment Scans per Delivery]]/Master[[#This Row],[Garment Inventory]]), 0)</f>
        <v>0.70129870129870131</v>
      </c>
      <c r="Y1020" s="62">
        <v>4</v>
      </c>
      <c r="Z1020" s="62">
        <v>78</v>
      </c>
      <c r="AA1020" s="53">
        <v>106.4601775147929</v>
      </c>
      <c r="AB1020" s="53">
        <v>116.20597633136093</v>
      </c>
      <c r="AC1020" s="53">
        <v>111.01940828402363</v>
      </c>
      <c r="AD1020" s="53">
        <v>113.1836686390532</v>
      </c>
      <c r="AE1020" s="53" t="str">
        <f>_xlfn.XLOOKUP(Master[[#This Row],[cu_id]],'[1]Customer Revenue'!$Q:$Q,'[1]Customer Revenue'!$K:$K, "None")</f>
        <v>None</v>
      </c>
      <c r="AF1020" s="53" t="str">
        <f>_xlfn.XLOOKUP(Master[[#This Row],[cu_id]],'[1]Customer Revenue'!$Q:$Q,'[1]Customer Revenue'!$L:$L, "None")</f>
        <v>None</v>
      </c>
      <c r="AG1020" s="53">
        <v>106.06597633136096</v>
      </c>
      <c r="AH1020" s="53">
        <v>112.26786982248521</v>
      </c>
      <c r="AI1020" s="53">
        <v>111.33307692307692</v>
      </c>
      <c r="AJ1020" s="53">
        <v>112.10153846153841</v>
      </c>
      <c r="AK1020" s="53" t="str">
        <f>_xlfn.XLOOKUP(Master[[#This Row],[cu_id]],'[1]Customer Revenue'!$Q:$Q,'[1]Customer Revenue'!$I:$I, "None")</f>
        <v>None</v>
      </c>
      <c r="AL1020" s="53">
        <v>109.16692307692308</v>
      </c>
      <c r="AM1020" s="61">
        <v>0.33333333333333331</v>
      </c>
      <c r="AN1020" s="60">
        <v>0.70833333333333337</v>
      </c>
      <c r="AO1020" s="60" t="s">
        <v>36</v>
      </c>
      <c r="AP1020" s="60" t="s">
        <v>36</v>
      </c>
      <c r="AQ1020" s="58" t="s">
        <v>0</v>
      </c>
      <c r="AR1020" s="58"/>
      <c r="AS1020" s="58"/>
      <c r="AT1020" s="52">
        <v>0</v>
      </c>
      <c r="AU1020" s="52" t="e">
        <f>IF(Master[[#This Row],[RSP StopTime override]] &lt;&gt; "",Master[[#This Row],[RSP StopTime override]],IF(Master[[#This Row],[Avg stop time helper]] &lt;&gt; 0, Master[[#This Row],[Avg stop time helper]],Average_Stop_Time))</f>
        <v>#DIV/0!</v>
      </c>
      <c r="AV1020" s="21"/>
      <c r="AW1020" s="20">
        <f>Master[[#This Row],[RSP StopTime override]]-Master[[#This Row],[Avg stop time helper]]</f>
        <v>0</v>
      </c>
    </row>
    <row r="1021" spans="1:49" x14ac:dyDescent="0.3">
      <c r="A1021" s="66" t="s">
        <v>5038</v>
      </c>
      <c r="B1021" s="58">
        <v>56</v>
      </c>
      <c r="C1021" s="58" t="s">
        <v>24</v>
      </c>
      <c r="D1021" s="65">
        <v>532861</v>
      </c>
      <c r="E1021" s="65" t="s">
        <v>42</v>
      </c>
      <c r="F1021" s="65" t="s">
        <v>1482</v>
      </c>
      <c r="G1021" s="65" t="s">
        <v>1481</v>
      </c>
      <c r="H1021" s="65" t="s">
        <v>7</v>
      </c>
      <c r="I1021" s="65" t="s">
        <v>6</v>
      </c>
      <c r="J1021" s="65" t="s">
        <v>5</v>
      </c>
      <c r="K1021" s="65" t="s">
        <v>68</v>
      </c>
      <c r="L1021" s="64" t="s">
        <v>77</v>
      </c>
      <c r="M1021" s="58" t="s">
        <v>29</v>
      </c>
      <c r="N1021" s="58" t="s">
        <v>2</v>
      </c>
      <c r="O1021" s="58">
        <v>120</v>
      </c>
      <c r="P1021" s="58">
        <v>120</v>
      </c>
      <c r="Q1021" s="58">
        <v>0</v>
      </c>
      <c r="R1021" s="58">
        <v>0</v>
      </c>
      <c r="S1021" s="58">
        <v>0</v>
      </c>
      <c r="T1021" s="58">
        <v>0</v>
      </c>
      <c r="U1021" s="58">
        <v>28</v>
      </c>
      <c r="V1021" s="62"/>
      <c r="W1021" s="62"/>
      <c r="X1021" s="63">
        <f>IFERROR(1 -(Master[[#This Row],[Avg Garment Scans per Delivery]]/Master[[#This Row],[Garment Inventory]]), 0)</f>
        <v>0</v>
      </c>
      <c r="Y1021" s="62"/>
      <c r="Z1021" s="62"/>
      <c r="AA1021" s="53">
        <v>110.28714285714287</v>
      </c>
      <c r="AB1021" s="53">
        <v>177.57285714285715</v>
      </c>
      <c r="AC1021" s="53">
        <v>134.11448979591836</v>
      </c>
      <c r="AD1021" s="53">
        <v>197.73979591836735</v>
      </c>
      <c r="AE1021" s="53" t="str">
        <f>_xlfn.XLOOKUP(Master[[#This Row],[cu_id]],'[1]Customer Revenue'!$Q:$Q,'[1]Customer Revenue'!$K:$K, "None")</f>
        <v>None</v>
      </c>
      <c r="AF1021" s="53" t="str">
        <f>_xlfn.XLOOKUP(Master[[#This Row],[cu_id]],'[1]Customer Revenue'!$Q:$Q,'[1]Customer Revenue'!$L:$L, "None")</f>
        <v>None</v>
      </c>
      <c r="AG1021" s="53">
        <v>89.642864957264976</v>
      </c>
      <c r="AH1021" s="53">
        <v>241.20944273504273</v>
      </c>
      <c r="AI1021" s="53">
        <v>143.93</v>
      </c>
      <c r="AJ1021" s="53">
        <v>165.92714285714285</v>
      </c>
      <c r="AK1021" s="53" t="str">
        <f>_xlfn.XLOOKUP(Master[[#This Row],[cu_id]],'[1]Customer Revenue'!$Q:$Q,'[1]Customer Revenue'!$I:$I, "None")</f>
        <v>None</v>
      </c>
      <c r="AL1021" s="53">
        <v>165.42615384615385</v>
      </c>
      <c r="AM1021" s="61">
        <v>0.25</v>
      </c>
      <c r="AN1021" s="60">
        <v>0.70833333333333337</v>
      </c>
      <c r="AO1021" s="60" t="s">
        <v>36</v>
      </c>
      <c r="AP1021" s="60" t="s">
        <v>36</v>
      </c>
      <c r="AQ1021" s="58" t="s">
        <v>0</v>
      </c>
      <c r="AR1021" s="58"/>
      <c r="AS1021" s="58"/>
      <c r="AT1021" s="52">
        <v>0</v>
      </c>
      <c r="AU1021" s="52" t="e">
        <f>IF(Master[[#This Row],[RSP StopTime override]] &lt;&gt; "",Master[[#This Row],[RSP StopTime override]],IF(Master[[#This Row],[Avg stop time helper]] &lt;&gt; 0, Master[[#This Row],[Avg stop time helper]],Average_Stop_Time))</f>
        <v>#DIV/0!</v>
      </c>
      <c r="AV1021" s="21"/>
      <c r="AW1021" s="20">
        <f>Master[[#This Row],[RSP StopTime override]]-Master[[#This Row],[Avg stop time helper]]</f>
        <v>0</v>
      </c>
    </row>
    <row r="1022" spans="1:49" x14ac:dyDescent="0.3">
      <c r="A1022" s="66" t="s">
        <v>5039</v>
      </c>
      <c r="B1022" s="58">
        <v>56</v>
      </c>
      <c r="C1022" s="58" t="s">
        <v>24</v>
      </c>
      <c r="D1022" s="65">
        <v>533302</v>
      </c>
      <c r="E1022" s="65" t="s">
        <v>42</v>
      </c>
      <c r="F1022" s="65" t="s">
        <v>1480</v>
      </c>
      <c r="G1022" s="65" t="s">
        <v>1479</v>
      </c>
      <c r="H1022" s="65" t="s">
        <v>7</v>
      </c>
      <c r="I1022" s="65" t="s">
        <v>6</v>
      </c>
      <c r="J1022" s="65" t="s">
        <v>5</v>
      </c>
      <c r="K1022" s="65" t="s">
        <v>68</v>
      </c>
      <c r="L1022" s="64" t="s">
        <v>67</v>
      </c>
      <c r="M1022" s="58" t="s">
        <v>3</v>
      </c>
      <c r="N1022" s="58" t="s">
        <v>2</v>
      </c>
      <c r="O1022" s="58">
        <v>125</v>
      </c>
      <c r="P1022" s="58">
        <v>125</v>
      </c>
      <c r="Q1022" s="58">
        <v>0</v>
      </c>
      <c r="R1022" s="58">
        <v>0</v>
      </c>
      <c r="S1022" s="58">
        <v>0</v>
      </c>
      <c r="T1022" s="58">
        <v>0</v>
      </c>
      <c r="U1022" s="58">
        <v>46</v>
      </c>
      <c r="V1022" s="62"/>
      <c r="W1022" s="62"/>
      <c r="X1022" s="63">
        <f>IFERROR(1 -(Master[[#This Row],[Avg Garment Scans per Delivery]]/Master[[#This Row],[Garment Inventory]]), 0)</f>
        <v>0</v>
      </c>
      <c r="Y1022" s="62"/>
      <c r="Z1022" s="62"/>
      <c r="AA1022" s="53">
        <v>34.746595547309823</v>
      </c>
      <c r="AB1022" s="53">
        <v>91.120677179962897</v>
      </c>
      <c r="AC1022" s="53">
        <v>64.285976331360942</v>
      </c>
      <c r="AD1022" s="53">
        <v>66.330946745562144</v>
      </c>
      <c r="AE1022" s="53" t="str">
        <f>_xlfn.XLOOKUP(Master[[#This Row],[cu_id]],'[1]Customer Revenue'!$Q:$Q,'[1]Customer Revenue'!$K:$K, "None")</f>
        <v>None</v>
      </c>
      <c r="AF1022" s="53" t="str">
        <f>_xlfn.XLOOKUP(Master[[#This Row],[cu_id]],'[1]Customer Revenue'!$Q:$Q,'[1]Customer Revenue'!$L:$L, "None")</f>
        <v>None</v>
      </c>
      <c r="AG1022" s="53">
        <v>43.876584362139909</v>
      </c>
      <c r="AH1022" s="53">
        <v>84.023415637860083</v>
      </c>
      <c r="AI1022" s="53">
        <v>62.93363636363636</v>
      </c>
      <c r="AJ1022" s="53">
        <v>65.308461538461543</v>
      </c>
      <c r="AK1022" s="53" t="str">
        <f>_xlfn.XLOOKUP(Master[[#This Row],[cu_id]],'[1]Customer Revenue'!$Q:$Q,'[1]Customer Revenue'!$I:$I, "None")</f>
        <v>None</v>
      </c>
      <c r="AL1022" s="53">
        <v>63.949999999999996</v>
      </c>
      <c r="AM1022" s="61">
        <v>0.375</v>
      </c>
      <c r="AN1022" s="60">
        <v>0.70833333333333337</v>
      </c>
      <c r="AO1022" s="60" t="s">
        <v>36</v>
      </c>
      <c r="AP1022" s="60" t="s">
        <v>36</v>
      </c>
      <c r="AQ1022" s="58" t="s">
        <v>0</v>
      </c>
      <c r="AR1022" s="58"/>
      <c r="AS1022" s="58"/>
      <c r="AT1022" s="52">
        <v>0</v>
      </c>
      <c r="AU1022" s="52" t="e">
        <f>IF(Master[[#This Row],[RSP StopTime override]] &lt;&gt; "",Master[[#This Row],[RSP StopTime override]],IF(Master[[#This Row],[Avg stop time helper]] &lt;&gt; 0, Master[[#This Row],[Avg stop time helper]],Average_Stop_Time))</f>
        <v>#DIV/0!</v>
      </c>
      <c r="AV1022" s="21"/>
      <c r="AW1022" s="20">
        <f>Master[[#This Row],[RSP StopTime override]]-Master[[#This Row],[Avg stop time helper]]</f>
        <v>0</v>
      </c>
    </row>
    <row r="1023" spans="1:49" x14ac:dyDescent="0.3">
      <c r="A1023" s="66" t="s">
        <v>5040</v>
      </c>
      <c r="B1023" s="58">
        <v>56</v>
      </c>
      <c r="C1023" s="58" t="s">
        <v>24</v>
      </c>
      <c r="D1023" s="65">
        <v>803759</v>
      </c>
      <c r="E1023" s="65" t="s">
        <v>42</v>
      </c>
      <c r="F1023" s="65" t="s">
        <v>1478</v>
      </c>
      <c r="G1023" s="65" t="s">
        <v>1477</v>
      </c>
      <c r="H1023" s="65" t="s">
        <v>7</v>
      </c>
      <c r="I1023" s="65" t="s">
        <v>6</v>
      </c>
      <c r="J1023" s="65" t="s">
        <v>5</v>
      </c>
      <c r="K1023" s="65" t="s">
        <v>68</v>
      </c>
      <c r="L1023" s="64" t="s">
        <v>67</v>
      </c>
      <c r="M1023" s="58" t="s">
        <v>3</v>
      </c>
      <c r="N1023" s="58" t="s">
        <v>2</v>
      </c>
      <c r="O1023" s="58">
        <v>123</v>
      </c>
      <c r="P1023" s="58">
        <v>123</v>
      </c>
      <c r="Q1023" s="58">
        <v>0</v>
      </c>
      <c r="R1023" s="58">
        <v>0</v>
      </c>
      <c r="S1023" s="58">
        <v>0</v>
      </c>
      <c r="T1023" s="58">
        <v>0</v>
      </c>
      <c r="U1023" s="58">
        <v>26</v>
      </c>
      <c r="V1023" s="62"/>
      <c r="W1023" s="62"/>
      <c r="X1023" s="63">
        <f>IFERROR(1 -(Master[[#This Row],[Avg Garment Scans per Delivery]]/Master[[#This Row],[Garment Inventory]]), 0)</f>
        <v>0</v>
      </c>
      <c r="Y1023" s="62"/>
      <c r="Z1023" s="62"/>
      <c r="AA1023" s="53">
        <v>58.819378698224888</v>
      </c>
      <c r="AB1023" s="53">
        <v>78.290621301775147</v>
      </c>
      <c r="AC1023" s="53">
        <v>69.49775147928996</v>
      </c>
      <c r="AD1023" s="53">
        <v>70.809940828402389</v>
      </c>
      <c r="AE1023" s="53" t="str">
        <f>_xlfn.XLOOKUP(Master[[#This Row],[cu_id]],'[1]Customer Revenue'!$Q:$Q,'[1]Customer Revenue'!$K:$K, "None")</f>
        <v>None</v>
      </c>
      <c r="AF1023" s="53" t="str">
        <f>_xlfn.XLOOKUP(Master[[#This Row],[cu_id]],'[1]Customer Revenue'!$Q:$Q,'[1]Customer Revenue'!$L:$L, "None")</f>
        <v>None</v>
      </c>
      <c r="AG1023" s="53">
        <v>55.959433739130503</v>
      </c>
      <c r="AH1023" s="53">
        <v>78.673609739130455</v>
      </c>
      <c r="AI1023" s="53">
        <v>68.555000000000021</v>
      </c>
      <c r="AJ1023" s="53">
        <v>70.153846153846175</v>
      </c>
      <c r="AK1023" s="53" t="str">
        <f>_xlfn.XLOOKUP(Master[[#This Row],[cu_id]],'[1]Customer Revenue'!$Q:$Q,'[1]Customer Revenue'!$I:$I, "None")</f>
        <v>None</v>
      </c>
      <c r="AL1023" s="53">
        <v>67.316521739130479</v>
      </c>
      <c r="AM1023" s="61">
        <v>0.33333333333333331</v>
      </c>
      <c r="AN1023" s="60">
        <v>0.70833333333333337</v>
      </c>
      <c r="AO1023" s="60" t="s">
        <v>36</v>
      </c>
      <c r="AP1023" s="60" t="s">
        <v>36</v>
      </c>
      <c r="AQ1023" s="58" t="s">
        <v>0</v>
      </c>
      <c r="AR1023" s="58"/>
      <c r="AS1023" s="58"/>
      <c r="AT1023" s="52">
        <v>0</v>
      </c>
      <c r="AU1023" s="52" t="e">
        <f>IF(Master[[#This Row],[RSP StopTime override]] &lt;&gt; "",Master[[#This Row],[RSP StopTime override]],IF(Master[[#This Row],[Avg stop time helper]] &lt;&gt; 0, Master[[#This Row],[Avg stop time helper]],Average_Stop_Time))</f>
        <v>#DIV/0!</v>
      </c>
      <c r="AV1023" s="21"/>
      <c r="AW1023" s="20">
        <f>Master[[#This Row],[RSP StopTime override]]-Master[[#This Row],[Avg stop time helper]]</f>
        <v>0</v>
      </c>
    </row>
    <row r="1024" spans="1:49" x14ac:dyDescent="0.3">
      <c r="A1024" s="66" t="s">
        <v>5041</v>
      </c>
      <c r="B1024" s="58">
        <v>56</v>
      </c>
      <c r="C1024" s="58" t="s">
        <v>24</v>
      </c>
      <c r="D1024" s="65">
        <v>806190</v>
      </c>
      <c r="E1024" s="65" t="s">
        <v>42</v>
      </c>
      <c r="F1024" s="65" t="s">
        <v>1476</v>
      </c>
      <c r="G1024" s="65" t="s">
        <v>1475</v>
      </c>
      <c r="H1024" s="65" t="s">
        <v>7</v>
      </c>
      <c r="I1024" s="65" t="s">
        <v>6</v>
      </c>
      <c r="J1024" s="65" t="s">
        <v>5</v>
      </c>
      <c r="K1024" s="65" t="s">
        <v>68</v>
      </c>
      <c r="L1024" s="64" t="s">
        <v>77</v>
      </c>
      <c r="M1024" s="58" t="s">
        <v>29</v>
      </c>
      <c r="N1024" s="58" t="s">
        <v>2</v>
      </c>
      <c r="O1024" s="58">
        <v>185</v>
      </c>
      <c r="P1024" s="58">
        <v>185</v>
      </c>
      <c r="Q1024" s="58">
        <v>0</v>
      </c>
      <c r="R1024" s="58">
        <v>0</v>
      </c>
      <c r="S1024" s="58">
        <v>0</v>
      </c>
      <c r="T1024" s="58">
        <v>0</v>
      </c>
      <c r="U1024" s="58">
        <v>17</v>
      </c>
      <c r="V1024" s="62"/>
      <c r="W1024" s="62"/>
      <c r="X1024" s="63">
        <f>IFERROR(1 -(Master[[#This Row],[Avg Garment Scans per Delivery]]/Master[[#This Row],[Garment Inventory]]), 0)</f>
        <v>0</v>
      </c>
      <c r="Y1024" s="62"/>
      <c r="Z1024" s="62"/>
      <c r="AA1024" s="53">
        <v>29.094387755102037</v>
      </c>
      <c r="AB1024" s="53">
        <v>84.955612244897964</v>
      </c>
      <c r="AC1024" s="53">
        <v>44.296802721088426</v>
      </c>
      <c r="AD1024" s="53">
        <v>73.029863945578228</v>
      </c>
      <c r="AE1024" s="53" t="str">
        <f>_xlfn.XLOOKUP(Master[[#This Row],[cu_id]],'[1]Customer Revenue'!$Q:$Q,'[1]Customer Revenue'!$K:$K, "None")</f>
        <v>None</v>
      </c>
      <c r="AF1024" s="53" t="str">
        <f>_xlfn.XLOOKUP(Master[[#This Row],[cu_id]],'[1]Customer Revenue'!$Q:$Q,'[1]Customer Revenue'!$L:$L, "None")</f>
        <v>None</v>
      </c>
      <c r="AG1024" s="53">
        <v>38.762721893491104</v>
      </c>
      <c r="AH1024" s="53">
        <v>81.43727810650887</v>
      </c>
      <c r="AI1024" s="53">
        <v>57.024999999999999</v>
      </c>
      <c r="AJ1024" s="53">
        <v>58.663333333333327</v>
      </c>
      <c r="AK1024" s="53" t="str">
        <f>_xlfn.XLOOKUP(Master[[#This Row],[cu_id]],'[1]Customer Revenue'!$Q:$Q,'[1]Customer Revenue'!$I:$I, "None")</f>
        <v>None</v>
      </c>
      <c r="AL1024" s="53">
        <v>60.099999999999987</v>
      </c>
      <c r="AM1024" s="61">
        <v>0.29166666666666669</v>
      </c>
      <c r="AN1024" s="60">
        <v>0.70833333333333337</v>
      </c>
      <c r="AO1024" s="60" t="s">
        <v>36</v>
      </c>
      <c r="AP1024" s="60" t="s">
        <v>36</v>
      </c>
      <c r="AQ1024" s="58" t="s">
        <v>0</v>
      </c>
      <c r="AR1024" s="58"/>
      <c r="AS1024" s="58"/>
      <c r="AT1024" s="52">
        <v>0</v>
      </c>
      <c r="AU1024" s="52" t="e">
        <f>IF(Master[[#This Row],[RSP StopTime override]] &lt;&gt; "",Master[[#This Row],[RSP StopTime override]],IF(Master[[#This Row],[Avg stop time helper]] &lt;&gt; 0, Master[[#This Row],[Avg stop time helper]],Average_Stop_Time))</f>
        <v>#DIV/0!</v>
      </c>
      <c r="AV1024" s="21"/>
      <c r="AW1024" s="20">
        <f>Master[[#This Row],[RSP StopTime override]]-Master[[#This Row],[Avg stop time helper]]</f>
        <v>0</v>
      </c>
    </row>
    <row r="1025" spans="1:49" x14ac:dyDescent="0.3">
      <c r="A1025" s="66" t="s">
        <v>5042</v>
      </c>
      <c r="B1025" s="58">
        <v>56</v>
      </c>
      <c r="C1025" s="58" t="s">
        <v>24</v>
      </c>
      <c r="D1025" s="65">
        <v>808361</v>
      </c>
      <c r="E1025" s="65" t="s">
        <v>42</v>
      </c>
      <c r="F1025" s="65" t="s">
        <v>1474</v>
      </c>
      <c r="G1025" s="65" t="s">
        <v>1473</v>
      </c>
      <c r="H1025" s="65" t="s">
        <v>7</v>
      </c>
      <c r="I1025" s="65" t="s">
        <v>6</v>
      </c>
      <c r="J1025" s="65" t="s">
        <v>5</v>
      </c>
      <c r="K1025" s="65" t="s">
        <v>68</v>
      </c>
      <c r="L1025" s="64" t="s">
        <v>77</v>
      </c>
      <c r="M1025" s="58" t="s">
        <v>29</v>
      </c>
      <c r="N1025" s="58" t="s">
        <v>2</v>
      </c>
      <c r="O1025" s="58">
        <v>113</v>
      </c>
      <c r="P1025" s="58">
        <v>113</v>
      </c>
      <c r="Q1025" s="58">
        <v>0</v>
      </c>
      <c r="R1025" s="58">
        <v>0</v>
      </c>
      <c r="S1025" s="58">
        <v>0</v>
      </c>
      <c r="T1025" s="58">
        <v>0</v>
      </c>
      <c r="U1025" s="58">
        <v>19</v>
      </c>
      <c r="V1025" s="62"/>
      <c r="W1025" s="62"/>
      <c r="X1025" s="63">
        <f>IFERROR(1 -(Master[[#This Row],[Avg Garment Scans per Delivery]]/Master[[#This Row],[Garment Inventory]]), 0)</f>
        <v>0</v>
      </c>
      <c r="Y1025" s="62"/>
      <c r="Z1025" s="62"/>
      <c r="AA1025" s="53">
        <v>24.674444444444443</v>
      </c>
      <c r="AB1025" s="53">
        <v>40.402222222222221</v>
      </c>
      <c r="AC1025" s="53">
        <v>28.831428571428571</v>
      </c>
      <c r="AD1025" s="53">
        <v>30.088571428571431</v>
      </c>
      <c r="AE1025" s="53" t="str">
        <f>_xlfn.XLOOKUP(Master[[#This Row],[cu_id]],'[1]Customer Revenue'!$Q:$Q,'[1]Customer Revenue'!$K:$K, "None")</f>
        <v>None</v>
      </c>
      <c r="AF1025" s="53" t="str">
        <f>_xlfn.XLOOKUP(Master[[#This Row],[cu_id]],'[1]Customer Revenue'!$Q:$Q,'[1]Customer Revenue'!$L:$L, "None")</f>
        <v>None</v>
      </c>
      <c r="AG1025" s="53">
        <v>24.609089481946619</v>
      </c>
      <c r="AH1025" s="53">
        <v>34.633987441130294</v>
      </c>
      <c r="AI1025" s="53">
        <v>32.538333333333334</v>
      </c>
      <c r="AJ1025" s="53">
        <v>29.46</v>
      </c>
      <c r="AK1025" s="53" t="str">
        <f>_xlfn.XLOOKUP(Master[[#This Row],[cu_id]],'[1]Customer Revenue'!$Q:$Q,'[1]Customer Revenue'!$I:$I, "None")</f>
        <v>None</v>
      </c>
      <c r="AL1025" s="53">
        <v>29.621538461538456</v>
      </c>
      <c r="AM1025" s="61">
        <v>0.375</v>
      </c>
      <c r="AN1025" s="60">
        <v>0.70833333333333337</v>
      </c>
      <c r="AO1025" s="60" t="s">
        <v>36</v>
      </c>
      <c r="AP1025" s="60" t="s">
        <v>36</v>
      </c>
      <c r="AQ1025" s="58" t="s">
        <v>0</v>
      </c>
      <c r="AR1025" s="58"/>
      <c r="AS1025" s="58"/>
      <c r="AT1025" s="52">
        <v>0</v>
      </c>
      <c r="AU1025" s="52" t="e">
        <f>IF(Master[[#This Row],[RSP StopTime override]] &lt;&gt; "",Master[[#This Row],[RSP StopTime override]],IF(Master[[#This Row],[Avg stop time helper]] &lt;&gt; 0, Master[[#This Row],[Avg stop time helper]],Average_Stop_Time))</f>
        <v>#DIV/0!</v>
      </c>
      <c r="AV1025" s="21"/>
      <c r="AW1025" s="20">
        <f>Master[[#This Row],[RSP StopTime override]]-Master[[#This Row],[Avg stop time helper]]</f>
        <v>0</v>
      </c>
    </row>
    <row r="1026" spans="1:49" x14ac:dyDescent="0.3">
      <c r="A1026" s="66" t="s">
        <v>5043</v>
      </c>
      <c r="B1026" s="58">
        <v>56</v>
      </c>
      <c r="C1026" s="58" t="s">
        <v>24</v>
      </c>
      <c r="D1026" s="65">
        <v>808370</v>
      </c>
      <c r="E1026" s="65" t="s">
        <v>42</v>
      </c>
      <c r="F1026" s="65" t="s">
        <v>1472</v>
      </c>
      <c r="G1026" s="65" t="s">
        <v>1471</v>
      </c>
      <c r="H1026" s="65" t="s">
        <v>7</v>
      </c>
      <c r="I1026" s="65" t="s">
        <v>939</v>
      </c>
      <c r="J1026" s="65" t="s">
        <v>5</v>
      </c>
      <c r="K1026" s="65" t="s">
        <v>68</v>
      </c>
      <c r="L1026" s="64" t="s">
        <v>67</v>
      </c>
      <c r="M1026" s="58" t="s">
        <v>3</v>
      </c>
      <c r="N1026" s="58" t="s">
        <v>2</v>
      </c>
      <c r="O1026" s="58">
        <v>112</v>
      </c>
      <c r="P1026" s="58">
        <v>112</v>
      </c>
      <c r="Q1026" s="58">
        <v>0</v>
      </c>
      <c r="R1026" s="58">
        <v>0</v>
      </c>
      <c r="S1026" s="58">
        <v>0</v>
      </c>
      <c r="T1026" s="58">
        <v>0</v>
      </c>
      <c r="U1026" s="58">
        <v>39</v>
      </c>
      <c r="V1026" s="62"/>
      <c r="W1026" s="62"/>
      <c r="X1026" s="63">
        <f>IFERROR(1 -(Master[[#This Row],[Avg Garment Scans per Delivery]]/Master[[#This Row],[Garment Inventory]]), 0)</f>
        <v>0</v>
      </c>
      <c r="Y1026" s="62"/>
      <c r="Z1026" s="62"/>
      <c r="AA1026" s="53">
        <v>19.81360946745562</v>
      </c>
      <c r="AB1026" s="53">
        <v>20.878698224852073</v>
      </c>
      <c r="AC1026" s="53">
        <v>21.317751479289942</v>
      </c>
      <c r="AD1026" s="53">
        <v>22.629940828402372</v>
      </c>
      <c r="AE1026" s="53" t="str">
        <f>_xlfn.XLOOKUP(Master[[#This Row],[cu_id]],'[1]Customer Revenue'!$Q:$Q,'[1]Customer Revenue'!$K:$K, "None")</f>
        <v>None</v>
      </c>
      <c r="AF1026" s="53" t="str">
        <f>_xlfn.XLOOKUP(Master[[#This Row],[cu_id]],'[1]Customer Revenue'!$Q:$Q,'[1]Customer Revenue'!$L:$L, "None")</f>
        <v>None</v>
      </c>
      <c r="AG1026" s="53">
        <v>19.866863905325445</v>
      </c>
      <c r="AH1026" s="53">
        <v>20.479289940828401</v>
      </c>
      <c r="AI1026" s="53">
        <v>20.346153846153847</v>
      </c>
      <c r="AJ1026" s="53">
        <v>21.973846153846157</v>
      </c>
      <c r="AK1026" s="53" t="str">
        <f>_xlfn.XLOOKUP(Master[[#This Row],[cu_id]],'[1]Customer Revenue'!$Q:$Q,'[1]Customer Revenue'!$I:$I, "None")</f>
        <v>None</v>
      </c>
      <c r="AL1026" s="53">
        <v>20.173076923076923</v>
      </c>
      <c r="AM1026" s="61">
        <v>4.1666666666666664E-2</v>
      </c>
      <c r="AN1026" s="60">
        <v>0.70833333333333337</v>
      </c>
      <c r="AO1026" s="60" t="s">
        <v>36</v>
      </c>
      <c r="AP1026" s="60" t="s">
        <v>36</v>
      </c>
      <c r="AQ1026" s="58" t="s">
        <v>0</v>
      </c>
      <c r="AR1026" s="58"/>
      <c r="AS1026" s="58"/>
      <c r="AT1026" s="52">
        <v>0</v>
      </c>
      <c r="AU1026" s="52" t="e">
        <f>IF(Master[[#This Row],[RSP StopTime override]] &lt;&gt; "",Master[[#This Row],[RSP StopTime override]],IF(Master[[#This Row],[Avg stop time helper]] &lt;&gt; 0, Master[[#This Row],[Avg stop time helper]],Average_Stop_Time))</f>
        <v>#DIV/0!</v>
      </c>
      <c r="AV1026" s="21"/>
      <c r="AW1026" s="20">
        <f>Master[[#This Row],[RSP StopTime override]]-Master[[#This Row],[Avg stop time helper]]</f>
        <v>0</v>
      </c>
    </row>
    <row r="1027" spans="1:49" x14ac:dyDescent="0.3">
      <c r="A1027" s="66" t="s">
        <v>5044</v>
      </c>
      <c r="B1027" s="58">
        <v>56</v>
      </c>
      <c r="C1027" s="58" t="s">
        <v>24</v>
      </c>
      <c r="D1027" s="65">
        <v>882543</v>
      </c>
      <c r="E1027" s="65" t="s">
        <v>1470</v>
      </c>
      <c r="F1027" s="65" t="s">
        <v>1469</v>
      </c>
      <c r="G1027" s="65" t="s">
        <v>1468</v>
      </c>
      <c r="H1027" s="65" t="s">
        <v>7</v>
      </c>
      <c r="I1027" s="65" t="s">
        <v>6</v>
      </c>
      <c r="J1027" s="65" t="s">
        <v>5</v>
      </c>
      <c r="K1027" s="65" t="s">
        <v>68</v>
      </c>
      <c r="L1027" s="64" t="s">
        <v>77</v>
      </c>
      <c r="M1027" s="58" t="s">
        <v>29</v>
      </c>
      <c r="N1027" s="58" t="s">
        <v>2</v>
      </c>
      <c r="O1027" s="58">
        <v>120</v>
      </c>
      <c r="P1027" s="58">
        <v>120</v>
      </c>
      <c r="Q1027" s="58">
        <v>0</v>
      </c>
      <c r="R1027" s="58">
        <v>0</v>
      </c>
      <c r="S1027" s="58">
        <v>0</v>
      </c>
      <c r="T1027" s="58">
        <v>0</v>
      </c>
      <c r="U1027" s="58">
        <v>13</v>
      </c>
      <c r="V1027" s="62"/>
      <c r="W1027" s="62"/>
      <c r="X1027" s="63">
        <f>IFERROR(1 -(Master[[#This Row],[Avg Garment Scans per Delivery]]/Master[[#This Row],[Garment Inventory]]), 0)</f>
        <v>0</v>
      </c>
      <c r="Y1027" s="62"/>
      <c r="Z1027" s="62"/>
      <c r="AA1027" s="53">
        <v>46.097999999999999</v>
      </c>
      <c r="AB1027" s="53">
        <v>108.19799999999999</v>
      </c>
      <c r="AC1027" s="53">
        <v>45.081517857142842</v>
      </c>
      <c r="AD1027" s="53">
        <v>97.07276785714285</v>
      </c>
      <c r="AE1027" s="53" t="str">
        <f>_xlfn.XLOOKUP(Master[[#This Row],[cu_id]],'[1]Customer Revenue'!$Q:$Q,'[1]Customer Revenue'!$K:$K, "None")</f>
        <v>None</v>
      </c>
      <c r="AF1027" s="53" t="str">
        <f>_xlfn.XLOOKUP(Master[[#This Row],[cu_id]],'[1]Customer Revenue'!$Q:$Q,'[1]Customer Revenue'!$L:$L, "None")</f>
        <v>None</v>
      </c>
      <c r="AG1027" s="53">
        <v>41.780052596975672</v>
      </c>
      <c r="AH1027" s="53">
        <v>108.25105851413545</v>
      </c>
      <c r="AI1027" s="53">
        <v>77.147999999999996</v>
      </c>
      <c r="AJ1027" s="53">
        <v>71.077142857142846</v>
      </c>
      <c r="AK1027" s="53" t="str">
        <f>_xlfn.XLOOKUP(Master[[#This Row],[cu_id]],'[1]Customer Revenue'!$Q:$Q,'[1]Customer Revenue'!$I:$I, "None")</f>
        <v>None</v>
      </c>
      <c r="AL1027" s="53">
        <v>75.015555555555565</v>
      </c>
      <c r="AM1027" s="61">
        <v>0.375</v>
      </c>
      <c r="AN1027" s="60">
        <v>0.70833333333333337</v>
      </c>
      <c r="AO1027" s="60" t="s">
        <v>36</v>
      </c>
      <c r="AP1027" s="60" t="s">
        <v>36</v>
      </c>
      <c r="AQ1027" s="58" t="s">
        <v>0</v>
      </c>
      <c r="AR1027" s="58"/>
      <c r="AS1027" s="58"/>
      <c r="AT1027" s="52">
        <v>0</v>
      </c>
      <c r="AU1027" s="52" t="e">
        <f>IF(Master[[#This Row],[RSP StopTime override]] &lt;&gt; "",Master[[#This Row],[RSP StopTime override]],IF(Master[[#This Row],[Avg stop time helper]] &lt;&gt; 0, Master[[#This Row],[Avg stop time helper]],Average_Stop_Time))</f>
        <v>#DIV/0!</v>
      </c>
      <c r="AV1027" s="21"/>
      <c r="AW1027" s="20">
        <f>Master[[#This Row],[RSP StopTime override]]-Master[[#This Row],[Avg stop time helper]]</f>
        <v>0</v>
      </c>
    </row>
    <row r="1028" spans="1:49" x14ac:dyDescent="0.3">
      <c r="A1028" s="66" t="s">
        <v>5045</v>
      </c>
      <c r="B1028" s="58">
        <v>56</v>
      </c>
      <c r="C1028" s="58" t="s">
        <v>35</v>
      </c>
      <c r="D1028" s="65">
        <v>99031</v>
      </c>
      <c r="E1028" s="65" t="s">
        <v>1467</v>
      </c>
      <c r="F1028" s="65" t="s">
        <v>1466</v>
      </c>
      <c r="G1028" s="65" t="s">
        <v>1465</v>
      </c>
      <c r="H1028" s="65" t="s">
        <v>1178</v>
      </c>
      <c r="I1028" s="65" t="s">
        <v>1399</v>
      </c>
      <c r="J1028" s="65" t="s">
        <v>5</v>
      </c>
      <c r="K1028" s="65" t="s">
        <v>1398</v>
      </c>
      <c r="L1028" s="64" t="s">
        <v>67</v>
      </c>
      <c r="M1028" s="58" t="s">
        <v>3</v>
      </c>
      <c r="N1028" s="58" t="s">
        <v>2</v>
      </c>
      <c r="O1028" s="58">
        <v>102</v>
      </c>
      <c r="P1028" s="58">
        <v>0</v>
      </c>
      <c r="Q1028" s="58">
        <v>102</v>
      </c>
      <c r="R1028" s="58">
        <v>0</v>
      </c>
      <c r="S1028" s="58">
        <v>0</v>
      </c>
      <c r="T1028" s="58">
        <v>0</v>
      </c>
      <c r="U1028" s="58">
        <v>50</v>
      </c>
      <c r="V1028" s="62"/>
      <c r="W1028" s="62"/>
      <c r="X1028" s="63">
        <f>IFERROR(1 -(Master[[#This Row],[Avg Garment Scans per Delivery]]/Master[[#This Row],[Garment Inventory]]), 0)</f>
        <v>0</v>
      </c>
      <c r="Y1028" s="62"/>
      <c r="Z1028" s="62"/>
      <c r="AA1028" s="53">
        <v>35.099171597633138</v>
      </c>
      <c r="AB1028" s="53">
        <v>51.525443786982258</v>
      </c>
      <c r="AC1028" s="53">
        <v>36.973431952662736</v>
      </c>
      <c r="AD1028" s="53">
        <v>39.935798816568052</v>
      </c>
      <c r="AE1028" s="53" t="str">
        <f>_xlfn.XLOOKUP(Master[[#This Row],[cu_id]],'[1]Customer Revenue'!$Q:$Q,'[1]Customer Revenue'!$K:$K, "None")</f>
        <v>None</v>
      </c>
      <c r="AF1028" s="53" t="str">
        <f>_xlfn.XLOOKUP(Master[[#This Row],[cu_id]],'[1]Customer Revenue'!$Q:$Q,'[1]Customer Revenue'!$L:$L, "None")</f>
        <v>None</v>
      </c>
      <c r="AG1028" s="53">
        <v>31.588417159763317</v>
      </c>
      <c r="AH1028" s="53">
        <v>51.376582840236686</v>
      </c>
      <c r="AI1028" s="53">
        <v>43.312307692307698</v>
      </c>
      <c r="AJ1028" s="53">
        <v>38.454615384615394</v>
      </c>
      <c r="AK1028" s="53" t="str">
        <f>_xlfn.XLOOKUP(Master[[#This Row],[cu_id]],'[1]Customer Revenue'!$Q:$Q,'[1]Customer Revenue'!$I:$I, "None")</f>
        <v>None</v>
      </c>
      <c r="AL1028" s="53">
        <v>41.482500000000002</v>
      </c>
      <c r="AM1028" s="61" t="s">
        <v>36</v>
      </c>
      <c r="AN1028" s="60" t="s">
        <v>36</v>
      </c>
      <c r="AO1028" s="60" t="s">
        <v>36</v>
      </c>
      <c r="AP1028" s="60" t="s">
        <v>36</v>
      </c>
      <c r="AQ1028" s="58" t="s">
        <v>0</v>
      </c>
      <c r="AR1028" s="58"/>
      <c r="AS1028" s="58"/>
      <c r="AT1028" s="52">
        <v>0</v>
      </c>
      <c r="AU1028" s="52" t="e">
        <f>IF(Master[[#This Row],[RSP StopTime override]] &lt;&gt; "",Master[[#This Row],[RSP StopTime override]],IF(Master[[#This Row],[Avg stop time helper]] &lt;&gt; 0, Master[[#This Row],[Avg stop time helper]],Average_Stop_Time))</f>
        <v>#DIV/0!</v>
      </c>
      <c r="AV1028" s="21"/>
      <c r="AW1028" s="20">
        <f>Master[[#This Row],[RSP StopTime override]]-Master[[#This Row],[Avg stop time helper]]</f>
        <v>0</v>
      </c>
    </row>
    <row r="1029" spans="1:49" x14ac:dyDescent="0.3">
      <c r="A1029" s="66" t="s">
        <v>5046</v>
      </c>
      <c r="B1029" s="58">
        <v>56</v>
      </c>
      <c r="C1029" s="58" t="s">
        <v>35</v>
      </c>
      <c r="D1029" s="65">
        <v>99045</v>
      </c>
      <c r="E1029" s="65" t="s">
        <v>805</v>
      </c>
      <c r="F1029" s="65" t="s">
        <v>1464</v>
      </c>
      <c r="G1029" s="65" t="s">
        <v>1463</v>
      </c>
      <c r="H1029" s="65" t="s">
        <v>7</v>
      </c>
      <c r="I1029" s="65" t="s">
        <v>1084</v>
      </c>
      <c r="J1029" s="65" t="s">
        <v>5</v>
      </c>
      <c r="K1029" s="65" t="s">
        <v>1088</v>
      </c>
      <c r="L1029" s="64" t="s">
        <v>91</v>
      </c>
      <c r="M1029" s="58" t="s">
        <v>90</v>
      </c>
      <c r="N1029" s="58" t="s">
        <v>2</v>
      </c>
      <c r="O1029" s="58">
        <v>59</v>
      </c>
      <c r="P1029" s="58">
        <v>0</v>
      </c>
      <c r="Q1029" s="58">
        <v>59</v>
      </c>
      <c r="R1029" s="58">
        <v>0</v>
      </c>
      <c r="S1029" s="58">
        <v>0</v>
      </c>
      <c r="T1029" s="58">
        <v>0</v>
      </c>
      <c r="U1029" s="58">
        <v>15</v>
      </c>
      <c r="V1029" s="62"/>
      <c r="W1029" s="62"/>
      <c r="X1029" s="63">
        <f>IFERROR(1 -(Master[[#This Row],[Avg Garment Scans per Delivery]]/Master[[#This Row],[Garment Inventory]]), 0)</f>
        <v>0</v>
      </c>
      <c r="Y1029" s="62"/>
      <c r="Z1029" s="62"/>
      <c r="AA1029" s="53">
        <v>21.066250000000004</v>
      </c>
      <c r="AB1029" s="53">
        <v>28.318750000000001</v>
      </c>
      <c r="AC1029" s="53">
        <v>16.690555555555555</v>
      </c>
      <c r="AD1029" s="53">
        <v>22.812777777777775</v>
      </c>
      <c r="AE1029" s="53" t="str">
        <f>_xlfn.XLOOKUP(Master[[#This Row],[cu_id]],'[1]Customer Revenue'!$Q:$Q,'[1]Customer Revenue'!$K:$K, "None")</f>
        <v>None</v>
      </c>
      <c r="AF1029" s="53" t="str">
        <f>_xlfn.XLOOKUP(Master[[#This Row],[cu_id]],'[1]Customer Revenue'!$Q:$Q,'[1]Customer Revenue'!$L:$L, "None")</f>
        <v>None</v>
      </c>
      <c r="AG1029" s="53">
        <v>18.662653061224493</v>
      </c>
      <c r="AH1029" s="53">
        <v>26.460204081632657</v>
      </c>
      <c r="AI1029" s="53">
        <v>24.692500000000003</v>
      </c>
      <c r="AJ1029" s="53">
        <v>19.751666666666665</v>
      </c>
      <c r="AK1029" s="53" t="str">
        <f>_xlfn.XLOOKUP(Master[[#This Row],[cu_id]],'[1]Customer Revenue'!$Q:$Q,'[1]Customer Revenue'!$I:$I, "None")</f>
        <v>None</v>
      </c>
      <c r="AL1029" s="53">
        <v>22.561428571428575</v>
      </c>
      <c r="AM1029" s="61">
        <v>0.375</v>
      </c>
      <c r="AN1029" s="60" t="s">
        <v>1366</v>
      </c>
      <c r="AO1029" s="60" t="s">
        <v>36</v>
      </c>
      <c r="AP1029" s="60" t="s">
        <v>36</v>
      </c>
      <c r="AQ1029" s="58" t="s">
        <v>0</v>
      </c>
      <c r="AR1029" s="58"/>
      <c r="AS1029" s="58"/>
      <c r="AT1029" s="52">
        <v>0</v>
      </c>
      <c r="AU1029" s="52" t="e">
        <f>IF(Master[[#This Row],[RSP StopTime override]] &lt;&gt; "",Master[[#This Row],[RSP StopTime override]],IF(Master[[#This Row],[Avg stop time helper]] &lt;&gt; 0, Master[[#This Row],[Avg stop time helper]],Average_Stop_Time))</f>
        <v>#DIV/0!</v>
      </c>
      <c r="AV1029" s="21"/>
      <c r="AW1029" s="20">
        <f>Master[[#This Row],[RSP StopTime override]]-Master[[#This Row],[Avg stop time helper]]</f>
        <v>0</v>
      </c>
    </row>
    <row r="1030" spans="1:49" x14ac:dyDescent="0.3">
      <c r="A1030" s="66" t="s">
        <v>5047</v>
      </c>
      <c r="B1030" s="58">
        <v>56</v>
      </c>
      <c r="C1030" s="58" t="s">
        <v>35</v>
      </c>
      <c r="D1030" s="65">
        <v>99054</v>
      </c>
      <c r="E1030" s="65" t="s">
        <v>805</v>
      </c>
      <c r="F1030" s="65" t="s">
        <v>1462</v>
      </c>
      <c r="G1030" s="65" t="s">
        <v>1461</v>
      </c>
      <c r="H1030" s="65" t="s">
        <v>7</v>
      </c>
      <c r="I1030" s="65" t="s">
        <v>1084</v>
      </c>
      <c r="J1030" s="65" t="s">
        <v>5</v>
      </c>
      <c r="K1030" s="65" t="s">
        <v>1088</v>
      </c>
      <c r="L1030" s="64" t="s">
        <v>91</v>
      </c>
      <c r="M1030" s="58" t="s">
        <v>90</v>
      </c>
      <c r="N1030" s="58" t="s">
        <v>2</v>
      </c>
      <c r="O1030" s="58">
        <v>30</v>
      </c>
      <c r="P1030" s="58">
        <v>0</v>
      </c>
      <c r="Q1030" s="58">
        <v>30</v>
      </c>
      <c r="R1030" s="58">
        <v>0</v>
      </c>
      <c r="S1030" s="58">
        <v>0</v>
      </c>
      <c r="T1030" s="58">
        <v>0</v>
      </c>
      <c r="U1030" s="58">
        <v>25</v>
      </c>
      <c r="V1030" s="62"/>
      <c r="W1030" s="62"/>
      <c r="X1030" s="63">
        <f>IFERROR(1 -(Master[[#This Row],[Avg Garment Scans per Delivery]]/Master[[#This Row],[Garment Inventory]]), 0)</f>
        <v>0</v>
      </c>
      <c r="Y1030" s="62"/>
      <c r="Z1030" s="62"/>
      <c r="AA1030" s="53">
        <v>40.896122448979597</v>
      </c>
      <c r="AB1030" s="53">
        <v>95.163877551020406</v>
      </c>
      <c r="AC1030" s="53">
        <v>80.943333333333342</v>
      </c>
      <c r="AD1030" s="53">
        <v>122.26</v>
      </c>
      <c r="AE1030" s="53" t="str">
        <f>_xlfn.XLOOKUP(Master[[#This Row],[cu_id]],'[1]Customer Revenue'!$Q:$Q,'[1]Customer Revenue'!$K:$K, "None")</f>
        <v>None</v>
      </c>
      <c r="AF1030" s="53" t="str">
        <f>_xlfn.XLOOKUP(Master[[#This Row],[cu_id]],'[1]Customer Revenue'!$Q:$Q,'[1]Customer Revenue'!$L:$L, "None")</f>
        <v>None</v>
      </c>
      <c r="AG1030" s="53">
        <v>41.220818540433925</v>
      </c>
      <c r="AH1030" s="53">
        <v>111.57584812623273</v>
      </c>
      <c r="AI1030" s="53">
        <v>68.03</v>
      </c>
      <c r="AJ1030" s="53">
        <v>101.60166666666667</v>
      </c>
      <c r="AK1030" s="53" t="str">
        <f>_xlfn.XLOOKUP(Master[[#This Row],[cu_id]],'[1]Customer Revenue'!$Q:$Q,'[1]Customer Revenue'!$I:$I, "None")</f>
        <v>None</v>
      </c>
      <c r="AL1030" s="53">
        <v>76.398333333333326</v>
      </c>
      <c r="AM1030" s="61">
        <v>0.375</v>
      </c>
      <c r="AN1030" s="60" t="s">
        <v>1366</v>
      </c>
      <c r="AO1030" s="60" t="s">
        <v>36</v>
      </c>
      <c r="AP1030" s="60" t="s">
        <v>36</v>
      </c>
      <c r="AQ1030" s="58" t="s">
        <v>0</v>
      </c>
      <c r="AR1030" s="58"/>
      <c r="AS1030" s="58"/>
      <c r="AT1030" s="52">
        <v>0</v>
      </c>
      <c r="AU1030" s="52" t="e">
        <f>IF(Master[[#This Row],[RSP StopTime override]] &lt;&gt; "",Master[[#This Row],[RSP StopTime override]],IF(Master[[#This Row],[Avg stop time helper]] &lt;&gt; 0, Master[[#This Row],[Avg stop time helper]],Average_Stop_Time))</f>
        <v>#DIV/0!</v>
      </c>
      <c r="AV1030" s="21"/>
      <c r="AW1030" s="20">
        <f>Master[[#This Row],[RSP StopTime override]]-Master[[#This Row],[Avg stop time helper]]</f>
        <v>0</v>
      </c>
    </row>
    <row r="1031" spans="1:49" x14ac:dyDescent="0.3">
      <c r="A1031" s="66" t="s">
        <v>5048</v>
      </c>
      <c r="B1031" s="58">
        <v>56</v>
      </c>
      <c r="C1031" s="58" t="s">
        <v>35</v>
      </c>
      <c r="D1031" s="65">
        <v>99054</v>
      </c>
      <c r="E1031" s="65" t="s">
        <v>1264</v>
      </c>
      <c r="F1031" s="65" t="s">
        <v>1460</v>
      </c>
      <c r="G1031" s="65" t="s">
        <v>1459</v>
      </c>
      <c r="H1031" s="65" t="s">
        <v>32</v>
      </c>
      <c r="I1031" s="65" t="s">
        <v>1084</v>
      </c>
      <c r="J1031" s="65" t="s">
        <v>5</v>
      </c>
      <c r="K1031" s="65" t="s">
        <v>1458</v>
      </c>
      <c r="L1031" s="64" t="s">
        <v>91</v>
      </c>
      <c r="M1031" s="58" t="s">
        <v>90</v>
      </c>
      <c r="N1031" s="58" t="s">
        <v>2</v>
      </c>
      <c r="O1031" s="58">
        <v>73</v>
      </c>
      <c r="P1031" s="58">
        <v>0</v>
      </c>
      <c r="Q1031" s="58">
        <v>73</v>
      </c>
      <c r="R1031" s="58">
        <v>0</v>
      </c>
      <c r="S1031" s="58">
        <v>0</v>
      </c>
      <c r="T1031" s="58">
        <v>0</v>
      </c>
      <c r="U1031" s="58">
        <v>23</v>
      </c>
      <c r="V1031" s="62"/>
      <c r="W1031" s="62"/>
      <c r="X1031" s="63">
        <f>IFERROR(1 -(Master[[#This Row],[Avg Garment Scans per Delivery]]/Master[[#This Row],[Garment Inventory]]), 0)</f>
        <v>0</v>
      </c>
      <c r="Y1031" s="62"/>
      <c r="Z1031" s="62"/>
      <c r="AA1031" s="53">
        <v>12.758816326530612</v>
      </c>
      <c r="AB1031" s="53">
        <v>30.357183673469386</v>
      </c>
      <c r="AC1031" s="53">
        <v>20.185000000000006</v>
      </c>
      <c r="AD1031" s="53">
        <v>61.945000000000007</v>
      </c>
      <c r="AE1031" s="53" t="str">
        <f>_xlfn.XLOOKUP(Master[[#This Row],[cu_id]],'[1]Customer Revenue'!$Q:$Q,'[1]Customer Revenue'!$K:$K, "None")</f>
        <v>None</v>
      </c>
      <c r="AF1031" s="53" t="str">
        <f>_xlfn.XLOOKUP(Master[[#This Row],[cu_id]],'[1]Customer Revenue'!$Q:$Q,'[1]Customer Revenue'!$L:$L, "None")</f>
        <v>None</v>
      </c>
      <c r="AG1031" s="53">
        <v>11.861295200525968</v>
      </c>
      <c r="AH1031" s="53">
        <v>29.46981591058514</v>
      </c>
      <c r="AI1031" s="53">
        <v>21.558</v>
      </c>
      <c r="AJ1031" s="53">
        <v>41.065000000000005</v>
      </c>
      <c r="AK1031" s="53" t="str">
        <f>_xlfn.XLOOKUP(Master[[#This Row],[cu_id]],'[1]Customer Revenue'!$Q:$Q,'[1]Customer Revenue'!$I:$I, "None")</f>
        <v>None</v>
      </c>
      <c r="AL1031" s="53">
        <v>20.665555555555553</v>
      </c>
      <c r="AM1031" s="61">
        <v>0.375</v>
      </c>
      <c r="AN1031" s="60" t="s">
        <v>1366</v>
      </c>
      <c r="AO1031" s="60" t="s">
        <v>36</v>
      </c>
      <c r="AP1031" s="60" t="s">
        <v>36</v>
      </c>
      <c r="AQ1031" s="58" t="s">
        <v>0</v>
      </c>
      <c r="AR1031" s="58"/>
      <c r="AS1031" s="58"/>
      <c r="AT1031" s="52">
        <v>0</v>
      </c>
      <c r="AU1031" s="52" t="e">
        <f>IF(Master[[#This Row],[RSP StopTime override]] &lt;&gt; "",Master[[#This Row],[RSP StopTime override]],IF(Master[[#This Row],[Avg stop time helper]] &lt;&gt; 0, Master[[#This Row],[Avg stop time helper]],Average_Stop_Time))</f>
        <v>#DIV/0!</v>
      </c>
      <c r="AV1031" s="21"/>
      <c r="AW1031" s="20">
        <f>Master[[#This Row],[RSP StopTime override]]-Master[[#This Row],[Avg stop time helper]]</f>
        <v>0</v>
      </c>
    </row>
    <row r="1032" spans="1:49" x14ac:dyDescent="0.3">
      <c r="A1032" s="66" t="s">
        <v>5049</v>
      </c>
      <c r="B1032" s="58">
        <v>56</v>
      </c>
      <c r="C1032" s="58" t="s">
        <v>35</v>
      </c>
      <c r="D1032" s="65">
        <v>99094</v>
      </c>
      <c r="E1032" s="65" t="s">
        <v>1181</v>
      </c>
      <c r="F1032" s="65" t="s">
        <v>1457</v>
      </c>
      <c r="G1032" s="65" t="s">
        <v>1456</v>
      </c>
      <c r="H1032" s="65" t="s">
        <v>7</v>
      </c>
      <c r="I1032" s="65" t="s">
        <v>1084</v>
      </c>
      <c r="J1032" s="65" t="s">
        <v>5</v>
      </c>
      <c r="K1032" s="65" t="s">
        <v>1088</v>
      </c>
      <c r="L1032" s="64" t="s">
        <v>91</v>
      </c>
      <c r="M1032" s="58" t="s">
        <v>90</v>
      </c>
      <c r="N1032" s="58" t="s">
        <v>2</v>
      </c>
      <c r="O1032" s="58">
        <v>48</v>
      </c>
      <c r="P1032" s="58">
        <v>0</v>
      </c>
      <c r="Q1032" s="58">
        <v>48</v>
      </c>
      <c r="R1032" s="58">
        <v>0</v>
      </c>
      <c r="S1032" s="58">
        <v>0</v>
      </c>
      <c r="T1032" s="58">
        <v>0</v>
      </c>
      <c r="U1032" s="58">
        <v>10</v>
      </c>
      <c r="V1032" s="62"/>
      <c r="W1032" s="62"/>
      <c r="X1032" s="63">
        <f>IFERROR(1 -(Master[[#This Row],[Avg Garment Scans per Delivery]]/Master[[#This Row],[Garment Inventory]]), 0)</f>
        <v>0</v>
      </c>
      <c r="Y1032" s="62"/>
      <c r="Z1032" s="62"/>
      <c r="AA1032" s="53">
        <v>20.48</v>
      </c>
      <c r="AB1032" s="53">
        <v>22.37</v>
      </c>
      <c r="AC1032" s="53">
        <v>12.777777777777779</v>
      </c>
      <c r="AD1032" s="53">
        <v>33.222222222222221</v>
      </c>
      <c r="AE1032" s="53" t="str">
        <f>_xlfn.XLOOKUP(Master[[#This Row],[cu_id]],'[1]Customer Revenue'!$Q:$Q,'[1]Customer Revenue'!$K:$K, "None")</f>
        <v>None</v>
      </c>
      <c r="AF1032" s="53" t="str">
        <f>_xlfn.XLOOKUP(Master[[#This Row],[cu_id]],'[1]Customer Revenue'!$Q:$Q,'[1]Customer Revenue'!$L:$L, "None")</f>
        <v>None</v>
      </c>
      <c r="AG1032" s="53">
        <v>20.48</v>
      </c>
      <c r="AH1032" s="53">
        <v>22.37</v>
      </c>
      <c r="AI1032" s="53">
        <v>21.425000000000001</v>
      </c>
      <c r="AJ1032" s="53">
        <v>23</v>
      </c>
      <c r="AK1032" s="53" t="str">
        <f>_xlfn.XLOOKUP(Master[[#This Row],[cu_id]],'[1]Customer Revenue'!$Q:$Q,'[1]Customer Revenue'!$I:$I, "None")</f>
        <v>None</v>
      </c>
      <c r="AL1032" s="53">
        <v>21.425000000000001</v>
      </c>
      <c r="AM1032" s="61">
        <v>0.375</v>
      </c>
      <c r="AN1032" s="60" t="s">
        <v>1366</v>
      </c>
      <c r="AO1032" s="60" t="s">
        <v>36</v>
      </c>
      <c r="AP1032" s="60" t="s">
        <v>36</v>
      </c>
      <c r="AQ1032" s="58" t="s">
        <v>0</v>
      </c>
      <c r="AR1032" s="58"/>
      <c r="AS1032" s="58"/>
      <c r="AT1032" s="52">
        <v>0</v>
      </c>
      <c r="AU1032" s="52" t="e">
        <f>IF(Master[[#This Row],[RSP StopTime override]] &lt;&gt; "",Master[[#This Row],[RSP StopTime override]],IF(Master[[#This Row],[Avg stop time helper]] &lt;&gt; 0, Master[[#This Row],[Avg stop time helper]],Average_Stop_Time))</f>
        <v>#DIV/0!</v>
      </c>
      <c r="AV1032" s="21"/>
      <c r="AW1032" s="20">
        <f>Master[[#This Row],[RSP StopTime override]]-Master[[#This Row],[Avg stop time helper]]</f>
        <v>0</v>
      </c>
    </row>
    <row r="1033" spans="1:49" x14ac:dyDescent="0.3">
      <c r="A1033" s="66" t="s">
        <v>5050</v>
      </c>
      <c r="B1033" s="58">
        <v>56</v>
      </c>
      <c r="C1033" s="58" t="s">
        <v>35</v>
      </c>
      <c r="D1033" s="65">
        <v>99100</v>
      </c>
      <c r="E1033" s="65" t="s">
        <v>1455</v>
      </c>
      <c r="F1033" s="65" t="s">
        <v>1454</v>
      </c>
      <c r="G1033" s="65" t="s">
        <v>1453</v>
      </c>
      <c r="H1033" s="65" t="s">
        <v>7</v>
      </c>
      <c r="I1033" s="65" t="s">
        <v>1116</v>
      </c>
      <c r="J1033" s="65" t="s">
        <v>5</v>
      </c>
      <c r="K1033" s="65" t="s">
        <v>1115</v>
      </c>
      <c r="L1033" s="64" t="s">
        <v>91</v>
      </c>
      <c r="M1033" s="58" t="s">
        <v>90</v>
      </c>
      <c r="N1033" s="58" t="s">
        <v>2</v>
      </c>
      <c r="O1033" s="58">
        <v>105</v>
      </c>
      <c r="P1033" s="58">
        <v>0</v>
      </c>
      <c r="Q1033" s="58">
        <v>105</v>
      </c>
      <c r="R1033" s="58">
        <v>0</v>
      </c>
      <c r="S1033" s="58">
        <v>0</v>
      </c>
      <c r="T1033" s="58">
        <v>0</v>
      </c>
      <c r="U1033" s="58">
        <v>24</v>
      </c>
      <c r="V1033" s="62"/>
      <c r="W1033" s="62"/>
      <c r="X1033" s="63">
        <f>IFERROR(1 -(Master[[#This Row],[Avg Garment Scans per Delivery]]/Master[[#This Row],[Garment Inventory]]), 0)</f>
        <v>0</v>
      </c>
      <c r="Y1033" s="62"/>
      <c r="Z1033" s="62"/>
      <c r="AA1033" s="53">
        <v>18.346088435374153</v>
      </c>
      <c r="AB1033" s="53">
        <v>31.17057823129252</v>
      </c>
      <c r="AC1033" s="53">
        <v>28.97111111111111</v>
      </c>
      <c r="AD1033" s="53">
        <v>31.042222222222218</v>
      </c>
      <c r="AE1033" s="53" t="str">
        <f>_xlfn.XLOOKUP(Master[[#This Row],[cu_id]],'[1]Customer Revenue'!$Q:$Q,'[1]Customer Revenue'!$K:$K, "None")</f>
        <v>None</v>
      </c>
      <c r="AF1033" s="53" t="str">
        <f>_xlfn.XLOOKUP(Master[[#This Row],[cu_id]],'[1]Customer Revenue'!$Q:$Q,'[1]Customer Revenue'!$L:$L, "None")</f>
        <v>None</v>
      </c>
      <c r="AG1033" s="53">
        <v>16.853233333333332</v>
      </c>
      <c r="AH1033" s="53">
        <v>32.7151</v>
      </c>
      <c r="AI1033" s="53">
        <v>24.758333333333336</v>
      </c>
      <c r="AJ1033" s="53">
        <v>30.006666666666664</v>
      </c>
      <c r="AK1033" s="53" t="str">
        <f>_xlfn.XLOOKUP(Master[[#This Row],[cu_id]],'[1]Customer Revenue'!$Q:$Q,'[1]Customer Revenue'!$I:$I, "None")</f>
        <v>None</v>
      </c>
      <c r="AL1033" s="53">
        <v>24.784166666666664</v>
      </c>
      <c r="AM1033" s="61">
        <v>0.375</v>
      </c>
      <c r="AN1033" s="60" t="s">
        <v>1366</v>
      </c>
      <c r="AO1033" s="60" t="s">
        <v>36</v>
      </c>
      <c r="AP1033" s="60" t="s">
        <v>36</v>
      </c>
      <c r="AQ1033" s="58" t="s">
        <v>0</v>
      </c>
      <c r="AR1033" s="58"/>
      <c r="AS1033" s="58"/>
      <c r="AT1033" s="52">
        <v>0</v>
      </c>
      <c r="AU1033" s="52" t="e">
        <f>IF(Master[[#This Row],[RSP StopTime override]] &lt;&gt; "",Master[[#This Row],[RSP StopTime override]],IF(Master[[#This Row],[Avg stop time helper]] &lt;&gt; 0, Master[[#This Row],[Avg stop time helper]],Average_Stop_Time))</f>
        <v>#DIV/0!</v>
      </c>
      <c r="AV1033" s="21"/>
      <c r="AW1033" s="20">
        <f>Master[[#This Row],[RSP StopTime override]]-Master[[#This Row],[Avg stop time helper]]</f>
        <v>0</v>
      </c>
    </row>
    <row r="1034" spans="1:49" x14ac:dyDescent="0.3">
      <c r="A1034" s="66" t="s">
        <v>5051</v>
      </c>
      <c r="B1034" s="58">
        <v>56</v>
      </c>
      <c r="C1034" s="58" t="s">
        <v>35</v>
      </c>
      <c r="D1034" s="65">
        <v>99113</v>
      </c>
      <c r="E1034" s="65" t="s">
        <v>42</v>
      </c>
      <c r="F1034" s="65" t="s">
        <v>1452</v>
      </c>
      <c r="G1034" s="65" t="s">
        <v>1451</v>
      </c>
      <c r="H1034" s="65" t="s">
        <v>7</v>
      </c>
      <c r="I1034" s="65" t="s">
        <v>1084</v>
      </c>
      <c r="J1034" s="65" t="s">
        <v>5</v>
      </c>
      <c r="K1034" s="65" t="s">
        <v>1088</v>
      </c>
      <c r="L1034" s="64" t="s">
        <v>91</v>
      </c>
      <c r="M1034" s="58" t="s">
        <v>90</v>
      </c>
      <c r="N1034" s="58" t="s">
        <v>2</v>
      </c>
      <c r="O1034" s="58">
        <v>87</v>
      </c>
      <c r="P1034" s="58">
        <v>0</v>
      </c>
      <c r="Q1034" s="58">
        <v>87</v>
      </c>
      <c r="R1034" s="58">
        <v>0</v>
      </c>
      <c r="S1034" s="58">
        <v>0</v>
      </c>
      <c r="T1034" s="58">
        <v>0</v>
      </c>
      <c r="U1034" s="58">
        <v>26</v>
      </c>
      <c r="V1034" s="62"/>
      <c r="W1034" s="62"/>
      <c r="X1034" s="63">
        <f>IFERROR(1 -(Master[[#This Row],[Avg Garment Scans per Delivery]]/Master[[#This Row],[Garment Inventory]]), 0)</f>
        <v>0</v>
      </c>
      <c r="Y1034" s="62"/>
      <c r="Z1034" s="62"/>
      <c r="AA1034" s="53">
        <v>19.894489795918368</v>
      </c>
      <c r="AB1034" s="53">
        <v>21.73122448979592</v>
      </c>
      <c r="AC1034" s="53">
        <v>22.16555555555556</v>
      </c>
      <c r="AD1034" s="53">
        <v>24.201111111111114</v>
      </c>
      <c r="AE1034" s="53" t="str">
        <f>_xlfn.XLOOKUP(Master[[#This Row],[cu_id]],'[1]Customer Revenue'!$Q:$Q,'[1]Customer Revenue'!$K:$K, "None")</f>
        <v>None</v>
      </c>
      <c r="AF1034" s="53" t="str">
        <f>_xlfn.XLOOKUP(Master[[#This Row],[cu_id]],'[1]Customer Revenue'!$Q:$Q,'[1]Customer Revenue'!$L:$L, "None")</f>
        <v>None</v>
      </c>
      <c r="AG1034" s="53">
        <v>19.930355029585801</v>
      </c>
      <c r="AH1034" s="53">
        <v>21.101952662721903</v>
      </c>
      <c r="AI1034" s="53">
        <v>20.812857142857144</v>
      </c>
      <c r="AJ1034" s="53">
        <v>23.183333333333337</v>
      </c>
      <c r="AK1034" s="53" t="str">
        <f>_xlfn.XLOOKUP(Master[[#This Row],[cu_id]],'[1]Customer Revenue'!$Q:$Q,'[1]Customer Revenue'!$I:$I, "None")</f>
        <v>None</v>
      </c>
      <c r="AL1034" s="53">
        <v>20.516153846153852</v>
      </c>
      <c r="AM1034" s="61" t="s">
        <v>36</v>
      </c>
      <c r="AN1034" s="60" t="s">
        <v>36</v>
      </c>
      <c r="AO1034" s="60" t="s">
        <v>36</v>
      </c>
      <c r="AP1034" s="60" t="s">
        <v>36</v>
      </c>
      <c r="AQ1034" s="58" t="s">
        <v>0</v>
      </c>
      <c r="AR1034" s="58"/>
      <c r="AS1034" s="58"/>
      <c r="AT1034" s="52">
        <v>0</v>
      </c>
      <c r="AU1034" s="52" t="e">
        <f>IF(Master[[#This Row],[RSP StopTime override]] &lt;&gt; "",Master[[#This Row],[RSP StopTime override]],IF(Master[[#This Row],[Avg stop time helper]] &lt;&gt; 0, Master[[#This Row],[Avg stop time helper]],Average_Stop_Time))</f>
        <v>#DIV/0!</v>
      </c>
      <c r="AV1034" s="21"/>
      <c r="AW1034" s="20">
        <f>Master[[#This Row],[RSP StopTime override]]-Master[[#This Row],[Avg stop time helper]]</f>
        <v>0</v>
      </c>
    </row>
    <row r="1035" spans="1:49" x14ac:dyDescent="0.3">
      <c r="A1035" s="66" t="s">
        <v>5052</v>
      </c>
      <c r="B1035" s="58">
        <v>56</v>
      </c>
      <c r="C1035" s="58" t="s">
        <v>35</v>
      </c>
      <c r="D1035" s="65">
        <v>99113</v>
      </c>
      <c r="E1035" s="65" t="s">
        <v>686</v>
      </c>
      <c r="F1035" s="65" t="s">
        <v>1450</v>
      </c>
      <c r="G1035" s="65" t="s">
        <v>1449</v>
      </c>
      <c r="H1035" s="65" t="s">
        <v>7</v>
      </c>
      <c r="I1035" s="65" t="s">
        <v>1084</v>
      </c>
      <c r="J1035" s="65" t="s">
        <v>5</v>
      </c>
      <c r="K1035" s="65" t="s">
        <v>1088</v>
      </c>
      <c r="L1035" s="64" t="s">
        <v>77</v>
      </c>
      <c r="M1035" s="58" t="s">
        <v>29</v>
      </c>
      <c r="N1035" s="58" t="s">
        <v>2</v>
      </c>
      <c r="O1035" s="58">
        <v>88</v>
      </c>
      <c r="P1035" s="58">
        <v>0</v>
      </c>
      <c r="Q1035" s="58">
        <v>88</v>
      </c>
      <c r="R1035" s="58">
        <v>0</v>
      </c>
      <c r="S1035" s="58">
        <v>0</v>
      </c>
      <c r="T1035" s="58">
        <v>0</v>
      </c>
      <c r="U1035" s="58">
        <v>27</v>
      </c>
      <c r="V1035" s="62"/>
      <c r="W1035" s="62"/>
      <c r="X1035" s="63">
        <f>IFERROR(1 -(Master[[#This Row],[Avg Garment Scans per Delivery]]/Master[[#This Row],[Garment Inventory]]), 0)</f>
        <v>0</v>
      </c>
      <c r="Y1035" s="62"/>
      <c r="Z1035" s="62"/>
      <c r="AA1035" s="53">
        <v>26.330357142857146</v>
      </c>
      <c r="AB1035" s="53">
        <v>41.07535714285715</v>
      </c>
      <c r="AC1035" s="53">
        <v>27.239047619047614</v>
      </c>
      <c r="AD1035" s="53">
        <v>44.90761904761905</v>
      </c>
      <c r="AE1035" s="53" t="str">
        <f>_xlfn.XLOOKUP(Master[[#This Row],[cu_id]],'[1]Customer Revenue'!$Q:$Q,'[1]Customer Revenue'!$K:$K, "None")</f>
        <v>None</v>
      </c>
      <c r="AF1035" s="53" t="str">
        <f>_xlfn.XLOOKUP(Master[[#This Row],[cu_id]],'[1]Customer Revenue'!$Q:$Q,'[1]Customer Revenue'!$L:$L, "None")</f>
        <v>None</v>
      </c>
      <c r="AG1035" s="53">
        <v>29.227295238095238</v>
      </c>
      <c r="AH1035" s="53">
        <v>37.535561904761906</v>
      </c>
      <c r="AI1035" s="53">
        <v>33.702857142857148</v>
      </c>
      <c r="AJ1035" s="53">
        <v>36.073333333333331</v>
      </c>
      <c r="AK1035" s="53" t="str">
        <f>_xlfn.XLOOKUP(Master[[#This Row],[cu_id]],'[1]Customer Revenue'!$Q:$Q,'[1]Customer Revenue'!$I:$I, "None")</f>
        <v>None</v>
      </c>
      <c r="AL1035" s="53">
        <v>33.381428571428572</v>
      </c>
      <c r="AM1035" s="61" t="s">
        <v>36</v>
      </c>
      <c r="AN1035" s="60" t="s">
        <v>1366</v>
      </c>
      <c r="AO1035" s="60" t="s">
        <v>36</v>
      </c>
      <c r="AP1035" s="60" t="s">
        <v>36</v>
      </c>
      <c r="AQ1035" s="58" t="s">
        <v>0</v>
      </c>
      <c r="AR1035" s="58"/>
      <c r="AS1035" s="58"/>
      <c r="AT1035" s="52">
        <v>0</v>
      </c>
      <c r="AU1035" s="52" t="e">
        <f>IF(Master[[#This Row],[RSP StopTime override]] &lt;&gt; "",Master[[#This Row],[RSP StopTime override]],IF(Master[[#This Row],[Avg stop time helper]] &lt;&gt; 0, Master[[#This Row],[Avg stop time helper]],Average_Stop_Time))</f>
        <v>#DIV/0!</v>
      </c>
      <c r="AV1035" s="21"/>
      <c r="AW1035" s="20">
        <f>Master[[#This Row],[RSP StopTime override]]-Master[[#This Row],[Avg stop time helper]]</f>
        <v>0</v>
      </c>
    </row>
    <row r="1036" spans="1:49" x14ac:dyDescent="0.3">
      <c r="A1036" s="81" t="s">
        <v>5053</v>
      </c>
      <c r="B1036" s="79">
        <v>56</v>
      </c>
      <c r="C1036" s="79" t="s">
        <v>35</v>
      </c>
      <c r="D1036" s="80">
        <v>99176</v>
      </c>
      <c r="E1036" s="80">
        <v>0</v>
      </c>
      <c r="F1036" s="80" t="s">
        <v>1448</v>
      </c>
      <c r="G1036" s="80" t="s">
        <v>1447</v>
      </c>
      <c r="H1036" s="80" t="s">
        <v>7</v>
      </c>
      <c r="I1036" s="80" t="s">
        <v>1116</v>
      </c>
      <c r="J1036" s="80" t="s">
        <v>5</v>
      </c>
      <c r="K1036" s="80" t="s">
        <v>1115</v>
      </c>
      <c r="L1036" s="79">
        <v>7</v>
      </c>
      <c r="M1036" s="79" t="s">
        <v>3</v>
      </c>
      <c r="N1036" s="79" t="s">
        <v>2</v>
      </c>
      <c r="O1036" s="58">
        <v>104</v>
      </c>
      <c r="P1036" s="79">
        <v>0</v>
      </c>
      <c r="Q1036" s="79">
        <v>1</v>
      </c>
      <c r="R1036" s="79">
        <v>0</v>
      </c>
      <c r="S1036" s="79">
        <v>0</v>
      </c>
      <c r="T1036" s="79">
        <v>0</v>
      </c>
      <c r="U1036" s="79"/>
      <c r="V1036" s="79">
        <v>334</v>
      </c>
      <c r="W1036" s="79"/>
      <c r="X1036" s="79"/>
      <c r="Y1036" s="79">
        <v>18</v>
      </c>
      <c r="Z1036" s="79">
        <v>292</v>
      </c>
      <c r="AA1036" s="78">
        <v>163</v>
      </c>
      <c r="AB1036" s="78"/>
      <c r="AC1036" s="78"/>
      <c r="AD1036" s="78"/>
      <c r="AE1036" s="53" t="str">
        <f>_xlfn.XLOOKUP(Master[[#This Row],[cu_id]],'[1]Customer Revenue'!$Q:$Q,'[1]Customer Revenue'!$K:$K, "None")</f>
        <v>None</v>
      </c>
      <c r="AF1036" s="53" t="str">
        <f>_xlfn.XLOOKUP(Master[[#This Row],[cu_id]],'[1]Customer Revenue'!$Q:$Q,'[1]Customer Revenue'!$L:$L, "None")</f>
        <v>None</v>
      </c>
      <c r="AG1036" s="78"/>
      <c r="AH1036" s="78"/>
      <c r="AI1036" s="78"/>
      <c r="AJ1036" s="78"/>
      <c r="AK1036" s="53" t="str">
        <f>_xlfn.XLOOKUP(Master[[#This Row],[cu_id]],'[1]Customer Revenue'!$Q:$Q,'[1]Customer Revenue'!$I:$I, "None")</f>
        <v>None</v>
      </c>
      <c r="AL1036" s="78"/>
      <c r="AM1036" s="77" t="s">
        <v>1</v>
      </c>
      <c r="AN1036" s="77" t="s">
        <v>1</v>
      </c>
      <c r="AO1036" s="77" t="s">
        <v>36</v>
      </c>
      <c r="AP1036" s="77" t="s">
        <v>36</v>
      </c>
      <c r="AQ1036" s="77" t="s">
        <v>0</v>
      </c>
      <c r="AR1036" s="77"/>
      <c r="AS1036" s="76"/>
      <c r="AT1036" s="76"/>
      <c r="AU1036" s="76"/>
      <c r="AV1036" s="75"/>
      <c r="AW1036" s="20">
        <f>Master[[#This Row],[RSP StopTime override]]-Master[[#This Row],[Avg stop time helper]]</f>
        <v>0</v>
      </c>
    </row>
    <row r="1037" spans="1:49" x14ac:dyDescent="0.3">
      <c r="A1037" s="81" t="s">
        <v>5054</v>
      </c>
      <c r="B1037" s="79">
        <v>56</v>
      </c>
      <c r="C1037" s="79" t="s">
        <v>35</v>
      </c>
      <c r="D1037" s="80">
        <v>99176</v>
      </c>
      <c r="E1037" s="80">
        <v>1</v>
      </c>
      <c r="F1037" s="80" t="s">
        <v>1446</v>
      </c>
      <c r="G1037" s="80" t="s">
        <v>1445</v>
      </c>
      <c r="H1037" s="80" t="s">
        <v>7</v>
      </c>
      <c r="I1037" s="80" t="s">
        <v>1116</v>
      </c>
      <c r="J1037" s="80" t="s">
        <v>5</v>
      </c>
      <c r="K1037" s="80" t="s">
        <v>1115</v>
      </c>
      <c r="L1037" s="79">
        <v>7</v>
      </c>
      <c r="M1037" s="79" t="s">
        <v>3</v>
      </c>
      <c r="N1037" s="79" t="s">
        <v>2</v>
      </c>
      <c r="O1037" s="58">
        <v>120</v>
      </c>
      <c r="P1037" s="79">
        <v>0</v>
      </c>
      <c r="Q1037" s="79">
        <v>1</v>
      </c>
      <c r="R1037" s="79">
        <v>0</v>
      </c>
      <c r="S1037" s="79">
        <v>0</v>
      </c>
      <c r="T1037" s="79">
        <v>0</v>
      </c>
      <c r="U1037" s="79"/>
      <c r="V1037" s="79">
        <v>253</v>
      </c>
      <c r="W1037" s="79"/>
      <c r="X1037" s="79"/>
      <c r="Y1037" s="79">
        <v>16</v>
      </c>
      <c r="Z1037" s="79">
        <v>232</v>
      </c>
      <c r="AA1037" s="78">
        <v>127.67</v>
      </c>
      <c r="AB1037" s="78"/>
      <c r="AC1037" s="78"/>
      <c r="AD1037" s="78"/>
      <c r="AE1037" s="53" t="str">
        <f>_xlfn.XLOOKUP(Master[[#This Row],[cu_id]],'[1]Customer Revenue'!$Q:$Q,'[1]Customer Revenue'!$K:$K, "None")</f>
        <v>None</v>
      </c>
      <c r="AF1037" s="53" t="str">
        <f>_xlfn.XLOOKUP(Master[[#This Row],[cu_id]],'[1]Customer Revenue'!$Q:$Q,'[1]Customer Revenue'!$L:$L, "None")</f>
        <v>None</v>
      </c>
      <c r="AG1037" s="78"/>
      <c r="AH1037" s="78"/>
      <c r="AI1037" s="78"/>
      <c r="AJ1037" s="78"/>
      <c r="AK1037" s="53" t="str">
        <f>_xlfn.XLOOKUP(Master[[#This Row],[cu_id]],'[1]Customer Revenue'!$Q:$Q,'[1]Customer Revenue'!$I:$I, "None")</f>
        <v>None</v>
      </c>
      <c r="AL1037" s="78"/>
      <c r="AM1037" s="77" t="s">
        <v>1</v>
      </c>
      <c r="AN1037" s="77" t="s">
        <v>1</v>
      </c>
      <c r="AO1037" s="77" t="s">
        <v>36</v>
      </c>
      <c r="AP1037" s="77" t="s">
        <v>36</v>
      </c>
      <c r="AQ1037" s="77" t="s">
        <v>0</v>
      </c>
      <c r="AR1037" s="77"/>
      <c r="AS1037" s="76"/>
      <c r="AT1037" s="76"/>
      <c r="AU1037" s="76"/>
      <c r="AV1037" s="75"/>
      <c r="AW1037" s="20">
        <f>Master[[#This Row],[RSP StopTime override]]-Master[[#This Row],[Avg stop time helper]]</f>
        <v>0</v>
      </c>
    </row>
    <row r="1038" spans="1:49" x14ac:dyDescent="0.3">
      <c r="A1038" s="66" t="s">
        <v>5055</v>
      </c>
      <c r="B1038" s="58">
        <v>56</v>
      </c>
      <c r="C1038" s="58" t="s">
        <v>35</v>
      </c>
      <c r="D1038" s="65">
        <v>512548</v>
      </c>
      <c r="E1038" s="65" t="s">
        <v>42</v>
      </c>
      <c r="F1038" s="65" t="s">
        <v>1444</v>
      </c>
      <c r="G1038" s="65" t="s">
        <v>1443</v>
      </c>
      <c r="H1038" s="65" t="s">
        <v>32</v>
      </c>
      <c r="I1038" s="65" t="s">
        <v>1129</v>
      </c>
      <c r="J1038" s="65" t="s">
        <v>5</v>
      </c>
      <c r="K1038" s="65" t="s">
        <v>1088</v>
      </c>
      <c r="L1038" s="64" t="s">
        <v>67</v>
      </c>
      <c r="M1038" s="58" t="s">
        <v>3</v>
      </c>
      <c r="N1038" s="58" t="s">
        <v>2</v>
      </c>
      <c r="O1038" s="58">
        <v>58</v>
      </c>
      <c r="P1038" s="58">
        <v>0</v>
      </c>
      <c r="Q1038" s="58">
        <v>58</v>
      </c>
      <c r="R1038" s="58">
        <v>0</v>
      </c>
      <c r="S1038" s="58">
        <v>0</v>
      </c>
      <c r="T1038" s="58">
        <v>0</v>
      </c>
      <c r="U1038" s="58">
        <v>52</v>
      </c>
      <c r="V1038" s="62">
        <v>102</v>
      </c>
      <c r="W1038" s="62">
        <v>13</v>
      </c>
      <c r="X1038" s="63">
        <f>IFERROR(1 -(Master[[#This Row],[Avg Garment Scans per Delivery]]/Master[[#This Row],[Garment Inventory]]), 0)</f>
        <v>0.87254901960784315</v>
      </c>
      <c r="Y1038" s="62">
        <v>6</v>
      </c>
      <c r="Z1038" s="62">
        <v>100</v>
      </c>
      <c r="AA1038" s="53">
        <v>127.80290423861851</v>
      </c>
      <c r="AB1038" s="53">
        <v>166.89555729984301</v>
      </c>
      <c r="AC1038" s="53">
        <v>147.10777777777776</v>
      </c>
      <c r="AD1038" s="53">
        <v>150.48555555555555</v>
      </c>
      <c r="AE1038" s="53" t="str">
        <f>_xlfn.XLOOKUP(Master[[#This Row],[cu_id]],'[1]Customer Revenue'!$Q:$Q,'[1]Customer Revenue'!$K:$K, "None")</f>
        <v>None</v>
      </c>
      <c r="AF1038" s="53" t="str">
        <f>_xlfn.XLOOKUP(Master[[#This Row],[cu_id]],'[1]Customer Revenue'!$Q:$Q,'[1]Customer Revenue'!$L:$L, "None")</f>
        <v>None</v>
      </c>
      <c r="AG1038" s="53">
        <v>118.32117150706443</v>
      </c>
      <c r="AH1038" s="53">
        <v>155.69805926216645</v>
      </c>
      <c r="AI1038" s="53">
        <v>147.34923076923076</v>
      </c>
      <c r="AJ1038" s="53">
        <v>148.79666666666665</v>
      </c>
      <c r="AK1038" s="53" t="str">
        <f>_xlfn.XLOOKUP(Master[[#This Row],[cu_id]],'[1]Customer Revenue'!$Q:$Q,'[1]Customer Revenue'!$I:$I, "None")</f>
        <v>None</v>
      </c>
      <c r="AL1038" s="53">
        <v>137.00961538461544</v>
      </c>
      <c r="AM1038" s="61">
        <v>0.29166666666666669</v>
      </c>
      <c r="AN1038" s="60" t="s">
        <v>1366</v>
      </c>
      <c r="AO1038" s="60" t="s">
        <v>36</v>
      </c>
      <c r="AP1038" s="60" t="s">
        <v>36</v>
      </c>
      <c r="AQ1038" s="58" t="s">
        <v>0</v>
      </c>
      <c r="AR1038" s="58"/>
      <c r="AS1038" s="58"/>
      <c r="AT1038" s="52">
        <v>0</v>
      </c>
      <c r="AU1038" s="52" t="e">
        <f>IF(Master[[#This Row],[RSP StopTime override]] &lt;&gt; "",Master[[#This Row],[RSP StopTime override]],IF(Master[[#This Row],[Avg stop time helper]] &lt;&gt; 0, Master[[#This Row],[Avg stop time helper]],Average_Stop_Time))</f>
        <v>#DIV/0!</v>
      </c>
      <c r="AV1038" s="21"/>
      <c r="AW1038" s="20">
        <f>Master[[#This Row],[RSP StopTime override]]-Master[[#This Row],[Avg stop time helper]]</f>
        <v>0</v>
      </c>
    </row>
    <row r="1039" spans="1:49" x14ac:dyDescent="0.3">
      <c r="A1039" s="66" t="s">
        <v>5056</v>
      </c>
      <c r="B1039" s="58">
        <v>56</v>
      </c>
      <c r="C1039" s="58" t="s">
        <v>35</v>
      </c>
      <c r="D1039" s="65">
        <v>512567</v>
      </c>
      <c r="E1039" s="65" t="s">
        <v>42</v>
      </c>
      <c r="F1039" s="65" t="s">
        <v>1442</v>
      </c>
      <c r="G1039" s="65" t="s">
        <v>1441</v>
      </c>
      <c r="H1039" s="65" t="s">
        <v>32</v>
      </c>
      <c r="I1039" s="65" t="s">
        <v>1129</v>
      </c>
      <c r="J1039" s="65" t="s">
        <v>5</v>
      </c>
      <c r="K1039" s="65" t="s">
        <v>1088</v>
      </c>
      <c r="L1039" s="64" t="s">
        <v>67</v>
      </c>
      <c r="M1039" s="58" t="s">
        <v>3</v>
      </c>
      <c r="N1039" s="58" t="s">
        <v>2</v>
      </c>
      <c r="O1039" s="58">
        <v>40</v>
      </c>
      <c r="P1039" s="58">
        <v>0</v>
      </c>
      <c r="Q1039" s="58">
        <v>40</v>
      </c>
      <c r="R1039" s="58">
        <v>0</v>
      </c>
      <c r="S1039" s="58">
        <v>0</v>
      </c>
      <c r="T1039" s="58">
        <v>0</v>
      </c>
      <c r="U1039" s="58">
        <v>51</v>
      </c>
      <c r="V1039" s="62"/>
      <c r="W1039" s="62"/>
      <c r="X1039" s="63">
        <f>IFERROR(1 -(Master[[#This Row],[Avg Garment Scans per Delivery]]/Master[[#This Row],[Garment Inventory]]), 0)</f>
        <v>0</v>
      </c>
      <c r="Y1039" s="62"/>
      <c r="Z1039" s="62"/>
      <c r="AA1039" s="53">
        <v>115.09544378698223</v>
      </c>
      <c r="AB1039" s="53">
        <v>136.61071005917159</v>
      </c>
      <c r="AC1039" s="53">
        <v>127.71443786982252</v>
      </c>
      <c r="AD1039" s="53">
        <v>143.24863905325446</v>
      </c>
      <c r="AE1039" s="53" t="str">
        <f>_xlfn.XLOOKUP(Master[[#This Row],[cu_id]],'[1]Customer Revenue'!$Q:$Q,'[1]Customer Revenue'!$K:$K, "None")</f>
        <v>None</v>
      </c>
      <c r="AF1039" s="53" t="str">
        <f>_xlfn.XLOOKUP(Master[[#This Row],[cu_id]],'[1]Customer Revenue'!$Q:$Q,'[1]Customer Revenue'!$L:$L, "None")</f>
        <v>None</v>
      </c>
      <c r="AG1039" s="53">
        <v>103.68499526627218</v>
      </c>
      <c r="AH1039" s="53">
        <v>133.16860473372779</v>
      </c>
      <c r="AI1039" s="53">
        <v>125.85307692307691</v>
      </c>
      <c r="AJ1039" s="53">
        <v>135.48153846153849</v>
      </c>
      <c r="AK1039" s="53" t="str">
        <f>_xlfn.XLOOKUP(Master[[#This Row],[cu_id]],'[1]Customer Revenue'!$Q:$Q,'[1]Customer Revenue'!$I:$I, "None")</f>
        <v>None</v>
      </c>
      <c r="AL1039" s="53">
        <v>118.42679999999999</v>
      </c>
      <c r="AM1039" s="61">
        <v>0.29166666666666669</v>
      </c>
      <c r="AN1039" s="60">
        <v>0.41666666666666669</v>
      </c>
      <c r="AO1039" s="60" t="s">
        <v>36</v>
      </c>
      <c r="AP1039" s="60" t="s">
        <v>36</v>
      </c>
      <c r="AQ1039" s="58" t="s">
        <v>1440</v>
      </c>
      <c r="AR1039" s="58"/>
      <c r="AS1039" s="58"/>
      <c r="AT1039" s="52">
        <v>0</v>
      </c>
      <c r="AU1039" s="52" t="e">
        <f>IF(Master[[#This Row],[RSP StopTime override]] &lt;&gt; "",Master[[#This Row],[RSP StopTime override]],IF(Master[[#This Row],[Avg stop time helper]] &lt;&gt; 0, Master[[#This Row],[Avg stop time helper]],Average_Stop_Time))</f>
        <v>#DIV/0!</v>
      </c>
      <c r="AV1039" s="21"/>
      <c r="AW1039" s="20">
        <f>Master[[#This Row],[RSP StopTime override]]-Master[[#This Row],[Avg stop time helper]]</f>
        <v>0</v>
      </c>
    </row>
    <row r="1040" spans="1:49" x14ac:dyDescent="0.3">
      <c r="A1040" s="66" t="s">
        <v>5057</v>
      </c>
      <c r="B1040" s="58">
        <v>56</v>
      </c>
      <c r="C1040" s="58" t="s">
        <v>35</v>
      </c>
      <c r="D1040" s="65">
        <v>512583</v>
      </c>
      <c r="E1040" s="65" t="s">
        <v>42</v>
      </c>
      <c r="F1040" s="65" t="s">
        <v>1439</v>
      </c>
      <c r="G1040" s="65" t="s">
        <v>1438</v>
      </c>
      <c r="H1040" s="65" t="s">
        <v>32</v>
      </c>
      <c r="I1040" s="65" t="s">
        <v>1129</v>
      </c>
      <c r="J1040" s="65" t="s">
        <v>5</v>
      </c>
      <c r="K1040" s="65" t="s">
        <v>1088</v>
      </c>
      <c r="L1040" s="64" t="s">
        <v>91</v>
      </c>
      <c r="M1040" s="58" t="s">
        <v>90</v>
      </c>
      <c r="N1040" s="58" t="s">
        <v>2</v>
      </c>
      <c r="O1040" s="58">
        <v>75</v>
      </c>
      <c r="P1040" s="58">
        <v>0</v>
      </c>
      <c r="Q1040" s="58">
        <v>75</v>
      </c>
      <c r="R1040" s="58">
        <v>0</v>
      </c>
      <c r="S1040" s="58">
        <v>0</v>
      </c>
      <c r="T1040" s="58">
        <v>0</v>
      </c>
      <c r="U1040" s="58">
        <v>23</v>
      </c>
      <c r="V1040" s="62"/>
      <c r="W1040" s="62"/>
      <c r="X1040" s="63">
        <f>IFERROR(1 -(Master[[#This Row],[Avg Garment Scans per Delivery]]/Master[[#This Row],[Garment Inventory]]), 0)</f>
        <v>0</v>
      </c>
      <c r="Y1040" s="62"/>
      <c r="Z1040" s="62"/>
      <c r="AA1040" s="53">
        <v>57.934897959183672</v>
      </c>
      <c r="AB1040" s="53">
        <v>137.84510204081633</v>
      </c>
      <c r="AC1040" s="53">
        <v>99.324444444444453</v>
      </c>
      <c r="AD1040" s="53">
        <v>102.2488888888889</v>
      </c>
      <c r="AE1040" s="53" t="str">
        <f>_xlfn.XLOOKUP(Master[[#This Row],[cu_id]],'[1]Customer Revenue'!$Q:$Q,'[1]Customer Revenue'!$K:$K, "None")</f>
        <v>None</v>
      </c>
      <c r="AF1040" s="53" t="str">
        <f>_xlfn.XLOOKUP(Master[[#This Row],[cu_id]],'[1]Customer Revenue'!$Q:$Q,'[1]Customer Revenue'!$L:$L, "None")</f>
        <v>None</v>
      </c>
      <c r="AG1040" s="53">
        <v>71.219069392146352</v>
      </c>
      <c r="AH1040" s="53">
        <v>121.35729424421733</v>
      </c>
      <c r="AI1040" s="53">
        <v>97.89</v>
      </c>
      <c r="AJ1040" s="53">
        <v>100.78666666666668</v>
      </c>
      <c r="AK1040" s="53" t="str">
        <f>_xlfn.XLOOKUP(Master[[#This Row],[cu_id]],'[1]Customer Revenue'!$Q:$Q,'[1]Customer Revenue'!$I:$I, "None")</f>
        <v>None</v>
      </c>
      <c r="AL1040" s="53">
        <v>96.28818181818184</v>
      </c>
      <c r="AM1040" s="61">
        <v>0.375</v>
      </c>
      <c r="AN1040" s="60" t="s">
        <v>1366</v>
      </c>
      <c r="AO1040" s="60" t="s">
        <v>36</v>
      </c>
      <c r="AP1040" s="60" t="s">
        <v>36</v>
      </c>
      <c r="AQ1040" s="58" t="s">
        <v>0</v>
      </c>
      <c r="AR1040" s="58"/>
      <c r="AS1040" s="58"/>
      <c r="AT1040" s="52">
        <v>0</v>
      </c>
      <c r="AU1040" s="52" t="e">
        <f>IF(Master[[#This Row],[RSP StopTime override]] &lt;&gt; "",Master[[#This Row],[RSP StopTime override]],IF(Master[[#This Row],[Avg stop time helper]] &lt;&gt; 0, Master[[#This Row],[Avg stop time helper]],Average_Stop_Time))</f>
        <v>#DIV/0!</v>
      </c>
      <c r="AV1040" s="21"/>
      <c r="AW1040" s="20">
        <f>Master[[#This Row],[RSP StopTime override]]-Master[[#This Row],[Avg stop time helper]]</f>
        <v>0</v>
      </c>
    </row>
    <row r="1041" spans="1:49" x14ac:dyDescent="0.3">
      <c r="A1041" s="66" t="s">
        <v>5058</v>
      </c>
      <c r="B1041" s="58">
        <v>56</v>
      </c>
      <c r="C1041" s="58" t="s">
        <v>35</v>
      </c>
      <c r="D1041" s="65">
        <v>513087</v>
      </c>
      <c r="E1041" s="65" t="s">
        <v>42</v>
      </c>
      <c r="F1041" s="65" t="s">
        <v>1437</v>
      </c>
      <c r="G1041" s="65" t="s">
        <v>1436</v>
      </c>
      <c r="H1041" s="65" t="s">
        <v>32</v>
      </c>
      <c r="I1041" s="65" t="s">
        <v>1435</v>
      </c>
      <c r="J1041" s="65" t="s">
        <v>5</v>
      </c>
      <c r="K1041" s="65" t="s">
        <v>1173</v>
      </c>
      <c r="L1041" s="64" t="s">
        <v>67</v>
      </c>
      <c r="M1041" s="58" t="s">
        <v>3</v>
      </c>
      <c r="N1041" s="58" t="s">
        <v>2</v>
      </c>
      <c r="O1041" s="58">
        <v>5</v>
      </c>
      <c r="P1041" s="58">
        <v>0</v>
      </c>
      <c r="Q1041" s="58">
        <v>5</v>
      </c>
      <c r="R1041" s="58">
        <v>0</v>
      </c>
      <c r="S1041" s="58">
        <v>0</v>
      </c>
      <c r="T1041" s="58">
        <v>0</v>
      </c>
      <c r="U1041" s="58">
        <v>53</v>
      </c>
      <c r="V1041" s="62"/>
      <c r="W1041" s="62"/>
      <c r="X1041" s="63">
        <f>IFERROR(1 -(Master[[#This Row],[Avg Garment Scans per Delivery]]/Master[[#This Row],[Garment Inventory]]), 0)</f>
        <v>0</v>
      </c>
      <c r="Y1041" s="62"/>
      <c r="Z1041" s="62"/>
      <c r="AA1041" s="53">
        <v>246.1326627218935</v>
      </c>
      <c r="AB1041" s="53">
        <v>312.51041420118344</v>
      </c>
      <c r="AC1041" s="53">
        <v>315.75177514792898</v>
      </c>
      <c r="AD1041" s="53">
        <v>340.63745562130174</v>
      </c>
      <c r="AE1041" s="53" t="str">
        <f>_xlfn.XLOOKUP(Master[[#This Row],[cu_id]],'[1]Customer Revenue'!$Q:$Q,'[1]Customer Revenue'!$K:$K, "None")</f>
        <v>None</v>
      </c>
      <c r="AF1041" s="53" t="str">
        <f>_xlfn.XLOOKUP(Master[[#This Row],[cu_id]],'[1]Customer Revenue'!$Q:$Q,'[1]Customer Revenue'!$L:$L, "None")</f>
        <v>None</v>
      </c>
      <c r="AG1041" s="53">
        <v>254.35260355029587</v>
      </c>
      <c r="AH1041" s="53">
        <v>312.36431952662724</v>
      </c>
      <c r="AI1041" s="53">
        <v>279.32153846153847</v>
      </c>
      <c r="AJ1041" s="53">
        <v>328.19461538461536</v>
      </c>
      <c r="AK1041" s="53" t="str">
        <f>_xlfn.XLOOKUP(Master[[#This Row],[cu_id]],'[1]Customer Revenue'!$Q:$Q,'[1]Customer Revenue'!$I:$I, "None")</f>
        <v>None</v>
      </c>
      <c r="AL1041" s="53">
        <v>283.35846153846154</v>
      </c>
      <c r="AM1041" s="61">
        <v>0.29166666666666669</v>
      </c>
      <c r="AN1041" s="60" t="s">
        <v>1366</v>
      </c>
      <c r="AO1041" s="60" t="s">
        <v>36</v>
      </c>
      <c r="AP1041" s="60" t="s">
        <v>36</v>
      </c>
      <c r="AQ1041" s="58" t="s">
        <v>0</v>
      </c>
      <c r="AR1041" s="58"/>
      <c r="AS1041" s="58"/>
      <c r="AT1041" s="52">
        <v>0</v>
      </c>
      <c r="AU1041" s="52" t="e">
        <f>IF(Master[[#This Row],[RSP StopTime override]] &lt;&gt; "",Master[[#This Row],[RSP StopTime override]],IF(Master[[#This Row],[Avg stop time helper]] &lt;&gt; 0, Master[[#This Row],[Avg stop time helper]],Average_Stop_Time))</f>
        <v>#DIV/0!</v>
      </c>
      <c r="AV1041" s="21"/>
      <c r="AW1041" s="20">
        <f>Master[[#This Row],[RSP StopTime override]]-Master[[#This Row],[Avg stop time helper]]</f>
        <v>0</v>
      </c>
    </row>
    <row r="1042" spans="1:49" x14ac:dyDescent="0.3">
      <c r="A1042" s="66" t="s">
        <v>5059</v>
      </c>
      <c r="B1042" s="58">
        <v>56</v>
      </c>
      <c r="C1042" s="58" t="s">
        <v>35</v>
      </c>
      <c r="D1042" s="65">
        <v>518644</v>
      </c>
      <c r="E1042" s="65" t="s">
        <v>42</v>
      </c>
      <c r="F1042" s="65" t="s">
        <v>1434</v>
      </c>
      <c r="G1042" s="65" t="s">
        <v>1433</v>
      </c>
      <c r="H1042" s="65" t="s">
        <v>32</v>
      </c>
      <c r="I1042" s="65" t="s">
        <v>1126</v>
      </c>
      <c r="J1042" s="65" t="s">
        <v>5</v>
      </c>
      <c r="K1042" s="65" t="s">
        <v>1432</v>
      </c>
      <c r="L1042" s="64" t="s">
        <v>206</v>
      </c>
      <c r="M1042" s="58" t="s">
        <v>205</v>
      </c>
      <c r="N1042" s="58" t="s">
        <v>2</v>
      </c>
      <c r="O1042" s="58">
        <v>118</v>
      </c>
      <c r="P1042" s="58">
        <v>0</v>
      </c>
      <c r="Q1042" s="58">
        <v>118</v>
      </c>
      <c r="R1042" s="58">
        <v>0</v>
      </c>
      <c r="S1042" s="58">
        <v>0</v>
      </c>
      <c r="T1042" s="58">
        <v>0</v>
      </c>
      <c r="U1042" s="58">
        <v>11</v>
      </c>
      <c r="V1042" s="62"/>
      <c r="W1042" s="62"/>
      <c r="X1042" s="63">
        <f>IFERROR(1 -(Master[[#This Row],[Avg Garment Scans per Delivery]]/Master[[#This Row],[Garment Inventory]]), 0)</f>
        <v>0</v>
      </c>
      <c r="Y1042" s="62"/>
      <c r="Z1042" s="62"/>
      <c r="AA1042" s="53">
        <v>162.5</v>
      </c>
      <c r="AB1042" s="53">
        <v>162.5</v>
      </c>
      <c r="AC1042" s="53">
        <v>175.88875000000002</v>
      </c>
      <c r="AD1042" s="53">
        <v>178.05624999999998</v>
      </c>
      <c r="AE1042" s="53" t="str">
        <f>_xlfn.XLOOKUP(Master[[#This Row],[cu_id]],'[1]Customer Revenue'!$Q:$Q,'[1]Customer Revenue'!$K:$K, "None")</f>
        <v>None</v>
      </c>
      <c r="AF1042" s="53" t="str">
        <f>_xlfn.XLOOKUP(Master[[#This Row],[cu_id]],'[1]Customer Revenue'!$Q:$Q,'[1]Customer Revenue'!$L:$L, "None")</f>
        <v>None</v>
      </c>
      <c r="AG1042" s="53">
        <v>110.87111111111111</v>
      </c>
      <c r="AH1042" s="53">
        <v>213.8088888888889</v>
      </c>
      <c r="AI1042" s="53">
        <v>162.5</v>
      </c>
      <c r="AJ1042" s="53">
        <v>176.9725</v>
      </c>
      <c r="AK1042" s="53" t="str">
        <f>_xlfn.XLOOKUP(Master[[#This Row],[cu_id]],'[1]Customer Revenue'!$Q:$Q,'[1]Customer Revenue'!$I:$I, "None")</f>
        <v>None</v>
      </c>
      <c r="AL1042" s="53">
        <v>162.34</v>
      </c>
      <c r="AM1042" s="61">
        <v>0.29166666666666669</v>
      </c>
      <c r="AN1042" s="60">
        <v>0.58333333333333337</v>
      </c>
      <c r="AO1042" s="60" t="s">
        <v>36</v>
      </c>
      <c r="AP1042" s="60" t="s">
        <v>36</v>
      </c>
      <c r="AQ1042" s="58" t="s">
        <v>0</v>
      </c>
      <c r="AR1042" s="58"/>
      <c r="AS1042" s="58"/>
      <c r="AT1042" s="52">
        <v>0</v>
      </c>
      <c r="AU1042" s="52" t="e">
        <f>IF(Master[[#This Row],[RSP StopTime override]] &lt;&gt; "",Master[[#This Row],[RSP StopTime override]],IF(Master[[#This Row],[Avg stop time helper]] &lt;&gt; 0, Master[[#This Row],[Avg stop time helper]],Average_Stop_Time))</f>
        <v>#DIV/0!</v>
      </c>
      <c r="AV1042" s="21"/>
      <c r="AW1042" s="20">
        <f>Master[[#This Row],[RSP StopTime override]]-Master[[#This Row],[Avg stop time helper]]</f>
        <v>0</v>
      </c>
    </row>
    <row r="1043" spans="1:49" x14ac:dyDescent="0.3">
      <c r="A1043" s="66" t="s">
        <v>5060</v>
      </c>
      <c r="B1043" s="58">
        <v>56</v>
      </c>
      <c r="C1043" s="58" t="s">
        <v>35</v>
      </c>
      <c r="D1043" s="65">
        <v>521600</v>
      </c>
      <c r="E1043" s="65" t="s">
        <v>42</v>
      </c>
      <c r="F1043" s="65" t="s">
        <v>1431</v>
      </c>
      <c r="G1043" s="65" t="s">
        <v>1430</v>
      </c>
      <c r="H1043" s="65" t="s">
        <v>32</v>
      </c>
      <c r="I1043" s="65" t="s">
        <v>1129</v>
      </c>
      <c r="J1043" s="65" t="s">
        <v>5</v>
      </c>
      <c r="K1043" s="65" t="s">
        <v>1088</v>
      </c>
      <c r="L1043" s="64" t="s">
        <v>141</v>
      </c>
      <c r="M1043" s="58" t="s">
        <v>140</v>
      </c>
      <c r="N1043" s="58" t="s">
        <v>2</v>
      </c>
      <c r="O1043" s="58">
        <v>89</v>
      </c>
      <c r="P1043" s="58">
        <v>0</v>
      </c>
      <c r="Q1043" s="58">
        <v>89</v>
      </c>
      <c r="R1043" s="58">
        <v>0</v>
      </c>
      <c r="S1043" s="58">
        <v>0</v>
      </c>
      <c r="T1043" s="58">
        <v>0</v>
      </c>
      <c r="U1043" s="58">
        <v>13</v>
      </c>
      <c r="V1043" s="62"/>
      <c r="W1043" s="62"/>
      <c r="X1043" s="63">
        <f>IFERROR(1 -(Master[[#This Row],[Avg Garment Scans per Delivery]]/Master[[#This Row],[Garment Inventory]]), 0)</f>
        <v>0</v>
      </c>
      <c r="Y1043" s="62"/>
      <c r="Z1043" s="62"/>
      <c r="AA1043" s="53">
        <v>82.64</v>
      </c>
      <c r="AB1043" s="53">
        <v>84.64</v>
      </c>
      <c r="AC1043" s="53">
        <v>84.72</v>
      </c>
      <c r="AD1043" s="53">
        <v>88.079999999999984</v>
      </c>
      <c r="AE1043" s="53" t="str">
        <f>_xlfn.XLOOKUP(Master[[#This Row],[cu_id]],'[1]Customer Revenue'!$Q:$Q,'[1]Customer Revenue'!$K:$K, "None")</f>
        <v>None</v>
      </c>
      <c r="AF1043" s="53" t="str">
        <f>_xlfn.XLOOKUP(Master[[#This Row],[cu_id]],'[1]Customer Revenue'!$Q:$Q,'[1]Customer Revenue'!$L:$L, "None")</f>
        <v>None</v>
      </c>
      <c r="AG1043" s="53">
        <v>82.660408163265302</v>
      </c>
      <c r="AH1043" s="53">
        <v>83.762448979591838</v>
      </c>
      <c r="AI1043" s="53">
        <v>83.64</v>
      </c>
      <c r="AJ1043" s="53">
        <v>86.399999999999991</v>
      </c>
      <c r="AK1043" s="53" t="str">
        <f>_xlfn.XLOOKUP(Master[[#This Row],[cu_id]],'[1]Customer Revenue'!$Q:$Q,'[1]Customer Revenue'!$I:$I, "None")</f>
        <v>None</v>
      </c>
      <c r="AL1043" s="53">
        <v>83.21142857142857</v>
      </c>
      <c r="AM1043" s="61" t="s">
        <v>36</v>
      </c>
      <c r="AN1043" s="60" t="s">
        <v>36</v>
      </c>
      <c r="AO1043" s="60" t="s">
        <v>36</v>
      </c>
      <c r="AP1043" s="60" t="s">
        <v>36</v>
      </c>
      <c r="AQ1043" s="58" t="s">
        <v>0</v>
      </c>
      <c r="AR1043" s="58"/>
      <c r="AS1043" s="58"/>
      <c r="AT1043" s="52">
        <v>0</v>
      </c>
      <c r="AU1043" s="52" t="e">
        <f>IF(Master[[#This Row],[RSP StopTime override]] &lt;&gt; "",Master[[#This Row],[RSP StopTime override]],IF(Master[[#This Row],[Avg stop time helper]] &lt;&gt; 0, Master[[#This Row],[Avg stop time helper]],Average_Stop_Time))</f>
        <v>#DIV/0!</v>
      </c>
      <c r="AV1043" s="21"/>
      <c r="AW1043" s="20">
        <f>Master[[#This Row],[RSP StopTime override]]-Master[[#This Row],[Avg stop time helper]]</f>
        <v>0</v>
      </c>
    </row>
    <row r="1044" spans="1:49" x14ac:dyDescent="0.3">
      <c r="A1044" s="66" t="s">
        <v>5061</v>
      </c>
      <c r="B1044" s="58">
        <v>56</v>
      </c>
      <c r="C1044" s="58" t="s">
        <v>35</v>
      </c>
      <c r="D1044" s="65">
        <v>522035</v>
      </c>
      <c r="E1044" s="65" t="s">
        <v>42</v>
      </c>
      <c r="F1044" s="65" t="s">
        <v>1429</v>
      </c>
      <c r="G1044" s="65" t="s">
        <v>1428</v>
      </c>
      <c r="H1044" s="65" t="s">
        <v>32</v>
      </c>
      <c r="I1044" s="65" t="s">
        <v>1129</v>
      </c>
      <c r="J1044" s="65" t="s">
        <v>5</v>
      </c>
      <c r="K1044" s="65" t="s">
        <v>1088</v>
      </c>
      <c r="L1044" s="64" t="s">
        <v>91</v>
      </c>
      <c r="M1044" s="58" t="s">
        <v>90</v>
      </c>
      <c r="N1044" s="58" t="s">
        <v>2</v>
      </c>
      <c r="O1044" s="58">
        <v>57</v>
      </c>
      <c r="P1044" s="58">
        <v>0</v>
      </c>
      <c r="Q1044" s="58">
        <v>57</v>
      </c>
      <c r="R1044" s="58">
        <v>0</v>
      </c>
      <c r="S1044" s="58">
        <v>0</v>
      </c>
      <c r="T1044" s="58">
        <v>0</v>
      </c>
      <c r="U1044" s="58">
        <v>26</v>
      </c>
      <c r="V1044" s="62"/>
      <c r="W1044" s="62"/>
      <c r="X1044" s="63">
        <f>IFERROR(1 -(Master[[#This Row],[Avg Garment Scans per Delivery]]/Master[[#This Row],[Garment Inventory]]), 0)</f>
        <v>0</v>
      </c>
      <c r="Y1044" s="62"/>
      <c r="Z1044" s="62"/>
      <c r="AA1044" s="53">
        <v>112.7838775510204</v>
      </c>
      <c r="AB1044" s="53">
        <v>119.60183673469388</v>
      </c>
      <c r="AC1044" s="53">
        <v>120.60222222222221</v>
      </c>
      <c r="AD1044" s="53">
        <v>122.34444444444442</v>
      </c>
      <c r="AE1044" s="53" t="str">
        <f>_xlfn.XLOOKUP(Master[[#This Row],[cu_id]],'[1]Customer Revenue'!$Q:$Q,'[1]Customer Revenue'!$K:$K, "None")</f>
        <v>None</v>
      </c>
      <c r="AF1044" s="53" t="str">
        <f>_xlfn.XLOOKUP(Master[[#This Row],[cu_id]],'[1]Customer Revenue'!$Q:$Q,'[1]Customer Revenue'!$L:$L, "None")</f>
        <v>None</v>
      </c>
      <c r="AG1044" s="53">
        <v>112.34514792899408</v>
      </c>
      <c r="AH1044" s="53">
        <v>117.28715976331362</v>
      </c>
      <c r="AI1044" s="53">
        <v>116.19285714285714</v>
      </c>
      <c r="AJ1044" s="53">
        <v>121.47333333333331</v>
      </c>
      <c r="AK1044" s="53" t="str">
        <f>_xlfn.XLOOKUP(Master[[#This Row],[cu_id]],'[1]Customer Revenue'!$Q:$Q,'[1]Customer Revenue'!$I:$I, "None")</f>
        <v>None</v>
      </c>
      <c r="AL1044" s="53">
        <v>114.81615384615385</v>
      </c>
      <c r="AM1044" s="61" t="s">
        <v>36</v>
      </c>
      <c r="AN1044" s="60" t="s">
        <v>36</v>
      </c>
      <c r="AO1044" s="60" t="s">
        <v>36</v>
      </c>
      <c r="AP1044" s="60" t="s">
        <v>36</v>
      </c>
      <c r="AQ1044" s="58" t="s">
        <v>0</v>
      </c>
      <c r="AR1044" s="58"/>
      <c r="AS1044" s="58"/>
      <c r="AT1044" s="52">
        <v>0</v>
      </c>
      <c r="AU1044" s="52" t="e">
        <f>IF(Master[[#This Row],[RSP StopTime override]] &lt;&gt; "",Master[[#This Row],[RSP StopTime override]],IF(Master[[#This Row],[Avg stop time helper]] &lt;&gt; 0, Master[[#This Row],[Avg stop time helper]],Average_Stop_Time))</f>
        <v>#DIV/0!</v>
      </c>
      <c r="AV1044" s="21"/>
      <c r="AW1044" s="20">
        <f>Master[[#This Row],[RSP StopTime override]]-Master[[#This Row],[Avg stop time helper]]</f>
        <v>0</v>
      </c>
    </row>
    <row r="1045" spans="1:49" x14ac:dyDescent="0.3">
      <c r="A1045" s="66" t="s">
        <v>5062</v>
      </c>
      <c r="B1045" s="58">
        <v>56</v>
      </c>
      <c r="C1045" s="58" t="s">
        <v>35</v>
      </c>
      <c r="D1045" s="65">
        <v>529558</v>
      </c>
      <c r="E1045" s="65" t="s">
        <v>686</v>
      </c>
      <c r="F1045" s="65" t="s">
        <v>1427</v>
      </c>
      <c r="G1045" s="65" t="s">
        <v>1425</v>
      </c>
      <c r="H1045" s="65" t="s">
        <v>7</v>
      </c>
      <c r="I1045" s="65" t="s">
        <v>1084</v>
      </c>
      <c r="J1045" s="65" t="s">
        <v>5</v>
      </c>
      <c r="K1045" s="65" t="s">
        <v>1088</v>
      </c>
      <c r="L1045" s="64" t="s">
        <v>67</v>
      </c>
      <c r="M1045" s="58" t="s">
        <v>3</v>
      </c>
      <c r="N1045" s="58" t="s">
        <v>2</v>
      </c>
      <c r="O1045" s="58">
        <v>20</v>
      </c>
      <c r="P1045" s="58">
        <v>0</v>
      </c>
      <c r="Q1045" s="58">
        <v>20</v>
      </c>
      <c r="R1045" s="58">
        <v>0</v>
      </c>
      <c r="S1045" s="58">
        <v>0</v>
      </c>
      <c r="T1045" s="58">
        <v>0</v>
      </c>
      <c r="U1045" s="58">
        <v>54</v>
      </c>
      <c r="V1045" s="62"/>
      <c r="W1045" s="62"/>
      <c r="X1045" s="63">
        <f>IFERROR(1 -(Master[[#This Row],[Avg Garment Scans per Delivery]]/Master[[#This Row],[Garment Inventory]]), 0)</f>
        <v>0</v>
      </c>
      <c r="Y1045" s="62"/>
      <c r="Z1045" s="62"/>
      <c r="AA1045" s="53">
        <v>264.22177514792907</v>
      </c>
      <c r="AB1045" s="53">
        <v>466.5074556213018</v>
      </c>
      <c r="AC1045" s="53">
        <v>284.4821301775147</v>
      </c>
      <c r="AD1045" s="53">
        <v>463.57633136094671</v>
      </c>
      <c r="AE1045" s="53" t="str">
        <f>_xlfn.XLOOKUP(Master[[#This Row],[cu_id]],'[1]Customer Revenue'!$Q:$Q,'[1]Customer Revenue'!$K:$K, "None")</f>
        <v>None</v>
      </c>
      <c r="AF1045" s="53" t="str">
        <f>_xlfn.XLOOKUP(Master[[#This Row],[cu_id]],'[1]Customer Revenue'!$Q:$Q,'[1]Customer Revenue'!$L:$L, "None")</f>
        <v>None</v>
      </c>
      <c r="AG1045" s="53">
        <v>272.67769230769227</v>
      </c>
      <c r="AH1045" s="53">
        <v>552.81999999999982</v>
      </c>
      <c r="AI1045" s="53">
        <v>365.36461538461543</v>
      </c>
      <c r="AJ1045" s="53">
        <v>374.02923076923071</v>
      </c>
      <c r="AK1045" s="53" t="str">
        <f>_xlfn.XLOOKUP(Master[[#This Row],[cu_id]],'[1]Customer Revenue'!$Q:$Q,'[1]Customer Revenue'!$I:$I, "None")</f>
        <v>None</v>
      </c>
      <c r="AL1045" s="53">
        <v>412.74884615384605</v>
      </c>
      <c r="AM1045" s="61">
        <v>0.29166666666666669</v>
      </c>
      <c r="AN1045" s="60" t="s">
        <v>1366</v>
      </c>
      <c r="AO1045" s="60" t="s">
        <v>36</v>
      </c>
      <c r="AP1045" s="60" t="s">
        <v>36</v>
      </c>
      <c r="AQ1045" s="58" t="s">
        <v>0</v>
      </c>
      <c r="AR1045" s="58"/>
      <c r="AS1045" s="58"/>
      <c r="AT1045" s="52">
        <v>0</v>
      </c>
      <c r="AU1045" s="52" t="e">
        <f>IF(Master[[#This Row],[RSP StopTime override]] &lt;&gt; "",Master[[#This Row],[RSP StopTime override]],IF(Master[[#This Row],[Avg stop time helper]] &lt;&gt; 0, Master[[#This Row],[Avg stop time helper]],Average_Stop_Time))</f>
        <v>#DIV/0!</v>
      </c>
      <c r="AV1045" s="21"/>
      <c r="AW1045" s="20">
        <f>Master[[#This Row],[RSP StopTime override]]-Master[[#This Row],[Avg stop time helper]]</f>
        <v>0</v>
      </c>
    </row>
    <row r="1046" spans="1:49" x14ac:dyDescent="0.3">
      <c r="A1046" s="66" t="s">
        <v>5063</v>
      </c>
      <c r="B1046" s="58">
        <v>56</v>
      </c>
      <c r="C1046" s="58" t="s">
        <v>35</v>
      </c>
      <c r="D1046" s="65">
        <v>529558</v>
      </c>
      <c r="E1046" s="65" t="s">
        <v>42</v>
      </c>
      <c r="F1046" s="65" t="s">
        <v>1426</v>
      </c>
      <c r="G1046" s="65" t="s">
        <v>1425</v>
      </c>
      <c r="H1046" s="65" t="s">
        <v>7</v>
      </c>
      <c r="I1046" s="65" t="s">
        <v>1084</v>
      </c>
      <c r="J1046" s="65" t="s">
        <v>5</v>
      </c>
      <c r="K1046" s="65" t="s">
        <v>1088</v>
      </c>
      <c r="L1046" s="64" t="s">
        <v>67</v>
      </c>
      <c r="M1046" s="58" t="s">
        <v>3</v>
      </c>
      <c r="N1046" s="58" t="s">
        <v>2</v>
      </c>
      <c r="O1046" s="58">
        <v>20</v>
      </c>
      <c r="P1046" s="58">
        <v>0</v>
      </c>
      <c r="Q1046" s="58">
        <v>20</v>
      </c>
      <c r="R1046" s="58">
        <v>0</v>
      </c>
      <c r="S1046" s="58">
        <v>0</v>
      </c>
      <c r="T1046" s="58">
        <v>0</v>
      </c>
      <c r="U1046" s="58">
        <v>52</v>
      </c>
      <c r="V1046" s="62">
        <v>87</v>
      </c>
      <c r="W1046" s="62">
        <v>0</v>
      </c>
      <c r="X1046" s="63">
        <f>IFERROR(1 -(Master[[#This Row],[Avg Garment Scans per Delivery]]/Master[[#This Row],[Garment Inventory]]), 0)</f>
        <v>1</v>
      </c>
      <c r="Y1046" s="62">
        <v>4</v>
      </c>
      <c r="Z1046" s="62">
        <v>96</v>
      </c>
      <c r="AA1046" s="53">
        <v>222.42360946745566</v>
      </c>
      <c r="AB1046" s="53">
        <v>223.48869822485221</v>
      </c>
      <c r="AC1046" s="53">
        <v>223.85627218934917</v>
      </c>
      <c r="AD1046" s="53">
        <v>230.96065088757399</v>
      </c>
      <c r="AE1046" s="53" t="str">
        <f>_xlfn.XLOOKUP(Master[[#This Row],[cu_id]],'[1]Customer Revenue'!$Q:$Q,'[1]Customer Revenue'!$K:$K, "None")</f>
        <v>None</v>
      </c>
      <c r="AF1046" s="53" t="str">
        <f>_xlfn.XLOOKUP(Master[[#This Row],[cu_id]],'[1]Customer Revenue'!$Q:$Q,'[1]Customer Revenue'!$L:$L, "None")</f>
        <v>None</v>
      </c>
      <c r="AG1046" s="53">
        <v>222.47686390532544</v>
      </c>
      <c r="AH1046" s="53">
        <v>223.08928994082839</v>
      </c>
      <c r="AI1046" s="53">
        <v>222.95615384615394</v>
      </c>
      <c r="AJ1046" s="53">
        <v>227.40846153846158</v>
      </c>
      <c r="AK1046" s="53" t="str">
        <f>_xlfn.XLOOKUP(Master[[#This Row],[cu_id]],'[1]Customer Revenue'!$Q:$Q,'[1]Customer Revenue'!$I:$I, "None")</f>
        <v>None</v>
      </c>
      <c r="AL1046" s="53">
        <v>222.78307692307692</v>
      </c>
      <c r="AM1046" s="61">
        <v>0.29166666666666669</v>
      </c>
      <c r="AN1046" s="60" t="s">
        <v>1366</v>
      </c>
      <c r="AO1046" s="60" t="s">
        <v>36</v>
      </c>
      <c r="AP1046" s="60" t="s">
        <v>36</v>
      </c>
      <c r="AQ1046" s="58" t="s">
        <v>0</v>
      </c>
      <c r="AR1046" s="58"/>
      <c r="AS1046" s="58"/>
      <c r="AT1046" s="52">
        <v>0</v>
      </c>
      <c r="AU1046" s="52" t="e">
        <f>IF(Master[[#This Row],[RSP StopTime override]] &lt;&gt; "",Master[[#This Row],[RSP StopTime override]],IF(Master[[#This Row],[Avg stop time helper]] &lt;&gt; 0, Master[[#This Row],[Avg stop time helper]],Average_Stop_Time))</f>
        <v>#DIV/0!</v>
      </c>
      <c r="AV1046" s="21"/>
      <c r="AW1046" s="20">
        <f>Master[[#This Row],[RSP StopTime override]]-Master[[#This Row],[Avg stop time helper]]</f>
        <v>0</v>
      </c>
    </row>
    <row r="1047" spans="1:49" x14ac:dyDescent="0.3">
      <c r="A1047" s="66" t="s">
        <v>5064</v>
      </c>
      <c r="B1047" s="58">
        <v>56</v>
      </c>
      <c r="C1047" s="58" t="s">
        <v>35</v>
      </c>
      <c r="D1047" s="65">
        <v>530152</v>
      </c>
      <c r="E1047" s="65" t="s">
        <v>42</v>
      </c>
      <c r="F1047" s="65" t="s">
        <v>1424</v>
      </c>
      <c r="G1047" s="65" t="s">
        <v>1423</v>
      </c>
      <c r="H1047" s="65" t="s">
        <v>7</v>
      </c>
      <c r="I1047" s="65" t="s">
        <v>1084</v>
      </c>
      <c r="J1047" s="65" t="s">
        <v>5</v>
      </c>
      <c r="K1047" s="65" t="s">
        <v>1088</v>
      </c>
      <c r="L1047" s="64" t="s">
        <v>77</v>
      </c>
      <c r="M1047" s="58" t="s">
        <v>29</v>
      </c>
      <c r="N1047" s="58" t="s">
        <v>2</v>
      </c>
      <c r="O1047" s="58">
        <v>35</v>
      </c>
      <c r="P1047" s="58">
        <v>0</v>
      </c>
      <c r="Q1047" s="58">
        <v>35</v>
      </c>
      <c r="R1047" s="58">
        <v>0</v>
      </c>
      <c r="S1047" s="58">
        <v>0</v>
      </c>
      <c r="T1047" s="58">
        <v>0</v>
      </c>
      <c r="U1047" s="58">
        <v>26</v>
      </c>
      <c r="V1047" s="62"/>
      <c r="W1047" s="62"/>
      <c r="X1047" s="63">
        <f>IFERROR(1 -(Master[[#This Row],[Avg Garment Scans per Delivery]]/Master[[#This Row],[Garment Inventory]]), 0)</f>
        <v>0</v>
      </c>
      <c r="Y1047" s="62"/>
      <c r="Z1047" s="62"/>
      <c r="AA1047" s="53">
        <v>36.298888888888889</v>
      </c>
      <c r="AB1047" s="53">
        <v>41.494444444444447</v>
      </c>
      <c r="AC1047" s="53">
        <v>41.780204081632654</v>
      </c>
      <c r="AD1047" s="53">
        <v>43.04551020408163</v>
      </c>
      <c r="AE1047" s="53" t="str">
        <f>_xlfn.XLOOKUP(Master[[#This Row],[cu_id]],'[1]Customer Revenue'!$Q:$Q,'[1]Customer Revenue'!$K:$K, "None")</f>
        <v>None</v>
      </c>
      <c r="AF1047" s="53" t="str">
        <f>_xlfn.XLOOKUP(Master[[#This Row],[cu_id]],'[1]Customer Revenue'!$Q:$Q,'[1]Customer Revenue'!$L:$L, "None")</f>
        <v>None</v>
      </c>
      <c r="AG1047" s="53">
        <v>38.284201183431961</v>
      </c>
      <c r="AH1047" s="53">
        <v>41.203491124260353</v>
      </c>
      <c r="AI1047" s="53">
        <v>38.896666666666668</v>
      </c>
      <c r="AJ1047" s="53">
        <v>42.412857142857142</v>
      </c>
      <c r="AK1047" s="53" t="str">
        <f>_xlfn.XLOOKUP(Master[[#This Row],[cu_id]],'[1]Customer Revenue'!$Q:$Q,'[1]Customer Revenue'!$I:$I, "None")</f>
        <v>None</v>
      </c>
      <c r="AL1047" s="53">
        <v>39.743846153846157</v>
      </c>
      <c r="AM1047" s="61">
        <v>0.29166666666666669</v>
      </c>
      <c r="AN1047" s="60" t="s">
        <v>1366</v>
      </c>
      <c r="AO1047" s="60" t="s">
        <v>36</v>
      </c>
      <c r="AP1047" s="60" t="s">
        <v>36</v>
      </c>
      <c r="AQ1047" s="58" t="s">
        <v>0</v>
      </c>
      <c r="AR1047" s="58"/>
      <c r="AS1047" s="58"/>
      <c r="AT1047" s="52">
        <v>0</v>
      </c>
      <c r="AU1047" s="52" t="e">
        <f>IF(Master[[#This Row],[RSP StopTime override]] &lt;&gt; "",Master[[#This Row],[RSP StopTime override]],IF(Master[[#This Row],[Avg stop time helper]] &lt;&gt; 0, Master[[#This Row],[Avg stop time helper]],Average_Stop_Time))</f>
        <v>#DIV/0!</v>
      </c>
      <c r="AV1047" s="21"/>
      <c r="AW1047" s="20">
        <f>Master[[#This Row],[RSP StopTime override]]-Master[[#This Row],[Avg stop time helper]]</f>
        <v>0</v>
      </c>
    </row>
    <row r="1048" spans="1:49" x14ac:dyDescent="0.3">
      <c r="A1048" s="66" t="s">
        <v>5065</v>
      </c>
      <c r="B1048" s="58">
        <v>56</v>
      </c>
      <c r="C1048" s="58" t="s">
        <v>35</v>
      </c>
      <c r="D1048" s="65">
        <v>530318</v>
      </c>
      <c r="E1048" s="65" t="s">
        <v>42</v>
      </c>
      <c r="F1048" s="65" t="s">
        <v>1422</v>
      </c>
      <c r="G1048" s="65" t="s">
        <v>1421</v>
      </c>
      <c r="H1048" s="65" t="s">
        <v>7</v>
      </c>
      <c r="I1048" s="65" t="s">
        <v>1084</v>
      </c>
      <c r="J1048" s="65" t="s">
        <v>5</v>
      </c>
      <c r="K1048" s="65" t="s">
        <v>1088</v>
      </c>
      <c r="L1048" s="64" t="s">
        <v>67</v>
      </c>
      <c r="M1048" s="58" t="s">
        <v>3</v>
      </c>
      <c r="N1048" s="58" t="s">
        <v>2</v>
      </c>
      <c r="O1048" s="58">
        <v>50</v>
      </c>
      <c r="P1048" s="58">
        <v>0</v>
      </c>
      <c r="Q1048" s="58">
        <v>50</v>
      </c>
      <c r="R1048" s="58">
        <v>0</v>
      </c>
      <c r="S1048" s="58">
        <v>0</v>
      </c>
      <c r="T1048" s="58">
        <v>0</v>
      </c>
      <c r="U1048" s="58">
        <v>52</v>
      </c>
      <c r="V1048" s="62">
        <v>33</v>
      </c>
      <c r="W1048" s="62">
        <v>2</v>
      </c>
      <c r="X1048" s="63">
        <f>IFERROR(1 -(Master[[#This Row],[Avg Garment Scans per Delivery]]/Master[[#This Row],[Garment Inventory]]), 0)</f>
        <v>0.93939393939393945</v>
      </c>
      <c r="Y1048" s="62">
        <v>3</v>
      </c>
      <c r="Z1048" s="62">
        <v>33</v>
      </c>
      <c r="AA1048" s="53">
        <v>22.60153846153846</v>
      </c>
      <c r="AB1048" s="53">
        <v>28.15846153846153</v>
      </c>
      <c r="AC1048" s="53">
        <v>31.126666666666669</v>
      </c>
      <c r="AD1048" s="53">
        <v>33.31333333333334</v>
      </c>
      <c r="AE1048" s="53" t="str">
        <f>_xlfn.XLOOKUP(Master[[#This Row],[cu_id]],'[1]Customer Revenue'!$Q:$Q,'[1]Customer Revenue'!$K:$K, "None")</f>
        <v>None</v>
      </c>
      <c r="AF1048" s="53" t="str">
        <f>_xlfn.XLOOKUP(Master[[#This Row],[cu_id]],'[1]Customer Revenue'!$Q:$Q,'[1]Customer Revenue'!$L:$L, "None")</f>
        <v>None</v>
      </c>
      <c r="AG1048" s="53">
        <v>21.971296296296288</v>
      </c>
      <c r="AH1048" s="53">
        <v>26.298703703703687</v>
      </c>
      <c r="AI1048" s="53">
        <v>25.379999999999995</v>
      </c>
      <c r="AJ1048" s="53">
        <v>32.220000000000006</v>
      </c>
      <c r="AK1048" s="53" t="str">
        <f>_xlfn.XLOOKUP(Master[[#This Row],[cu_id]],'[1]Customer Revenue'!$Q:$Q,'[1]Customer Revenue'!$I:$I, "None")</f>
        <v>None</v>
      </c>
      <c r="AL1048" s="53">
        <v>24.134999999999987</v>
      </c>
      <c r="AM1048" s="61">
        <v>0.29166666666666669</v>
      </c>
      <c r="AN1048" s="60" t="s">
        <v>1366</v>
      </c>
      <c r="AO1048" s="60" t="s">
        <v>36</v>
      </c>
      <c r="AP1048" s="60" t="s">
        <v>36</v>
      </c>
      <c r="AQ1048" s="58" t="s">
        <v>0</v>
      </c>
      <c r="AR1048" s="58"/>
      <c r="AS1048" s="58"/>
      <c r="AT1048" s="52">
        <v>0</v>
      </c>
      <c r="AU1048" s="52" t="e">
        <f>IF(Master[[#This Row],[RSP StopTime override]] &lt;&gt; "",Master[[#This Row],[RSP StopTime override]],IF(Master[[#This Row],[Avg stop time helper]] &lt;&gt; 0, Master[[#This Row],[Avg stop time helper]],Average_Stop_Time))</f>
        <v>#DIV/0!</v>
      </c>
      <c r="AV1048" s="21"/>
      <c r="AW1048" s="20">
        <f>Master[[#This Row],[RSP StopTime override]]-Master[[#This Row],[Avg stop time helper]]</f>
        <v>0</v>
      </c>
    </row>
    <row r="1049" spans="1:49" x14ac:dyDescent="0.3">
      <c r="A1049" s="66" t="s">
        <v>5066</v>
      </c>
      <c r="B1049" s="58">
        <v>56</v>
      </c>
      <c r="C1049" s="58" t="s">
        <v>35</v>
      </c>
      <c r="D1049" s="65">
        <v>530421</v>
      </c>
      <c r="E1049" s="65" t="s">
        <v>42</v>
      </c>
      <c r="F1049" s="65" t="s">
        <v>1420</v>
      </c>
      <c r="G1049" s="65" t="s">
        <v>1419</v>
      </c>
      <c r="H1049" s="65" t="s">
        <v>7</v>
      </c>
      <c r="I1049" s="65" t="s">
        <v>1084</v>
      </c>
      <c r="J1049" s="65" t="s">
        <v>5</v>
      </c>
      <c r="K1049" s="65" t="s">
        <v>1088</v>
      </c>
      <c r="L1049" s="64" t="s">
        <v>206</v>
      </c>
      <c r="M1049" s="58" t="s">
        <v>205</v>
      </c>
      <c r="N1049" s="58" t="s">
        <v>2</v>
      </c>
      <c r="O1049" s="58">
        <v>47</v>
      </c>
      <c r="P1049" s="58">
        <v>0</v>
      </c>
      <c r="Q1049" s="58">
        <v>47</v>
      </c>
      <c r="R1049" s="58">
        <v>0</v>
      </c>
      <c r="S1049" s="58">
        <v>0</v>
      </c>
      <c r="T1049" s="58">
        <v>0</v>
      </c>
      <c r="U1049" s="58">
        <v>13</v>
      </c>
      <c r="V1049" s="62"/>
      <c r="W1049" s="62"/>
      <c r="X1049" s="63">
        <f>IFERROR(1 -(Master[[#This Row],[Avg Garment Scans per Delivery]]/Master[[#This Row],[Garment Inventory]]), 0)</f>
        <v>0</v>
      </c>
      <c r="Y1049" s="62"/>
      <c r="Z1049" s="62"/>
      <c r="AA1049" s="53">
        <v>56.523333333333333</v>
      </c>
      <c r="AB1049" s="53">
        <v>142.61666666666665</v>
      </c>
      <c r="AC1049" s="53">
        <v>87.824999999999989</v>
      </c>
      <c r="AD1049" s="53">
        <v>174.245</v>
      </c>
      <c r="AE1049" s="53" t="str">
        <f>_xlfn.XLOOKUP(Master[[#This Row],[cu_id]],'[1]Customer Revenue'!$Q:$Q,'[1]Customer Revenue'!$K:$K, "None")</f>
        <v>None</v>
      </c>
      <c r="AF1049" s="53" t="str">
        <f>_xlfn.XLOOKUP(Master[[#This Row],[cu_id]],'[1]Customer Revenue'!$Q:$Q,'[1]Customer Revenue'!$L:$L, "None")</f>
        <v>None</v>
      </c>
      <c r="AG1049" s="53">
        <v>95.588333333333338</v>
      </c>
      <c r="AH1049" s="53">
        <v>169.54166666666666</v>
      </c>
      <c r="AI1049" s="53">
        <v>99.57</v>
      </c>
      <c r="AJ1049" s="53">
        <v>131.035</v>
      </c>
      <c r="AK1049" s="53" t="str">
        <f>_xlfn.XLOOKUP(Master[[#This Row],[cu_id]],'[1]Customer Revenue'!$Q:$Q,'[1]Customer Revenue'!$I:$I, "None")</f>
        <v>None</v>
      </c>
      <c r="AL1049" s="53">
        <v>132.565</v>
      </c>
      <c r="AM1049" s="61">
        <v>0.29166666666666669</v>
      </c>
      <c r="AN1049" s="60" t="s">
        <v>1366</v>
      </c>
      <c r="AO1049" s="60" t="s">
        <v>36</v>
      </c>
      <c r="AP1049" s="60" t="s">
        <v>36</v>
      </c>
      <c r="AQ1049" s="58" t="s">
        <v>0</v>
      </c>
      <c r="AR1049" s="58"/>
      <c r="AS1049" s="58"/>
      <c r="AT1049" s="52">
        <v>0</v>
      </c>
      <c r="AU1049" s="52" t="e">
        <f>IF(Master[[#This Row],[RSP StopTime override]] &lt;&gt; "",Master[[#This Row],[RSP StopTime override]],IF(Master[[#This Row],[Avg stop time helper]] &lt;&gt; 0, Master[[#This Row],[Avg stop time helper]],Average_Stop_Time))</f>
        <v>#DIV/0!</v>
      </c>
      <c r="AV1049" s="21"/>
      <c r="AW1049" s="20">
        <f>Master[[#This Row],[RSP StopTime override]]-Master[[#This Row],[Avg stop time helper]]</f>
        <v>0</v>
      </c>
    </row>
    <row r="1050" spans="1:49" x14ac:dyDescent="0.3">
      <c r="A1050" s="66" t="s">
        <v>5067</v>
      </c>
      <c r="B1050" s="58">
        <v>56</v>
      </c>
      <c r="C1050" s="58" t="s">
        <v>35</v>
      </c>
      <c r="D1050" s="65">
        <v>531014</v>
      </c>
      <c r="E1050" s="65" t="s">
        <v>42</v>
      </c>
      <c r="F1050" s="65" t="s">
        <v>1418</v>
      </c>
      <c r="G1050" s="65" t="s">
        <v>1417</v>
      </c>
      <c r="H1050" s="65" t="s">
        <v>7</v>
      </c>
      <c r="I1050" s="65" t="s">
        <v>1084</v>
      </c>
      <c r="J1050" s="65" t="s">
        <v>5</v>
      </c>
      <c r="K1050" s="65" t="s">
        <v>1088</v>
      </c>
      <c r="L1050" s="64" t="s">
        <v>67</v>
      </c>
      <c r="M1050" s="58" t="s">
        <v>3</v>
      </c>
      <c r="N1050" s="58" t="s">
        <v>2</v>
      </c>
      <c r="O1050" s="58">
        <v>85</v>
      </c>
      <c r="P1050" s="58">
        <v>0</v>
      </c>
      <c r="Q1050" s="58">
        <v>85</v>
      </c>
      <c r="R1050" s="58">
        <v>0</v>
      </c>
      <c r="S1050" s="58">
        <v>0</v>
      </c>
      <c r="T1050" s="58">
        <v>0</v>
      </c>
      <c r="U1050" s="58">
        <v>53</v>
      </c>
      <c r="V1050" s="62"/>
      <c r="W1050" s="62"/>
      <c r="X1050" s="63">
        <f>IFERROR(1 -(Master[[#This Row],[Avg Garment Scans per Delivery]]/Master[[#This Row],[Garment Inventory]]), 0)</f>
        <v>0</v>
      </c>
      <c r="Y1050" s="62"/>
      <c r="Z1050" s="62"/>
      <c r="AA1050" s="53">
        <v>47.487278106508874</v>
      </c>
      <c r="AB1050" s="53">
        <v>98.474260355029571</v>
      </c>
      <c r="AC1050" s="53">
        <v>55.224970414201195</v>
      </c>
      <c r="AD1050" s="53">
        <v>259.60579881656804</v>
      </c>
      <c r="AE1050" s="53" t="str">
        <f>_xlfn.XLOOKUP(Master[[#This Row],[cu_id]],'[1]Customer Revenue'!$Q:$Q,'[1]Customer Revenue'!$K:$K, "None")</f>
        <v>None</v>
      </c>
      <c r="AF1050" s="53" t="str">
        <f>_xlfn.XLOOKUP(Master[[#This Row],[cu_id]],'[1]Customer Revenue'!$Q:$Q,'[1]Customer Revenue'!$L:$L, "None")</f>
        <v>None</v>
      </c>
      <c r="AG1050" s="53">
        <v>44.945798816568036</v>
      </c>
      <c r="AH1050" s="53">
        <v>135.39573964497046</v>
      </c>
      <c r="AI1050" s="53">
        <v>72.980769230769226</v>
      </c>
      <c r="AJ1050" s="53">
        <v>157.41538461538462</v>
      </c>
      <c r="AK1050" s="53" t="str">
        <f>_xlfn.XLOOKUP(Master[[#This Row],[cu_id]],'[1]Customer Revenue'!$Q:$Q,'[1]Customer Revenue'!$I:$I, "None")</f>
        <v>None</v>
      </c>
      <c r="AL1050" s="53">
        <v>90.170769230769253</v>
      </c>
      <c r="AM1050" s="61">
        <v>0.41666666666666669</v>
      </c>
      <c r="AN1050" s="60" t="s">
        <v>1366</v>
      </c>
      <c r="AO1050" s="60" t="s">
        <v>36</v>
      </c>
      <c r="AP1050" s="60" t="s">
        <v>36</v>
      </c>
      <c r="AQ1050" s="58" t="s">
        <v>0</v>
      </c>
      <c r="AR1050" s="58"/>
      <c r="AS1050" s="58"/>
      <c r="AT1050" s="52">
        <v>0</v>
      </c>
      <c r="AU1050" s="52" t="e">
        <f>IF(Master[[#This Row],[RSP StopTime override]] &lt;&gt; "",Master[[#This Row],[RSP StopTime override]],IF(Master[[#This Row],[Avg stop time helper]] &lt;&gt; 0, Master[[#This Row],[Avg stop time helper]],Average_Stop_Time))</f>
        <v>#DIV/0!</v>
      </c>
      <c r="AV1050" s="21"/>
      <c r="AW1050" s="20">
        <f>Master[[#This Row],[RSP StopTime override]]-Master[[#This Row],[Avg stop time helper]]</f>
        <v>0</v>
      </c>
    </row>
    <row r="1051" spans="1:49" x14ac:dyDescent="0.3">
      <c r="A1051" s="66" t="s">
        <v>5068</v>
      </c>
      <c r="B1051" s="58">
        <v>56</v>
      </c>
      <c r="C1051" s="58" t="s">
        <v>35</v>
      </c>
      <c r="D1051" s="65">
        <v>531485</v>
      </c>
      <c r="E1051" s="65" t="s">
        <v>1416</v>
      </c>
      <c r="F1051" s="65" t="s">
        <v>1415</v>
      </c>
      <c r="G1051" s="65" t="s">
        <v>1414</v>
      </c>
      <c r="H1051" s="65" t="s">
        <v>7</v>
      </c>
      <c r="I1051" s="65" t="s">
        <v>1116</v>
      </c>
      <c r="J1051" s="65" t="s">
        <v>5</v>
      </c>
      <c r="K1051" s="65" t="s">
        <v>197</v>
      </c>
      <c r="L1051" s="64" t="s">
        <v>67</v>
      </c>
      <c r="M1051" s="58" t="s">
        <v>3</v>
      </c>
      <c r="N1051" s="58" t="s">
        <v>2</v>
      </c>
      <c r="O1051" s="58">
        <v>10</v>
      </c>
      <c r="P1051" s="58">
        <v>0</v>
      </c>
      <c r="Q1051" s="58">
        <v>10</v>
      </c>
      <c r="R1051" s="58">
        <v>0</v>
      </c>
      <c r="S1051" s="58">
        <v>0</v>
      </c>
      <c r="T1051" s="58">
        <v>0</v>
      </c>
      <c r="U1051" s="58">
        <v>53</v>
      </c>
      <c r="V1051" s="62"/>
      <c r="W1051" s="62"/>
      <c r="X1051" s="63">
        <f>IFERROR(1 -(Master[[#This Row],[Avg Garment Scans per Delivery]]/Master[[#This Row],[Garment Inventory]]), 0)</f>
        <v>0</v>
      </c>
      <c r="Y1051" s="62"/>
      <c r="Z1051" s="62"/>
      <c r="AA1051" s="53">
        <v>193.52041420118346</v>
      </c>
      <c r="AB1051" s="53">
        <v>195.11804733727811</v>
      </c>
      <c r="AC1051" s="53">
        <v>194.19662721893482</v>
      </c>
      <c r="AD1051" s="53">
        <v>196.72798816568044</v>
      </c>
      <c r="AE1051" s="53" t="str">
        <f>_xlfn.XLOOKUP(Master[[#This Row],[cu_id]],'[1]Customer Revenue'!$Q:$Q,'[1]Customer Revenue'!$K:$K, "None")</f>
        <v>None</v>
      </c>
      <c r="AF1051" s="53" t="str">
        <f>_xlfn.XLOOKUP(Master[[#This Row],[cu_id]],'[1]Customer Revenue'!$Q:$Q,'[1]Customer Revenue'!$L:$L, "None")</f>
        <v>None</v>
      </c>
      <c r="AG1051" s="53">
        <v>180.88704142011835</v>
      </c>
      <c r="AH1051" s="53">
        <v>216.75449704142028</v>
      </c>
      <c r="AI1051" s="53">
        <v>194.31923076923078</v>
      </c>
      <c r="AJ1051" s="53">
        <v>195.46230769230763</v>
      </c>
      <c r="AK1051" s="53" t="str">
        <f>_xlfn.XLOOKUP(Master[[#This Row],[cu_id]],'[1]Customer Revenue'!$Q:$Q,'[1]Customer Revenue'!$I:$I, "None")</f>
        <v>None</v>
      </c>
      <c r="AL1051" s="53">
        <v>198.82076923076932</v>
      </c>
      <c r="AM1051" s="61" t="s">
        <v>36</v>
      </c>
      <c r="AN1051" s="60" t="s">
        <v>36</v>
      </c>
      <c r="AO1051" s="60" t="s">
        <v>36</v>
      </c>
      <c r="AP1051" s="60" t="s">
        <v>36</v>
      </c>
      <c r="AQ1051" s="58" t="s">
        <v>0</v>
      </c>
      <c r="AR1051" s="58"/>
      <c r="AS1051" s="58"/>
      <c r="AT1051" s="52">
        <v>0</v>
      </c>
      <c r="AU1051" s="52" t="e">
        <f>IF(Master[[#This Row],[RSP StopTime override]] &lt;&gt; "",Master[[#This Row],[RSP StopTime override]],IF(Master[[#This Row],[Avg stop time helper]] &lt;&gt; 0, Master[[#This Row],[Avg stop time helper]],Average_Stop_Time))</f>
        <v>#DIV/0!</v>
      </c>
      <c r="AV1051" s="21"/>
      <c r="AW1051" s="20">
        <f>Master[[#This Row],[RSP StopTime override]]-Master[[#This Row],[Avg stop time helper]]</f>
        <v>0</v>
      </c>
    </row>
    <row r="1052" spans="1:49" x14ac:dyDescent="0.3">
      <c r="A1052" s="66" t="s">
        <v>5069</v>
      </c>
      <c r="B1052" s="58">
        <v>56</v>
      </c>
      <c r="C1052" s="58" t="s">
        <v>35</v>
      </c>
      <c r="D1052" s="65">
        <v>532000</v>
      </c>
      <c r="E1052" s="65" t="s">
        <v>42</v>
      </c>
      <c r="F1052" s="65" t="s">
        <v>1413</v>
      </c>
      <c r="G1052" s="65" t="s">
        <v>1412</v>
      </c>
      <c r="H1052" s="65" t="s">
        <v>7</v>
      </c>
      <c r="I1052" s="65" t="s">
        <v>1084</v>
      </c>
      <c r="J1052" s="65" t="s">
        <v>5</v>
      </c>
      <c r="K1052" s="65" t="s">
        <v>1088</v>
      </c>
      <c r="L1052" s="64" t="s">
        <v>67</v>
      </c>
      <c r="M1052" s="58" t="s">
        <v>3</v>
      </c>
      <c r="N1052" s="58" t="s">
        <v>2</v>
      </c>
      <c r="O1052" s="58">
        <v>80</v>
      </c>
      <c r="P1052" s="58">
        <v>0</v>
      </c>
      <c r="Q1052" s="58">
        <v>80</v>
      </c>
      <c r="R1052" s="58">
        <v>0</v>
      </c>
      <c r="S1052" s="58">
        <v>0</v>
      </c>
      <c r="T1052" s="58">
        <v>0</v>
      </c>
      <c r="U1052" s="58">
        <v>53</v>
      </c>
      <c r="V1052" s="62"/>
      <c r="W1052" s="62"/>
      <c r="X1052" s="63">
        <f>IFERROR(1 -(Master[[#This Row],[Avg Garment Scans per Delivery]]/Master[[#This Row],[Garment Inventory]]), 0)</f>
        <v>0</v>
      </c>
      <c r="Y1052" s="62"/>
      <c r="Z1052" s="62"/>
      <c r="AA1052" s="53">
        <v>76.635621301775103</v>
      </c>
      <c r="AB1052" s="53">
        <v>81.7736094674556</v>
      </c>
      <c r="AC1052" s="53">
        <v>83.089349112426035</v>
      </c>
      <c r="AD1052" s="53">
        <v>95.793727810650878</v>
      </c>
      <c r="AE1052" s="53" t="str">
        <f>_xlfn.XLOOKUP(Master[[#This Row],[cu_id]],'[1]Customer Revenue'!$Q:$Q,'[1]Customer Revenue'!$K:$K, "None")</f>
        <v>None</v>
      </c>
      <c r="AF1052" s="53" t="str">
        <f>_xlfn.XLOOKUP(Master[[#This Row],[cu_id]],'[1]Customer Revenue'!$Q:$Q,'[1]Customer Revenue'!$L:$L, "None")</f>
        <v>None</v>
      </c>
      <c r="AG1052" s="53">
        <v>72.713668639053225</v>
      </c>
      <c r="AH1052" s="53">
        <v>79.542485207100555</v>
      </c>
      <c r="AI1052" s="53">
        <v>79.204615384615352</v>
      </c>
      <c r="AJ1052" s="53">
        <v>89.441538461538457</v>
      </c>
      <c r="AK1052" s="53" t="str">
        <f>_xlfn.XLOOKUP(Master[[#This Row],[cu_id]],'[1]Customer Revenue'!$Q:$Q,'[1]Customer Revenue'!$I:$I, "None")</f>
        <v>None</v>
      </c>
      <c r="AL1052" s="53">
        <v>76.12807692307689</v>
      </c>
      <c r="AM1052" s="61">
        <v>0.375</v>
      </c>
      <c r="AN1052" s="60" t="s">
        <v>1366</v>
      </c>
      <c r="AO1052" s="60" t="s">
        <v>36</v>
      </c>
      <c r="AP1052" s="60" t="s">
        <v>36</v>
      </c>
      <c r="AQ1052" s="58" t="s">
        <v>0</v>
      </c>
      <c r="AR1052" s="58"/>
      <c r="AS1052" s="58"/>
      <c r="AT1052" s="52">
        <v>0</v>
      </c>
      <c r="AU1052" s="52" t="e">
        <f>IF(Master[[#This Row],[RSP StopTime override]] &lt;&gt; "",Master[[#This Row],[RSP StopTime override]],IF(Master[[#This Row],[Avg stop time helper]] &lt;&gt; 0, Master[[#This Row],[Avg stop time helper]],Average_Stop_Time))</f>
        <v>#DIV/0!</v>
      </c>
      <c r="AV1052" s="21"/>
      <c r="AW1052" s="20">
        <f>Master[[#This Row],[RSP StopTime override]]-Master[[#This Row],[Avg stop time helper]]</f>
        <v>0</v>
      </c>
    </row>
    <row r="1053" spans="1:49" x14ac:dyDescent="0.3">
      <c r="A1053" s="66" t="s">
        <v>5070</v>
      </c>
      <c r="B1053" s="58">
        <v>56</v>
      </c>
      <c r="C1053" s="58" t="s">
        <v>35</v>
      </c>
      <c r="D1053" s="65">
        <v>532601</v>
      </c>
      <c r="E1053" s="65" t="s">
        <v>42</v>
      </c>
      <c r="F1053" s="65" t="s">
        <v>1411</v>
      </c>
      <c r="G1053" s="65" t="s">
        <v>1410</v>
      </c>
      <c r="H1053" s="65" t="s">
        <v>7</v>
      </c>
      <c r="I1053" s="65" t="s">
        <v>1084</v>
      </c>
      <c r="J1053" s="65" t="s">
        <v>5</v>
      </c>
      <c r="K1053" s="65" t="s">
        <v>1088</v>
      </c>
      <c r="L1053" s="64" t="s">
        <v>67</v>
      </c>
      <c r="M1053" s="58" t="s">
        <v>3</v>
      </c>
      <c r="N1053" s="58" t="s">
        <v>2</v>
      </c>
      <c r="O1053" s="58">
        <v>55</v>
      </c>
      <c r="P1053" s="58">
        <v>0</v>
      </c>
      <c r="Q1053" s="58">
        <v>55</v>
      </c>
      <c r="R1053" s="58">
        <v>0</v>
      </c>
      <c r="S1053" s="58">
        <v>0</v>
      </c>
      <c r="T1053" s="58">
        <v>0</v>
      </c>
      <c r="U1053" s="58">
        <v>53</v>
      </c>
      <c r="V1053" s="62"/>
      <c r="W1053" s="62"/>
      <c r="X1053" s="63">
        <f>IFERROR(1 -(Master[[#This Row],[Avg Garment Scans per Delivery]]/Master[[#This Row],[Garment Inventory]]), 0)</f>
        <v>0</v>
      </c>
      <c r="Y1053" s="62"/>
      <c r="Z1053" s="62"/>
      <c r="AA1053" s="53">
        <v>49.931899529042383</v>
      </c>
      <c r="AB1053" s="53">
        <v>69.052715855572998</v>
      </c>
      <c r="AC1053" s="53"/>
      <c r="AD1053" s="53"/>
      <c r="AE1053" s="53" t="str">
        <f>_xlfn.XLOOKUP(Master[[#This Row],[cu_id]],'[1]Customer Revenue'!$Q:$Q,'[1]Customer Revenue'!$K:$K, "None")</f>
        <v>None</v>
      </c>
      <c r="AF1053" s="53" t="str">
        <f>_xlfn.XLOOKUP(Master[[#This Row],[cu_id]],'[1]Customer Revenue'!$Q:$Q,'[1]Customer Revenue'!$L:$L, "None")</f>
        <v>None</v>
      </c>
      <c r="AG1053" s="53">
        <v>50.274738313812399</v>
      </c>
      <c r="AH1053" s="53">
        <v>74.293723224649185</v>
      </c>
      <c r="AI1053" s="53">
        <v>59.492307692307691</v>
      </c>
      <c r="AJ1053" s="53"/>
      <c r="AK1053" s="53" t="str">
        <f>_xlfn.XLOOKUP(Master[[#This Row],[cu_id]],'[1]Customer Revenue'!$Q:$Q,'[1]Customer Revenue'!$I:$I, "None")</f>
        <v>None</v>
      </c>
      <c r="AL1053" s="53">
        <v>62.284230769230788</v>
      </c>
      <c r="AM1053" s="61">
        <v>0.29166666666666669</v>
      </c>
      <c r="AN1053" s="60" t="s">
        <v>1366</v>
      </c>
      <c r="AO1053" s="60" t="s">
        <v>36</v>
      </c>
      <c r="AP1053" s="60" t="s">
        <v>36</v>
      </c>
      <c r="AQ1053" s="58" t="s">
        <v>0</v>
      </c>
      <c r="AR1053" s="58"/>
      <c r="AS1053" s="58"/>
      <c r="AT1053" s="52">
        <v>0</v>
      </c>
      <c r="AU1053" s="52" t="e">
        <f>IF(Master[[#This Row],[RSP StopTime override]] &lt;&gt; "",Master[[#This Row],[RSP StopTime override]],IF(Master[[#This Row],[Avg stop time helper]] &lt;&gt; 0, Master[[#This Row],[Avg stop time helper]],Average_Stop_Time))</f>
        <v>#DIV/0!</v>
      </c>
      <c r="AV1053" s="21"/>
      <c r="AW1053" s="20">
        <f>Master[[#This Row],[RSP StopTime override]]-Master[[#This Row],[Avg stop time helper]]</f>
        <v>0</v>
      </c>
    </row>
    <row r="1054" spans="1:49" x14ac:dyDescent="0.3">
      <c r="A1054" s="66" t="s">
        <v>5071</v>
      </c>
      <c r="B1054" s="58">
        <v>56</v>
      </c>
      <c r="C1054" s="58" t="s">
        <v>35</v>
      </c>
      <c r="D1054" s="65">
        <v>532736</v>
      </c>
      <c r="E1054" s="65" t="s">
        <v>686</v>
      </c>
      <c r="F1054" s="65" t="s">
        <v>1409</v>
      </c>
      <c r="G1054" s="65" t="s">
        <v>1408</v>
      </c>
      <c r="H1054" s="65" t="s">
        <v>7</v>
      </c>
      <c r="I1054" s="65" t="s">
        <v>1084</v>
      </c>
      <c r="J1054" s="65" t="s">
        <v>5</v>
      </c>
      <c r="K1054" s="65" t="s">
        <v>1088</v>
      </c>
      <c r="L1054" s="64" t="s">
        <v>77</v>
      </c>
      <c r="M1054" s="58" t="s">
        <v>29</v>
      </c>
      <c r="N1054" s="58" t="s">
        <v>2</v>
      </c>
      <c r="O1054" s="58">
        <v>98</v>
      </c>
      <c r="P1054" s="58">
        <v>0</v>
      </c>
      <c r="Q1054" s="58">
        <v>98</v>
      </c>
      <c r="R1054" s="58">
        <v>0</v>
      </c>
      <c r="S1054" s="58">
        <v>0</v>
      </c>
      <c r="T1054" s="58">
        <v>0</v>
      </c>
      <c r="U1054" s="58">
        <v>26</v>
      </c>
      <c r="V1054" s="62"/>
      <c r="W1054" s="62"/>
      <c r="X1054" s="63">
        <f>IFERROR(1 -(Master[[#This Row],[Avg Garment Scans per Delivery]]/Master[[#This Row],[Garment Inventory]]), 0)</f>
        <v>0</v>
      </c>
      <c r="Y1054" s="62"/>
      <c r="Z1054" s="62"/>
      <c r="AA1054" s="53">
        <v>44.653333333333329</v>
      </c>
      <c r="AB1054" s="53">
        <v>47.106666666666662</v>
      </c>
      <c r="AC1054" s="53">
        <v>41.295306122448977</v>
      </c>
      <c r="AD1054" s="53">
        <v>44.570408163265299</v>
      </c>
      <c r="AE1054" s="53" t="str">
        <f>_xlfn.XLOOKUP(Master[[#This Row],[cu_id]],'[1]Customer Revenue'!$Q:$Q,'[1]Customer Revenue'!$K:$K, "None")</f>
        <v>None</v>
      </c>
      <c r="AF1054" s="53" t="str">
        <f>_xlfn.XLOOKUP(Master[[#This Row],[cu_id]],'[1]Customer Revenue'!$Q:$Q,'[1]Customer Revenue'!$L:$L, "None")</f>
        <v>None</v>
      </c>
      <c r="AG1054" s="53">
        <v>45.292721893491127</v>
      </c>
      <c r="AH1054" s="53">
        <v>46.434970414201196</v>
      </c>
      <c r="AI1054" s="53">
        <v>45.879999999999995</v>
      </c>
      <c r="AJ1054" s="53">
        <v>42.932857142857138</v>
      </c>
      <c r="AK1054" s="53" t="str">
        <f>_xlfn.XLOOKUP(Master[[#This Row],[cu_id]],'[1]Customer Revenue'!$Q:$Q,'[1]Customer Revenue'!$I:$I, "None")</f>
        <v>None</v>
      </c>
      <c r="AL1054" s="53">
        <v>45.863846153846161</v>
      </c>
      <c r="AM1054" s="61">
        <v>0.29166666666666669</v>
      </c>
      <c r="AN1054" s="60" t="s">
        <v>1366</v>
      </c>
      <c r="AO1054" s="60" t="s">
        <v>36</v>
      </c>
      <c r="AP1054" s="60" t="s">
        <v>36</v>
      </c>
      <c r="AQ1054" s="58" t="s">
        <v>0</v>
      </c>
      <c r="AR1054" s="58"/>
      <c r="AS1054" s="58"/>
      <c r="AT1054" s="52">
        <v>0</v>
      </c>
      <c r="AU1054" s="52" t="e">
        <f>IF(Master[[#This Row],[RSP StopTime override]] &lt;&gt; "",Master[[#This Row],[RSP StopTime override]],IF(Master[[#This Row],[Avg stop time helper]] &lt;&gt; 0, Master[[#This Row],[Avg stop time helper]],Average_Stop_Time))</f>
        <v>#DIV/0!</v>
      </c>
      <c r="AV1054" s="21"/>
      <c r="AW1054" s="20">
        <f>Master[[#This Row],[RSP StopTime override]]-Master[[#This Row],[Avg stop time helper]]</f>
        <v>0</v>
      </c>
    </row>
    <row r="1055" spans="1:49" x14ac:dyDescent="0.3">
      <c r="A1055" s="73" t="s">
        <v>5072</v>
      </c>
      <c r="B1055" s="64">
        <v>50</v>
      </c>
      <c r="C1055" s="64" t="s">
        <v>10</v>
      </c>
      <c r="D1055" s="65">
        <v>99161</v>
      </c>
      <c r="E1055" s="65" t="s">
        <v>2348</v>
      </c>
      <c r="F1055" s="65" t="s">
        <v>2347</v>
      </c>
      <c r="G1055" s="65" t="s">
        <v>2346</v>
      </c>
      <c r="H1055" s="65" t="s">
        <v>7</v>
      </c>
      <c r="I1055" s="65" t="s">
        <v>1600</v>
      </c>
      <c r="J1055" s="65" t="s">
        <v>5</v>
      </c>
      <c r="K1055" s="65" t="s">
        <v>1624</v>
      </c>
      <c r="L1055" s="64" t="s">
        <v>67</v>
      </c>
      <c r="M1055" s="65" t="s">
        <v>3</v>
      </c>
      <c r="N1055" s="65" t="s">
        <v>2</v>
      </c>
      <c r="O1055" s="65">
        <v>51</v>
      </c>
      <c r="P1055" s="65">
        <v>0</v>
      </c>
      <c r="Q1055" s="65">
        <v>0</v>
      </c>
      <c r="R1055" s="65">
        <v>51</v>
      </c>
      <c r="S1055" s="65">
        <v>0</v>
      </c>
      <c r="T1055" s="65">
        <v>0</v>
      </c>
      <c r="U1055" s="65"/>
      <c r="V1055" s="65"/>
      <c r="W1055" s="65"/>
      <c r="X1055" s="72">
        <f>IFERROR(1 -(Master[[#This Row],[Avg Garment Scans per Delivery]]/Master[[#This Row],[Garment Inventory]]), 0)</f>
        <v>0</v>
      </c>
      <c r="Y1055" s="65"/>
      <c r="Z1055" s="65"/>
      <c r="AA1055" s="53"/>
      <c r="AB1055" s="53"/>
      <c r="AC1055" s="53"/>
      <c r="AD1055" s="53"/>
      <c r="AE1055" s="53" t="str">
        <f>_xlfn.XLOOKUP(Master[[#This Row],[cu_id]],'[1]Customer Revenue'!$Q:$Q,'[1]Customer Revenue'!$K:$K, "0")</f>
        <v>0</v>
      </c>
      <c r="AF1055" s="53" t="str">
        <f>_xlfn.XLOOKUP(Master[[#This Row],[cu_id]],'[1]Customer Revenue'!$Q:$Q,'[1]Customer Revenue'!$L:$L, "0")</f>
        <v>0</v>
      </c>
      <c r="AG1055" s="53"/>
      <c r="AH1055" s="53"/>
      <c r="AI1055" s="53"/>
      <c r="AJ1055" s="53"/>
      <c r="AK1055" s="53" t="str">
        <f>_xlfn.XLOOKUP(Master[[#This Row],[cu_id]],'[1]Customer Revenue'!$Q:$Q,'[1]Customer Revenue'!$I:$I, "0")</f>
        <v>0</v>
      </c>
      <c r="AL1055" s="53"/>
      <c r="AM1055" s="71" t="s">
        <v>1</v>
      </c>
      <c r="AN1055" s="71" t="s">
        <v>1</v>
      </c>
      <c r="AO1055" s="71" t="s">
        <v>36</v>
      </c>
      <c r="AP1055" s="71" t="s">
        <v>36</v>
      </c>
      <c r="AQ1055" s="64" t="s">
        <v>0</v>
      </c>
      <c r="AR1055" s="64"/>
      <c r="AS1055" s="65"/>
      <c r="AT1055" s="52">
        <v>0</v>
      </c>
      <c r="AU1055" s="52">
        <f>IF(Master[[#This Row],[RSP StopTime override]] &lt;&gt; "",Master[[#This Row],[RSP StopTime override]],IF(Master[[#This Row],[Avg stop time helper]] &lt;&gt; 0, Master[[#This Row],[Avg stop time helper]],Average_Stop_Time))</f>
        <v>7</v>
      </c>
      <c r="AV1055" s="21">
        <v>7</v>
      </c>
      <c r="AW1055" s="20">
        <f>Master[[#This Row],[RSP StopTime override]]-Master[[#This Row],[Avg stop time helper]]</f>
        <v>7</v>
      </c>
    </row>
    <row r="1056" spans="1:49" x14ac:dyDescent="0.3">
      <c r="A1056" s="66" t="s">
        <v>5073</v>
      </c>
      <c r="B1056" s="58">
        <v>56</v>
      </c>
      <c r="C1056" s="58" t="s">
        <v>35</v>
      </c>
      <c r="D1056" s="65">
        <v>533054</v>
      </c>
      <c r="E1056" s="65" t="s">
        <v>42</v>
      </c>
      <c r="F1056" s="65" t="s">
        <v>1407</v>
      </c>
      <c r="G1056" s="65" t="s">
        <v>1406</v>
      </c>
      <c r="H1056" s="65" t="s">
        <v>7</v>
      </c>
      <c r="I1056" s="65" t="s">
        <v>1116</v>
      </c>
      <c r="J1056" s="65" t="s">
        <v>5</v>
      </c>
      <c r="K1056" s="65" t="s">
        <v>1115</v>
      </c>
      <c r="L1056" s="64" t="s">
        <v>91</v>
      </c>
      <c r="M1056" s="58" t="s">
        <v>90</v>
      </c>
      <c r="N1056" s="58" t="s">
        <v>2</v>
      </c>
      <c r="O1056" s="58">
        <v>110</v>
      </c>
      <c r="P1056" s="58">
        <v>0</v>
      </c>
      <c r="Q1056" s="58">
        <v>110</v>
      </c>
      <c r="R1056" s="58">
        <v>0</v>
      </c>
      <c r="S1056" s="58">
        <v>0</v>
      </c>
      <c r="T1056" s="58">
        <v>0</v>
      </c>
      <c r="U1056" s="58">
        <v>26</v>
      </c>
      <c r="V1056" s="62"/>
      <c r="W1056" s="62"/>
      <c r="X1056" s="63">
        <f>IFERROR(1 -(Master[[#This Row],[Avg Garment Scans per Delivery]]/Master[[#This Row],[Garment Inventory]]), 0)</f>
        <v>0</v>
      </c>
      <c r="Y1056" s="62"/>
      <c r="Z1056" s="62"/>
      <c r="AA1056" s="53">
        <v>40.377755102040815</v>
      </c>
      <c r="AB1056" s="53">
        <v>42.813673469387759</v>
      </c>
      <c r="AC1056" s="53">
        <v>42.4452</v>
      </c>
      <c r="AD1056" s="53">
        <v>46.462800000000001</v>
      </c>
      <c r="AE1056" s="53" t="str">
        <f>_xlfn.XLOOKUP(Master[[#This Row],[cu_id]],'[1]Customer Revenue'!$Q:$Q,'[1]Customer Revenue'!$K:$K, "None")</f>
        <v>None</v>
      </c>
      <c r="AF1056" s="53" t="str">
        <f>_xlfn.XLOOKUP(Master[[#This Row],[cu_id]],'[1]Customer Revenue'!$Q:$Q,'[1]Customer Revenue'!$L:$L, "None")</f>
        <v>None</v>
      </c>
      <c r="AG1056" s="53">
        <v>36.046938775510178</v>
      </c>
      <c r="AH1056" s="53">
        <v>47.073061224489798</v>
      </c>
      <c r="AI1056" s="53">
        <v>41.595714285714287</v>
      </c>
      <c r="AJ1056" s="53">
        <v>44.454000000000001</v>
      </c>
      <c r="AK1056" s="53" t="str">
        <f>_xlfn.XLOOKUP(Master[[#This Row],[cu_id]],'[1]Customer Revenue'!$Q:$Q,'[1]Customer Revenue'!$I:$I, "None")</f>
        <v>None</v>
      </c>
      <c r="AL1056" s="53">
        <v>41.559999999999988</v>
      </c>
      <c r="AM1056" s="61">
        <v>0.29166666666666669</v>
      </c>
      <c r="AN1056" s="60" t="s">
        <v>1366</v>
      </c>
      <c r="AO1056" s="60" t="s">
        <v>36</v>
      </c>
      <c r="AP1056" s="60" t="s">
        <v>36</v>
      </c>
      <c r="AQ1056" s="58" t="s">
        <v>0</v>
      </c>
      <c r="AR1056" s="58"/>
      <c r="AS1056" s="58"/>
      <c r="AT1056" s="52">
        <v>0</v>
      </c>
      <c r="AU1056" s="52" t="e">
        <f>IF(Master[[#This Row],[RSP StopTime override]] &lt;&gt; "",Master[[#This Row],[RSP StopTime override]],IF(Master[[#This Row],[Avg stop time helper]] &lt;&gt; 0, Master[[#This Row],[Avg stop time helper]],Average_Stop_Time))</f>
        <v>#DIV/0!</v>
      </c>
      <c r="AV1056" s="21"/>
      <c r="AW1056" s="20">
        <f>Master[[#This Row],[RSP StopTime override]]-Master[[#This Row],[Avg stop time helper]]</f>
        <v>0</v>
      </c>
    </row>
    <row r="1057" spans="1:49" x14ac:dyDescent="0.3">
      <c r="A1057" s="66" t="s">
        <v>5074</v>
      </c>
      <c r="B1057" s="58">
        <v>56</v>
      </c>
      <c r="C1057" s="58" t="s">
        <v>35</v>
      </c>
      <c r="D1057" s="65">
        <v>533161</v>
      </c>
      <c r="E1057" s="65" t="s">
        <v>42</v>
      </c>
      <c r="F1057" s="65" t="s">
        <v>1405</v>
      </c>
      <c r="G1057" s="65" t="s">
        <v>1404</v>
      </c>
      <c r="H1057" s="65" t="s">
        <v>7</v>
      </c>
      <c r="I1057" s="65" t="s">
        <v>1116</v>
      </c>
      <c r="J1057" s="65" t="s">
        <v>5</v>
      </c>
      <c r="K1057" s="65" t="s">
        <v>1115</v>
      </c>
      <c r="L1057" s="64" t="s">
        <v>67</v>
      </c>
      <c r="M1057" s="58" t="s">
        <v>3</v>
      </c>
      <c r="N1057" s="58" t="s">
        <v>2</v>
      </c>
      <c r="O1057" s="58">
        <v>108</v>
      </c>
      <c r="P1057" s="58">
        <v>0</v>
      </c>
      <c r="Q1057" s="58">
        <v>108</v>
      </c>
      <c r="R1057" s="58">
        <v>0</v>
      </c>
      <c r="S1057" s="58">
        <v>0</v>
      </c>
      <c r="T1057" s="58">
        <v>0</v>
      </c>
      <c r="U1057" s="58">
        <v>50</v>
      </c>
      <c r="V1057" s="62">
        <v>45</v>
      </c>
      <c r="W1057" s="62">
        <v>2</v>
      </c>
      <c r="X1057" s="63">
        <f>IFERROR(1 -(Master[[#This Row],[Avg Garment Scans per Delivery]]/Master[[#This Row],[Garment Inventory]]), 0)</f>
        <v>0.9555555555555556</v>
      </c>
      <c r="Y1057" s="62">
        <v>5</v>
      </c>
      <c r="Z1057" s="62">
        <v>45</v>
      </c>
      <c r="AA1057" s="53">
        <v>83.312173211403987</v>
      </c>
      <c r="AB1057" s="53">
        <v>146.07146315223238</v>
      </c>
      <c r="AC1057" s="53">
        <v>120.92360946745563</v>
      </c>
      <c r="AD1057" s="53">
        <v>122.98562130177518</v>
      </c>
      <c r="AE1057" s="53" t="str">
        <f>_xlfn.XLOOKUP(Master[[#This Row],[cu_id]],'[1]Customer Revenue'!$Q:$Q,'[1]Customer Revenue'!$K:$K, "None")</f>
        <v>None</v>
      </c>
      <c r="AF1057" s="53" t="str">
        <f>_xlfn.XLOOKUP(Master[[#This Row],[cu_id]],'[1]Customer Revenue'!$Q:$Q,'[1]Customer Revenue'!$L:$L, "None")</f>
        <v>None</v>
      </c>
      <c r="AG1057" s="53">
        <v>90.680658436214017</v>
      </c>
      <c r="AH1057" s="53">
        <v>143.58600823045265</v>
      </c>
      <c r="AI1057" s="53">
        <v>114.69181818181819</v>
      </c>
      <c r="AJ1057" s="53">
        <v>121.95461538461541</v>
      </c>
      <c r="AK1057" s="53" t="str">
        <f>_xlfn.XLOOKUP(Master[[#This Row],[cu_id]],'[1]Customer Revenue'!$Q:$Q,'[1]Customer Revenue'!$I:$I, "None")</f>
        <v>None</v>
      </c>
      <c r="AL1057" s="53">
        <v>117.13333333333334</v>
      </c>
      <c r="AM1057" s="61">
        <v>0.29166666666666669</v>
      </c>
      <c r="AN1057" s="60" t="s">
        <v>1366</v>
      </c>
      <c r="AO1057" s="60" t="s">
        <v>36</v>
      </c>
      <c r="AP1057" s="60" t="s">
        <v>36</v>
      </c>
      <c r="AQ1057" s="58" t="s">
        <v>0</v>
      </c>
      <c r="AR1057" s="58"/>
      <c r="AS1057" s="58"/>
      <c r="AT1057" s="52">
        <v>0</v>
      </c>
      <c r="AU1057" s="52" t="e">
        <f>IF(Master[[#This Row],[RSP StopTime override]] &lt;&gt; "",Master[[#This Row],[RSP StopTime override]],IF(Master[[#This Row],[Avg stop time helper]] &lt;&gt; 0, Master[[#This Row],[Avg stop time helper]],Average_Stop_Time))</f>
        <v>#DIV/0!</v>
      </c>
      <c r="AV1057" s="21"/>
      <c r="AW1057" s="20">
        <f>Master[[#This Row],[RSP StopTime override]]-Master[[#This Row],[Avg stop time helper]]</f>
        <v>0</v>
      </c>
    </row>
    <row r="1058" spans="1:49" x14ac:dyDescent="0.3">
      <c r="A1058" s="66" t="s">
        <v>5075</v>
      </c>
      <c r="B1058" s="58">
        <v>56</v>
      </c>
      <c r="C1058" s="58" t="s">
        <v>35</v>
      </c>
      <c r="D1058" s="65">
        <v>533411</v>
      </c>
      <c r="E1058" s="65" t="s">
        <v>42</v>
      </c>
      <c r="F1058" s="65" t="s">
        <v>1403</v>
      </c>
      <c r="G1058" s="65" t="s">
        <v>1402</v>
      </c>
      <c r="H1058" s="65" t="s">
        <v>7</v>
      </c>
      <c r="I1058" s="65" t="s">
        <v>1084</v>
      </c>
      <c r="J1058" s="65" t="s">
        <v>5</v>
      </c>
      <c r="K1058" s="65" t="s">
        <v>1088</v>
      </c>
      <c r="L1058" s="64" t="s">
        <v>77</v>
      </c>
      <c r="M1058" s="58" t="s">
        <v>29</v>
      </c>
      <c r="N1058" s="58" t="s">
        <v>2</v>
      </c>
      <c r="O1058" s="58">
        <v>77</v>
      </c>
      <c r="P1058" s="58">
        <v>0</v>
      </c>
      <c r="Q1058" s="58">
        <v>77</v>
      </c>
      <c r="R1058" s="58">
        <v>0</v>
      </c>
      <c r="S1058" s="58">
        <v>0</v>
      </c>
      <c r="T1058" s="58">
        <v>0</v>
      </c>
      <c r="U1058" s="58">
        <v>23</v>
      </c>
      <c r="V1058" s="62"/>
      <c r="W1058" s="62"/>
      <c r="X1058" s="63">
        <f>IFERROR(1 -(Master[[#This Row],[Avg Garment Scans per Delivery]]/Master[[#This Row],[Garment Inventory]]), 0)</f>
        <v>0</v>
      </c>
      <c r="Y1058" s="62"/>
      <c r="Z1058" s="62"/>
      <c r="AA1058" s="53">
        <v>45</v>
      </c>
      <c r="AB1058" s="53">
        <v>55</v>
      </c>
      <c r="AC1058" s="53">
        <v>55.954897959183668</v>
      </c>
      <c r="AD1058" s="53">
        <v>60.596530612244891</v>
      </c>
      <c r="AE1058" s="53" t="str">
        <f>_xlfn.XLOOKUP(Master[[#This Row],[cu_id]],'[1]Customer Revenue'!$Q:$Q,'[1]Customer Revenue'!$K:$K, "None")</f>
        <v>None</v>
      </c>
      <c r="AF1058" s="53" t="str">
        <f>_xlfn.XLOOKUP(Master[[#This Row],[cu_id]],'[1]Customer Revenue'!$Q:$Q,'[1]Customer Revenue'!$L:$L, "None")</f>
        <v>None</v>
      </c>
      <c r="AG1058" s="53">
        <v>46.274970414201206</v>
      </c>
      <c r="AH1058" s="53">
        <v>55.732721893491131</v>
      </c>
      <c r="AI1058" s="53">
        <v>50</v>
      </c>
      <c r="AJ1058" s="53">
        <v>58.27571428571428</v>
      </c>
      <c r="AK1058" s="53" t="str">
        <f>_xlfn.XLOOKUP(Master[[#This Row],[cu_id]],'[1]Customer Revenue'!$Q:$Q,'[1]Customer Revenue'!$I:$I, "None")</f>
        <v>None</v>
      </c>
      <c r="AL1058" s="53">
        <v>51.003846153846169</v>
      </c>
      <c r="AM1058" s="61">
        <v>0.29166666666666669</v>
      </c>
      <c r="AN1058" s="60" t="s">
        <v>1366</v>
      </c>
      <c r="AO1058" s="60" t="s">
        <v>36</v>
      </c>
      <c r="AP1058" s="60" t="s">
        <v>36</v>
      </c>
      <c r="AQ1058" s="58" t="s">
        <v>0</v>
      </c>
      <c r="AR1058" s="58"/>
      <c r="AS1058" s="58"/>
      <c r="AT1058" s="52">
        <v>0</v>
      </c>
      <c r="AU1058" s="52" t="e">
        <f>IF(Master[[#This Row],[RSP StopTime override]] &lt;&gt; "",Master[[#This Row],[RSP StopTime override]],IF(Master[[#This Row],[Avg stop time helper]] &lt;&gt; 0, Master[[#This Row],[Avg stop time helper]],Average_Stop_Time))</f>
        <v>#DIV/0!</v>
      </c>
      <c r="AV1058" s="21"/>
      <c r="AW1058" s="20">
        <f>Master[[#This Row],[RSP StopTime override]]-Master[[#This Row],[Avg stop time helper]]</f>
        <v>0</v>
      </c>
    </row>
    <row r="1059" spans="1:49" x14ac:dyDescent="0.3">
      <c r="A1059" s="66" t="s">
        <v>5076</v>
      </c>
      <c r="B1059" s="58">
        <v>56</v>
      </c>
      <c r="C1059" s="58" t="s">
        <v>35</v>
      </c>
      <c r="D1059" s="65">
        <v>806500</v>
      </c>
      <c r="E1059" s="65" t="s">
        <v>42</v>
      </c>
      <c r="F1059" s="65" t="s">
        <v>1401</v>
      </c>
      <c r="G1059" s="65" t="s">
        <v>1400</v>
      </c>
      <c r="H1059" s="65" t="s">
        <v>7</v>
      </c>
      <c r="I1059" s="65" t="s">
        <v>1399</v>
      </c>
      <c r="J1059" s="65" t="s">
        <v>5</v>
      </c>
      <c r="K1059" s="65" t="s">
        <v>1398</v>
      </c>
      <c r="L1059" s="64" t="s">
        <v>67</v>
      </c>
      <c r="M1059" s="58" t="s">
        <v>3</v>
      </c>
      <c r="N1059" s="58" t="s">
        <v>2</v>
      </c>
      <c r="O1059" s="58">
        <v>103</v>
      </c>
      <c r="P1059" s="58">
        <v>0</v>
      </c>
      <c r="Q1059" s="58">
        <v>103</v>
      </c>
      <c r="R1059" s="58">
        <v>0</v>
      </c>
      <c r="S1059" s="58">
        <v>0</v>
      </c>
      <c r="T1059" s="58">
        <v>0</v>
      </c>
      <c r="U1059" s="58">
        <v>40</v>
      </c>
      <c r="V1059" s="62"/>
      <c r="W1059" s="62"/>
      <c r="X1059" s="63">
        <f>IFERROR(1 -(Master[[#This Row],[Avg Garment Scans per Delivery]]/Master[[#This Row],[Garment Inventory]]), 0)</f>
        <v>0</v>
      </c>
      <c r="Y1059" s="62"/>
      <c r="Z1059" s="62"/>
      <c r="AA1059" s="53">
        <v>43.474142011834303</v>
      </c>
      <c r="AB1059" s="53">
        <v>47.788934911242606</v>
      </c>
      <c r="AC1059" s="53">
        <v>36.762366863905342</v>
      </c>
      <c r="AD1059" s="53">
        <v>39.200710059171598</v>
      </c>
      <c r="AE1059" s="53" t="str">
        <f>_xlfn.XLOOKUP(Master[[#This Row],[cu_id]],'[1]Customer Revenue'!$Q:$Q,'[1]Customer Revenue'!$K:$K, "None")</f>
        <v>None</v>
      </c>
      <c r="AF1059" s="53" t="str">
        <f>_xlfn.XLOOKUP(Master[[#This Row],[cu_id]],'[1]Customer Revenue'!$Q:$Q,'[1]Customer Revenue'!$L:$L, "None")</f>
        <v>None</v>
      </c>
      <c r="AG1059" s="53">
        <v>40.46664021164019</v>
      </c>
      <c r="AH1059" s="53">
        <v>48.465211640211628</v>
      </c>
      <c r="AI1059" s="53">
        <v>45.631538461538454</v>
      </c>
      <c r="AJ1059" s="53">
        <v>37.98153846153847</v>
      </c>
      <c r="AK1059" s="53" t="str">
        <f>_xlfn.XLOOKUP(Master[[#This Row],[cu_id]],'[1]Customer Revenue'!$Q:$Q,'[1]Customer Revenue'!$I:$I, "None")</f>
        <v>None</v>
      </c>
      <c r="AL1059" s="53">
        <v>44.465925925925909</v>
      </c>
      <c r="AM1059" s="61">
        <v>0.29166666666666669</v>
      </c>
      <c r="AN1059" s="60">
        <v>0.58333333333333337</v>
      </c>
      <c r="AO1059" s="60" t="s">
        <v>36</v>
      </c>
      <c r="AP1059" s="60" t="s">
        <v>36</v>
      </c>
      <c r="AQ1059" s="58" t="s">
        <v>174</v>
      </c>
      <c r="AR1059" s="58"/>
      <c r="AS1059" s="58"/>
      <c r="AT1059" s="52">
        <v>0</v>
      </c>
      <c r="AU1059" s="52" t="e">
        <f>IF(Master[[#This Row],[RSP StopTime override]] &lt;&gt; "",Master[[#This Row],[RSP StopTime override]],IF(Master[[#This Row],[Avg stop time helper]] &lt;&gt; 0, Master[[#This Row],[Avg stop time helper]],Average_Stop_Time))</f>
        <v>#DIV/0!</v>
      </c>
      <c r="AV1059" s="21"/>
      <c r="AW1059" s="20">
        <f>Master[[#This Row],[RSP StopTime override]]-Master[[#This Row],[Avg stop time helper]]</f>
        <v>0</v>
      </c>
    </row>
    <row r="1060" spans="1:49" x14ac:dyDescent="0.3">
      <c r="A1060" s="66" t="s">
        <v>5077</v>
      </c>
      <c r="B1060" s="58">
        <v>56</v>
      </c>
      <c r="C1060" s="58" t="s">
        <v>35</v>
      </c>
      <c r="D1060" s="65">
        <v>806548</v>
      </c>
      <c r="E1060" s="65" t="s">
        <v>42</v>
      </c>
      <c r="F1060" s="65" t="s">
        <v>1397</v>
      </c>
      <c r="G1060" s="65" t="s">
        <v>1396</v>
      </c>
      <c r="H1060" s="65" t="s">
        <v>7</v>
      </c>
      <c r="I1060" s="65" t="s">
        <v>1084</v>
      </c>
      <c r="J1060" s="65" t="s">
        <v>5</v>
      </c>
      <c r="K1060" s="65" t="s">
        <v>1088</v>
      </c>
      <c r="L1060" s="64" t="s">
        <v>67</v>
      </c>
      <c r="M1060" s="58" t="s">
        <v>3</v>
      </c>
      <c r="N1060" s="58" t="s">
        <v>2</v>
      </c>
      <c r="O1060" s="58">
        <v>45</v>
      </c>
      <c r="P1060" s="58">
        <v>0</v>
      </c>
      <c r="Q1060" s="58">
        <v>45</v>
      </c>
      <c r="R1060" s="58">
        <v>0</v>
      </c>
      <c r="S1060" s="58">
        <v>0</v>
      </c>
      <c r="T1060" s="58">
        <v>0</v>
      </c>
      <c r="U1060" s="58">
        <v>41</v>
      </c>
      <c r="V1060" s="62"/>
      <c r="W1060" s="62"/>
      <c r="X1060" s="63">
        <f>IFERROR(1 -(Master[[#This Row],[Avg Garment Scans per Delivery]]/Master[[#This Row],[Garment Inventory]]), 0)</f>
        <v>0</v>
      </c>
      <c r="Y1060" s="62"/>
      <c r="Z1060" s="62"/>
      <c r="AA1060" s="53">
        <v>29.091301775147922</v>
      </c>
      <c r="AB1060" s="53">
        <v>34.956390532544376</v>
      </c>
      <c r="AC1060" s="53">
        <v>32.949725274725282</v>
      </c>
      <c r="AD1060" s="53">
        <v>47.322582417582424</v>
      </c>
      <c r="AE1060" s="53" t="str">
        <f>_xlfn.XLOOKUP(Master[[#This Row],[cu_id]],'[1]Customer Revenue'!$Q:$Q,'[1]Customer Revenue'!$K:$K, "None")</f>
        <v>None</v>
      </c>
      <c r="AF1060" s="53" t="str">
        <f>_xlfn.XLOOKUP(Master[[#This Row],[cu_id]],'[1]Customer Revenue'!$Q:$Q,'[1]Customer Revenue'!$L:$L, "None")</f>
        <v>None</v>
      </c>
      <c r="AG1060" s="53">
        <v>25.371091590165687</v>
      </c>
      <c r="AH1060" s="53">
        <v>38.120446871372806</v>
      </c>
      <c r="AI1060" s="53">
        <v>32.023846153846151</v>
      </c>
      <c r="AJ1060" s="53">
        <v>40.136153846153853</v>
      </c>
      <c r="AK1060" s="53" t="str">
        <f>_xlfn.XLOOKUP(Master[[#This Row],[cu_id]],'[1]Customer Revenue'!$Q:$Q,'[1]Customer Revenue'!$I:$I, "None")</f>
        <v>None</v>
      </c>
      <c r="AL1060" s="53">
        <v>31.745769230769245</v>
      </c>
      <c r="AM1060" s="61">
        <v>0.375</v>
      </c>
      <c r="AN1060" s="60" t="s">
        <v>1366</v>
      </c>
      <c r="AO1060" s="60" t="s">
        <v>36</v>
      </c>
      <c r="AP1060" s="60" t="s">
        <v>36</v>
      </c>
      <c r="AQ1060" s="58" t="s">
        <v>0</v>
      </c>
      <c r="AR1060" s="58"/>
      <c r="AS1060" s="58"/>
      <c r="AT1060" s="52">
        <v>0</v>
      </c>
      <c r="AU1060" s="52" t="e">
        <f>IF(Master[[#This Row],[RSP StopTime override]] &lt;&gt; "",Master[[#This Row],[RSP StopTime override]],IF(Master[[#This Row],[Avg stop time helper]] &lt;&gt; 0, Master[[#This Row],[Avg stop time helper]],Average_Stop_Time))</f>
        <v>#DIV/0!</v>
      </c>
      <c r="AV1060" s="21"/>
      <c r="AW1060" s="20">
        <f>Master[[#This Row],[RSP StopTime override]]-Master[[#This Row],[Avg stop time helper]]</f>
        <v>0</v>
      </c>
    </row>
    <row r="1061" spans="1:49" x14ac:dyDescent="0.3">
      <c r="A1061" s="66" t="s">
        <v>5078</v>
      </c>
      <c r="B1061" s="58">
        <v>56</v>
      </c>
      <c r="C1061" s="58" t="s">
        <v>35</v>
      </c>
      <c r="D1061" s="65">
        <v>806612</v>
      </c>
      <c r="E1061" s="65" t="s">
        <v>42</v>
      </c>
      <c r="F1061" s="65" t="s">
        <v>1395</v>
      </c>
      <c r="G1061" s="65" t="s">
        <v>1394</v>
      </c>
      <c r="H1061" s="65" t="s">
        <v>7</v>
      </c>
      <c r="I1061" s="65" t="s">
        <v>1084</v>
      </c>
      <c r="J1061" s="65" t="s">
        <v>5</v>
      </c>
      <c r="K1061" s="65" t="s">
        <v>1088</v>
      </c>
      <c r="L1061" s="64" t="s">
        <v>194</v>
      </c>
      <c r="M1061" s="58" t="s">
        <v>193</v>
      </c>
      <c r="N1061" s="58" t="s">
        <v>2</v>
      </c>
      <c r="O1061" s="58">
        <v>76</v>
      </c>
      <c r="P1061" s="58">
        <v>0</v>
      </c>
      <c r="Q1061" s="58">
        <v>76</v>
      </c>
      <c r="R1061" s="58">
        <v>0</v>
      </c>
      <c r="S1061" s="58">
        <v>0</v>
      </c>
      <c r="T1061" s="58">
        <v>0</v>
      </c>
      <c r="U1061" s="58">
        <v>12</v>
      </c>
      <c r="V1061" s="62"/>
      <c r="W1061" s="62"/>
      <c r="X1061" s="63">
        <f>IFERROR(1 -(Master[[#This Row],[Avg Garment Scans per Delivery]]/Master[[#This Row],[Garment Inventory]]), 0)</f>
        <v>0</v>
      </c>
      <c r="Y1061" s="62"/>
      <c r="Z1061" s="62"/>
      <c r="AA1061" s="53">
        <v>67.078800000000001</v>
      </c>
      <c r="AB1061" s="53">
        <v>107.0532</v>
      </c>
      <c r="AC1061" s="53">
        <v>39.775599999999997</v>
      </c>
      <c r="AD1061" s="53">
        <v>128.9804</v>
      </c>
      <c r="AE1061" s="53" t="str">
        <f>_xlfn.XLOOKUP(Master[[#This Row],[cu_id]],'[1]Customer Revenue'!$Q:$Q,'[1]Customer Revenue'!$K:$K, "None")</f>
        <v>None</v>
      </c>
      <c r="AF1061" s="53" t="str">
        <f>_xlfn.XLOOKUP(Master[[#This Row],[cu_id]],'[1]Customer Revenue'!$Q:$Q,'[1]Customer Revenue'!$L:$L, "None")</f>
        <v>None</v>
      </c>
      <c r="AG1061" s="53">
        <v>64.035925925925909</v>
      </c>
      <c r="AH1061" s="53">
        <v>144.10407407407405</v>
      </c>
      <c r="AI1061" s="53">
        <v>87.066000000000003</v>
      </c>
      <c r="AJ1061" s="53">
        <v>84.378</v>
      </c>
      <c r="AK1061" s="53" t="str">
        <f>_xlfn.XLOOKUP(Master[[#This Row],[cu_id]],'[1]Customer Revenue'!$Q:$Q,'[1]Customer Revenue'!$I:$I, "None")</f>
        <v>None</v>
      </c>
      <c r="AL1061" s="53">
        <v>104.06999999999998</v>
      </c>
      <c r="AM1061" s="61">
        <v>0.375</v>
      </c>
      <c r="AN1061" s="60" t="s">
        <v>1366</v>
      </c>
      <c r="AO1061" s="60" t="s">
        <v>36</v>
      </c>
      <c r="AP1061" s="60" t="s">
        <v>36</v>
      </c>
      <c r="AQ1061" s="58" t="s">
        <v>0</v>
      </c>
      <c r="AR1061" s="58"/>
      <c r="AS1061" s="58"/>
      <c r="AT1061" s="52">
        <v>0</v>
      </c>
      <c r="AU1061" s="52" t="e">
        <f>IF(Master[[#This Row],[RSP StopTime override]] &lt;&gt; "",Master[[#This Row],[RSP StopTime override]],IF(Master[[#This Row],[Avg stop time helper]] &lt;&gt; 0, Master[[#This Row],[Avg stop time helper]],Average_Stop_Time))</f>
        <v>#DIV/0!</v>
      </c>
      <c r="AV1061" s="21"/>
      <c r="AW1061" s="20">
        <f>Master[[#This Row],[RSP StopTime override]]-Master[[#This Row],[Avg stop time helper]]</f>
        <v>0</v>
      </c>
    </row>
    <row r="1062" spans="1:49" x14ac:dyDescent="0.3">
      <c r="A1062" s="66" t="s">
        <v>5079</v>
      </c>
      <c r="B1062" s="58">
        <v>56</v>
      </c>
      <c r="C1062" s="58" t="s">
        <v>35</v>
      </c>
      <c r="D1062" s="65">
        <v>806666</v>
      </c>
      <c r="E1062" s="65" t="s">
        <v>42</v>
      </c>
      <c r="F1062" s="65" t="s">
        <v>1393</v>
      </c>
      <c r="G1062" s="65" t="s">
        <v>1392</v>
      </c>
      <c r="H1062" s="65" t="s">
        <v>7</v>
      </c>
      <c r="I1062" s="65" t="s">
        <v>1084</v>
      </c>
      <c r="J1062" s="65" t="s">
        <v>5</v>
      </c>
      <c r="K1062" s="65" t="s">
        <v>1088</v>
      </c>
      <c r="L1062" s="64" t="s">
        <v>77</v>
      </c>
      <c r="M1062" s="58" t="s">
        <v>29</v>
      </c>
      <c r="N1062" s="58" t="s">
        <v>2</v>
      </c>
      <c r="O1062" s="58">
        <v>45</v>
      </c>
      <c r="P1062" s="58">
        <v>0</v>
      </c>
      <c r="Q1062" s="58">
        <v>45</v>
      </c>
      <c r="R1062" s="58">
        <v>0</v>
      </c>
      <c r="S1062" s="58">
        <v>0</v>
      </c>
      <c r="T1062" s="58">
        <v>0</v>
      </c>
      <c r="U1062" s="58">
        <v>21</v>
      </c>
      <c r="V1062" s="62"/>
      <c r="W1062" s="62"/>
      <c r="X1062" s="63">
        <f>IFERROR(1 -(Master[[#This Row],[Avg Garment Scans per Delivery]]/Master[[#This Row],[Garment Inventory]]), 0)</f>
        <v>0</v>
      </c>
      <c r="Y1062" s="62"/>
      <c r="Z1062" s="62"/>
      <c r="AA1062" s="53">
        <v>94.513333333333335</v>
      </c>
      <c r="AB1062" s="53">
        <v>95.346666666666678</v>
      </c>
      <c r="AC1062" s="53">
        <v>95.991428571428585</v>
      </c>
      <c r="AD1062" s="53">
        <v>97.248571428571424</v>
      </c>
      <c r="AE1062" s="53" t="str">
        <f>_xlfn.XLOOKUP(Master[[#This Row],[cu_id]],'[1]Customer Revenue'!$Q:$Q,'[1]Customer Revenue'!$K:$K, "None")</f>
        <v>None</v>
      </c>
      <c r="AF1062" s="53" t="str">
        <f>_xlfn.XLOOKUP(Master[[#This Row],[cu_id]],'[1]Customer Revenue'!$Q:$Q,'[1]Customer Revenue'!$L:$L, "None")</f>
        <v>None</v>
      </c>
      <c r="AG1062" s="53">
        <v>94.582366863905335</v>
      </c>
      <c r="AH1062" s="53">
        <v>95.008402366863962</v>
      </c>
      <c r="AI1062" s="53">
        <v>94.93</v>
      </c>
      <c r="AJ1062" s="53">
        <v>96.62</v>
      </c>
      <c r="AK1062" s="53" t="str">
        <f>_xlfn.XLOOKUP(Master[[#This Row],[cu_id]],'[1]Customer Revenue'!$Q:$Q,'[1]Customer Revenue'!$I:$I, "None")</f>
        <v>None</v>
      </c>
      <c r="AL1062" s="53">
        <v>94.795384615384648</v>
      </c>
      <c r="AM1062" s="61">
        <v>0.375</v>
      </c>
      <c r="AN1062" s="60" t="s">
        <v>1366</v>
      </c>
      <c r="AO1062" s="60" t="s">
        <v>36</v>
      </c>
      <c r="AP1062" s="60" t="s">
        <v>36</v>
      </c>
      <c r="AQ1062" s="58" t="s">
        <v>0</v>
      </c>
      <c r="AR1062" s="58"/>
      <c r="AS1062" s="58"/>
      <c r="AT1062" s="52">
        <v>0</v>
      </c>
      <c r="AU1062" s="52" t="e">
        <f>IF(Master[[#This Row],[RSP StopTime override]] &lt;&gt; "",Master[[#This Row],[RSP StopTime override]],IF(Master[[#This Row],[Avg stop time helper]] &lt;&gt; 0, Master[[#This Row],[Avg stop time helper]],Average_Stop_Time))</f>
        <v>#DIV/0!</v>
      </c>
      <c r="AV1062" s="21"/>
      <c r="AW1062" s="20">
        <f>Master[[#This Row],[RSP StopTime override]]-Master[[#This Row],[Avg stop time helper]]</f>
        <v>0</v>
      </c>
    </row>
    <row r="1063" spans="1:49" x14ac:dyDescent="0.3">
      <c r="A1063" s="66" t="s">
        <v>5080</v>
      </c>
      <c r="B1063" s="58">
        <v>56</v>
      </c>
      <c r="C1063" s="58" t="s">
        <v>35</v>
      </c>
      <c r="D1063" s="65">
        <v>806910</v>
      </c>
      <c r="E1063" s="65" t="s">
        <v>42</v>
      </c>
      <c r="F1063" s="65" t="s">
        <v>1391</v>
      </c>
      <c r="G1063" s="65" t="s">
        <v>1390</v>
      </c>
      <c r="H1063" s="65" t="s">
        <v>7</v>
      </c>
      <c r="I1063" s="65" t="s">
        <v>1084</v>
      </c>
      <c r="J1063" s="65" t="s">
        <v>5</v>
      </c>
      <c r="K1063" s="65" t="s">
        <v>1088</v>
      </c>
      <c r="L1063" s="64" t="s">
        <v>67</v>
      </c>
      <c r="M1063" s="58" t="s">
        <v>3</v>
      </c>
      <c r="N1063" s="58" t="s">
        <v>2</v>
      </c>
      <c r="O1063" s="58">
        <v>56</v>
      </c>
      <c r="P1063" s="58">
        <v>0</v>
      </c>
      <c r="Q1063" s="58">
        <v>56</v>
      </c>
      <c r="R1063" s="58">
        <v>0</v>
      </c>
      <c r="S1063" s="58">
        <v>0</v>
      </c>
      <c r="T1063" s="58">
        <v>0</v>
      </c>
      <c r="U1063" s="58">
        <v>40</v>
      </c>
      <c r="V1063" s="62">
        <v>88</v>
      </c>
      <c r="W1063" s="62">
        <v>15</v>
      </c>
      <c r="X1063" s="63">
        <f>IFERROR(1 -(Master[[#This Row],[Avg Garment Scans per Delivery]]/Master[[#This Row],[Garment Inventory]]), 0)</f>
        <v>0.82954545454545459</v>
      </c>
      <c r="Y1063" s="62">
        <v>4</v>
      </c>
      <c r="Z1063" s="62">
        <v>89</v>
      </c>
      <c r="AA1063" s="53">
        <v>67.87</v>
      </c>
      <c r="AB1063" s="53">
        <v>67.87</v>
      </c>
      <c r="AC1063" s="53">
        <v>66.04751479289942</v>
      </c>
      <c r="AD1063" s="53">
        <v>74.00017751479291</v>
      </c>
      <c r="AE1063" s="53" t="str">
        <f>_xlfn.XLOOKUP(Master[[#This Row],[cu_id]],'[1]Customer Revenue'!$Q:$Q,'[1]Customer Revenue'!$K:$K, "None")</f>
        <v>None</v>
      </c>
      <c r="AF1063" s="53" t="str">
        <f>_xlfn.XLOOKUP(Master[[#This Row],[cu_id]],'[1]Customer Revenue'!$Q:$Q,'[1]Customer Revenue'!$L:$L, "None")</f>
        <v>None</v>
      </c>
      <c r="AG1063" s="53">
        <v>67.572603550295838</v>
      </c>
      <c r="AH1063" s="53">
        <v>69.272011834319471</v>
      </c>
      <c r="AI1063" s="53">
        <v>67.87</v>
      </c>
      <c r="AJ1063" s="53">
        <v>70.023846153846165</v>
      </c>
      <c r="AK1063" s="53" t="str">
        <f>_xlfn.XLOOKUP(Master[[#This Row],[cu_id]],'[1]Customer Revenue'!$Q:$Q,'[1]Customer Revenue'!$I:$I, "None")</f>
        <v>None</v>
      </c>
      <c r="AL1063" s="53">
        <v>68.422307692307655</v>
      </c>
      <c r="AM1063" s="61">
        <v>0.375</v>
      </c>
      <c r="AN1063" s="60" t="s">
        <v>1366</v>
      </c>
      <c r="AO1063" s="60" t="s">
        <v>36</v>
      </c>
      <c r="AP1063" s="60" t="s">
        <v>36</v>
      </c>
      <c r="AQ1063" s="58" t="s">
        <v>0</v>
      </c>
      <c r="AR1063" s="58"/>
      <c r="AS1063" s="58"/>
      <c r="AT1063" s="52">
        <v>0</v>
      </c>
      <c r="AU1063" s="52" t="e">
        <f>IF(Master[[#This Row],[RSP StopTime override]] &lt;&gt; "",Master[[#This Row],[RSP StopTime override]],IF(Master[[#This Row],[Avg stop time helper]] &lt;&gt; 0, Master[[#This Row],[Avg stop time helper]],Average_Stop_Time))</f>
        <v>#DIV/0!</v>
      </c>
      <c r="AV1063" s="21"/>
      <c r="AW1063" s="20">
        <f>Master[[#This Row],[RSP StopTime override]]-Master[[#This Row],[Avg stop time helper]]</f>
        <v>0</v>
      </c>
    </row>
    <row r="1064" spans="1:49" x14ac:dyDescent="0.3">
      <c r="A1064" s="66" t="s">
        <v>5081</v>
      </c>
      <c r="B1064" s="58">
        <v>56</v>
      </c>
      <c r="C1064" s="58" t="s">
        <v>35</v>
      </c>
      <c r="D1064" s="65">
        <v>807010</v>
      </c>
      <c r="E1064" s="65" t="s">
        <v>42</v>
      </c>
      <c r="F1064" s="65" t="s">
        <v>1389</v>
      </c>
      <c r="G1064" s="65" t="s">
        <v>1388</v>
      </c>
      <c r="H1064" s="65" t="s">
        <v>7</v>
      </c>
      <c r="I1064" s="65" t="s">
        <v>1084</v>
      </c>
      <c r="J1064" s="65" t="s">
        <v>5</v>
      </c>
      <c r="K1064" s="65" t="s">
        <v>1088</v>
      </c>
      <c r="L1064" s="64" t="s">
        <v>67</v>
      </c>
      <c r="M1064" s="58" t="s">
        <v>3</v>
      </c>
      <c r="N1064" s="58" t="s">
        <v>2</v>
      </c>
      <c r="O1064" s="58">
        <v>42</v>
      </c>
      <c r="P1064" s="58">
        <v>0</v>
      </c>
      <c r="Q1064" s="58">
        <v>42</v>
      </c>
      <c r="R1064" s="58">
        <v>0</v>
      </c>
      <c r="S1064" s="58">
        <v>0</v>
      </c>
      <c r="T1064" s="58">
        <v>0</v>
      </c>
      <c r="U1064" s="58">
        <v>41</v>
      </c>
      <c r="V1064" s="62"/>
      <c r="W1064" s="62"/>
      <c r="X1064" s="63">
        <f>IFERROR(1 -(Master[[#This Row],[Avg Garment Scans per Delivery]]/Master[[#This Row],[Garment Inventory]]), 0)</f>
        <v>0</v>
      </c>
      <c r="Y1064" s="62"/>
      <c r="Z1064" s="62"/>
      <c r="AA1064" s="53">
        <v>38.536508875739649</v>
      </c>
      <c r="AB1064" s="53">
        <v>123.8896449704142</v>
      </c>
      <c r="AC1064" s="53">
        <v>31.819171597633137</v>
      </c>
      <c r="AD1064" s="53">
        <v>114.03313609467455</v>
      </c>
      <c r="AE1064" s="53" t="str">
        <f>_xlfn.XLOOKUP(Master[[#This Row],[cu_id]],'[1]Customer Revenue'!$Q:$Q,'[1]Customer Revenue'!$K:$K, "None")</f>
        <v>None</v>
      </c>
      <c r="AF1064" s="53" t="str">
        <f>_xlfn.XLOOKUP(Master[[#This Row],[cu_id]],'[1]Customer Revenue'!$Q:$Q,'[1]Customer Revenue'!$L:$L, "None")</f>
        <v>None</v>
      </c>
      <c r="AG1064" s="53">
        <v>28.398257887517147</v>
      </c>
      <c r="AH1064" s="53">
        <v>117.43211248285324</v>
      </c>
      <c r="AI1064" s="53">
        <v>81.213076923076926</v>
      </c>
      <c r="AJ1064" s="53">
        <v>72.926153846153838</v>
      </c>
      <c r="AK1064" s="53" t="str">
        <f>_xlfn.XLOOKUP(Master[[#This Row],[cu_id]],'[1]Customer Revenue'!$Q:$Q,'[1]Customer Revenue'!$I:$I, "None")</f>
        <v>None</v>
      </c>
      <c r="AL1064" s="53">
        <v>72.915185185185194</v>
      </c>
      <c r="AM1064" s="61">
        <v>0.375</v>
      </c>
      <c r="AN1064" s="60" t="s">
        <v>1366</v>
      </c>
      <c r="AO1064" s="60" t="s">
        <v>36</v>
      </c>
      <c r="AP1064" s="60" t="s">
        <v>36</v>
      </c>
      <c r="AQ1064" s="58" t="s">
        <v>0</v>
      </c>
      <c r="AR1064" s="58"/>
      <c r="AS1064" s="58"/>
      <c r="AT1064" s="52">
        <v>0</v>
      </c>
      <c r="AU1064" s="52" t="e">
        <f>IF(Master[[#This Row],[RSP StopTime override]] &lt;&gt; "",Master[[#This Row],[RSP StopTime override]],IF(Master[[#This Row],[Avg stop time helper]] &lt;&gt; 0, Master[[#This Row],[Avg stop time helper]],Average_Stop_Time))</f>
        <v>#DIV/0!</v>
      </c>
      <c r="AV1064" s="21"/>
      <c r="AW1064" s="20">
        <f>Master[[#This Row],[RSP StopTime override]]-Master[[#This Row],[Avg stop time helper]]</f>
        <v>0</v>
      </c>
    </row>
    <row r="1065" spans="1:49" x14ac:dyDescent="0.3">
      <c r="A1065" s="66" t="s">
        <v>5082</v>
      </c>
      <c r="B1065" s="58">
        <v>56</v>
      </c>
      <c r="C1065" s="58" t="s">
        <v>35</v>
      </c>
      <c r="D1065" s="65">
        <v>808001</v>
      </c>
      <c r="E1065" s="65" t="s">
        <v>42</v>
      </c>
      <c r="F1065" s="65" t="s">
        <v>1387</v>
      </c>
      <c r="G1065" s="65" t="s">
        <v>1386</v>
      </c>
      <c r="H1065" s="65" t="s">
        <v>7</v>
      </c>
      <c r="I1065" s="65" t="s">
        <v>1084</v>
      </c>
      <c r="J1065" s="65" t="s">
        <v>5</v>
      </c>
      <c r="K1065" s="65" t="s">
        <v>1088</v>
      </c>
      <c r="L1065" s="64" t="s">
        <v>91</v>
      </c>
      <c r="M1065" s="58" t="s">
        <v>90</v>
      </c>
      <c r="N1065" s="58" t="s">
        <v>2</v>
      </c>
      <c r="O1065" s="58">
        <v>43</v>
      </c>
      <c r="P1065" s="58">
        <v>0</v>
      </c>
      <c r="Q1065" s="58">
        <v>43</v>
      </c>
      <c r="R1065" s="58">
        <v>0</v>
      </c>
      <c r="S1065" s="58">
        <v>0</v>
      </c>
      <c r="T1065" s="58">
        <v>0</v>
      </c>
      <c r="U1065" s="58">
        <v>20</v>
      </c>
      <c r="V1065" s="62"/>
      <c r="W1065" s="62"/>
      <c r="X1065" s="63">
        <f>IFERROR(1 -(Master[[#This Row],[Avg Garment Scans per Delivery]]/Master[[#This Row],[Garment Inventory]]), 0)</f>
        <v>0</v>
      </c>
      <c r="Y1065" s="62"/>
      <c r="Z1065" s="62"/>
      <c r="AA1065" s="53">
        <v>48.984489795918364</v>
      </c>
      <c r="AB1065" s="53">
        <v>55.912653061224489</v>
      </c>
      <c r="AC1065" s="53">
        <v>51.745555555555569</v>
      </c>
      <c r="AD1065" s="53">
        <v>60.847777777777779</v>
      </c>
      <c r="AE1065" s="53" t="str">
        <f>_xlfn.XLOOKUP(Master[[#This Row],[cu_id]],'[1]Customer Revenue'!$Q:$Q,'[1]Customer Revenue'!$K:$K, "None")</f>
        <v>None</v>
      </c>
      <c r="AF1065" s="53" t="str">
        <f>_xlfn.XLOOKUP(Master[[#This Row],[cu_id]],'[1]Customer Revenue'!$Q:$Q,'[1]Customer Revenue'!$L:$L, "None")</f>
        <v>None</v>
      </c>
      <c r="AG1065" s="53">
        <v>41.888301587301598</v>
      </c>
      <c r="AH1065" s="53">
        <v>55.807412698412705</v>
      </c>
      <c r="AI1065" s="53">
        <v>52.448571428571427</v>
      </c>
      <c r="AJ1065" s="53">
        <v>56.296666666666674</v>
      </c>
      <c r="AK1065" s="53" t="str">
        <f>_xlfn.XLOOKUP(Master[[#This Row],[cu_id]],'[1]Customer Revenue'!$Q:$Q,'[1]Customer Revenue'!$I:$I, "None")</f>
        <v>None</v>
      </c>
      <c r="AL1065" s="53">
        <v>48.847857142857151</v>
      </c>
      <c r="AM1065" s="61">
        <v>0.29166666666666669</v>
      </c>
      <c r="AN1065" s="60" t="s">
        <v>1366</v>
      </c>
      <c r="AO1065" s="60" t="s">
        <v>36</v>
      </c>
      <c r="AP1065" s="60" t="s">
        <v>36</v>
      </c>
      <c r="AQ1065" s="58" t="s">
        <v>0</v>
      </c>
      <c r="AR1065" s="58"/>
      <c r="AS1065" s="58"/>
      <c r="AT1065" s="52">
        <v>0</v>
      </c>
      <c r="AU1065" s="52" t="e">
        <f>IF(Master[[#This Row],[RSP StopTime override]] &lt;&gt; "",Master[[#This Row],[RSP StopTime override]],IF(Master[[#This Row],[Avg stop time helper]] &lt;&gt; 0, Master[[#This Row],[Avg stop time helper]],Average_Stop_Time))</f>
        <v>#DIV/0!</v>
      </c>
      <c r="AV1065" s="21"/>
      <c r="AW1065" s="20">
        <f>Master[[#This Row],[RSP StopTime override]]-Master[[#This Row],[Avg stop time helper]]</f>
        <v>0</v>
      </c>
    </row>
    <row r="1066" spans="1:49" x14ac:dyDescent="0.3">
      <c r="A1066" s="66" t="s">
        <v>5083</v>
      </c>
      <c r="B1066" s="58">
        <v>56</v>
      </c>
      <c r="C1066" s="58" t="s">
        <v>35</v>
      </c>
      <c r="D1066" s="65">
        <v>808705</v>
      </c>
      <c r="E1066" s="65" t="s">
        <v>42</v>
      </c>
      <c r="F1066" s="65" t="s">
        <v>1385</v>
      </c>
      <c r="G1066" s="65" t="s">
        <v>1384</v>
      </c>
      <c r="H1066" s="65" t="s">
        <v>7</v>
      </c>
      <c r="I1066" s="65" t="s">
        <v>1084</v>
      </c>
      <c r="J1066" s="65" t="s">
        <v>5</v>
      </c>
      <c r="K1066" s="65" t="s">
        <v>1088</v>
      </c>
      <c r="L1066" s="64" t="s">
        <v>67</v>
      </c>
      <c r="M1066" s="58" t="s">
        <v>3</v>
      </c>
      <c r="N1066" s="58" t="s">
        <v>2</v>
      </c>
      <c r="O1066" s="58">
        <v>53</v>
      </c>
      <c r="P1066" s="58">
        <v>0</v>
      </c>
      <c r="Q1066" s="58">
        <v>53</v>
      </c>
      <c r="R1066" s="58">
        <v>0</v>
      </c>
      <c r="S1066" s="58">
        <v>0</v>
      </c>
      <c r="T1066" s="58">
        <v>0</v>
      </c>
      <c r="U1066" s="58">
        <v>40</v>
      </c>
      <c r="V1066" s="62"/>
      <c r="W1066" s="62"/>
      <c r="X1066" s="63">
        <f>IFERROR(1 -(Master[[#This Row],[Avg Garment Scans per Delivery]]/Master[[#This Row],[Garment Inventory]]), 0)</f>
        <v>0</v>
      </c>
      <c r="Y1066" s="62"/>
      <c r="Z1066" s="62"/>
      <c r="AA1066" s="53">
        <v>49.891390532544406</v>
      </c>
      <c r="AB1066" s="53">
        <v>69.558609467455625</v>
      </c>
      <c r="AC1066" s="53">
        <v>58.185976331360941</v>
      </c>
      <c r="AD1066" s="53">
        <v>60.538639053254421</v>
      </c>
      <c r="AE1066" s="53" t="str">
        <f>_xlfn.XLOOKUP(Master[[#This Row],[cu_id]],'[1]Customer Revenue'!$Q:$Q,'[1]Customer Revenue'!$K:$K, "None")</f>
        <v>None</v>
      </c>
      <c r="AF1066" s="53" t="str">
        <f>_xlfn.XLOOKUP(Master[[#This Row],[cu_id]],'[1]Customer Revenue'!$Q:$Q,'[1]Customer Revenue'!$L:$L, "None")</f>
        <v>None</v>
      </c>
      <c r="AG1066" s="53">
        <v>54.028482840236634</v>
      </c>
      <c r="AH1066" s="53">
        <v>68.400317159763304</v>
      </c>
      <c r="AI1066" s="53">
        <v>59.725000000000016</v>
      </c>
      <c r="AJ1066" s="53">
        <v>59.362307692307681</v>
      </c>
      <c r="AK1066" s="53" t="str">
        <f>_xlfn.XLOOKUP(Master[[#This Row],[cu_id]],'[1]Customer Revenue'!$Q:$Q,'[1]Customer Revenue'!$I:$I, "None")</f>
        <v>None</v>
      </c>
      <c r="AL1066" s="53">
        <v>61.214399999999969</v>
      </c>
      <c r="AM1066" s="61">
        <v>0.375</v>
      </c>
      <c r="AN1066" s="60" t="s">
        <v>1366</v>
      </c>
      <c r="AO1066" s="60" t="s">
        <v>36</v>
      </c>
      <c r="AP1066" s="60" t="s">
        <v>36</v>
      </c>
      <c r="AQ1066" s="58" t="s">
        <v>0</v>
      </c>
      <c r="AR1066" s="58"/>
      <c r="AS1066" s="58"/>
      <c r="AT1066" s="52">
        <v>0</v>
      </c>
      <c r="AU1066" s="52" t="e">
        <f>IF(Master[[#This Row],[RSP StopTime override]] &lt;&gt; "",Master[[#This Row],[RSP StopTime override]],IF(Master[[#This Row],[Avg stop time helper]] &lt;&gt; 0, Master[[#This Row],[Avg stop time helper]],Average_Stop_Time))</f>
        <v>#DIV/0!</v>
      </c>
      <c r="AV1066" s="21"/>
      <c r="AW1066" s="20">
        <f>Master[[#This Row],[RSP StopTime override]]-Master[[#This Row],[Avg stop time helper]]</f>
        <v>0</v>
      </c>
    </row>
    <row r="1067" spans="1:49" x14ac:dyDescent="0.3">
      <c r="A1067" s="66" t="s">
        <v>5084</v>
      </c>
      <c r="B1067" s="58">
        <v>56</v>
      </c>
      <c r="C1067" s="58" t="s">
        <v>35</v>
      </c>
      <c r="D1067" s="65">
        <v>808707</v>
      </c>
      <c r="E1067" s="65" t="s">
        <v>42</v>
      </c>
      <c r="F1067" s="65" t="s">
        <v>1383</v>
      </c>
      <c r="G1067" s="65" t="s">
        <v>1382</v>
      </c>
      <c r="H1067" s="65" t="s">
        <v>7</v>
      </c>
      <c r="I1067" s="65" t="s">
        <v>1084</v>
      </c>
      <c r="J1067" s="65" t="s">
        <v>5</v>
      </c>
      <c r="K1067" s="65" t="s">
        <v>1088</v>
      </c>
      <c r="L1067" s="64">
        <v>6</v>
      </c>
      <c r="M1067" s="58" t="s">
        <v>90</v>
      </c>
      <c r="N1067" s="58" t="s">
        <v>2</v>
      </c>
      <c r="O1067" s="58">
        <v>54</v>
      </c>
      <c r="P1067" s="58">
        <v>0</v>
      </c>
      <c r="Q1067" s="58">
        <v>54</v>
      </c>
      <c r="R1067" s="58">
        <v>0</v>
      </c>
      <c r="S1067" s="58">
        <v>0</v>
      </c>
      <c r="T1067" s="58">
        <v>0</v>
      </c>
      <c r="U1067" s="58">
        <v>21</v>
      </c>
      <c r="V1067" s="62"/>
      <c r="W1067" s="62"/>
      <c r="X1067" s="63">
        <f>IFERROR(1 -(Master[[#This Row],[Avg Garment Scans per Delivery]]/Master[[#This Row],[Garment Inventory]]), 0)</f>
        <v>0</v>
      </c>
      <c r="Y1067" s="62"/>
      <c r="Z1067" s="62"/>
      <c r="AA1067" s="53">
        <v>128.21632653061224</v>
      </c>
      <c r="AB1067" s="53">
        <v>129.44081632653061</v>
      </c>
      <c r="AC1067" s="53">
        <v>84.288888888888906</v>
      </c>
      <c r="AD1067" s="53">
        <v>141.6877777777778</v>
      </c>
      <c r="AE1067" s="53" t="str">
        <f>_xlfn.XLOOKUP(Master[[#This Row],[cu_id]],'[1]Customer Revenue'!$Q:$Q,'[1]Customer Revenue'!$K:$K, "None")</f>
        <v>None</v>
      </c>
      <c r="AF1067" s="53" t="str">
        <f>_xlfn.XLOOKUP(Master[[#This Row],[cu_id]],'[1]Customer Revenue'!$Q:$Q,'[1]Customer Revenue'!$L:$L, "None")</f>
        <v>None</v>
      </c>
      <c r="AG1067" s="53">
        <v>128.18591836734694</v>
      </c>
      <c r="AH1067" s="53">
        <v>131.61122448979594</v>
      </c>
      <c r="AI1067" s="53">
        <v>128.82857142857142</v>
      </c>
      <c r="AJ1067" s="53">
        <v>112.98833333333334</v>
      </c>
      <c r="AK1067" s="53" t="str">
        <f>_xlfn.XLOOKUP(Master[[#This Row],[cu_id]],'[1]Customer Revenue'!$Q:$Q,'[1]Customer Revenue'!$I:$I, "None")</f>
        <v>None</v>
      </c>
      <c r="AL1067" s="53">
        <v>129.89857142857144</v>
      </c>
      <c r="AM1067" s="61">
        <v>0.29166666666666669</v>
      </c>
      <c r="AN1067" s="60" t="s">
        <v>1366</v>
      </c>
      <c r="AO1067" s="60" t="s">
        <v>36</v>
      </c>
      <c r="AP1067" s="60" t="s">
        <v>36</v>
      </c>
      <c r="AQ1067" s="58" t="s">
        <v>0</v>
      </c>
      <c r="AR1067" s="58"/>
      <c r="AS1067" s="58"/>
      <c r="AT1067" s="52">
        <v>0</v>
      </c>
      <c r="AU1067" s="52" t="e">
        <f>IF(Master[[#This Row],[RSP StopTime override]] &lt;&gt; "",Master[[#This Row],[RSP StopTime override]],IF(Master[[#This Row],[Avg stop time helper]] &lt;&gt; 0, Master[[#This Row],[Avg stop time helper]],Average_Stop_Time))</f>
        <v>#DIV/0!</v>
      </c>
      <c r="AV1067" s="21"/>
      <c r="AW1067" s="20">
        <f>Master[[#This Row],[RSP StopTime override]]-Master[[#This Row],[Avg stop time helper]]</f>
        <v>0</v>
      </c>
    </row>
    <row r="1068" spans="1:49" x14ac:dyDescent="0.3">
      <c r="A1068" s="66" t="s">
        <v>5085</v>
      </c>
      <c r="B1068" s="58">
        <v>56</v>
      </c>
      <c r="C1068" s="58" t="s">
        <v>35</v>
      </c>
      <c r="D1068" s="65">
        <v>882175</v>
      </c>
      <c r="E1068" s="65" t="s">
        <v>1381</v>
      </c>
      <c r="F1068" s="65" t="s">
        <v>1380</v>
      </c>
      <c r="G1068" s="65" t="s">
        <v>1379</v>
      </c>
      <c r="H1068" s="65" t="s">
        <v>7</v>
      </c>
      <c r="I1068" s="65" t="s">
        <v>1084</v>
      </c>
      <c r="J1068" s="65" t="s">
        <v>5</v>
      </c>
      <c r="K1068" s="65" t="s">
        <v>1088</v>
      </c>
      <c r="L1068" s="64" t="s">
        <v>194</v>
      </c>
      <c r="M1068" s="58" t="s">
        <v>193</v>
      </c>
      <c r="N1068" s="58" t="s">
        <v>2</v>
      </c>
      <c r="O1068" s="58">
        <v>35</v>
      </c>
      <c r="P1068" s="58">
        <v>0</v>
      </c>
      <c r="Q1068" s="58">
        <v>35</v>
      </c>
      <c r="R1068" s="58">
        <v>0</v>
      </c>
      <c r="S1068" s="58">
        <v>0</v>
      </c>
      <c r="T1068" s="58">
        <v>0</v>
      </c>
      <c r="U1068" s="58">
        <v>11</v>
      </c>
      <c r="V1068" s="62"/>
      <c r="W1068" s="62"/>
      <c r="X1068" s="63">
        <f>IFERROR(1 -(Master[[#This Row],[Avg Garment Scans per Delivery]]/Master[[#This Row],[Garment Inventory]]), 0)</f>
        <v>0</v>
      </c>
      <c r="Y1068" s="62"/>
      <c r="Z1068" s="62"/>
      <c r="AA1068" s="53">
        <v>96.432500000000005</v>
      </c>
      <c r="AB1068" s="53">
        <v>97.557500000000005</v>
      </c>
      <c r="AC1068" s="53">
        <v>95.313333333333333</v>
      </c>
      <c r="AD1068" s="53">
        <v>123.92666666666668</v>
      </c>
      <c r="AE1068" s="53" t="str">
        <f>_xlfn.XLOOKUP(Master[[#This Row],[cu_id]],'[1]Customer Revenue'!$Q:$Q,'[1]Customer Revenue'!$K:$K, "None")</f>
        <v>None</v>
      </c>
      <c r="AF1068" s="53" t="str">
        <f>_xlfn.XLOOKUP(Master[[#This Row],[cu_id]],'[1]Customer Revenue'!$Q:$Q,'[1]Customer Revenue'!$L:$L, "None")</f>
        <v>None</v>
      </c>
      <c r="AG1068" s="53">
        <v>78.215401785714278</v>
      </c>
      <c r="AH1068" s="53">
        <v>122.0160267857143</v>
      </c>
      <c r="AI1068" s="53">
        <v>96.995000000000005</v>
      </c>
      <c r="AJ1068" s="53">
        <v>109.62</v>
      </c>
      <c r="AK1068" s="53" t="str">
        <f>_xlfn.XLOOKUP(Master[[#This Row],[cu_id]],'[1]Customer Revenue'!$Q:$Q,'[1]Customer Revenue'!$I:$I, "None")</f>
        <v>None</v>
      </c>
      <c r="AL1068" s="53">
        <v>100.11571428571429</v>
      </c>
      <c r="AM1068" s="61">
        <v>0.375</v>
      </c>
      <c r="AN1068" s="60" t="s">
        <v>1366</v>
      </c>
      <c r="AO1068" s="60" t="s">
        <v>36</v>
      </c>
      <c r="AP1068" s="60" t="s">
        <v>36</v>
      </c>
      <c r="AQ1068" s="58" t="s">
        <v>0</v>
      </c>
      <c r="AR1068" s="58"/>
      <c r="AS1068" s="58"/>
      <c r="AT1068" s="52">
        <v>0</v>
      </c>
      <c r="AU1068" s="52" t="e">
        <f>IF(Master[[#This Row],[RSP StopTime override]] &lt;&gt; "",Master[[#This Row],[RSP StopTime override]],IF(Master[[#This Row],[Avg stop time helper]] &lt;&gt; 0, Master[[#This Row],[Avg stop time helper]],Average_Stop_Time))</f>
        <v>#DIV/0!</v>
      </c>
      <c r="AV1068" s="21"/>
      <c r="AW1068" s="20">
        <f>Master[[#This Row],[RSP StopTime override]]-Master[[#This Row],[Avg stop time helper]]</f>
        <v>0</v>
      </c>
    </row>
    <row r="1069" spans="1:49" x14ac:dyDescent="0.3">
      <c r="A1069" s="66" t="s">
        <v>5086</v>
      </c>
      <c r="B1069" s="58">
        <v>56</v>
      </c>
      <c r="C1069" s="58" t="s">
        <v>35</v>
      </c>
      <c r="D1069" s="65">
        <v>882688</v>
      </c>
      <c r="E1069" s="65" t="s">
        <v>1378</v>
      </c>
      <c r="F1069" s="65" t="s">
        <v>1377</v>
      </c>
      <c r="G1069" s="65" t="s">
        <v>1376</v>
      </c>
      <c r="H1069" s="65" t="s">
        <v>7</v>
      </c>
      <c r="I1069" s="65" t="s">
        <v>1084</v>
      </c>
      <c r="J1069" s="65" t="s">
        <v>5</v>
      </c>
      <c r="K1069" s="65" t="s">
        <v>1088</v>
      </c>
      <c r="L1069" s="64" t="s">
        <v>77</v>
      </c>
      <c r="M1069" s="58" t="s">
        <v>29</v>
      </c>
      <c r="N1069" s="58" t="s">
        <v>2</v>
      </c>
      <c r="O1069" s="58">
        <v>90</v>
      </c>
      <c r="P1069" s="58">
        <v>0</v>
      </c>
      <c r="Q1069" s="58">
        <v>90</v>
      </c>
      <c r="R1069" s="58">
        <v>0</v>
      </c>
      <c r="S1069" s="58">
        <v>0</v>
      </c>
      <c r="T1069" s="58">
        <v>0</v>
      </c>
      <c r="U1069" s="58">
        <v>20</v>
      </c>
      <c r="V1069" s="62"/>
      <c r="W1069" s="62"/>
      <c r="X1069" s="63">
        <f>IFERROR(1 -(Master[[#This Row],[Avg Garment Scans per Delivery]]/Master[[#This Row],[Garment Inventory]]), 0)</f>
        <v>0</v>
      </c>
      <c r="Y1069" s="62"/>
      <c r="Z1069" s="62"/>
      <c r="AA1069" s="53">
        <v>25.425555555555555</v>
      </c>
      <c r="AB1069" s="53">
        <v>29.861111111111107</v>
      </c>
      <c r="AC1069" s="53">
        <v>31.53142857142857</v>
      </c>
      <c r="AD1069" s="53">
        <v>32.788571428571423</v>
      </c>
      <c r="AE1069" s="53" t="str">
        <f>_xlfn.XLOOKUP(Master[[#This Row],[cu_id]],'[1]Customer Revenue'!$Q:$Q,'[1]Customer Revenue'!$K:$K, "None")</f>
        <v>None</v>
      </c>
      <c r="AF1069" s="53" t="str">
        <f>_xlfn.XLOOKUP(Master[[#This Row],[cu_id]],'[1]Customer Revenue'!$Q:$Q,'[1]Customer Revenue'!$L:$L, "None")</f>
        <v>None</v>
      </c>
      <c r="AG1069" s="53">
        <v>20.654474097331239</v>
      </c>
      <c r="AH1069" s="53">
        <v>29.579372056514913</v>
      </c>
      <c r="AI1069" s="53">
        <v>27.643333333333331</v>
      </c>
      <c r="AJ1069" s="53">
        <v>32.159999999999997</v>
      </c>
      <c r="AK1069" s="53" t="str">
        <f>_xlfn.XLOOKUP(Master[[#This Row],[cu_id]],'[1]Customer Revenue'!$Q:$Q,'[1]Customer Revenue'!$I:$I, "None")</f>
        <v>None</v>
      </c>
      <c r="AL1069" s="53">
        <v>25.116923076923076</v>
      </c>
      <c r="AM1069" s="61">
        <v>0.375</v>
      </c>
      <c r="AN1069" s="60" t="s">
        <v>1366</v>
      </c>
      <c r="AO1069" s="60" t="s">
        <v>36</v>
      </c>
      <c r="AP1069" s="60" t="s">
        <v>36</v>
      </c>
      <c r="AQ1069" s="58" t="s">
        <v>0</v>
      </c>
      <c r="AR1069" s="58"/>
      <c r="AS1069" s="58"/>
      <c r="AT1069" s="52">
        <v>0</v>
      </c>
      <c r="AU1069" s="52" t="e">
        <f>IF(Master[[#This Row],[RSP StopTime override]] &lt;&gt; "",Master[[#This Row],[RSP StopTime override]],IF(Master[[#This Row],[Avg stop time helper]] &lt;&gt; 0, Master[[#This Row],[Avg stop time helper]],Average_Stop_Time))</f>
        <v>#DIV/0!</v>
      </c>
      <c r="AV1069" s="21"/>
      <c r="AW1069" s="20">
        <f>Master[[#This Row],[RSP StopTime override]]-Master[[#This Row],[Avg stop time helper]]</f>
        <v>0</v>
      </c>
    </row>
    <row r="1070" spans="1:49" x14ac:dyDescent="0.3">
      <c r="A1070" s="66" t="s">
        <v>5087</v>
      </c>
      <c r="B1070" s="58">
        <v>56</v>
      </c>
      <c r="C1070" s="58" t="s">
        <v>35</v>
      </c>
      <c r="D1070" s="65">
        <v>886085</v>
      </c>
      <c r="E1070" s="65" t="s">
        <v>1375</v>
      </c>
      <c r="F1070" s="65" t="s">
        <v>3732</v>
      </c>
      <c r="G1070" s="65" t="s">
        <v>1374</v>
      </c>
      <c r="H1070" s="65" t="s">
        <v>7</v>
      </c>
      <c r="I1070" s="65" t="s">
        <v>1084</v>
      </c>
      <c r="J1070" s="65" t="s">
        <v>5</v>
      </c>
      <c r="K1070" s="65" t="s">
        <v>1088</v>
      </c>
      <c r="L1070" s="64" t="s">
        <v>91</v>
      </c>
      <c r="M1070" s="58" t="s">
        <v>90</v>
      </c>
      <c r="N1070" s="58" t="s">
        <v>2</v>
      </c>
      <c r="O1070" s="58">
        <v>52</v>
      </c>
      <c r="P1070" s="58">
        <v>0</v>
      </c>
      <c r="Q1070" s="58">
        <v>52</v>
      </c>
      <c r="R1070" s="58">
        <v>0</v>
      </c>
      <c r="S1070" s="58">
        <v>0</v>
      </c>
      <c r="T1070" s="58">
        <v>0</v>
      </c>
      <c r="U1070" s="58">
        <v>25</v>
      </c>
      <c r="V1070" s="62"/>
      <c r="W1070" s="62"/>
      <c r="X1070" s="63">
        <f>IFERROR(1 -(Master[[#This Row],[Avg Garment Scans per Delivery]]/Master[[#This Row],[Garment Inventory]]), 0)</f>
        <v>0</v>
      </c>
      <c r="Y1070" s="62"/>
      <c r="Z1070" s="62"/>
      <c r="AA1070" s="53">
        <v>14.770019723865881</v>
      </c>
      <c r="AB1070" s="53">
        <v>36.69664694280079</v>
      </c>
      <c r="AC1070" s="53">
        <v>19.004464285714288</v>
      </c>
      <c r="AD1070" s="53">
        <v>29.646964285714287</v>
      </c>
      <c r="AE1070" s="53" t="str">
        <f>_xlfn.XLOOKUP(Master[[#This Row],[cu_id]],'[1]Customer Revenue'!$Q:$Q,'[1]Customer Revenue'!$K:$K, "None")</f>
        <v>None</v>
      </c>
      <c r="AF1070" s="53" t="str">
        <f>_xlfn.XLOOKUP(Master[[#This Row],[cu_id]],'[1]Customer Revenue'!$Q:$Q,'[1]Customer Revenue'!$L:$L, "None")</f>
        <v>None</v>
      </c>
      <c r="AG1070" s="53">
        <v>14.604166666666663</v>
      </c>
      <c r="AH1070" s="53">
        <v>32.129166666666663</v>
      </c>
      <c r="AI1070" s="53">
        <v>25.733333333333334</v>
      </c>
      <c r="AJ1070" s="53">
        <v>24.325714285714287</v>
      </c>
      <c r="AK1070" s="53" t="str">
        <f>_xlfn.XLOOKUP(Master[[#This Row],[cu_id]],'[1]Customer Revenue'!$Q:$Q,'[1]Customer Revenue'!$I:$I, "None")</f>
        <v>None</v>
      </c>
      <c r="AL1070" s="53">
        <v>23.366666666666664</v>
      </c>
      <c r="AM1070" s="61">
        <v>0.41666666666666669</v>
      </c>
      <c r="AN1070" s="60" t="s">
        <v>1366</v>
      </c>
      <c r="AO1070" s="60" t="s">
        <v>36</v>
      </c>
      <c r="AP1070" s="60" t="s">
        <v>36</v>
      </c>
      <c r="AQ1070" s="58" t="s">
        <v>0</v>
      </c>
      <c r="AR1070" s="58"/>
      <c r="AS1070" s="58"/>
      <c r="AT1070" s="52">
        <v>0</v>
      </c>
      <c r="AU1070" s="52" t="e">
        <f>IF(Master[[#This Row],[RSP StopTime override]] &lt;&gt; "",Master[[#This Row],[RSP StopTime override]],IF(Master[[#This Row],[Avg stop time helper]] &lt;&gt; 0, Master[[#This Row],[Avg stop time helper]],Average_Stop_Time))</f>
        <v>#DIV/0!</v>
      </c>
      <c r="AV1070" s="21"/>
      <c r="AW1070" s="20">
        <f>Master[[#This Row],[RSP StopTime override]]-Master[[#This Row],[Avg stop time helper]]</f>
        <v>0</v>
      </c>
    </row>
    <row r="1071" spans="1:49" x14ac:dyDescent="0.3">
      <c r="A1071" s="66" t="s">
        <v>5088</v>
      </c>
      <c r="B1071" s="58">
        <v>56</v>
      </c>
      <c r="C1071" s="58" t="s">
        <v>35</v>
      </c>
      <c r="D1071" s="65">
        <v>888020</v>
      </c>
      <c r="E1071" s="65" t="s">
        <v>1373</v>
      </c>
      <c r="F1071" s="65" t="s">
        <v>1368</v>
      </c>
      <c r="G1071" s="65" t="s">
        <v>1372</v>
      </c>
      <c r="H1071" s="65" t="s">
        <v>7</v>
      </c>
      <c r="I1071" s="65" t="s">
        <v>1084</v>
      </c>
      <c r="J1071" s="65" t="s">
        <v>5</v>
      </c>
      <c r="K1071" s="65" t="s">
        <v>1115</v>
      </c>
      <c r="L1071" s="64" t="s">
        <v>141</v>
      </c>
      <c r="M1071" s="58" t="s">
        <v>140</v>
      </c>
      <c r="N1071" s="58" t="s">
        <v>2</v>
      </c>
      <c r="O1071" s="58">
        <v>10</v>
      </c>
      <c r="P1071" s="58">
        <v>0</v>
      </c>
      <c r="Q1071" s="58">
        <v>10</v>
      </c>
      <c r="R1071" s="58">
        <v>0</v>
      </c>
      <c r="S1071" s="58">
        <v>0</v>
      </c>
      <c r="T1071" s="58">
        <v>0</v>
      </c>
      <c r="U1071" s="58">
        <v>7</v>
      </c>
      <c r="V1071" s="62"/>
      <c r="W1071" s="62"/>
      <c r="X1071" s="63">
        <f>IFERROR(1 -(Master[[#This Row],[Avg Garment Scans per Delivery]]/Master[[#This Row],[Garment Inventory]]), 0)</f>
        <v>0</v>
      </c>
      <c r="Y1071" s="62"/>
      <c r="Z1071" s="62"/>
      <c r="AA1071" s="53">
        <v>12.5</v>
      </c>
      <c r="AB1071" s="53">
        <v>27.5</v>
      </c>
      <c r="AC1071" s="53">
        <v>20</v>
      </c>
      <c r="AD1071" s="53">
        <v>20</v>
      </c>
      <c r="AE1071" s="53" t="str">
        <f>_xlfn.XLOOKUP(Master[[#This Row],[cu_id]],'[1]Customer Revenue'!$Q:$Q,'[1]Customer Revenue'!$K:$K, "None")</f>
        <v>None</v>
      </c>
      <c r="AF1071" s="53" t="str">
        <f>_xlfn.XLOOKUP(Master[[#This Row],[cu_id]],'[1]Customer Revenue'!$Q:$Q,'[1]Customer Revenue'!$L:$L, "None")</f>
        <v>None</v>
      </c>
      <c r="AG1071" s="53">
        <v>10.204081632653061</v>
      </c>
      <c r="AH1071" s="53">
        <v>29.795918367346939</v>
      </c>
      <c r="AI1071" s="53">
        <v>20</v>
      </c>
      <c r="AJ1071" s="53">
        <v>20</v>
      </c>
      <c r="AK1071" s="53" t="str">
        <f>_xlfn.XLOOKUP(Master[[#This Row],[cu_id]],'[1]Customer Revenue'!$Q:$Q,'[1]Customer Revenue'!$I:$I, "None")</f>
        <v>None</v>
      </c>
      <c r="AL1071" s="53">
        <v>20</v>
      </c>
      <c r="AM1071" s="61">
        <v>0.375</v>
      </c>
      <c r="AN1071" s="60" t="s">
        <v>1366</v>
      </c>
      <c r="AO1071" s="60" t="s">
        <v>36</v>
      </c>
      <c r="AP1071" s="60" t="s">
        <v>36</v>
      </c>
      <c r="AQ1071" s="58" t="s">
        <v>0</v>
      </c>
      <c r="AR1071" s="58"/>
      <c r="AS1071" s="58"/>
      <c r="AT1071" s="52">
        <v>0</v>
      </c>
      <c r="AU1071" s="52" t="e">
        <f>IF(Master[[#This Row],[RSP StopTime override]] &lt;&gt; "",Master[[#This Row],[RSP StopTime override]],IF(Master[[#This Row],[Avg stop time helper]] &lt;&gt; 0, Master[[#This Row],[Avg stop time helper]],Average_Stop_Time))</f>
        <v>#DIV/0!</v>
      </c>
      <c r="AV1071" s="21"/>
      <c r="AW1071" s="20">
        <f>Master[[#This Row],[RSP StopTime override]]-Master[[#This Row],[Avg stop time helper]]</f>
        <v>0</v>
      </c>
    </row>
    <row r="1072" spans="1:49" x14ac:dyDescent="0.3">
      <c r="A1072" s="66" t="s">
        <v>5089</v>
      </c>
      <c r="B1072" s="58">
        <v>56</v>
      </c>
      <c r="C1072" s="58" t="s">
        <v>35</v>
      </c>
      <c r="D1072" s="65">
        <v>888020</v>
      </c>
      <c r="E1072" s="65" t="s">
        <v>1371</v>
      </c>
      <c r="F1072" s="65" t="s">
        <v>1368</v>
      </c>
      <c r="G1072" s="65" t="s">
        <v>1370</v>
      </c>
      <c r="H1072" s="65" t="s">
        <v>7</v>
      </c>
      <c r="I1072" s="65" t="s">
        <v>1084</v>
      </c>
      <c r="J1072" s="65" t="s">
        <v>5</v>
      </c>
      <c r="K1072" s="65" t="s">
        <v>1088</v>
      </c>
      <c r="L1072" s="64" t="s">
        <v>141</v>
      </c>
      <c r="M1072" s="58" t="s">
        <v>140</v>
      </c>
      <c r="N1072" s="58" t="s">
        <v>2</v>
      </c>
      <c r="O1072" s="58">
        <v>11</v>
      </c>
      <c r="P1072" s="58">
        <v>0</v>
      </c>
      <c r="Q1072" s="58">
        <v>11</v>
      </c>
      <c r="R1072" s="58">
        <v>0</v>
      </c>
      <c r="S1072" s="58">
        <v>0</v>
      </c>
      <c r="T1072" s="58">
        <v>0</v>
      </c>
      <c r="U1072" s="58">
        <v>9</v>
      </c>
      <c r="V1072" s="62"/>
      <c r="W1072" s="62"/>
      <c r="X1072" s="63">
        <f>IFERROR(1 -(Master[[#This Row],[Avg Garment Scans per Delivery]]/Master[[#This Row],[Garment Inventory]]), 0)</f>
        <v>0</v>
      </c>
      <c r="Y1072" s="62"/>
      <c r="Z1072" s="62"/>
      <c r="AA1072" s="53">
        <v>12.5</v>
      </c>
      <c r="AB1072" s="53">
        <v>27.5</v>
      </c>
      <c r="AC1072" s="53">
        <v>20</v>
      </c>
      <c r="AD1072" s="53">
        <v>20</v>
      </c>
      <c r="AE1072" s="53" t="str">
        <f>_xlfn.XLOOKUP(Master[[#This Row],[cu_id]],'[1]Customer Revenue'!$Q:$Q,'[1]Customer Revenue'!$K:$K, "None")</f>
        <v>None</v>
      </c>
      <c r="AF1072" s="53" t="str">
        <f>_xlfn.XLOOKUP(Master[[#This Row],[cu_id]],'[1]Customer Revenue'!$Q:$Q,'[1]Customer Revenue'!$L:$L, "None")</f>
        <v>None</v>
      </c>
      <c r="AG1072" s="53">
        <v>11.111111111111111</v>
      </c>
      <c r="AH1072" s="53">
        <v>28.888888888888889</v>
      </c>
      <c r="AI1072" s="53">
        <v>20</v>
      </c>
      <c r="AJ1072" s="53">
        <v>20</v>
      </c>
      <c r="AK1072" s="53" t="str">
        <f>_xlfn.XLOOKUP(Master[[#This Row],[cu_id]],'[1]Customer Revenue'!$Q:$Q,'[1]Customer Revenue'!$I:$I, "None")</f>
        <v>None</v>
      </c>
      <c r="AL1072" s="53">
        <v>20</v>
      </c>
      <c r="AM1072" s="61">
        <v>0.375</v>
      </c>
      <c r="AN1072" s="60" t="s">
        <v>1366</v>
      </c>
      <c r="AO1072" s="60" t="s">
        <v>36</v>
      </c>
      <c r="AP1072" s="60" t="s">
        <v>36</v>
      </c>
      <c r="AQ1072" s="58" t="s">
        <v>0</v>
      </c>
      <c r="AR1072" s="58"/>
      <c r="AS1072" s="58"/>
      <c r="AT1072" s="52">
        <v>0</v>
      </c>
      <c r="AU1072" s="52" t="e">
        <f>IF(Master[[#This Row],[RSP StopTime override]] &lt;&gt; "",Master[[#This Row],[RSP StopTime override]],IF(Master[[#This Row],[Avg stop time helper]] &lt;&gt; 0, Master[[#This Row],[Avg stop time helper]],Average_Stop_Time))</f>
        <v>#DIV/0!</v>
      </c>
      <c r="AV1072" s="21"/>
      <c r="AW1072" s="20">
        <f>Master[[#This Row],[RSP StopTime override]]-Master[[#This Row],[Avg stop time helper]]</f>
        <v>0</v>
      </c>
    </row>
    <row r="1073" spans="1:49" x14ac:dyDescent="0.3">
      <c r="A1073" s="66" t="s">
        <v>5090</v>
      </c>
      <c r="B1073" s="58">
        <v>56</v>
      </c>
      <c r="C1073" s="58" t="s">
        <v>35</v>
      </c>
      <c r="D1073" s="65">
        <v>888020</v>
      </c>
      <c r="E1073" s="65" t="s">
        <v>1369</v>
      </c>
      <c r="F1073" s="65" t="s">
        <v>1368</v>
      </c>
      <c r="G1073" s="65" t="s">
        <v>1367</v>
      </c>
      <c r="H1073" s="65" t="s">
        <v>7</v>
      </c>
      <c r="I1073" s="65" t="s">
        <v>1084</v>
      </c>
      <c r="J1073" s="65" t="s">
        <v>5</v>
      </c>
      <c r="K1073" s="65" t="s">
        <v>1115</v>
      </c>
      <c r="L1073" s="64" t="s">
        <v>141</v>
      </c>
      <c r="M1073" s="58" t="s">
        <v>140</v>
      </c>
      <c r="N1073" s="58" t="s">
        <v>2</v>
      </c>
      <c r="O1073" s="58">
        <v>56</v>
      </c>
      <c r="P1073" s="58">
        <v>0</v>
      </c>
      <c r="Q1073" s="58">
        <v>56</v>
      </c>
      <c r="R1073" s="58">
        <v>0</v>
      </c>
      <c r="S1073" s="58">
        <v>0</v>
      </c>
      <c r="T1073" s="58">
        <v>0</v>
      </c>
      <c r="U1073" s="58">
        <v>10</v>
      </c>
      <c r="V1073" s="62"/>
      <c r="W1073" s="62"/>
      <c r="X1073" s="63">
        <f>IFERROR(1 -(Master[[#This Row],[Avg Garment Scans per Delivery]]/Master[[#This Row],[Garment Inventory]]), 0)</f>
        <v>0</v>
      </c>
      <c r="Y1073" s="62"/>
      <c r="Z1073" s="62"/>
      <c r="AA1073" s="53">
        <v>20</v>
      </c>
      <c r="AB1073" s="53">
        <v>20</v>
      </c>
      <c r="AC1073" s="53">
        <v>20</v>
      </c>
      <c r="AD1073" s="53">
        <v>20</v>
      </c>
      <c r="AE1073" s="53" t="str">
        <f>_xlfn.XLOOKUP(Master[[#This Row],[cu_id]],'[1]Customer Revenue'!$Q:$Q,'[1]Customer Revenue'!$K:$K, "None")</f>
        <v>None</v>
      </c>
      <c r="AF1073" s="53" t="str">
        <f>_xlfn.XLOOKUP(Master[[#This Row],[cu_id]],'[1]Customer Revenue'!$Q:$Q,'[1]Customer Revenue'!$L:$L, "None")</f>
        <v>None</v>
      </c>
      <c r="AG1073" s="53">
        <v>15.625</v>
      </c>
      <c r="AH1073" s="53">
        <v>24.375</v>
      </c>
      <c r="AI1073" s="53">
        <v>20</v>
      </c>
      <c r="AJ1073" s="53">
        <v>20</v>
      </c>
      <c r="AK1073" s="53" t="str">
        <f>_xlfn.XLOOKUP(Master[[#This Row],[cu_id]],'[1]Customer Revenue'!$Q:$Q,'[1]Customer Revenue'!$I:$I, "None")</f>
        <v>None</v>
      </c>
      <c r="AL1073" s="53">
        <v>20</v>
      </c>
      <c r="AM1073" s="61">
        <v>0.375</v>
      </c>
      <c r="AN1073" s="60" t="s">
        <v>1366</v>
      </c>
      <c r="AO1073" s="60" t="s">
        <v>36</v>
      </c>
      <c r="AP1073" s="60" t="s">
        <v>36</v>
      </c>
      <c r="AQ1073" s="58" t="s">
        <v>0</v>
      </c>
      <c r="AR1073" s="58"/>
      <c r="AS1073" s="58"/>
      <c r="AT1073" s="52">
        <v>0</v>
      </c>
      <c r="AU1073" s="52" t="e">
        <f>IF(Master[[#This Row],[RSP StopTime override]] &lt;&gt; "",Master[[#This Row],[RSP StopTime override]],IF(Master[[#This Row],[Avg stop time helper]] &lt;&gt; 0, Master[[#This Row],[Avg stop time helper]],Average_Stop_Time))</f>
        <v>#DIV/0!</v>
      </c>
      <c r="AV1073" s="21"/>
      <c r="AW1073" s="20">
        <f>Master[[#This Row],[RSP StopTime override]]-Master[[#This Row],[Avg stop time helper]]</f>
        <v>0</v>
      </c>
    </row>
    <row r="1074" spans="1:49" x14ac:dyDescent="0.3">
      <c r="A1074" s="66" t="s">
        <v>5091</v>
      </c>
      <c r="B1074" s="58">
        <v>56</v>
      </c>
      <c r="C1074" s="58" t="s">
        <v>10</v>
      </c>
      <c r="D1074" s="65">
        <v>99031</v>
      </c>
      <c r="E1074" s="65" t="s">
        <v>805</v>
      </c>
      <c r="F1074" s="65" t="s">
        <v>1365</v>
      </c>
      <c r="G1074" s="65" t="s">
        <v>1364</v>
      </c>
      <c r="H1074" s="65" t="s">
        <v>1178</v>
      </c>
      <c r="I1074" s="65" t="s">
        <v>6</v>
      </c>
      <c r="J1074" s="65" t="s">
        <v>5</v>
      </c>
      <c r="K1074" s="65" t="s">
        <v>4</v>
      </c>
      <c r="L1074" s="64" t="s">
        <v>67</v>
      </c>
      <c r="M1074" s="58" t="s">
        <v>3</v>
      </c>
      <c r="N1074" s="58" t="s">
        <v>2</v>
      </c>
      <c r="O1074" s="58">
        <v>95</v>
      </c>
      <c r="P1074" s="58">
        <v>0</v>
      </c>
      <c r="Q1074" s="58">
        <v>0</v>
      </c>
      <c r="R1074" s="58">
        <v>95</v>
      </c>
      <c r="S1074" s="58">
        <v>0</v>
      </c>
      <c r="T1074" s="58">
        <v>0</v>
      </c>
      <c r="U1074" s="58">
        <v>52</v>
      </c>
      <c r="V1074" s="62"/>
      <c r="W1074" s="62"/>
      <c r="X1074" s="63">
        <f>IFERROR(1 -(Master[[#This Row],[Avg Garment Scans per Delivery]]/Master[[#This Row],[Garment Inventory]]), 0)</f>
        <v>0</v>
      </c>
      <c r="Y1074" s="62"/>
      <c r="Z1074" s="62"/>
      <c r="AA1074" s="53">
        <v>85.062307692307698</v>
      </c>
      <c r="AB1074" s="53">
        <v>196.95769230769235</v>
      </c>
      <c r="AC1074" s="53">
        <v>75.936122448979603</v>
      </c>
      <c r="AD1074" s="53">
        <v>168.79102040816326</v>
      </c>
      <c r="AE1074" s="53" t="str">
        <f>_xlfn.XLOOKUP(Master[[#This Row],[cu_id]],'[1]Customer Revenue'!$Q:$Q,'[1]Customer Revenue'!$K:$K, "None")</f>
        <v>None</v>
      </c>
      <c r="AF1074" s="53" t="str">
        <f>_xlfn.XLOOKUP(Master[[#This Row],[cu_id]],'[1]Customer Revenue'!$Q:$Q,'[1]Customer Revenue'!$L:$L, "None")</f>
        <v>None</v>
      </c>
      <c r="AG1074" s="53">
        <v>81.834644970414189</v>
      </c>
      <c r="AH1074" s="53">
        <v>186.83843195266272</v>
      </c>
      <c r="AI1074" s="53">
        <v>141.01000000000002</v>
      </c>
      <c r="AJ1074" s="53">
        <v>122.36357142857143</v>
      </c>
      <c r="AK1074" s="53" t="str">
        <f>_xlfn.XLOOKUP(Master[[#This Row],[cu_id]],'[1]Customer Revenue'!$Q:$Q,'[1]Customer Revenue'!$I:$I, "None")</f>
        <v>None</v>
      </c>
      <c r="AL1074" s="53">
        <v>134.33653846153845</v>
      </c>
      <c r="AM1074" s="61" t="s">
        <v>36</v>
      </c>
      <c r="AN1074" s="60" t="s">
        <v>36</v>
      </c>
      <c r="AO1074" s="60" t="s">
        <v>36</v>
      </c>
      <c r="AP1074" s="60" t="s">
        <v>36</v>
      </c>
      <c r="AQ1074" s="58" t="s">
        <v>0</v>
      </c>
      <c r="AR1074" s="58"/>
      <c r="AS1074" s="58"/>
      <c r="AT1074" s="52">
        <v>0</v>
      </c>
      <c r="AU1074" s="52" t="e">
        <f>IF(Master[[#This Row],[RSP StopTime override]] &lt;&gt; "",Master[[#This Row],[RSP StopTime override]],IF(Master[[#This Row],[Avg stop time helper]] &lt;&gt; 0, Master[[#This Row],[Avg stop time helper]],Average_Stop_Time))</f>
        <v>#DIV/0!</v>
      </c>
      <c r="AV1074" s="21"/>
      <c r="AW1074" s="20">
        <f>Master[[#This Row],[RSP StopTime override]]-Master[[#This Row],[Avg stop time helper]]</f>
        <v>0</v>
      </c>
    </row>
    <row r="1075" spans="1:49" x14ac:dyDescent="0.3">
      <c r="A1075" s="66" t="s">
        <v>5092</v>
      </c>
      <c r="B1075" s="58">
        <v>56</v>
      </c>
      <c r="C1075" s="58" t="s">
        <v>10</v>
      </c>
      <c r="D1075" s="65">
        <v>99031</v>
      </c>
      <c r="E1075" s="65" t="s">
        <v>1363</v>
      </c>
      <c r="F1075" s="65" t="s">
        <v>1362</v>
      </c>
      <c r="G1075" s="65" t="s">
        <v>1361</v>
      </c>
      <c r="H1075" s="65" t="s">
        <v>1178</v>
      </c>
      <c r="I1075" s="65" t="s">
        <v>6</v>
      </c>
      <c r="J1075" s="65" t="s">
        <v>5</v>
      </c>
      <c r="K1075" s="65" t="s">
        <v>4</v>
      </c>
      <c r="L1075" s="64" t="s">
        <v>67</v>
      </c>
      <c r="M1075" s="58" t="s">
        <v>3</v>
      </c>
      <c r="N1075" s="58" t="s">
        <v>2</v>
      </c>
      <c r="O1075" s="58">
        <v>120</v>
      </c>
      <c r="P1075" s="58">
        <v>0</v>
      </c>
      <c r="Q1075" s="58">
        <v>0</v>
      </c>
      <c r="R1075" s="58">
        <v>120</v>
      </c>
      <c r="S1075" s="58">
        <v>0</v>
      </c>
      <c r="T1075" s="58">
        <v>0</v>
      </c>
      <c r="U1075" s="58">
        <v>53</v>
      </c>
      <c r="V1075" s="62"/>
      <c r="W1075" s="62"/>
      <c r="X1075" s="63">
        <f>IFERROR(1 -(Master[[#This Row],[Avg Garment Scans per Delivery]]/Master[[#This Row],[Garment Inventory]]), 0)</f>
        <v>0</v>
      </c>
      <c r="Y1075" s="62"/>
      <c r="Z1075" s="62"/>
      <c r="AA1075" s="53">
        <v>29.792603550295858</v>
      </c>
      <c r="AB1075" s="53">
        <v>45.584319526627219</v>
      </c>
      <c r="AC1075" s="53">
        <v>27.909704142011837</v>
      </c>
      <c r="AD1075" s="53">
        <v>66.425680473372793</v>
      </c>
      <c r="AE1075" s="53" t="str">
        <f>_xlfn.XLOOKUP(Master[[#This Row],[cu_id]],'[1]Customer Revenue'!$Q:$Q,'[1]Customer Revenue'!$K:$K, "None")</f>
        <v>None</v>
      </c>
      <c r="AF1075" s="53" t="str">
        <f>_xlfn.XLOOKUP(Master[[#This Row],[cu_id]],'[1]Customer Revenue'!$Q:$Q,'[1]Customer Revenue'!$L:$L, "None")</f>
        <v>None</v>
      </c>
      <c r="AG1075" s="53">
        <v>27.731834319526634</v>
      </c>
      <c r="AH1075" s="53">
        <v>57.073550295857977</v>
      </c>
      <c r="AI1075" s="53">
        <v>37.688461538461539</v>
      </c>
      <c r="AJ1075" s="53">
        <v>47.167692307692313</v>
      </c>
      <c r="AK1075" s="53" t="str">
        <f>_xlfn.XLOOKUP(Master[[#This Row],[cu_id]],'[1]Customer Revenue'!$Q:$Q,'[1]Customer Revenue'!$I:$I, "None")</f>
        <v>None</v>
      </c>
      <c r="AL1075" s="53">
        <v>42.402692307692305</v>
      </c>
      <c r="AM1075" s="61" t="s">
        <v>36</v>
      </c>
      <c r="AN1075" s="60" t="s">
        <v>36</v>
      </c>
      <c r="AO1075" s="60" t="s">
        <v>36</v>
      </c>
      <c r="AP1075" s="60" t="s">
        <v>36</v>
      </c>
      <c r="AQ1075" s="58" t="s">
        <v>0</v>
      </c>
      <c r="AR1075" s="58"/>
      <c r="AS1075" s="58"/>
      <c r="AT1075" s="52">
        <v>0</v>
      </c>
      <c r="AU1075" s="52" t="e">
        <f>IF(Master[[#This Row],[RSP StopTime override]] &lt;&gt; "",Master[[#This Row],[RSP StopTime override]],IF(Master[[#This Row],[Avg stop time helper]] &lt;&gt; 0, Master[[#This Row],[Avg stop time helper]],Average_Stop_Time))</f>
        <v>#DIV/0!</v>
      </c>
      <c r="AV1075" s="21"/>
      <c r="AW1075" s="20">
        <f>Master[[#This Row],[RSP StopTime override]]-Master[[#This Row],[Avg stop time helper]]</f>
        <v>0</v>
      </c>
    </row>
    <row r="1076" spans="1:49" x14ac:dyDescent="0.3">
      <c r="A1076" s="66" t="s">
        <v>3993</v>
      </c>
      <c r="B1076" s="58">
        <v>56</v>
      </c>
      <c r="C1076" s="58" t="s">
        <v>10</v>
      </c>
      <c r="D1076" s="65">
        <v>99062</v>
      </c>
      <c r="E1076" s="65" t="s">
        <v>1328</v>
      </c>
      <c r="F1076" s="65" t="s">
        <v>3733</v>
      </c>
      <c r="G1076" s="65" t="s">
        <v>1327</v>
      </c>
      <c r="H1076" s="65" t="s">
        <v>32</v>
      </c>
      <c r="I1076" s="65" t="s">
        <v>6</v>
      </c>
      <c r="J1076" s="65" t="s">
        <v>5</v>
      </c>
      <c r="K1076" s="65" t="s">
        <v>4</v>
      </c>
      <c r="L1076" s="64" t="s">
        <v>67</v>
      </c>
      <c r="M1076" s="58" t="s">
        <v>3</v>
      </c>
      <c r="N1076" s="58" t="s">
        <v>2</v>
      </c>
      <c r="O1076" s="58">
        <v>110</v>
      </c>
      <c r="P1076" s="58">
        <v>0</v>
      </c>
      <c r="Q1076" s="58">
        <v>0</v>
      </c>
      <c r="R1076" s="58">
        <v>110</v>
      </c>
      <c r="S1076" s="58">
        <v>0</v>
      </c>
      <c r="T1076" s="58">
        <v>0</v>
      </c>
      <c r="U1076" s="58">
        <v>52</v>
      </c>
      <c r="V1076" s="62"/>
      <c r="W1076" s="62"/>
      <c r="X1076" s="63">
        <f>IFERROR(1 -(Master[[#This Row],[Avg Garment Scans per Delivery]]/Master[[#This Row],[Garment Inventory]]), 0)</f>
        <v>0</v>
      </c>
      <c r="Y1076" s="62"/>
      <c r="Z1076" s="62"/>
      <c r="AA1076" s="53">
        <v>81.474556213017749</v>
      </c>
      <c r="AB1076" s="53">
        <v>83.048520710059179</v>
      </c>
      <c r="AC1076" s="53">
        <v>85.43224852071009</v>
      </c>
      <c r="AD1076" s="53">
        <v>88.415443786982252</v>
      </c>
      <c r="AE1076" s="53" t="str">
        <f>_xlfn.XLOOKUP(Master[[#This Row],[cu_id]],'[1]Customer Revenue'!$Q:$Q,'[1]Customer Revenue'!$K:$K, "None")</f>
        <v>None</v>
      </c>
      <c r="AF1076" s="53" t="str">
        <f>_xlfn.XLOOKUP(Master[[#This Row],[cu_id]],'[1]Customer Revenue'!$Q:$Q,'[1]Customer Revenue'!$L:$L, "None")</f>
        <v>None</v>
      </c>
      <c r="AG1076" s="53">
        <v>78.488609467455603</v>
      </c>
      <c r="AH1076" s="53">
        <v>82.546005917159761</v>
      </c>
      <c r="AI1076" s="53">
        <v>82.261538461538464</v>
      </c>
      <c r="AJ1076" s="53">
        <v>86.923846153846171</v>
      </c>
      <c r="AK1076" s="53" t="str">
        <f>_xlfn.XLOOKUP(Master[[#This Row],[cu_id]],'[1]Customer Revenue'!$Q:$Q,'[1]Customer Revenue'!$I:$I, "None")</f>
        <v>None</v>
      </c>
      <c r="AL1076" s="53">
        <v>80.517307692307682</v>
      </c>
      <c r="AM1076" s="61">
        <v>0.29166666666666669</v>
      </c>
      <c r="AN1076" s="60">
        <v>0.70833333333333337</v>
      </c>
      <c r="AO1076" s="60" t="s">
        <v>36</v>
      </c>
      <c r="AP1076" s="60" t="s">
        <v>36</v>
      </c>
      <c r="AQ1076" s="58" t="s">
        <v>0</v>
      </c>
      <c r="AR1076" s="58"/>
      <c r="AS1076" s="58"/>
      <c r="AT1076" s="52">
        <v>0</v>
      </c>
      <c r="AU1076" s="52" t="e">
        <f>IF(Master[[#This Row],[RSP StopTime override]] &lt;&gt; "",Master[[#This Row],[RSP StopTime override]],IF(Master[[#This Row],[Avg stop time helper]] &lt;&gt; 0, Master[[#This Row],[Avg stop time helper]],Average_Stop_Time))</f>
        <v>#DIV/0!</v>
      </c>
      <c r="AV1076" s="21"/>
      <c r="AW1076" s="20">
        <f>Master[[#This Row],[RSP StopTime override]]-Master[[#This Row],[Avg stop time helper]]</f>
        <v>0</v>
      </c>
    </row>
    <row r="1077" spans="1:49" x14ac:dyDescent="0.3">
      <c r="A1077" s="66" t="s">
        <v>3995</v>
      </c>
      <c r="B1077" s="58">
        <v>56</v>
      </c>
      <c r="C1077" s="58" t="s">
        <v>10</v>
      </c>
      <c r="D1077" s="65">
        <v>99062</v>
      </c>
      <c r="E1077" s="65" t="s">
        <v>1360</v>
      </c>
      <c r="F1077" s="65" t="s">
        <v>3734</v>
      </c>
      <c r="G1077" s="65" t="s">
        <v>1327</v>
      </c>
      <c r="H1077" s="65" t="s">
        <v>32</v>
      </c>
      <c r="I1077" s="65" t="s">
        <v>6</v>
      </c>
      <c r="J1077" s="65" t="s">
        <v>5</v>
      </c>
      <c r="K1077" s="65" t="s">
        <v>4</v>
      </c>
      <c r="L1077" s="64" t="s">
        <v>67</v>
      </c>
      <c r="M1077" s="58" t="s">
        <v>3</v>
      </c>
      <c r="N1077" s="58" t="s">
        <v>2</v>
      </c>
      <c r="O1077" s="58">
        <v>110</v>
      </c>
      <c r="P1077" s="58">
        <v>0</v>
      </c>
      <c r="Q1077" s="58">
        <v>0</v>
      </c>
      <c r="R1077" s="58">
        <v>110</v>
      </c>
      <c r="S1077" s="58">
        <v>0</v>
      </c>
      <c r="T1077" s="58">
        <v>0</v>
      </c>
      <c r="U1077" s="58">
        <v>52</v>
      </c>
      <c r="V1077" s="62">
        <v>107</v>
      </c>
      <c r="W1077" s="62">
        <v>7</v>
      </c>
      <c r="X1077" s="63">
        <f>IFERROR(1 -(Master[[#This Row],[Avg Garment Scans per Delivery]]/Master[[#This Row],[Garment Inventory]]), 0)</f>
        <v>0.93457943925233644</v>
      </c>
      <c r="Y1077" s="62">
        <v>5</v>
      </c>
      <c r="Z1077" s="62">
        <v>107</v>
      </c>
      <c r="AA1077" s="53">
        <v>51.559999999999988</v>
      </c>
      <c r="AB1077" s="53">
        <v>51.56</v>
      </c>
      <c r="AC1077" s="53">
        <v>41.885680473372787</v>
      </c>
      <c r="AD1077" s="53">
        <v>49.686627218934916</v>
      </c>
      <c r="AE1077" s="53" t="str">
        <f>_xlfn.XLOOKUP(Master[[#This Row],[cu_id]],'[1]Customer Revenue'!$Q:$Q,'[1]Customer Revenue'!$K:$K, "None")</f>
        <v>None</v>
      </c>
      <c r="AF1077" s="53" t="str">
        <f>_xlfn.XLOOKUP(Master[[#This Row],[cu_id]],'[1]Customer Revenue'!$Q:$Q,'[1]Customer Revenue'!$L:$L, "None")</f>
        <v>None</v>
      </c>
      <c r="AG1077" s="53">
        <v>49.912662721893454</v>
      </c>
      <c r="AH1077" s="53">
        <v>51.730414201183407</v>
      </c>
      <c r="AI1077" s="53">
        <v>51.559999999999995</v>
      </c>
      <c r="AJ1077" s="53">
        <v>45.786153846153852</v>
      </c>
      <c r="AK1077" s="53" t="str">
        <f>_xlfn.XLOOKUP(Master[[#This Row],[cu_id]],'[1]Customer Revenue'!$Q:$Q,'[1]Customer Revenue'!$I:$I, "None")</f>
        <v>None</v>
      </c>
      <c r="AL1077" s="53">
        <v>50.821538461538431</v>
      </c>
      <c r="AM1077" s="61">
        <v>0.29166666666666669</v>
      </c>
      <c r="AN1077" s="60">
        <v>0.70833333333333337</v>
      </c>
      <c r="AO1077" s="60" t="s">
        <v>36</v>
      </c>
      <c r="AP1077" s="60" t="s">
        <v>36</v>
      </c>
      <c r="AQ1077" s="58" t="s">
        <v>0</v>
      </c>
      <c r="AR1077" s="58"/>
      <c r="AS1077" s="58"/>
      <c r="AT1077" s="52">
        <v>0</v>
      </c>
      <c r="AU1077" s="52" t="e">
        <f>IF(Master[[#This Row],[RSP StopTime override]] &lt;&gt; "",Master[[#This Row],[RSP StopTime override]],IF(Master[[#This Row],[Avg stop time helper]] &lt;&gt; 0, Master[[#This Row],[Avg stop time helper]],Average_Stop_Time))</f>
        <v>#DIV/0!</v>
      </c>
      <c r="AV1077" s="21"/>
      <c r="AW1077" s="20">
        <f>Master[[#This Row],[RSP StopTime override]]-Master[[#This Row],[Avg stop time helper]]</f>
        <v>0</v>
      </c>
    </row>
    <row r="1078" spans="1:49" x14ac:dyDescent="0.3">
      <c r="A1078" s="66" t="s">
        <v>3997</v>
      </c>
      <c r="B1078" s="58">
        <v>56</v>
      </c>
      <c r="C1078" s="58" t="s">
        <v>10</v>
      </c>
      <c r="D1078" s="65">
        <v>99062</v>
      </c>
      <c r="E1078" s="65" t="s">
        <v>1359</v>
      </c>
      <c r="F1078" s="65" t="s">
        <v>3735</v>
      </c>
      <c r="G1078" s="65" t="s">
        <v>1327</v>
      </c>
      <c r="H1078" s="65" t="s">
        <v>32</v>
      </c>
      <c r="I1078" s="65" t="s">
        <v>6</v>
      </c>
      <c r="J1078" s="65" t="s">
        <v>5</v>
      </c>
      <c r="K1078" s="65" t="s">
        <v>4</v>
      </c>
      <c r="L1078" s="64" t="s">
        <v>67</v>
      </c>
      <c r="M1078" s="58" t="s">
        <v>3</v>
      </c>
      <c r="N1078" s="58" t="s">
        <v>2</v>
      </c>
      <c r="O1078" s="58">
        <v>110</v>
      </c>
      <c r="P1078" s="58">
        <v>0</v>
      </c>
      <c r="Q1078" s="58">
        <v>0</v>
      </c>
      <c r="R1078" s="58">
        <v>110</v>
      </c>
      <c r="S1078" s="58">
        <v>0</v>
      </c>
      <c r="T1078" s="58">
        <v>0</v>
      </c>
      <c r="U1078" s="58">
        <v>52</v>
      </c>
      <c r="V1078" s="62"/>
      <c r="W1078" s="62"/>
      <c r="X1078" s="63">
        <f>IFERROR(1 -(Master[[#This Row],[Avg Garment Scans per Delivery]]/Master[[#This Row],[Garment Inventory]]), 0)</f>
        <v>0</v>
      </c>
      <c r="Y1078" s="62"/>
      <c r="Z1078" s="62"/>
      <c r="AA1078" s="53">
        <v>9.6999999999999993</v>
      </c>
      <c r="AB1078" s="53">
        <v>9.7000000000000028</v>
      </c>
      <c r="AC1078" s="53">
        <v>9.6999999999999993</v>
      </c>
      <c r="AD1078" s="53">
        <v>9.7000000000000028</v>
      </c>
      <c r="AE1078" s="53" t="str">
        <f>_xlfn.XLOOKUP(Master[[#This Row],[cu_id]],'[1]Customer Revenue'!$Q:$Q,'[1]Customer Revenue'!$K:$K, "None")</f>
        <v>None</v>
      </c>
      <c r="AF1078" s="53" t="str">
        <f>_xlfn.XLOOKUP(Master[[#This Row],[cu_id]],'[1]Customer Revenue'!$Q:$Q,'[1]Customer Revenue'!$L:$L, "None")</f>
        <v>None</v>
      </c>
      <c r="AG1078" s="53">
        <v>9.2710059171597567</v>
      </c>
      <c r="AH1078" s="53">
        <v>9.7443786982248479</v>
      </c>
      <c r="AI1078" s="53">
        <v>9.7000000000000011</v>
      </c>
      <c r="AJ1078" s="53">
        <v>9.7000000000000011</v>
      </c>
      <c r="AK1078" s="53" t="str">
        <f>_xlfn.XLOOKUP(Master[[#This Row],[cu_id]],'[1]Customer Revenue'!$Q:$Q,'[1]Customer Revenue'!$I:$I, "None")</f>
        <v>None</v>
      </c>
      <c r="AL1078" s="53">
        <v>9.5076923076923023</v>
      </c>
      <c r="AM1078" s="61">
        <v>0.29166666666666669</v>
      </c>
      <c r="AN1078" s="60">
        <v>0.70833333333333337</v>
      </c>
      <c r="AO1078" s="60" t="s">
        <v>36</v>
      </c>
      <c r="AP1078" s="60" t="s">
        <v>36</v>
      </c>
      <c r="AQ1078" s="58" t="s">
        <v>0</v>
      </c>
      <c r="AR1078" s="58"/>
      <c r="AS1078" s="58"/>
      <c r="AT1078" s="52">
        <v>0</v>
      </c>
      <c r="AU1078" s="52" t="e">
        <f>IF(Master[[#This Row],[RSP StopTime override]] &lt;&gt; "",Master[[#This Row],[RSP StopTime override]],IF(Master[[#This Row],[Avg stop time helper]] &lt;&gt; 0, Master[[#This Row],[Avg stop time helper]],Average_Stop_Time))</f>
        <v>#DIV/0!</v>
      </c>
      <c r="AV1078" s="21"/>
      <c r="AW1078" s="20">
        <f>Master[[#This Row],[RSP StopTime override]]-Master[[#This Row],[Avg stop time helper]]</f>
        <v>0</v>
      </c>
    </row>
    <row r="1079" spans="1:49" x14ac:dyDescent="0.3">
      <c r="A1079" s="66" t="s">
        <v>3999</v>
      </c>
      <c r="B1079" s="58">
        <v>56</v>
      </c>
      <c r="C1079" s="58" t="s">
        <v>10</v>
      </c>
      <c r="D1079" s="65">
        <v>99062</v>
      </c>
      <c r="E1079" s="65" t="s">
        <v>1358</v>
      </c>
      <c r="F1079" s="65" t="s">
        <v>3736</v>
      </c>
      <c r="G1079" s="65" t="s">
        <v>1327</v>
      </c>
      <c r="H1079" s="65" t="s">
        <v>32</v>
      </c>
      <c r="I1079" s="65" t="s">
        <v>6</v>
      </c>
      <c r="J1079" s="65" t="s">
        <v>5</v>
      </c>
      <c r="K1079" s="65" t="s">
        <v>4</v>
      </c>
      <c r="L1079" s="64" t="s">
        <v>67</v>
      </c>
      <c r="M1079" s="58" t="s">
        <v>3</v>
      </c>
      <c r="N1079" s="58" t="s">
        <v>2</v>
      </c>
      <c r="O1079" s="58">
        <v>110</v>
      </c>
      <c r="P1079" s="58">
        <v>0</v>
      </c>
      <c r="Q1079" s="58">
        <v>0</v>
      </c>
      <c r="R1079" s="58">
        <v>110</v>
      </c>
      <c r="S1079" s="58">
        <v>0</v>
      </c>
      <c r="T1079" s="58">
        <v>0</v>
      </c>
      <c r="U1079" s="58">
        <v>52</v>
      </c>
      <c r="V1079" s="62"/>
      <c r="W1079" s="62"/>
      <c r="X1079" s="63">
        <f>IFERROR(1 -(Master[[#This Row],[Avg Garment Scans per Delivery]]/Master[[#This Row],[Garment Inventory]]), 0)</f>
        <v>0</v>
      </c>
      <c r="Y1079" s="62"/>
      <c r="Z1079" s="62"/>
      <c r="AA1079" s="53">
        <v>37.579999999999984</v>
      </c>
      <c r="AB1079" s="53">
        <v>37.58</v>
      </c>
      <c r="AC1079" s="53">
        <v>37.579999999999984</v>
      </c>
      <c r="AD1079" s="53">
        <v>37.58</v>
      </c>
      <c r="AE1079" s="53" t="str">
        <f>_xlfn.XLOOKUP(Master[[#This Row],[cu_id]],'[1]Customer Revenue'!$Q:$Q,'[1]Customer Revenue'!$K:$K, "None")</f>
        <v>None</v>
      </c>
      <c r="AF1079" s="53" t="str">
        <f>_xlfn.XLOOKUP(Master[[#This Row],[cu_id]],'[1]Customer Revenue'!$Q:$Q,'[1]Customer Revenue'!$L:$L, "None")</f>
        <v>None</v>
      </c>
      <c r="AG1079" s="53">
        <v>35.949822485207122</v>
      </c>
      <c r="AH1079" s="53">
        <v>37.74863905325445</v>
      </c>
      <c r="AI1079" s="53">
        <v>37.579999999999991</v>
      </c>
      <c r="AJ1079" s="53">
        <v>37.579999999999991</v>
      </c>
      <c r="AK1079" s="53" t="str">
        <f>_xlfn.XLOOKUP(Master[[#This Row],[cu_id]],'[1]Customer Revenue'!$Q:$Q,'[1]Customer Revenue'!$I:$I, "None")</f>
        <v>None</v>
      </c>
      <c r="AL1079" s="53">
        <v>36.849230769230786</v>
      </c>
      <c r="AM1079" s="61">
        <v>0.29166666666666669</v>
      </c>
      <c r="AN1079" s="60">
        <v>0.70833333333333337</v>
      </c>
      <c r="AO1079" s="60" t="s">
        <v>36</v>
      </c>
      <c r="AP1079" s="60" t="s">
        <v>36</v>
      </c>
      <c r="AQ1079" s="58" t="s">
        <v>0</v>
      </c>
      <c r="AR1079" s="58"/>
      <c r="AS1079" s="58"/>
      <c r="AT1079" s="52">
        <v>0</v>
      </c>
      <c r="AU1079" s="52" t="e">
        <f>IF(Master[[#This Row],[RSP StopTime override]] &lt;&gt; "",Master[[#This Row],[RSP StopTime override]],IF(Master[[#This Row],[Avg stop time helper]] &lt;&gt; 0, Master[[#This Row],[Avg stop time helper]],Average_Stop_Time))</f>
        <v>#DIV/0!</v>
      </c>
      <c r="AV1079" s="21"/>
      <c r="AW1079" s="20">
        <f>Master[[#This Row],[RSP StopTime override]]-Master[[#This Row],[Avg stop time helper]]</f>
        <v>0</v>
      </c>
    </row>
    <row r="1080" spans="1:49" x14ac:dyDescent="0.3">
      <c r="A1080" s="66" t="s">
        <v>4001</v>
      </c>
      <c r="B1080" s="58">
        <v>56</v>
      </c>
      <c r="C1080" s="58" t="s">
        <v>10</v>
      </c>
      <c r="D1080" s="65">
        <v>99062</v>
      </c>
      <c r="E1080" s="65" t="s">
        <v>1357</v>
      </c>
      <c r="F1080" s="65" t="s">
        <v>3737</v>
      </c>
      <c r="G1080" s="65" t="s">
        <v>1327</v>
      </c>
      <c r="H1080" s="65" t="s">
        <v>32</v>
      </c>
      <c r="I1080" s="65" t="s">
        <v>6</v>
      </c>
      <c r="J1080" s="65" t="s">
        <v>5</v>
      </c>
      <c r="K1080" s="65" t="s">
        <v>4</v>
      </c>
      <c r="L1080" s="64" t="s">
        <v>67</v>
      </c>
      <c r="M1080" s="58" t="s">
        <v>3</v>
      </c>
      <c r="N1080" s="58" t="s">
        <v>2</v>
      </c>
      <c r="O1080" s="58">
        <v>110</v>
      </c>
      <c r="P1080" s="58">
        <v>0</v>
      </c>
      <c r="Q1080" s="58">
        <v>0</v>
      </c>
      <c r="R1080" s="58">
        <v>110</v>
      </c>
      <c r="S1080" s="58">
        <v>0</v>
      </c>
      <c r="T1080" s="58">
        <v>0</v>
      </c>
      <c r="U1080" s="58">
        <v>52</v>
      </c>
      <c r="V1080" s="62">
        <v>32</v>
      </c>
      <c r="W1080" s="62">
        <v>4</v>
      </c>
      <c r="X1080" s="63">
        <f>IFERROR(1 -(Master[[#This Row],[Avg Garment Scans per Delivery]]/Master[[#This Row],[Garment Inventory]]), 0)</f>
        <v>0.875</v>
      </c>
      <c r="Y1080" s="62">
        <v>2</v>
      </c>
      <c r="Z1080" s="62">
        <v>32</v>
      </c>
      <c r="AA1080" s="53">
        <v>16.042307692307691</v>
      </c>
      <c r="AB1080" s="53">
        <v>17.057692307692303</v>
      </c>
      <c r="AC1080" s="53">
        <v>18.199999999999992</v>
      </c>
      <c r="AD1080" s="53">
        <v>18.2</v>
      </c>
      <c r="AE1080" s="53" t="str">
        <f>_xlfn.XLOOKUP(Master[[#This Row],[cu_id]],'[1]Customer Revenue'!$Q:$Q,'[1]Customer Revenue'!$K:$K, "None")</f>
        <v>None</v>
      </c>
      <c r="AF1080" s="53" t="str">
        <f>_xlfn.XLOOKUP(Master[[#This Row],[cu_id]],'[1]Customer Revenue'!$Q:$Q,'[1]Customer Revenue'!$L:$L, "None")</f>
        <v>None</v>
      </c>
      <c r="AG1080" s="53">
        <v>15.598224852071006</v>
      </c>
      <c r="AH1080" s="53">
        <v>16.586390532544378</v>
      </c>
      <c r="AI1080" s="53">
        <v>16.549999999999997</v>
      </c>
      <c r="AJ1080" s="53">
        <v>18.199999999999996</v>
      </c>
      <c r="AK1080" s="53" t="str">
        <f>_xlfn.XLOOKUP(Master[[#This Row],[cu_id]],'[1]Customer Revenue'!$Q:$Q,'[1]Customer Revenue'!$I:$I, "None")</f>
        <v>None</v>
      </c>
      <c r="AL1080" s="53">
        <v>16.092307692307692</v>
      </c>
      <c r="AM1080" s="61">
        <v>0.29166666666666669</v>
      </c>
      <c r="AN1080" s="60">
        <v>0.70833333333333337</v>
      </c>
      <c r="AO1080" s="60" t="s">
        <v>36</v>
      </c>
      <c r="AP1080" s="60" t="s">
        <v>36</v>
      </c>
      <c r="AQ1080" s="58" t="s">
        <v>0</v>
      </c>
      <c r="AR1080" s="58"/>
      <c r="AS1080" s="58"/>
      <c r="AT1080" s="52">
        <v>0</v>
      </c>
      <c r="AU1080" s="52" t="e">
        <f>IF(Master[[#This Row],[RSP StopTime override]] &lt;&gt; "",Master[[#This Row],[RSP StopTime override]],IF(Master[[#This Row],[Avg stop time helper]] &lt;&gt; 0, Master[[#This Row],[Avg stop time helper]],Average_Stop_Time))</f>
        <v>#DIV/0!</v>
      </c>
      <c r="AV1080" s="21"/>
      <c r="AW1080" s="20">
        <f>Master[[#This Row],[RSP StopTime override]]-Master[[#This Row],[Avg stop time helper]]</f>
        <v>0</v>
      </c>
    </row>
    <row r="1081" spans="1:49" x14ac:dyDescent="0.3">
      <c r="A1081" s="66" t="s">
        <v>5093</v>
      </c>
      <c r="B1081" s="58">
        <v>56</v>
      </c>
      <c r="C1081" s="58" t="s">
        <v>10</v>
      </c>
      <c r="D1081" s="65">
        <v>99077</v>
      </c>
      <c r="E1081" s="65" t="s">
        <v>42</v>
      </c>
      <c r="F1081" s="65" t="s">
        <v>1356</v>
      </c>
      <c r="G1081" s="65" t="s">
        <v>1355</v>
      </c>
      <c r="H1081" s="65" t="s">
        <v>7</v>
      </c>
      <c r="I1081" s="65" t="s">
        <v>1346</v>
      </c>
      <c r="J1081" s="65" t="s">
        <v>5</v>
      </c>
      <c r="K1081" s="65" t="s">
        <v>1315</v>
      </c>
      <c r="L1081" s="64" t="s">
        <v>67</v>
      </c>
      <c r="M1081" s="58" t="s">
        <v>3</v>
      </c>
      <c r="N1081" s="58" t="s">
        <v>2</v>
      </c>
      <c r="O1081" s="58">
        <v>25</v>
      </c>
      <c r="P1081" s="58">
        <v>0</v>
      </c>
      <c r="Q1081" s="58">
        <v>0</v>
      </c>
      <c r="R1081" s="58">
        <v>25</v>
      </c>
      <c r="S1081" s="58">
        <v>0</v>
      </c>
      <c r="T1081" s="58">
        <v>0</v>
      </c>
      <c r="U1081" s="58">
        <v>58</v>
      </c>
      <c r="V1081" s="62">
        <v>7</v>
      </c>
      <c r="W1081" s="62">
        <v>23</v>
      </c>
      <c r="X1081" s="63">
        <f>IFERROR(1 -(Master[[#This Row],[Avg Garment Scans per Delivery]]/Master[[#This Row],[Garment Inventory]]), 0)</f>
        <v>-2.2857142857142856</v>
      </c>
      <c r="Y1081" s="62">
        <v>1</v>
      </c>
      <c r="Z1081" s="62">
        <v>7</v>
      </c>
      <c r="AA1081" s="53">
        <v>192.88627218934914</v>
      </c>
      <c r="AB1081" s="53">
        <v>321.82757396449711</v>
      </c>
      <c r="AC1081" s="53">
        <v>50.281715976331341</v>
      </c>
      <c r="AD1081" s="53">
        <v>150.03674556213014</v>
      </c>
      <c r="AE1081" s="53" t="str">
        <f>_xlfn.XLOOKUP(Master[[#This Row],[cu_id]],'[1]Customer Revenue'!$Q:$Q,'[1]Customer Revenue'!$K:$K, "None")</f>
        <v>None</v>
      </c>
      <c r="AF1081" s="53" t="str">
        <f>_xlfn.XLOOKUP(Master[[#This Row],[cu_id]],'[1]Customer Revenue'!$Q:$Q,'[1]Customer Revenue'!$L:$L, "None")</f>
        <v>None</v>
      </c>
      <c r="AG1081" s="53">
        <v>183.75840236686395</v>
      </c>
      <c r="AH1081" s="53">
        <v>297.34467455621314</v>
      </c>
      <c r="AI1081" s="53">
        <v>257.35692307692312</v>
      </c>
      <c r="AJ1081" s="53">
        <v>100.15923076923075</v>
      </c>
      <c r="AK1081" s="53" t="str">
        <f>_xlfn.XLOOKUP(Master[[#This Row],[cu_id]],'[1]Customer Revenue'!$Q:$Q,'[1]Customer Revenue'!$I:$I, "None")</f>
        <v>None</v>
      </c>
      <c r="AL1081" s="53">
        <v>240.55153846153854</v>
      </c>
      <c r="AM1081" s="61">
        <v>0.33333333333333331</v>
      </c>
      <c r="AN1081" s="60">
        <v>0.70833333333333337</v>
      </c>
      <c r="AO1081" s="60" t="s">
        <v>36</v>
      </c>
      <c r="AP1081" s="60" t="s">
        <v>36</v>
      </c>
      <c r="AQ1081" s="58" t="s">
        <v>0</v>
      </c>
      <c r="AR1081" s="58"/>
      <c r="AS1081" s="58"/>
      <c r="AT1081" s="52">
        <v>0</v>
      </c>
      <c r="AU1081" s="52" t="e">
        <f>IF(Master[[#This Row],[RSP StopTime override]] &lt;&gt; "",Master[[#This Row],[RSP StopTime override]],IF(Master[[#This Row],[Avg stop time helper]] &lt;&gt; 0, Master[[#This Row],[Avg stop time helper]],Average_Stop_Time))</f>
        <v>#DIV/0!</v>
      </c>
      <c r="AV1081" s="21"/>
      <c r="AW1081" s="20">
        <f>Master[[#This Row],[RSP StopTime override]]-Master[[#This Row],[Avg stop time helper]]</f>
        <v>0</v>
      </c>
    </row>
    <row r="1082" spans="1:49" x14ac:dyDescent="0.3">
      <c r="A1082" s="66" t="s">
        <v>5094</v>
      </c>
      <c r="B1082" s="58">
        <v>56</v>
      </c>
      <c r="C1082" s="58" t="s">
        <v>10</v>
      </c>
      <c r="D1082" s="65">
        <v>99117</v>
      </c>
      <c r="E1082" s="65" t="s">
        <v>1354</v>
      </c>
      <c r="F1082" s="65" t="s">
        <v>3738</v>
      </c>
      <c r="G1082" s="65" t="s">
        <v>1353</v>
      </c>
      <c r="H1082" s="65" t="s">
        <v>1352</v>
      </c>
      <c r="I1082" s="65" t="s">
        <v>1351</v>
      </c>
      <c r="J1082" s="65" t="s">
        <v>5</v>
      </c>
      <c r="K1082" s="65" t="s">
        <v>1302</v>
      </c>
      <c r="L1082" s="64" t="s">
        <v>67</v>
      </c>
      <c r="M1082" s="58" t="s">
        <v>3</v>
      </c>
      <c r="N1082" s="58" t="s">
        <v>2</v>
      </c>
      <c r="O1082" s="58">
        <v>30</v>
      </c>
      <c r="P1082" s="58">
        <v>0</v>
      </c>
      <c r="Q1082" s="58">
        <v>0</v>
      </c>
      <c r="R1082" s="58">
        <v>30</v>
      </c>
      <c r="S1082" s="58">
        <v>0</v>
      </c>
      <c r="T1082" s="58">
        <v>0</v>
      </c>
      <c r="U1082" s="58">
        <v>52</v>
      </c>
      <c r="V1082" s="62"/>
      <c r="W1082" s="62"/>
      <c r="X1082" s="63">
        <f>IFERROR(1 -(Master[[#This Row],[Avg Garment Scans per Delivery]]/Master[[#This Row],[Garment Inventory]]), 0)</f>
        <v>0</v>
      </c>
      <c r="Y1082" s="62"/>
      <c r="Z1082" s="62"/>
      <c r="AA1082" s="53">
        <v>109.29360946745562</v>
      </c>
      <c r="AB1082" s="53">
        <v>110.35869822485206</v>
      </c>
      <c r="AC1082" s="53">
        <v>107.9532544378698</v>
      </c>
      <c r="AD1082" s="53">
        <v>110.58520710059169</v>
      </c>
      <c r="AE1082" s="53" t="str">
        <f>_xlfn.XLOOKUP(Master[[#This Row],[cu_id]],'[1]Customer Revenue'!$Q:$Q,'[1]Customer Revenue'!$K:$K, "None")</f>
        <v>None</v>
      </c>
      <c r="AF1082" s="53" t="str">
        <f>_xlfn.XLOOKUP(Master[[#This Row],[cu_id]],'[1]Customer Revenue'!$Q:$Q,'[1]Customer Revenue'!$L:$L, "None")</f>
        <v>None</v>
      </c>
      <c r="AG1082" s="53">
        <v>105.36869822485208</v>
      </c>
      <c r="AH1082" s="53">
        <v>110.71207100591717</v>
      </c>
      <c r="AI1082" s="53">
        <v>109.82615384615384</v>
      </c>
      <c r="AJ1082" s="53">
        <v>109.26923076923075</v>
      </c>
      <c r="AK1082" s="53" t="str">
        <f>_xlfn.XLOOKUP(Master[[#This Row],[cu_id]],'[1]Customer Revenue'!$Q:$Q,'[1]Customer Revenue'!$I:$I, "None")</f>
        <v>None</v>
      </c>
      <c r="AL1082" s="53">
        <v>108.04038461538462</v>
      </c>
      <c r="AM1082" s="61" t="s">
        <v>36</v>
      </c>
      <c r="AN1082" s="60" t="s">
        <v>36</v>
      </c>
      <c r="AO1082" s="60" t="s">
        <v>36</v>
      </c>
      <c r="AP1082" s="60" t="s">
        <v>36</v>
      </c>
      <c r="AQ1082" s="58" t="s">
        <v>0</v>
      </c>
      <c r="AR1082" s="58"/>
      <c r="AS1082" s="58"/>
      <c r="AT1082" s="52">
        <v>0</v>
      </c>
      <c r="AU1082" s="52" t="e">
        <f>IF(Master[[#This Row],[RSP StopTime override]] &lt;&gt; "",Master[[#This Row],[RSP StopTime override]],IF(Master[[#This Row],[Avg stop time helper]] &lt;&gt; 0, Master[[#This Row],[Avg stop time helper]],Average_Stop_Time))</f>
        <v>#DIV/0!</v>
      </c>
      <c r="AV1082" s="21"/>
      <c r="AW1082" s="20">
        <f>Master[[#This Row],[RSP StopTime override]]-Master[[#This Row],[Avg stop time helper]]</f>
        <v>0</v>
      </c>
    </row>
    <row r="1083" spans="1:49" x14ac:dyDescent="0.3">
      <c r="A1083" s="66" t="s">
        <v>5095</v>
      </c>
      <c r="B1083" s="58">
        <v>56</v>
      </c>
      <c r="C1083" s="58" t="s">
        <v>10</v>
      </c>
      <c r="D1083" s="65">
        <v>99117</v>
      </c>
      <c r="E1083" s="65" t="s">
        <v>1350</v>
      </c>
      <c r="F1083" s="65" t="s">
        <v>3739</v>
      </c>
      <c r="G1083" s="65" t="s">
        <v>1349</v>
      </c>
      <c r="H1083" s="65" t="s">
        <v>7</v>
      </c>
      <c r="I1083" s="65" t="s">
        <v>1289</v>
      </c>
      <c r="J1083" s="65" t="s">
        <v>5</v>
      </c>
      <c r="K1083" s="65" t="s">
        <v>1292</v>
      </c>
      <c r="L1083" s="64" t="s">
        <v>67</v>
      </c>
      <c r="M1083" s="58" t="s">
        <v>3</v>
      </c>
      <c r="N1083" s="58" t="s">
        <v>2</v>
      </c>
      <c r="O1083" s="58">
        <v>40</v>
      </c>
      <c r="P1083" s="58">
        <v>0</v>
      </c>
      <c r="Q1083" s="58">
        <v>0</v>
      </c>
      <c r="R1083" s="58">
        <v>40</v>
      </c>
      <c r="S1083" s="58">
        <v>0</v>
      </c>
      <c r="T1083" s="58">
        <v>0</v>
      </c>
      <c r="U1083" s="58">
        <v>52</v>
      </c>
      <c r="V1083" s="62"/>
      <c r="W1083" s="62"/>
      <c r="X1083" s="63">
        <f>IFERROR(1 -(Master[[#This Row],[Avg Garment Scans per Delivery]]/Master[[#This Row],[Garment Inventory]]), 0)</f>
        <v>0</v>
      </c>
      <c r="Y1083" s="62"/>
      <c r="Z1083" s="62"/>
      <c r="AA1083" s="53">
        <v>44.679945054945044</v>
      </c>
      <c r="AB1083" s="53">
        <v>60.518516483516485</v>
      </c>
      <c r="AC1083" s="53">
        <v>53.931893491124256</v>
      </c>
      <c r="AD1083" s="53">
        <v>54.765029585798814</v>
      </c>
      <c r="AE1083" s="53" t="str">
        <f>_xlfn.XLOOKUP(Master[[#This Row],[cu_id]],'[1]Customer Revenue'!$Q:$Q,'[1]Customer Revenue'!$K:$K, "None")</f>
        <v>None</v>
      </c>
      <c r="AF1083" s="53" t="str">
        <f>_xlfn.XLOOKUP(Master[[#This Row],[cu_id]],'[1]Customer Revenue'!$Q:$Q,'[1]Customer Revenue'!$L:$L, "None")</f>
        <v>None</v>
      </c>
      <c r="AG1083" s="53">
        <v>47.673994935106045</v>
      </c>
      <c r="AH1083" s="53">
        <v>56.490620449509329</v>
      </c>
      <c r="AI1083" s="53">
        <v>52.599230769230765</v>
      </c>
      <c r="AJ1083" s="53">
        <v>54.348461538461535</v>
      </c>
      <c r="AK1083" s="53" t="str">
        <f>_xlfn.XLOOKUP(Master[[#This Row],[cu_id]],'[1]Customer Revenue'!$Q:$Q,'[1]Customer Revenue'!$I:$I, "None")</f>
        <v>None</v>
      </c>
      <c r="AL1083" s="53">
        <v>52.082307692307687</v>
      </c>
      <c r="AM1083" s="61" t="s">
        <v>36</v>
      </c>
      <c r="AN1083" s="60" t="s">
        <v>36</v>
      </c>
      <c r="AO1083" s="60" t="s">
        <v>36</v>
      </c>
      <c r="AP1083" s="60" t="s">
        <v>36</v>
      </c>
      <c r="AQ1083" s="58" t="s">
        <v>0</v>
      </c>
      <c r="AR1083" s="58"/>
      <c r="AS1083" s="58"/>
      <c r="AT1083" s="52">
        <v>0</v>
      </c>
      <c r="AU1083" s="52" t="e">
        <f>IF(Master[[#This Row],[RSP StopTime override]] &lt;&gt; "",Master[[#This Row],[RSP StopTime override]],IF(Master[[#This Row],[Avg stop time helper]] &lt;&gt; 0, Master[[#This Row],[Avg stop time helper]],Average_Stop_Time))</f>
        <v>#DIV/0!</v>
      </c>
      <c r="AV1083" s="21"/>
      <c r="AW1083" s="20">
        <f>Master[[#This Row],[RSP StopTime override]]-Master[[#This Row],[Avg stop time helper]]</f>
        <v>0</v>
      </c>
    </row>
    <row r="1084" spans="1:49" x14ac:dyDescent="0.3">
      <c r="A1084" s="66" t="s">
        <v>5096</v>
      </c>
      <c r="B1084" s="58">
        <v>56</v>
      </c>
      <c r="C1084" s="58" t="s">
        <v>10</v>
      </c>
      <c r="D1084" s="65">
        <v>99117</v>
      </c>
      <c r="E1084" s="65" t="s">
        <v>1348</v>
      </c>
      <c r="F1084" s="65" t="s">
        <v>3740</v>
      </c>
      <c r="G1084" s="65" t="s">
        <v>1347</v>
      </c>
      <c r="H1084" s="65" t="s">
        <v>7</v>
      </c>
      <c r="I1084" s="65" t="s">
        <v>1346</v>
      </c>
      <c r="J1084" s="65" t="s">
        <v>5</v>
      </c>
      <c r="K1084" s="65" t="s">
        <v>1315</v>
      </c>
      <c r="L1084" s="64" t="s">
        <v>67</v>
      </c>
      <c r="M1084" s="58" t="s">
        <v>3</v>
      </c>
      <c r="N1084" s="58" t="s">
        <v>2</v>
      </c>
      <c r="O1084" s="58">
        <v>15</v>
      </c>
      <c r="P1084" s="58">
        <v>0</v>
      </c>
      <c r="Q1084" s="58">
        <v>0</v>
      </c>
      <c r="R1084" s="58">
        <v>15</v>
      </c>
      <c r="S1084" s="58">
        <v>0</v>
      </c>
      <c r="T1084" s="58">
        <v>0</v>
      </c>
      <c r="U1084" s="58">
        <v>52</v>
      </c>
      <c r="V1084" s="62"/>
      <c r="W1084" s="62"/>
      <c r="X1084" s="63">
        <f>IFERROR(1 -(Master[[#This Row],[Avg Garment Scans per Delivery]]/Master[[#This Row],[Garment Inventory]]), 0)</f>
        <v>0</v>
      </c>
      <c r="Y1084" s="62"/>
      <c r="Z1084" s="62"/>
      <c r="AA1084" s="53">
        <v>61.834023668639048</v>
      </c>
      <c r="AB1084" s="53">
        <v>63.05674556213016</v>
      </c>
      <c r="AC1084" s="53">
        <v>53.224970414201188</v>
      </c>
      <c r="AD1084" s="53">
        <v>58.187337278106533</v>
      </c>
      <c r="AE1084" s="53" t="str">
        <f>_xlfn.XLOOKUP(Master[[#This Row],[cu_id]],'[1]Customer Revenue'!$Q:$Q,'[1]Customer Revenue'!$K:$K, "None")</f>
        <v>None</v>
      </c>
      <c r="AF1084" s="53" t="str">
        <f>_xlfn.XLOOKUP(Master[[#This Row],[cu_id]],'[1]Customer Revenue'!$Q:$Q,'[1]Customer Revenue'!$L:$L, "None")</f>
        <v>None</v>
      </c>
      <c r="AG1084" s="53">
        <v>54.403786982248498</v>
      </c>
      <c r="AH1084" s="53">
        <v>63.470828402366855</v>
      </c>
      <c r="AI1084" s="53">
        <v>62.445384615384604</v>
      </c>
      <c r="AJ1084" s="53">
        <v>55.70615384615386</v>
      </c>
      <c r="AK1084" s="53" t="str">
        <f>_xlfn.XLOOKUP(Master[[#This Row],[cu_id]],'[1]Customer Revenue'!$Q:$Q,'[1]Customer Revenue'!$I:$I, "None")</f>
        <v>None</v>
      </c>
      <c r="AL1084" s="53">
        <v>58.937307692307677</v>
      </c>
      <c r="AM1084" s="61" t="s">
        <v>36</v>
      </c>
      <c r="AN1084" s="60" t="s">
        <v>36</v>
      </c>
      <c r="AO1084" s="60" t="s">
        <v>36</v>
      </c>
      <c r="AP1084" s="60" t="s">
        <v>36</v>
      </c>
      <c r="AQ1084" s="58" t="s">
        <v>0</v>
      </c>
      <c r="AR1084" s="58"/>
      <c r="AS1084" s="58"/>
      <c r="AT1084" s="52">
        <v>0</v>
      </c>
      <c r="AU1084" s="52" t="e">
        <f>IF(Master[[#This Row],[RSP StopTime override]] &lt;&gt; "",Master[[#This Row],[RSP StopTime override]],IF(Master[[#This Row],[Avg stop time helper]] &lt;&gt; 0, Master[[#This Row],[Avg stop time helper]],Average_Stop_Time))</f>
        <v>#DIV/0!</v>
      </c>
      <c r="AV1084" s="21"/>
      <c r="AW1084" s="20">
        <f>Master[[#This Row],[RSP StopTime override]]-Master[[#This Row],[Avg stop time helper]]</f>
        <v>0</v>
      </c>
    </row>
    <row r="1085" spans="1:49" x14ac:dyDescent="0.3">
      <c r="A1085" s="66" t="s">
        <v>5097</v>
      </c>
      <c r="B1085" s="58">
        <v>56</v>
      </c>
      <c r="C1085" s="58" t="s">
        <v>10</v>
      </c>
      <c r="D1085" s="65">
        <v>99117</v>
      </c>
      <c r="E1085" s="65" t="s">
        <v>1345</v>
      </c>
      <c r="F1085" s="65" t="s">
        <v>3741</v>
      </c>
      <c r="G1085" s="65" t="s">
        <v>1344</v>
      </c>
      <c r="H1085" s="65" t="s">
        <v>7</v>
      </c>
      <c r="I1085" s="65" t="s">
        <v>6</v>
      </c>
      <c r="J1085" s="65" t="s">
        <v>5</v>
      </c>
      <c r="K1085" s="65" t="s">
        <v>146</v>
      </c>
      <c r="L1085" s="64" t="s">
        <v>67</v>
      </c>
      <c r="M1085" s="58" t="s">
        <v>3</v>
      </c>
      <c r="N1085" s="58" t="s">
        <v>2</v>
      </c>
      <c r="O1085" s="58">
        <v>105</v>
      </c>
      <c r="P1085" s="58">
        <v>0</v>
      </c>
      <c r="Q1085" s="58">
        <v>0</v>
      </c>
      <c r="R1085" s="58">
        <v>105</v>
      </c>
      <c r="S1085" s="58">
        <v>0</v>
      </c>
      <c r="T1085" s="58">
        <v>0</v>
      </c>
      <c r="U1085" s="58">
        <v>52</v>
      </c>
      <c r="V1085" s="62"/>
      <c r="W1085" s="62"/>
      <c r="X1085" s="63">
        <f>IFERROR(1 -(Master[[#This Row],[Avg Garment Scans per Delivery]]/Master[[#This Row],[Garment Inventory]]), 0)</f>
        <v>0</v>
      </c>
      <c r="Y1085" s="62"/>
      <c r="Z1085" s="62"/>
      <c r="AA1085" s="53">
        <v>93.614792899408329</v>
      </c>
      <c r="AB1085" s="53">
        <v>110.01905325443788</v>
      </c>
      <c r="AC1085" s="53">
        <v>75.081893491124234</v>
      </c>
      <c r="AD1085" s="53">
        <v>75.915029585798791</v>
      </c>
      <c r="AE1085" s="53" t="str">
        <f>_xlfn.XLOOKUP(Master[[#This Row],[cu_id]],'[1]Customer Revenue'!$Q:$Q,'[1]Customer Revenue'!$K:$K, "None")</f>
        <v>None</v>
      </c>
      <c r="AF1085" s="53" t="str">
        <f>_xlfn.XLOOKUP(Master[[#This Row],[cu_id]],'[1]Customer Revenue'!$Q:$Q,'[1]Customer Revenue'!$L:$L, "None")</f>
        <v>None</v>
      </c>
      <c r="AG1085" s="53">
        <v>81.122603550295821</v>
      </c>
      <c r="AH1085" s="53">
        <v>110.85893491124259</v>
      </c>
      <c r="AI1085" s="53">
        <v>101.8169230769231</v>
      </c>
      <c r="AJ1085" s="53">
        <v>75.498461538461513</v>
      </c>
      <c r="AK1085" s="53" t="str">
        <f>_xlfn.XLOOKUP(Master[[#This Row],[cu_id]],'[1]Customer Revenue'!$Q:$Q,'[1]Customer Revenue'!$I:$I, "None")</f>
        <v>None</v>
      </c>
      <c r="AL1085" s="53">
        <v>95.990769230769203</v>
      </c>
      <c r="AM1085" s="61" t="s">
        <v>36</v>
      </c>
      <c r="AN1085" s="60" t="s">
        <v>36</v>
      </c>
      <c r="AO1085" s="60" t="s">
        <v>36</v>
      </c>
      <c r="AP1085" s="60" t="s">
        <v>36</v>
      </c>
      <c r="AQ1085" s="58" t="s">
        <v>0</v>
      </c>
      <c r="AR1085" s="58"/>
      <c r="AS1085" s="58"/>
      <c r="AT1085" s="52">
        <v>0</v>
      </c>
      <c r="AU1085" s="52" t="e">
        <f>IF(Master[[#This Row],[RSP StopTime override]] &lt;&gt; "",Master[[#This Row],[RSP StopTime override]],IF(Master[[#This Row],[Avg stop time helper]] &lt;&gt; 0, Master[[#This Row],[Avg stop time helper]],Average_Stop_Time))</f>
        <v>#DIV/0!</v>
      </c>
      <c r="AV1085" s="21"/>
      <c r="AW1085" s="20">
        <f>Master[[#This Row],[RSP StopTime override]]-Master[[#This Row],[Avg stop time helper]]</f>
        <v>0</v>
      </c>
    </row>
    <row r="1086" spans="1:49" x14ac:dyDescent="0.3">
      <c r="A1086" s="66" t="s">
        <v>5098</v>
      </c>
      <c r="B1086" s="58">
        <v>56</v>
      </c>
      <c r="C1086" s="58" t="s">
        <v>10</v>
      </c>
      <c r="D1086" s="65">
        <v>99117</v>
      </c>
      <c r="E1086" s="65" t="s">
        <v>1343</v>
      </c>
      <c r="F1086" s="65" t="s">
        <v>3742</v>
      </c>
      <c r="G1086" s="65" t="s">
        <v>1342</v>
      </c>
      <c r="H1086" s="65" t="s">
        <v>7</v>
      </c>
      <c r="I1086" s="65" t="s">
        <v>814</v>
      </c>
      <c r="J1086" s="65" t="s">
        <v>5</v>
      </c>
      <c r="K1086" s="65" t="s">
        <v>813</v>
      </c>
      <c r="L1086" s="64" t="s">
        <v>91</v>
      </c>
      <c r="M1086" s="58" t="s">
        <v>90</v>
      </c>
      <c r="N1086" s="58" t="s">
        <v>2</v>
      </c>
      <c r="O1086" s="58">
        <v>53</v>
      </c>
      <c r="P1086" s="58">
        <v>0</v>
      </c>
      <c r="Q1086" s="58">
        <v>0</v>
      </c>
      <c r="R1086" s="58">
        <v>53</v>
      </c>
      <c r="S1086" s="58">
        <v>0</v>
      </c>
      <c r="T1086" s="58">
        <v>0</v>
      </c>
      <c r="U1086" s="58">
        <v>26</v>
      </c>
      <c r="V1086" s="62"/>
      <c r="W1086" s="62"/>
      <c r="X1086" s="63">
        <f>IFERROR(1 -(Master[[#This Row],[Avg Garment Scans per Delivery]]/Master[[#This Row],[Garment Inventory]]), 0)</f>
        <v>0</v>
      </c>
      <c r="Y1086" s="62"/>
      <c r="Z1086" s="62"/>
      <c r="AA1086" s="53">
        <v>55.726326530612234</v>
      </c>
      <c r="AB1086" s="53">
        <v>56.950816326530592</v>
      </c>
      <c r="AC1086" s="53">
        <v>50.521111111111111</v>
      </c>
      <c r="AD1086" s="53">
        <v>56.032222222222217</v>
      </c>
      <c r="AE1086" s="53" t="str">
        <f>_xlfn.XLOOKUP(Master[[#This Row],[cu_id]],'[1]Customer Revenue'!$Q:$Q,'[1]Customer Revenue'!$K:$K, "None")</f>
        <v>None</v>
      </c>
      <c r="AF1086" s="53" t="str">
        <f>_xlfn.XLOOKUP(Master[[#This Row],[cu_id]],'[1]Customer Revenue'!$Q:$Q,'[1]Customer Revenue'!$L:$L, "None")</f>
        <v>None</v>
      </c>
      <c r="AG1086" s="53">
        <v>52.109999999999985</v>
      </c>
      <c r="AH1086" s="53">
        <v>57.22999999999999</v>
      </c>
      <c r="AI1086" s="53">
        <v>56.338571428571413</v>
      </c>
      <c r="AJ1086" s="53">
        <v>53.276666666666664</v>
      </c>
      <c r="AK1086" s="53" t="str">
        <f>_xlfn.XLOOKUP(Master[[#This Row],[cu_id]],'[1]Customer Revenue'!$Q:$Q,'[1]Customer Revenue'!$I:$I, "None")</f>
        <v>None</v>
      </c>
      <c r="AL1086" s="53">
        <v>54.669999999999987</v>
      </c>
      <c r="AM1086" s="61" t="s">
        <v>36</v>
      </c>
      <c r="AN1086" s="60" t="s">
        <v>36</v>
      </c>
      <c r="AO1086" s="60" t="s">
        <v>36</v>
      </c>
      <c r="AP1086" s="60" t="s">
        <v>36</v>
      </c>
      <c r="AQ1086" s="58" t="s">
        <v>0</v>
      </c>
      <c r="AR1086" s="58"/>
      <c r="AS1086" s="58"/>
      <c r="AT1086" s="52">
        <v>0</v>
      </c>
      <c r="AU1086" s="52" t="e">
        <f>IF(Master[[#This Row],[RSP StopTime override]] &lt;&gt; "",Master[[#This Row],[RSP StopTime override]],IF(Master[[#This Row],[Avg stop time helper]] &lt;&gt; 0, Master[[#This Row],[Avg stop time helper]],Average_Stop_Time))</f>
        <v>#DIV/0!</v>
      </c>
      <c r="AV1086" s="21"/>
      <c r="AW1086" s="20">
        <f>Master[[#This Row],[RSP StopTime override]]-Master[[#This Row],[Avg stop time helper]]</f>
        <v>0</v>
      </c>
    </row>
    <row r="1087" spans="1:49" x14ac:dyDescent="0.3">
      <c r="A1087" s="66" t="s">
        <v>5099</v>
      </c>
      <c r="B1087" s="58">
        <v>56</v>
      </c>
      <c r="C1087" s="58" t="s">
        <v>10</v>
      </c>
      <c r="D1087" s="65">
        <v>99117</v>
      </c>
      <c r="E1087" s="65" t="s">
        <v>1341</v>
      </c>
      <c r="F1087" s="65" t="s">
        <v>1340</v>
      </c>
      <c r="G1087" s="65" t="s">
        <v>1339</v>
      </c>
      <c r="H1087" s="65" t="s">
        <v>7</v>
      </c>
      <c r="I1087" s="65" t="s">
        <v>6</v>
      </c>
      <c r="J1087" s="65" t="s">
        <v>5</v>
      </c>
      <c r="K1087" s="65" t="s">
        <v>4</v>
      </c>
      <c r="L1087" s="64" t="s">
        <v>124</v>
      </c>
      <c r="M1087" s="58" t="s">
        <v>123</v>
      </c>
      <c r="N1087" s="58" t="s">
        <v>2</v>
      </c>
      <c r="O1087" s="58">
        <v>107</v>
      </c>
      <c r="P1087" s="58">
        <v>0</v>
      </c>
      <c r="Q1087" s="58">
        <v>0</v>
      </c>
      <c r="R1087" s="58">
        <v>107</v>
      </c>
      <c r="S1087" s="58">
        <v>0</v>
      </c>
      <c r="T1087" s="58">
        <v>0</v>
      </c>
      <c r="U1087" s="58">
        <v>15</v>
      </c>
      <c r="V1087" s="62"/>
      <c r="W1087" s="62"/>
      <c r="X1087" s="63">
        <f>IFERROR(1 -(Master[[#This Row],[Avg Garment Scans per Delivery]]/Master[[#This Row],[Garment Inventory]]), 0)</f>
        <v>0</v>
      </c>
      <c r="Y1087" s="62"/>
      <c r="Z1087" s="62"/>
      <c r="AA1087" s="53">
        <v>125.71333333333332</v>
      </c>
      <c r="AB1087" s="53">
        <v>127.04666666666667</v>
      </c>
      <c r="AC1087" s="53">
        <v>127.28222222222222</v>
      </c>
      <c r="AD1087" s="53">
        <v>128.06444444444443</v>
      </c>
      <c r="AE1087" s="53" t="str">
        <f>_xlfn.XLOOKUP(Master[[#This Row],[cu_id]],'[1]Customer Revenue'!$Q:$Q,'[1]Customer Revenue'!$K:$K, "None")</f>
        <v>None</v>
      </c>
      <c r="AF1087" s="53" t="str">
        <f>_xlfn.XLOOKUP(Master[[#This Row],[cu_id]],'[1]Customer Revenue'!$Q:$Q,'[1]Customer Revenue'!$L:$L, "None")</f>
        <v>None</v>
      </c>
      <c r="AG1087" s="53">
        <v>83.353877551020403</v>
      </c>
      <c r="AH1087" s="53">
        <v>134.98897959183671</v>
      </c>
      <c r="AI1087" s="53">
        <v>126.38</v>
      </c>
      <c r="AJ1087" s="53">
        <v>127.67333333333333</v>
      </c>
      <c r="AK1087" s="53" t="str">
        <f>_xlfn.XLOOKUP(Master[[#This Row],[cu_id]],'[1]Customer Revenue'!$Q:$Q,'[1]Customer Revenue'!$I:$I, "None")</f>
        <v>None</v>
      </c>
      <c r="AL1087" s="53">
        <v>109.17142857142856</v>
      </c>
      <c r="AM1087" s="61" t="s">
        <v>36</v>
      </c>
      <c r="AN1087" s="60" t="s">
        <v>36</v>
      </c>
      <c r="AO1087" s="60" t="s">
        <v>36</v>
      </c>
      <c r="AP1087" s="60" t="s">
        <v>36</v>
      </c>
      <c r="AQ1087" s="58" t="s">
        <v>0</v>
      </c>
      <c r="AR1087" s="58"/>
      <c r="AS1087" s="58"/>
      <c r="AT1087" s="52">
        <v>0</v>
      </c>
      <c r="AU1087" s="52" t="e">
        <f>IF(Master[[#This Row],[RSP StopTime override]] &lt;&gt; "",Master[[#This Row],[RSP StopTime override]],IF(Master[[#This Row],[Avg stop time helper]] &lt;&gt; 0, Master[[#This Row],[Avg stop time helper]],Average_Stop_Time))</f>
        <v>#DIV/0!</v>
      </c>
      <c r="AV1087" s="21"/>
      <c r="AW1087" s="20">
        <f>Master[[#This Row],[RSP StopTime override]]-Master[[#This Row],[Avg stop time helper]]</f>
        <v>0</v>
      </c>
    </row>
    <row r="1088" spans="1:49" x14ac:dyDescent="0.3">
      <c r="A1088" s="66" t="s">
        <v>5100</v>
      </c>
      <c r="B1088" s="58">
        <v>56</v>
      </c>
      <c r="C1088" s="58" t="s">
        <v>10</v>
      </c>
      <c r="D1088" s="65">
        <v>99117</v>
      </c>
      <c r="E1088" s="65" t="s">
        <v>1338</v>
      </c>
      <c r="F1088" s="65" t="s">
        <v>3743</v>
      </c>
      <c r="G1088" s="65" t="s">
        <v>1337</v>
      </c>
      <c r="H1088" s="65" t="s">
        <v>7</v>
      </c>
      <c r="I1088" s="65" t="s">
        <v>6</v>
      </c>
      <c r="J1088" s="65" t="s">
        <v>5</v>
      </c>
      <c r="K1088" s="65" t="s">
        <v>4</v>
      </c>
      <c r="L1088" s="64" t="s">
        <v>67</v>
      </c>
      <c r="M1088" s="58" t="s">
        <v>3</v>
      </c>
      <c r="N1088" s="58" t="s">
        <v>2</v>
      </c>
      <c r="O1088" s="58">
        <v>115</v>
      </c>
      <c r="P1088" s="58">
        <v>0</v>
      </c>
      <c r="Q1088" s="58">
        <v>0</v>
      </c>
      <c r="R1088" s="58">
        <v>115</v>
      </c>
      <c r="S1088" s="58">
        <v>0</v>
      </c>
      <c r="T1088" s="58">
        <v>0</v>
      </c>
      <c r="U1088" s="58">
        <v>53</v>
      </c>
      <c r="V1088" s="62"/>
      <c r="W1088" s="62"/>
      <c r="X1088" s="63">
        <f>IFERROR(1 -(Master[[#This Row],[Avg Garment Scans per Delivery]]/Master[[#This Row],[Garment Inventory]]), 0)</f>
        <v>0</v>
      </c>
      <c r="Y1088" s="62"/>
      <c r="Z1088" s="62"/>
      <c r="AA1088" s="53">
        <v>78.662662721893525</v>
      </c>
      <c r="AB1088" s="53">
        <v>84.412721893491124</v>
      </c>
      <c r="AC1088" s="53">
        <v>57.539763313609463</v>
      </c>
      <c r="AD1088" s="53">
        <v>74.309467455621302</v>
      </c>
      <c r="AE1088" s="53" t="str">
        <f>_xlfn.XLOOKUP(Master[[#This Row],[cu_id]],'[1]Customer Revenue'!$Q:$Q,'[1]Customer Revenue'!$K:$K, "None")</f>
        <v>None</v>
      </c>
      <c r="AF1088" s="53" t="str">
        <f>_xlfn.XLOOKUP(Master[[#This Row],[cu_id]],'[1]Customer Revenue'!$Q:$Q,'[1]Customer Revenue'!$L:$L, "None")</f>
        <v>None</v>
      </c>
      <c r="AG1088" s="53">
        <v>60.79618343195267</v>
      </c>
      <c r="AH1088" s="53">
        <v>82.203047337278122</v>
      </c>
      <c r="AI1088" s="53">
        <v>81.537692307692325</v>
      </c>
      <c r="AJ1088" s="53">
        <v>65.924615384615379</v>
      </c>
      <c r="AK1088" s="53" t="str">
        <f>_xlfn.XLOOKUP(Master[[#This Row],[cu_id]],'[1]Customer Revenue'!$Q:$Q,'[1]Customer Revenue'!$I:$I, "None")</f>
        <v>None</v>
      </c>
      <c r="AL1088" s="53">
        <v>71.499615384615396</v>
      </c>
      <c r="AM1088" s="61" t="s">
        <v>36</v>
      </c>
      <c r="AN1088" s="60" t="s">
        <v>36</v>
      </c>
      <c r="AO1088" s="60" t="s">
        <v>36</v>
      </c>
      <c r="AP1088" s="60" t="s">
        <v>36</v>
      </c>
      <c r="AQ1088" s="58" t="s">
        <v>0</v>
      </c>
      <c r="AR1088" s="58"/>
      <c r="AS1088" s="58"/>
      <c r="AT1088" s="52">
        <v>0</v>
      </c>
      <c r="AU1088" s="52" t="e">
        <f>IF(Master[[#This Row],[RSP StopTime override]] &lt;&gt; "",Master[[#This Row],[RSP StopTime override]],IF(Master[[#This Row],[Avg stop time helper]] &lt;&gt; 0, Master[[#This Row],[Avg stop time helper]],Average_Stop_Time))</f>
        <v>#DIV/0!</v>
      </c>
      <c r="AV1088" s="21"/>
      <c r="AW1088" s="20">
        <f>Master[[#This Row],[RSP StopTime override]]-Master[[#This Row],[Avg stop time helper]]</f>
        <v>0</v>
      </c>
    </row>
    <row r="1089" spans="1:49" x14ac:dyDescent="0.3">
      <c r="A1089" s="66" t="s">
        <v>5101</v>
      </c>
      <c r="B1089" s="58">
        <v>56</v>
      </c>
      <c r="C1089" s="58" t="s">
        <v>10</v>
      </c>
      <c r="D1089" s="65">
        <v>99117</v>
      </c>
      <c r="E1089" s="65" t="s">
        <v>1336</v>
      </c>
      <c r="F1089" s="65" t="s">
        <v>3744</v>
      </c>
      <c r="G1089" s="65" t="s">
        <v>1335</v>
      </c>
      <c r="H1089" s="65" t="s">
        <v>7</v>
      </c>
      <c r="I1089" s="65" t="s">
        <v>738</v>
      </c>
      <c r="J1089" s="65" t="s">
        <v>5</v>
      </c>
      <c r="K1089" s="65" t="s">
        <v>806</v>
      </c>
      <c r="L1089" s="64" t="s">
        <v>67</v>
      </c>
      <c r="M1089" s="58" t="s">
        <v>3</v>
      </c>
      <c r="N1089" s="58" t="s">
        <v>2</v>
      </c>
      <c r="O1089" s="58">
        <v>55</v>
      </c>
      <c r="P1089" s="58">
        <v>0</v>
      </c>
      <c r="Q1089" s="58">
        <v>0</v>
      </c>
      <c r="R1089" s="58">
        <v>55</v>
      </c>
      <c r="S1089" s="58">
        <v>0</v>
      </c>
      <c r="T1089" s="58">
        <v>0</v>
      </c>
      <c r="U1089" s="58">
        <v>52</v>
      </c>
      <c r="V1089" s="62"/>
      <c r="W1089" s="62"/>
      <c r="X1089" s="63">
        <f>IFERROR(1 -(Master[[#This Row],[Avg Garment Scans per Delivery]]/Master[[#This Row],[Garment Inventory]]), 0)</f>
        <v>0</v>
      </c>
      <c r="Y1089" s="62"/>
      <c r="Z1089" s="62"/>
      <c r="AA1089" s="53">
        <v>54.950710059171591</v>
      </c>
      <c r="AB1089" s="53">
        <v>60.136982248520702</v>
      </c>
      <c r="AC1089" s="53">
        <v>44.231775147929</v>
      </c>
      <c r="AD1089" s="53">
        <v>56.938994082840239</v>
      </c>
      <c r="AE1089" s="53" t="str">
        <f>_xlfn.XLOOKUP(Master[[#This Row],[cu_id]],'[1]Customer Revenue'!$Q:$Q,'[1]Customer Revenue'!$K:$K, "None")</f>
        <v>None</v>
      </c>
      <c r="AF1089" s="53" t="str">
        <f>_xlfn.XLOOKUP(Master[[#This Row],[cu_id]],'[1]Customer Revenue'!$Q:$Q,'[1]Customer Revenue'!$L:$L, "None")</f>
        <v>None</v>
      </c>
      <c r="AG1089" s="53">
        <v>48.612514792899432</v>
      </c>
      <c r="AH1089" s="53">
        <v>57.595946745562145</v>
      </c>
      <c r="AI1089" s="53">
        <v>57.543846153846147</v>
      </c>
      <c r="AJ1089" s="53">
        <v>50.585384615384619</v>
      </c>
      <c r="AK1089" s="53" t="str">
        <f>_xlfn.XLOOKUP(Master[[#This Row],[cu_id]],'[1]Customer Revenue'!$Q:$Q,'[1]Customer Revenue'!$I:$I, "None")</f>
        <v>None</v>
      </c>
      <c r="AL1089" s="53">
        <v>53.104230769230789</v>
      </c>
      <c r="AM1089" s="61" t="s">
        <v>36</v>
      </c>
      <c r="AN1089" s="60" t="s">
        <v>36</v>
      </c>
      <c r="AO1089" s="60" t="s">
        <v>36</v>
      </c>
      <c r="AP1089" s="60" t="s">
        <v>36</v>
      </c>
      <c r="AQ1089" s="58" t="s">
        <v>0</v>
      </c>
      <c r="AR1089" s="58"/>
      <c r="AS1089" s="58"/>
      <c r="AT1089" s="52">
        <v>0</v>
      </c>
      <c r="AU1089" s="52" t="e">
        <f>IF(Master[[#This Row],[RSP StopTime override]] &lt;&gt; "",Master[[#This Row],[RSP StopTime override]],IF(Master[[#This Row],[Avg stop time helper]] &lt;&gt; 0, Master[[#This Row],[Avg stop time helper]],Average_Stop_Time))</f>
        <v>#DIV/0!</v>
      </c>
      <c r="AV1089" s="21"/>
      <c r="AW1089" s="20">
        <f>Master[[#This Row],[RSP StopTime override]]-Master[[#This Row],[Avg stop time helper]]</f>
        <v>0</v>
      </c>
    </row>
    <row r="1090" spans="1:49" x14ac:dyDescent="0.3">
      <c r="A1090" s="66" t="s">
        <v>5102</v>
      </c>
      <c r="B1090" s="58">
        <v>56</v>
      </c>
      <c r="C1090" s="58" t="s">
        <v>10</v>
      </c>
      <c r="D1090" s="65">
        <v>99117</v>
      </c>
      <c r="E1090" s="65" t="s">
        <v>1334</v>
      </c>
      <c r="F1090" s="65" t="s">
        <v>3745</v>
      </c>
      <c r="G1090" s="65" t="s">
        <v>1333</v>
      </c>
      <c r="H1090" s="65" t="s">
        <v>7</v>
      </c>
      <c r="I1090" s="65" t="s">
        <v>738</v>
      </c>
      <c r="J1090" s="65" t="s">
        <v>5</v>
      </c>
      <c r="K1090" s="65" t="s">
        <v>806</v>
      </c>
      <c r="L1090" s="64" t="s">
        <v>67</v>
      </c>
      <c r="M1090" s="58" t="s">
        <v>3</v>
      </c>
      <c r="N1090" s="58" t="s">
        <v>2</v>
      </c>
      <c r="O1090" s="58">
        <v>85</v>
      </c>
      <c r="P1090" s="58">
        <v>0</v>
      </c>
      <c r="Q1090" s="58">
        <v>0</v>
      </c>
      <c r="R1090" s="58">
        <v>85</v>
      </c>
      <c r="S1090" s="58">
        <v>0</v>
      </c>
      <c r="T1090" s="58">
        <v>0</v>
      </c>
      <c r="U1090" s="58">
        <v>52</v>
      </c>
      <c r="V1090" s="62"/>
      <c r="W1090" s="62"/>
      <c r="X1090" s="63">
        <f>IFERROR(1 -(Master[[#This Row],[Avg Garment Scans per Delivery]]/Master[[#This Row],[Garment Inventory]]), 0)</f>
        <v>0</v>
      </c>
      <c r="Y1090" s="62"/>
      <c r="Z1090" s="62"/>
      <c r="AA1090" s="53">
        <v>68.174792899408345</v>
      </c>
      <c r="AB1090" s="53">
        <v>70.172899408284025</v>
      </c>
      <c r="AC1090" s="53">
        <v>54.52698224852071</v>
      </c>
      <c r="AD1090" s="53">
        <v>64.829940828402357</v>
      </c>
      <c r="AE1090" s="53" t="str">
        <f>_xlfn.XLOOKUP(Master[[#This Row],[cu_id]],'[1]Customer Revenue'!$Q:$Q,'[1]Customer Revenue'!$K:$K, "None")</f>
        <v>None</v>
      </c>
      <c r="AF1090" s="53" t="str">
        <f>_xlfn.XLOOKUP(Master[[#This Row],[cu_id]],'[1]Customer Revenue'!$Q:$Q,'[1]Customer Revenue'!$L:$L, "None")</f>
        <v>None</v>
      </c>
      <c r="AG1090" s="53">
        <v>57.807455621301749</v>
      </c>
      <c r="AH1090" s="53">
        <v>69.238698224852044</v>
      </c>
      <c r="AI1090" s="53">
        <v>69.173846153846185</v>
      </c>
      <c r="AJ1090" s="53">
        <v>59.678461538461534</v>
      </c>
      <c r="AK1090" s="53" t="str">
        <f>_xlfn.XLOOKUP(Master[[#This Row],[cu_id]],'[1]Customer Revenue'!$Q:$Q,'[1]Customer Revenue'!$I:$I, "None")</f>
        <v>None</v>
      </c>
      <c r="AL1090" s="53">
        <v>63.523076923076893</v>
      </c>
      <c r="AM1090" s="61" t="s">
        <v>36</v>
      </c>
      <c r="AN1090" s="60" t="s">
        <v>36</v>
      </c>
      <c r="AO1090" s="60" t="s">
        <v>36</v>
      </c>
      <c r="AP1090" s="60" t="s">
        <v>36</v>
      </c>
      <c r="AQ1090" s="58" t="s">
        <v>0</v>
      </c>
      <c r="AR1090" s="58"/>
      <c r="AS1090" s="58"/>
      <c r="AT1090" s="52">
        <v>0</v>
      </c>
      <c r="AU1090" s="52" t="e">
        <f>IF(Master[[#This Row],[RSP StopTime override]] &lt;&gt; "",Master[[#This Row],[RSP StopTime override]],IF(Master[[#This Row],[Avg stop time helper]] &lt;&gt; 0, Master[[#This Row],[Avg stop time helper]],Average_Stop_Time))</f>
        <v>#DIV/0!</v>
      </c>
      <c r="AV1090" s="21"/>
      <c r="AW1090" s="20">
        <f>Master[[#This Row],[RSP StopTime override]]-Master[[#This Row],[Avg stop time helper]]</f>
        <v>0</v>
      </c>
    </row>
    <row r="1091" spans="1:49" x14ac:dyDescent="0.3">
      <c r="A1091" s="66" t="s">
        <v>5103</v>
      </c>
      <c r="B1091" s="58">
        <v>56</v>
      </c>
      <c r="C1091" s="58" t="s">
        <v>10</v>
      </c>
      <c r="D1091" s="65">
        <v>99117</v>
      </c>
      <c r="E1091" s="65" t="s">
        <v>1332</v>
      </c>
      <c r="F1091" s="65" t="s">
        <v>3746</v>
      </c>
      <c r="G1091" s="65" t="s">
        <v>1331</v>
      </c>
      <c r="H1091" s="65" t="s">
        <v>7</v>
      </c>
      <c r="I1091" s="65" t="s">
        <v>738</v>
      </c>
      <c r="J1091" s="65" t="s">
        <v>5</v>
      </c>
      <c r="K1091" s="65" t="s">
        <v>806</v>
      </c>
      <c r="L1091" s="64" t="s">
        <v>67</v>
      </c>
      <c r="M1091" s="58" t="s">
        <v>3</v>
      </c>
      <c r="N1091" s="58" t="s">
        <v>2</v>
      </c>
      <c r="O1091" s="58">
        <v>90</v>
      </c>
      <c r="P1091" s="58">
        <v>0</v>
      </c>
      <c r="Q1091" s="58">
        <v>0</v>
      </c>
      <c r="R1091" s="58">
        <v>90</v>
      </c>
      <c r="S1091" s="58">
        <v>0</v>
      </c>
      <c r="T1091" s="58">
        <v>0</v>
      </c>
      <c r="U1091" s="58">
        <v>52</v>
      </c>
      <c r="V1091" s="62"/>
      <c r="W1091" s="62"/>
      <c r="X1091" s="63">
        <f>IFERROR(1 -(Master[[#This Row],[Avg Garment Scans per Delivery]]/Master[[#This Row],[Garment Inventory]]), 0)</f>
        <v>0</v>
      </c>
      <c r="Y1091" s="62"/>
      <c r="Z1091" s="62"/>
      <c r="AA1091" s="53">
        <v>83.650887573964496</v>
      </c>
      <c r="AB1091" s="53">
        <v>85.084497041420121</v>
      </c>
      <c r="AC1091" s="53">
        <v>72.946331360946743</v>
      </c>
      <c r="AD1091" s="53">
        <v>82.39674556213015</v>
      </c>
      <c r="AE1091" s="53" t="str">
        <f>_xlfn.XLOOKUP(Master[[#This Row],[cu_id]],'[1]Customer Revenue'!$Q:$Q,'[1]Customer Revenue'!$K:$K, "None")</f>
        <v>None</v>
      </c>
      <c r="AF1091" s="53" t="str">
        <f>_xlfn.XLOOKUP(Master[[#This Row],[cu_id]],'[1]Customer Revenue'!$Q:$Q,'[1]Customer Revenue'!$L:$L, "None")</f>
        <v>None</v>
      </c>
      <c r="AG1091" s="53">
        <v>76.45082840236681</v>
      </c>
      <c r="AH1091" s="53">
        <v>85.986863905325421</v>
      </c>
      <c r="AI1091" s="53">
        <v>84.367692307692309</v>
      </c>
      <c r="AJ1091" s="53">
        <v>77.671538461538447</v>
      </c>
      <c r="AK1091" s="53" t="str">
        <f>_xlfn.XLOOKUP(Master[[#This Row],[cu_id]],'[1]Customer Revenue'!$Q:$Q,'[1]Customer Revenue'!$I:$I, "None")</f>
        <v>None</v>
      </c>
      <c r="AL1091" s="53">
        <v>81.218846153846115</v>
      </c>
      <c r="AM1091" s="61" t="s">
        <v>36</v>
      </c>
      <c r="AN1091" s="60" t="s">
        <v>36</v>
      </c>
      <c r="AO1091" s="60" t="s">
        <v>36</v>
      </c>
      <c r="AP1091" s="60" t="s">
        <v>36</v>
      </c>
      <c r="AQ1091" s="58" t="s">
        <v>0</v>
      </c>
      <c r="AR1091" s="58"/>
      <c r="AS1091" s="58"/>
      <c r="AT1091" s="52">
        <v>0</v>
      </c>
      <c r="AU1091" s="52" t="e">
        <f>IF(Master[[#This Row],[RSP StopTime override]] &lt;&gt; "",Master[[#This Row],[RSP StopTime override]],IF(Master[[#This Row],[Avg stop time helper]] &lt;&gt; 0, Master[[#This Row],[Avg stop time helper]],Average_Stop_Time))</f>
        <v>#DIV/0!</v>
      </c>
      <c r="AV1091" s="21"/>
      <c r="AW1091" s="20">
        <f>Master[[#This Row],[RSP StopTime override]]-Master[[#This Row],[Avg stop time helper]]</f>
        <v>0</v>
      </c>
    </row>
    <row r="1092" spans="1:49" x14ac:dyDescent="0.3">
      <c r="A1092" s="81" t="s">
        <v>5104</v>
      </c>
      <c r="B1092" s="79">
        <v>56</v>
      </c>
      <c r="C1092" s="79" t="s">
        <v>10</v>
      </c>
      <c r="D1092" s="80">
        <v>99117</v>
      </c>
      <c r="E1092" s="80">
        <v>65</v>
      </c>
      <c r="F1092" s="79" t="s">
        <v>1330</v>
      </c>
      <c r="G1092" s="79" t="s">
        <v>1329</v>
      </c>
      <c r="H1092" s="79" t="s">
        <v>7</v>
      </c>
      <c r="I1092" s="79" t="s">
        <v>712</v>
      </c>
      <c r="J1092" s="79" t="s">
        <v>5</v>
      </c>
      <c r="K1092" s="79" t="s">
        <v>4</v>
      </c>
      <c r="L1092" s="79">
        <v>7</v>
      </c>
      <c r="M1092" s="79" t="s">
        <v>3</v>
      </c>
      <c r="N1092" s="79" t="s">
        <v>2</v>
      </c>
      <c r="O1092" s="58">
        <v>1</v>
      </c>
      <c r="P1092" s="79">
        <v>0</v>
      </c>
      <c r="Q1092" s="79">
        <v>0</v>
      </c>
      <c r="R1092" s="79">
        <v>1</v>
      </c>
      <c r="S1092" s="79">
        <v>0</v>
      </c>
      <c r="T1092" s="79">
        <v>0</v>
      </c>
      <c r="U1092" s="79"/>
      <c r="V1092" s="79"/>
      <c r="W1092" s="79"/>
      <c r="X1092" s="79"/>
      <c r="Y1092" s="79"/>
      <c r="Z1092" s="79"/>
      <c r="AA1092" s="78"/>
      <c r="AB1092" s="78"/>
      <c r="AC1092" s="78"/>
      <c r="AD1092" s="78"/>
      <c r="AE1092" s="53" t="str">
        <f>_xlfn.XLOOKUP(Master[[#This Row],[cu_id]],'[1]Customer Revenue'!$Q:$Q,'[1]Customer Revenue'!$K:$K, "None")</f>
        <v>None</v>
      </c>
      <c r="AF1092" s="53" t="str">
        <f>_xlfn.XLOOKUP(Master[[#This Row],[cu_id]],'[1]Customer Revenue'!$Q:$Q,'[1]Customer Revenue'!$L:$L, "None")</f>
        <v>None</v>
      </c>
      <c r="AG1092" s="78"/>
      <c r="AH1092" s="78"/>
      <c r="AI1092" s="78"/>
      <c r="AJ1092" s="78"/>
      <c r="AK1092" s="53" t="str">
        <f>_xlfn.XLOOKUP(Master[[#This Row],[cu_id]],'[1]Customer Revenue'!$Q:$Q,'[1]Customer Revenue'!$I:$I, "None")</f>
        <v>None</v>
      </c>
      <c r="AL1092" s="78"/>
      <c r="AM1092" s="77" t="s">
        <v>1</v>
      </c>
      <c r="AN1092" s="77" t="s">
        <v>1</v>
      </c>
      <c r="AO1092" s="77" t="s">
        <v>36</v>
      </c>
      <c r="AP1092" s="77" t="s">
        <v>36</v>
      </c>
      <c r="AQ1092" s="77" t="s">
        <v>0</v>
      </c>
      <c r="AR1092" s="77"/>
      <c r="AS1092" s="76"/>
      <c r="AT1092" s="76"/>
      <c r="AU1092" s="76"/>
      <c r="AV1092" s="75"/>
      <c r="AW1092" s="20">
        <f>Master[[#This Row],[RSP StopTime override]]-Master[[#This Row],[Avg stop time helper]]</f>
        <v>0</v>
      </c>
    </row>
    <row r="1093" spans="1:49" x14ac:dyDescent="0.3">
      <c r="A1093" s="73" t="s">
        <v>5105</v>
      </c>
      <c r="B1093" s="64">
        <v>51</v>
      </c>
      <c r="C1093" s="64" t="s">
        <v>15</v>
      </c>
      <c r="D1093" s="65">
        <v>99161</v>
      </c>
      <c r="E1093" s="65" t="s">
        <v>1961</v>
      </c>
      <c r="F1093" s="65" t="s">
        <v>1960</v>
      </c>
      <c r="G1093" s="65" t="s">
        <v>1959</v>
      </c>
      <c r="H1093" s="65" t="s">
        <v>7</v>
      </c>
      <c r="I1093" s="65" t="s">
        <v>1955</v>
      </c>
      <c r="J1093" s="65" t="s">
        <v>5</v>
      </c>
      <c r="K1093" s="65" t="s">
        <v>1954</v>
      </c>
      <c r="L1093" s="64" t="s">
        <v>67</v>
      </c>
      <c r="M1093" s="65" t="s">
        <v>3</v>
      </c>
      <c r="N1093" s="65" t="s">
        <v>2</v>
      </c>
      <c r="O1093" s="65">
        <v>1</v>
      </c>
      <c r="P1093" s="65">
        <v>0</v>
      </c>
      <c r="Q1093" s="65">
        <v>0</v>
      </c>
      <c r="R1093" s="65">
        <v>0</v>
      </c>
      <c r="S1093" s="65">
        <v>0</v>
      </c>
      <c r="T1093" s="65">
        <v>1</v>
      </c>
      <c r="U1093" s="65"/>
      <c r="V1093" s="65"/>
      <c r="W1093" s="65"/>
      <c r="X1093" s="72">
        <f>IFERROR(1 -(Master[[#This Row],[Avg Garment Scans per Delivery]]/Master[[#This Row],[Garment Inventory]]), 0)</f>
        <v>0</v>
      </c>
      <c r="Y1093" s="65"/>
      <c r="Z1093" s="65"/>
      <c r="AA1093" s="53"/>
      <c r="AB1093" s="53"/>
      <c r="AC1093" s="53"/>
      <c r="AD1093" s="53"/>
      <c r="AE1093" s="53" t="str">
        <f>_xlfn.XLOOKUP(Master[[#This Row],[cu_id]],'[1]Customer Revenue'!$Q:$Q,'[1]Customer Revenue'!$K:$K, "0")</f>
        <v>0</v>
      </c>
      <c r="AF1093" s="53" t="str">
        <f>_xlfn.XLOOKUP(Master[[#This Row],[cu_id]],'[1]Customer Revenue'!$Q:$Q,'[1]Customer Revenue'!$L:$L, "0")</f>
        <v>0</v>
      </c>
      <c r="AG1093" s="53"/>
      <c r="AH1093" s="53"/>
      <c r="AI1093" s="53"/>
      <c r="AJ1093" s="53"/>
      <c r="AK1093" s="53" t="str">
        <f>_xlfn.XLOOKUP(Master[[#This Row],[cu_id]],'[1]Customer Revenue'!$Q:$Q,'[1]Customer Revenue'!$I:$I, "0")</f>
        <v>0</v>
      </c>
      <c r="AL1093" s="53"/>
      <c r="AM1093" s="71" t="s">
        <v>1</v>
      </c>
      <c r="AN1093" s="71" t="s">
        <v>1</v>
      </c>
      <c r="AO1093" s="71" t="s">
        <v>36</v>
      </c>
      <c r="AP1093" s="71" t="s">
        <v>36</v>
      </c>
      <c r="AQ1093" s="64" t="s">
        <v>0</v>
      </c>
      <c r="AR1093" s="64"/>
      <c r="AS1093" s="65"/>
      <c r="AT1093" s="52">
        <v>0</v>
      </c>
      <c r="AU1093" s="52" t="e">
        <f>IF(Master[[#This Row],[RSP StopTime override]] &lt;&gt; "",Master[[#This Row],[RSP StopTime override]],IF(Master[[#This Row],[Avg stop time helper]] &lt;&gt; 0, Master[[#This Row],[Avg stop time helper]],Average_Stop_Time))</f>
        <v>#DIV/0!</v>
      </c>
      <c r="AV1093" s="21"/>
      <c r="AW1093" s="20">
        <f>Master[[#This Row],[RSP StopTime override]]-Master[[#This Row],[Avg stop time helper]]</f>
        <v>0</v>
      </c>
    </row>
    <row r="1094" spans="1:49" x14ac:dyDescent="0.3">
      <c r="A1094" s="73" t="s">
        <v>5106</v>
      </c>
      <c r="B1094" s="64">
        <v>56</v>
      </c>
      <c r="C1094" s="64" t="s">
        <v>10</v>
      </c>
      <c r="D1094" s="65">
        <v>433589</v>
      </c>
      <c r="E1094" s="65" t="s">
        <v>42</v>
      </c>
      <c r="F1094" s="65" t="s">
        <v>1326</v>
      </c>
      <c r="G1094" s="65" t="s">
        <v>1325</v>
      </c>
      <c r="H1094" s="65" t="s">
        <v>7</v>
      </c>
      <c r="I1094" s="65" t="s">
        <v>1324</v>
      </c>
      <c r="J1094" s="65" t="s">
        <v>5</v>
      </c>
      <c r="K1094" s="65" t="s">
        <v>813</v>
      </c>
      <c r="L1094" s="64">
        <v>6</v>
      </c>
      <c r="M1094" s="65" t="s">
        <v>90</v>
      </c>
      <c r="N1094" s="65" t="s">
        <v>2</v>
      </c>
      <c r="O1094" s="65">
        <v>44</v>
      </c>
      <c r="P1094" s="65">
        <v>0</v>
      </c>
      <c r="Q1094" s="65">
        <v>0</v>
      </c>
      <c r="R1094" s="65">
        <v>44</v>
      </c>
      <c r="S1094" s="65">
        <v>0</v>
      </c>
      <c r="T1094" s="65">
        <v>0</v>
      </c>
      <c r="U1094" s="65">
        <v>6</v>
      </c>
      <c r="V1094" s="65"/>
      <c r="W1094" s="65"/>
      <c r="X1094" s="72">
        <f>IFERROR(1 -(Master[[#This Row],[Avg Garment Scans per Delivery]]/Master[[#This Row],[Garment Inventory]]), 0)</f>
        <v>0</v>
      </c>
      <c r="Y1094" s="65"/>
      <c r="Z1094" s="65"/>
      <c r="AA1094" s="53"/>
      <c r="AB1094" s="53"/>
      <c r="AC1094" s="53">
        <v>37.562777777777775</v>
      </c>
      <c r="AD1094" s="53">
        <v>46.613888888888887</v>
      </c>
      <c r="AE1094" s="53" t="str">
        <f>_xlfn.XLOOKUP(Master[[#This Row],[cu_id]],'[1]Customer Revenue'!$Q:$Q,'[1]Customer Revenue'!$K:$K, "None")</f>
        <v>None</v>
      </c>
      <c r="AF1094" s="53" t="str">
        <f>_xlfn.XLOOKUP(Master[[#This Row],[cu_id]],'[1]Customer Revenue'!$Q:$Q,'[1]Customer Revenue'!$L:$L, "None")</f>
        <v>None</v>
      </c>
      <c r="AG1094" s="53"/>
      <c r="AH1094" s="53"/>
      <c r="AI1094" s="53"/>
      <c r="AJ1094" s="53">
        <v>42.088333333333331</v>
      </c>
      <c r="AK1094" s="53" t="str">
        <f>_xlfn.XLOOKUP(Master[[#This Row],[cu_id]],'[1]Customer Revenue'!$Q:$Q,'[1]Customer Revenue'!$I:$I, "None")</f>
        <v>None</v>
      </c>
      <c r="AL1094" s="53"/>
      <c r="AM1094" s="71" t="s">
        <v>1</v>
      </c>
      <c r="AN1094" s="71" t="s">
        <v>1</v>
      </c>
      <c r="AO1094" s="71" t="s">
        <v>36</v>
      </c>
      <c r="AP1094" s="71" t="s">
        <v>36</v>
      </c>
      <c r="AQ1094" s="64" t="s">
        <v>1239</v>
      </c>
      <c r="AR1094" s="64"/>
      <c r="AS1094" s="65"/>
      <c r="AT1094" s="52">
        <v>0</v>
      </c>
      <c r="AU1094" s="52" t="e">
        <f>IF(Master[[#This Row],[RSP StopTime override]] &lt;&gt; "",Master[[#This Row],[RSP StopTime override]],IF(Master[[#This Row],[Avg stop time helper]] &lt;&gt; 0, Master[[#This Row],[Avg stop time helper]],Average_Stop_Time))</f>
        <v>#DIV/0!</v>
      </c>
      <c r="AV1094" s="21"/>
      <c r="AW1094" s="20">
        <f>Master[[#This Row],[RSP StopTime override]]-Master[[#This Row],[Avg stop time helper]]</f>
        <v>0</v>
      </c>
    </row>
    <row r="1095" spans="1:49" x14ac:dyDescent="0.3">
      <c r="A1095" s="66" t="s">
        <v>5107</v>
      </c>
      <c r="B1095" s="58">
        <v>56</v>
      </c>
      <c r="C1095" s="58" t="s">
        <v>10</v>
      </c>
      <c r="D1095" s="65">
        <v>501498</v>
      </c>
      <c r="E1095" s="65" t="s">
        <v>42</v>
      </c>
      <c r="F1095" s="65" t="s">
        <v>1323</v>
      </c>
      <c r="G1095" s="65" t="s">
        <v>1322</v>
      </c>
      <c r="H1095" s="65" t="s">
        <v>32</v>
      </c>
      <c r="I1095" s="65" t="s">
        <v>1316</v>
      </c>
      <c r="J1095" s="65" t="s">
        <v>5</v>
      </c>
      <c r="K1095" s="65" t="s">
        <v>1315</v>
      </c>
      <c r="L1095" s="64" t="s">
        <v>67</v>
      </c>
      <c r="M1095" s="58" t="s">
        <v>3</v>
      </c>
      <c r="N1095" s="58" t="s">
        <v>2</v>
      </c>
      <c r="O1095" s="58">
        <v>10</v>
      </c>
      <c r="P1095" s="58">
        <v>0</v>
      </c>
      <c r="Q1095" s="58">
        <v>0</v>
      </c>
      <c r="R1095" s="58">
        <v>10</v>
      </c>
      <c r="S1095" s="58">
        <v>0</v>
      </c>
      <c r="T1095" s="58">
        <v>0</v>
      </c>
      <c r="U1095" s="58">
        <v>52</v>
      </c>
      <c r="V1095" s="62">
        <v>11</v>
      </c>
      <c r="W1095" s="62">
        <v>3</v>
      </c>
      <c r="X1095" s="63">
        <f>IFERROR(1 -(Master[[#This Row],[Avg Garment Scans per Delivery]]/Master[[#This Row],[Garment Inventory]]), 0)</f>
        <v>0.72727272727272729</v>
      </c>
      <c r="Y1095" s="62">
        <v>1</v>
      </c>
      <c r="Z1095" s="62">
        <v>11</v>
      </c>
      <c r="AA1095" s="53">
        <v>65.145325443786987</v>
      </c>
      <c r="AB1095" s="53">
        <v>107.69775147928993</v>
      </c>
      <c r="AC1095" s="53">
        <v>67.608520710059167</v>
      </c>
      <c r="AD1095" s="53">
        <v>110.06840236686392</v>
      </c>
      <c r="AE1095" s="53" t="str">
        <f>_xlfn.XLOOKUP(Master[[#This Row],[cu_id]],'[1]Customer Revenue'!$Q:$Q,'[1]Customer Revenue'!$K:$K, "None")</f>
        <v>None</v>
      </c>
      <c r="AF1095" s="53" t="str">
        <f>_xlfn.XLOOKUP(Master[[#This Row],[cu_id]],'[1]Customer Revenue'!$Q:$Q,'[1]Customer Revenue'!$L:$L, "None")</f>
        <v>None</v>
      </c>
      <c r="AG1095" s="53">
        <v>63.681005917159766</v>
      </c>
      <c r="AH1095" s="53">
        <v>105.34668639053253</v>
      </c>
      <c r="AI1095" s="53">
        <v>86.421538461538461</v>
      </c>
      <c r="AJ1095" s="53">
        <v>88.838461538461544</v>
      </c>
      <c r="AK1095" s="53" t="str">
        <f>_xlfn.XLOOKUP(Master[[#This Row],[cu_id]],'[1]Customer Revenue'!$Q:$Q,'[1]Customer Revenue'!$I:$I, "None")</f>
        <v>None</v>
      </c>
      <c r="AL1095" s="53">
        <v>84.513846153846146</v>
      </c>
      <c r="AM1095" s="61">
        <v>0.33333333333333331</v>
      </c>
      <c r="AN1095" s="60">
        <v>0.70833333333333337</v>
      </c>
      <c r="AO1095" s="60" t="s">
        <v>36</v>
      </c>
      <c r="AP1095" s="60" t="s">
        <v>36</v>
      </c>
      <c r="AQ1095" s="58" t="s">
        <v>0</v>
      </c>
      <c r="AR1095" s="58"/>
      <c r="AS1095" s="58"/>
      <c r="AT1095" s="52">
        <v>0</v>
      </c>
      <c r="AU1095" s="52" t="e">
        <f>IF(Master[[#This Row],[RSP StopTime override]] &lt;&gt; "",Master[[#This Row],[RSP StopTime override]],IF(Master[[#This Row],[Avg stop time helper]] &lt;&gt; 0, Master[[#This Row],[Avg stop time helper]],Average_Stop_Time))</f>
        <v>#DIV/0!</v>
      </c>
      <c r="AV1095" s="21"/>
      <c r="AW1095" s="20">
        <f>Master[[#This Row],[RSP StopTime override]]-Master[[#This Row],[Avg stop time helper]]</f>
        <v>0</v>
      </c>
    </row>
    <row r="1096" spans="1:49" x14ac:dyDescent="0.3">
      <c r="A1096" s="66" t="s">
        <v>5108</v>
      </c>
      <c r="B1096" s="58">
        <v>56</v>
      </c>
      <c r="C1096" s="58" t="s">
        <v>10</v>
      </c>
      <c r="D1096" s="65">
        <v>519693</v>
      </c>
      <c r="E1096" s="65" t="s">
        <v>42</v>
      </c>
      <c r="F1096" s="65" t="s">
        <v>1321</v>
      </c>
      <c r="G1096" s="65" t="s">
        <v>1320</v>
      </c>
      <c r="H1096" s="65" t="s">
        <v>32</v>
      </c>
      <c r="I1096" s="65" t="s">
        <v>1319</v>
      </c>
      <c r="J1096" s="65" t="s">
        <v>5</v>
      </c>
      <c r="K1096" s="65" t="s">
        <v>4</v>
      </c>
      <c r="L1096" s="64" t="s">
        <v>91</v>
      </c>
      <c r="M1096" s="58" t="s">
        <v>90</v>
      </c>
      <c r="N1096" s="58" t="s">
        <v>2</v>
      </c>
      <c r="O1096" s="58">
        <v>100</v>
      </c>
      <c r="P1096" s="58">
        <v>0</v>
      </c>
      <c r="Q1096" s="58">
        <v>0</v>
      </c>
      <c r="R1096" s="58">
        <v>100</v>
      </c>
      <c r="S1096" s="58">
        <v>0</v>
      </c>
      <c r="T1096" s="58">
        <v>0</v>
      </c>
      <c r="U1096" s="58">
        <v>26</v>
      </c>
      <c r="V1096" s="62"/>
      <c r="W1096" s="62"/>
      <c r="X1096" s="63">
        <f>IFERROR(1 -(Master[[#This Row],[Avg Garment Scans per Delivery]]/Master[[#This Row],[Garment Inventory]]), 0)</f>
        <v>0</v>
      </c>
      <c r="Y1096" s="62"/>
      <c r="Z1096" s="62"/>
      <c r="AA1096" s="53">
        <v>55.588571428571427</v>
      </c>
      <c r="AB1096" s="53">
        <v>65.171428571428578</v>
      </c>
      <c r="AC1096" s="53">
        <v>54.21</v>
      </c>
      <c r="AD1096" s="53">
        <v>63.850000000000016</v>
      </c>
      <c r="AE1096" s="53" t="str">
        <f>_xlfn.XLOOKUP(Master[[#This Row],[cu_id]],'[1]Customer Revenue'!$Q:$Q,'[1]Customer Revenue'!$K:$K, "None")</f>
        <v>None</v>
      </c>
      <c r="AF1096" s="53" t="str">
        <f>_xlfn.XLOOKUP(Master[[#This Row],[cu_id]],'[1]Customer Revenue'!$Q:$Q,'[1]Customer Revenue'!$L:$L, "None")</f>
        <v>None</v>
      </c>
      <c r="AG1096" s="53">
        <v>51.107514792899408</v>
      </c>
      <c r="AH1096" s="53">
        <v>62.727869822485204</v>
      </c>
      <c r="AI1096" s="53">
        <v>60.38</v>
      </c>
      <c r="AJ1096" s="53">
        <v>59.030000000000008</v>
      </c>
      <c r="AK1096" s="53" t="str">
        <f>_xlfn.XLOOKUP(Master[[#This Row],[cu_id]],'[1]Customer Revenue'!$Q:$Q,'[1]Customer Revenue'!$I:$I, "None")</f>
        <v>None</v>
      </c>
      <c r="AL1096" s="53">
        <v>56.917692307692306</v>
      </c>
      <c r="AM1096" s="61">
        <v>0.375</v>
      </c>
      <c r="AN1096" s="60">
        <v>0.70833333333333337</v>
      </c>
      <c r="AO1096" s="60" t="s">
        <v>36</v>
      </c>
      <c r="AP1096" s="60" t="s">
        <v>36</v>
      </c>
      <c r="AQ1096" s="58" t="s">
        <v>0</v>
      </c>
      <c r="AR1096" s="58"/>
      <c r="AS1096" s="58"/>
      <c r="AT1096" s="52">
        <v>0</v>
      </c>
      <c r="AU1096" s="52" t="e">
        <f>IF(Master[[#This Row],[RSP StopTime override]] &lt;&gt; "",Master[[#This Row],[RSP StopTime override]],IF(Master[[#This Row],[Avg stop time helper]] &lt;&gt; 0, Master[[#This Row],[Avg stop time helper]],Average_Stop_Time))</f>
        <v>#DIV/0!</v>
      </c>
      <c r="AV1096" s="21"/>
      <c r="AW1096" s="20">
        <f>Master[[#This Row],[RSP StopTime override]]-Master[[#This Row],[Avg stop time helper]]</f>
        <v>0</v>
      </c>
    </row>
    <row r="1097" spans="1:49" x14ac:dyDescent="0.3">
      <c r="A1097" s="66" t="s">
        <v>5109</v>
      </c>
      <c r="B1097" s="58">
        <v>56</v>
      </c>
      <c r="C1097" s="58" t="s">
        <v>10</v>
      </c>
      <c r="D1097" s="65">
        <v>521127</v>
      </c>
      <c r="E1097" s="65" t="s">
        <v>42</v>
      </c>
      <c r="F1097" s="65" t="s">
        <v>1318</v>
      </c>
      <c r="G1097" s="65" t="s">
        <v>1317</v>
      </c>
      <c r="H1097" s="65" t="s">
        <v>32</v>
      </c>
      <c r="I1097" s="65" t="s">
        <v>1316</v>
      </c>
      <c r="J1097" s="65" t="s">
        <v>5</v>
      </c>
      <c r="K1097" s="65" t="s">
        <v>1315</v>
      </c>
      <c r="L1097" s="64" t="s">
        <v>67</v>
      </c>
      <c r="M1097" s="58" t="s">
        <v>3</v>
      </c>
      <c r="N1097" s="58" t="s">
        <v>2</v>
      </c>
      <c r="O1097" s="58">
        <v>20</v>
      </c>
      <c r="P1097" s="58">
        <v>0</v>
      </c>
      <c r="Q1097" s="58">
        <v>0</v>
      </c>
      <c r="R1097" s="58">
        <v>20</v>
      </c>
      <c r="S1097" s="58">
        <v>0</v>
      </c>
      <c r="T1097" s="58">
        <v>0</v>
      </c>
      <c r="U1097" s="58">
        <v>51</v>
      </c>
      <c r="V1097" s="62"/>
      <c r="W1097" s="62"/>
      <c r="X1097" s="63">
        <f>IFERROR(1 -(Master[[#This Row],[Avg Garment Scans per Delivery]]/Master[[#This Row],[Garment Inventory]]), 0)</f>
        <v>0</v>
      </c>
      <c r="Y1097" s="62"/>
      <c r="Z1097" s="62"/>
      <c r="AA1097" s="53">
        <v>35</v>
      </c>
      <c r="AB1097" s="53">
        <v>35</v>
      </c>
      <c r="AC1097" s="53">
        <v>36.2489349112426</v>
      </c>
      <c r="AD1097" s="53">
        <v>39.780295857988165</v>
      </c>
      <c r="AE1097" s="53" t="str">
        <f>_xlfn.XLOOKUP(Master[[#This Row],[cu_id]],'[1]Customer Revenue'!$Q:$Q,'[1]Customer Revenue'!$K:$K, "None")</f>
        <v>None</v>
      </c>
      <c r="AF1097" s="53" t="str">
        <f>_xlfn.XLOOKUP(Master[[#This Row],[cu_id]],'[1]Customer Revenue'!$Q:$Q,'[1]Customer Revenue'!$L:$L, "None")</f>
        <v>None</v>
      </c>
      <c r="AG1097" s="53">
        <v>30.019729344729331</v>
      </c>
      <c r="AH1097" s="53">
        <v>53.665655270655293</v>
      </c>
      <c r="AI1097" s="53">
        <v>35</v>
      </c>
      <c r="AJ1097" s="53">
        <v>38.014615384615382</v>
      </c>
      <c r="AK1097" s="53" t="str">
        <f>_xlfn.XLOOKUP(Master[[#This Row],[cu_id]],'[1]Customer Revenue'!$Q:$Q,'[1]Customer Revenue'!$I:$I, "None")</f>
        <v>None</v>
      </c>
      <c r="AL1097" s="53">
        <v>41.84269230769231</v>
      </c>
      <c r="AM1097" s="61">
        <v>0.33333333333333331</v>
      </c>
      <c r="AN1097" s="60">
        <v>0.70833333333333337</v>
      </c>
      <c r="AO1097" s="60" t="s">
        <v>36</v>
      </c>
      <c r="AP1097" s="60" t="s">
        <v>36</v>
      </c>
      <c r="AQ1097" s="58" t="s">
        <v>0</v>
      </c>
      <c r="AR1097" s="58"/>
      <c r="AS1097" s="58"/>
      <c r="AT1097" s="52">
        <v>0</v>
      </c>
      <c r="AU1097" s="52" t="e">
        <f>IF(Master[[#This Row],[RSP StopTime override]] &lt;&gt; "",Master[[#This Row],[RSP StopTime override]],IF(Master[[#This Row],[Avg stop time helper]] &lt;&gt; 0, Master[[#This Row],[Avg stop time helper]],Average_Stop_Time))</f>
        <v>#DIV/0!</v>
      </c>
      <c r="AV1097" s="21"/>
      <c r="AW1097" s="20">
        <f>Master[[#This Row],[RSP StopTime override]]-Master[[#This Row],[Avg stop time helper]]</f>
        <v>0</v>
      </c>
    </row>
    <row r="1098" spans="1:49" x14ac:dyDescent="0.3">
      <c r="A1098" s="66" t="s">
        <v>5110</v>
      </c>
      <c r="B1098" s="58">
        <v>56</v>
      </c>
      <c r="C1098" s="58" t="s">
        <v>10</v>
      </c>
      <c r="D1098" s="65">
        <v>525789</v>
      </c>
      <c r="E1098" s="65" t="s">
        <v>42</v>
      </c>
      <c r="F1098" s="65" t="s">
        <v>1314</v>
      </c>
      <c r="G1098" s="65" t="s">
        <v>1313</v>
      </c>
      <c r="H1098" s="65" t="s">
        <v>32</v>
      </c>
      <c r="I1098" s="65" t="s">
        <v>1312</v>
      </c>
      <c r="J1098" s="65" t="s">
        <v>5</v>
      </c>
      <c r="K1098" s="65" t="s">
        <v>806</v>
      </c>
      <c r="L1098" s="64" t="s">
        <v>67</v>
      </c>
      <c r="M1098" s="58" t="s">
        <v>3</v>
      </c>
      <c r="N1098" s="58" t="s">
        <v>2</v>
      </c>
      <c r="O1098" s="58">
        <v>80</v>
      </c>
      <c r="P1098" s="58">
        <v>0</v>
      </c>
      <c r="Q1098" s="58">
        <v>0</v>
      </c>
      <c r="R1098" s="58">
        <v>80</v>
      </c>
      <c r="S1098" s="58">
        <v>0</v>
      </c>
      <c r="T1098" s="58">
        <v>0</v>
      </c>
      <c r="U1098" s="58">
        <v>51</v>
      </c>
      <c r="V1098" s="62">
        <v>4</v>
      </c>
      <c r="W1098" s="62"/>
      <c r="X1098" s="63">
        <f>IFERROR(1 -(Master[[#This Row],[Avg Garment Scans per Delivery]]/Master[[#This Row],[Garment Inventory]]), 0)</f>
        <v>1</v>
      </c>
      <c r="Y1098" s="62"/>
      <c r="Z1098" s="62"/>
      <c r="AA1098" s="53">
        <v>101.71136094674557</v>
      </c>
      <c r="AB1098" s="53">
        <v>142.02710059171599</v>
      </c>
      <c r="AC1098" s="53">
        <v>83.654378698224889</v>
      </c>
      <c r="AD1098" s="53">
        <v>158.6610059171598</v>
      </c>
      <c r="AE1098" s="53" t="str">
        <f>_xlfn.XLOOKUP(Master[[#This Row],[cu_id]],'[1]Customer Revenue'!$Q:$Q,'[1]Customer Revenue'!$K:$K, "None")</f>
        <v>None</v>
      </c>
      <c r="AF1098" s="53" t="str">
        <f>_xlfn.XLOOKUP(Master[[#This Row],[cu_id]],'[1]Customer Revenue'!$Q:$Q,'[1]Customer Revenue'!$L:$L, "None")</f>
        <v>None</v>
      </c>
      <c r="AG1098" s="53">
        <v>89.026390532544369</v>
      </c>
      <c r="AH1098" s="53">
        <v>136.29976331360945</v>
      </c>
      <c r="AI1098" s="53">
        <v>121.86923076923078</v>
      </c>
      <c r="AJ1098" s="53">
        <v>121.15769230769234</v>
      </c>
      <c r="AK1098" s="53" t="str">
        <f>_xlfn.XLOOKUP(Master[[#This Row],[cu_id]],'[1]Customer Revenue'!$Q:$Q,'[1]Customer Revenue'!$I:$I, "None")</f>
        <v>None</v>
      </c>
      <c r="AL1098" s="53">
        <v>112.66307692307691</v>
      </c>
      <c r="AM1098" s="61">
        <v>0.33333333333333331</v>
      </c>
      <c r="AN1098" s="60">
        <v>0.70833333333333337</v>
      </c>
      <c r="AO1098" s="60" t="s">
        <v>36</v>
      </c>
      <c r="AP1098" s="60" t="s">
        <v>36</v>
      </c>
      <c r="AQ1098" s="58" t="s">
        <v>0</v>
      </c>
      <c r="AR1098" s="58"/>
      <c r="AS1098" s="58"/>
      <c r="AT1098" s="52">
        <v>0</v>
      </c>
      <c r="AU1098" s="52" t="e">
        <f>IF(Master[[#This Row],[RSP StopTime override]] &lt;&gt; "",Master[[#This Row],[RSP StopTime override]],IF(Master[[#This Row],[Avg stop time helper]] &lt;&gt; 0, Master[[#This Row],[Avg stop time helper]],Average_Stop_Time))</f>
        <v>#DIV/0!</v>
      </c>
      <c r="AV1098" s="21"/>
      <c r="AW1098" s="20">
        <f>Master[[#This Row],[RSP StopTime override]]-Master[[#This Row],[Avg stop time helper]]</f>
        <v>0</v>
      </c>
    </row>
    <row r="1099" spans="1:49" x14ac:dyDescent="0.3">
      <c r="A1099" s="66" t="s">
        <v>5111</v>
      </c>
      <c r="B1099" s="58">
        <v>56</v>
      </c>
      <c r="C1099" s="58" t="s">
        <v>10</v>
      </c>
      <c r="D1099" s="65">
        <v>531601</v>
      </c>
      <c r="E1099" s="65" t="s">
        <v>42</v>
      </c>
      <c r="F1099" s="65" t="s">
        <v>1311</v>
      </c>
      <c r="G1099" s="65" t="s">
        <v>1310</v>
      </c>
      <c r="H1099" s="65" t="s">
        <v>7</v>
      </c>
      <c r="I1099" s="65" t="s">
        <v>738</v>
      </c>
      <c r="J1099" s="65" t="s">
        <v>5</v>
      </c>
      <c r="K1099" s="65" t="s">
        <v>806</v>
      </c>
      <c r="L1099" s="64" t="s">
        <v>67</v>
      </c>
      <c r="M1099" s="58" t="s">
        <v>3</v>
      </c>
      <c r="N1099" s="58" t="s">
        <v>2</v>
      </c>
      <c r="O1099" s="58">
        <v>70</v>
      </c>
      <c r="P1099" s="58">
        <v>0</v>
      </c>
      <c r="Q1099" s="58">
        <v>0</v>
      </c>
      <c r="R1099" s="58">
        <v>70</v>
      </c>
      <c r="S1099" s="58">
        <v>0</v>
      </c>
      <c r="T1099" s="58">
        <v>0</v>
      </c>
      <c r="U1099" s="58">
        <v>52</v>
      </c>
      <c r="V1099" s="62">
        <v>42</v>
      </c>
      <c r="W1099" s="62">
        <v>15</v>
      </c>
      <c r="X1099" s="63">
        <f>IFERROR(1 -(Master[[#This Row],[Avg Garment Scans per Delivery]]/Master[[#This Row],[Garment Inventory]]), 0)</f>
        <v>0.64285714285714279</v>
      </c>
      <c r="Y1099" s="62">
        <v>4</v>
      </c>
      <c r="Z1099" s="62">
        <v>42</v>
      </c>
      <c r="AA1099" s="53">
        <v>55.758402366863891</v>
      </c>
      <c r="AB1099" s="53">
        <v>94.000059171597627</v>
      </c>
      <c r="AC1099" s="53">
        <v>50.625621301775141</v>
      </c>
      <c r="AD1099" s="53">
        <v>89.468224852070989</v>
      </c>
      <c r="AE1099" s="53" t="str">
        <f>_xlfn.XLOOKUP(Master[[#This Row],[cu_id]],'[1]Customer Revenue'!$Q:$Q,'[1]Customer Revenue'!$K:$K, "None")</f>
        <v>None</v>
      </c>
      <c r="AF1099" s="53" t="str">
        <f>_xlfn.XLOOKUP(Master[[#This Row],[cu_id]],'[1]Customer Revenue'!$Q:$Q,'[1]Customer Revenue'!$L:$L, "None")</f>
        <v>None</v>
      </c>
      <c r="AG1099" s="53">
        <v>52.68923076923074</v>
      </c>
      <c r="AH1099" s="53">
        <v>90.783076923076919</v>
      </c>
      <c r="AI1099" s="53">
        <v>74.879230769230759</v>
      </c>
      <c r="AJ1099" s="53">
        <v>70.046923076923065</v>
      </c>
      <c r="AK1099" s="53" t="str">
        <f>_xlfn.XLOOKUP(Master[[#This Row],[cu_id]],'[1]Customer Revenue'!$Q:$Q,'[1]Customer Revenue'!$I:$I, "None")</f>
        <v>None</v>
      </c>
      <c r="AL1099" s="53">
        <v>71.736153846153826</v>
      </c>
      <c r="AM1099" s="61">
        <v>0.29166666666666669</v>
      </c>
      <c r="AN1099" s="60">
        <v>0.70833333333333337</v>
      </c>
      <c r="AO1099" s="60" t="s">
        <v>36</v>
      </c>
      <c r="AP1099" s="60" t="s">
        <v>36</v>
      </c>
      <c r="AQ1099" s="58" t="s">
        <v>0</v>
      </c>
      <c r="AR1099" s="58"/>
      <c r="AS1099" s="58"/>
      <c r="AT1099" s="52">
        <v>0</v>
      </c>
      <c r="AU1099" s="52" t="e">
        <f>IF(Master[[#This Row],[RSP StopTime override]] &lt;&gt; "",Master[[#This Row],[RSP StopTime override]],IF(Master[[#This Row],[Avg stop time helper]] &lt;&gt; 0, Master[[#This Row],[Avg stop time helper]],Average_Stop_Time))</f>
        <v>#DIV/0!</v>
      </c>
      <c r="AV1099" s="21"/>
      <c r="AW1099" s="20">
        <f>Master[[#This Row],[RSP StopTime override]]-Master[[#This Row],[Avg stop time helper]]</f>
        <v>0</v>
      </c>
    </row>
    <row r="1100" spans="1:49" x14ac:dyDescent="0.3">
      <c r="A1100" s="66" t="s">
        <v>5112</v>
      </c>
      <c r="B1100" s="58">
        <v>56</v>
      </c>
      <c r="C1100" s="58" t="s">
        <v>10</v>
      </c>
      <c r="D1100" s="65">
        <v>531883</v>
      </c>
      <c r="E1100" s="65" t="s">
        <v>42</v>
      </c>
      <c r="F1100" s="65" t="s">
        <v>1309</v>
      </c>
      <c r="G1100" s="65" t="s">
        <v>1308</v>
      </c>
      <c r="H1100" s="65" t="s">
        <v>7</v>
      </c>
      <c r="I1100" s="65" t="s">
        <v>1289</v>
      </c>
      <c r="J1100" s="65" t="s">
        <v>5</v>
      </c>
      <c r="K1100" s="65" t="s">
        <v>1292</v>
      </c>
      <c r="L1100" s="64" t="s">
        <v>141</v>
      </c>
      <c r="M1100" s="58" t="s">
        <v>140</v>
      </c>
      <c r="N1100" s="58" t="s">
        <v>2</v>
      </c>
      <c r="O1100" s="58">
        <v>42</v>
      </c>
      <c r="P1100" s="58">
        <v>0</v>
      </c>
      <c r="Q1100" s="58">
        <v>0</v>
      </c>
      <c r="R1100" s="58">
        <v>42</v>
      </c>
      <c r="S1100" s="58">
        <v>0</v>
      </c>
      <c r="T1100" s="58">
        <v>0</v>
      </c>
      <c r="U1100" s="58">
        <v>11</v>
      </c>
      <c r="V1100" s="62"/>
      <c r="W1100" s="62"/>
      <c r="X1100" s="63">
        <f>IFERROR(1 -(Master[[#This Row],[Avg Garment Scans per Delivery]]/Master[[#This Row],[Garment Inventory]]), 0)</f>
        <v>0</v>
      </c>
      <c r="Y1100" s="62"/>
      <c r="Z1100" s="62"/>
      <c r="AA1100" s="53">
        <v>19.7425</v>
      </c>
      <c r="AB1100" s="53">
        <v>59.227499999999999</v>
      </c>
      <c r="AC1100" s="53">
        <v>13.203888888888891</v>
      </c>
      <c r="AD1100" s="53">
        <v>95.706111111111113</v>
      </c>
      <c r="AE1100" s="53" t="str">
        <f>_xlfn.XLOOKUP(Master[[#This Row],[cu_id]],'[1]Customer Revenue'!$Q:$Q,'[1]Customer Revenue'!$K:$K, "None")</f>
        <v>None</v>
      </c>
      <c r="AF1100" s="53" t="str">
        <f>_xlfn.XLOOKUP(Master[[#This Row],[cu_id]],'[1]Customer Revenue'!$Q:$Q,'[1]Customer Revenue'!$L:$L, "None")</f>
        <v>None</v>
      </c>
      <c r="AG1100" s="53">
        <v>22.969183673469388</v>
      </c>
      <c r="AH1100" s="53">
        <v>54.650816326530617</v>
      </c>
      <c r="AI1100" s="53">
        <v>39.484999999999999</v>
      </c>
      <c r="AJ1100" s="53">
        <v>54.454999999999998</v>
      </c>
      <c r="AK1100" s="53" t="str">
        <f>_xlfn.XLOOKUP(Master[[#This Row],[cu_id]],'[1]Customer Revenue'!$Q:$Q,'[1]Customer Revenue'!$I:$I, "None")</f>
        <v>None</v>
      </c>
      <c r="AL1100" s="53">
        <v>38.81</v>
      </c>
      <c r="AM1100" s="61">
        <v>0.41666666666666669</v>
      </c>
      <c r="AN1100" s="60">
        <v>0.70833333333333337</v>
      </c>
      <c r="AO1100" s="60" t="s">
        <v>36</v>
      </c>
      <c r="AP1100" s="60" t="s">
        <v>36</v>
      </c>
      <c r="AQ1100" s="58" t="s">
        <v>0</v>
      </c>
      <c r="AR1100" s="58"/>
      <c r="AS1100" s="58"/>
      <c r="AT1100" s="52">
        <v>0</v>
      </c>
      <c r="AU1100" s="52" t="e">
        <f>IF(Master[[#This Row],[RSP StopTime override]] &lt;&gt; "",Master[[#This Row],[RSP StopTime override]],IF(Master[[#This Row],[Avg stop time helper]] &lt;&gt; 0, Master[[#This Row],[Avg stop time helper]],Average_Stop_Time))</f>
        <v>#DIV/0!</v>
      </c>
      <c r="AV1100" s="21"/>
      <c r="AW1100" s="20">
        <f>Master[[#This Row],[RSP StopTime override]]-Master[[#This Row],[Avg stop time helper]]</f>
        <v>0</v>
      </c>
    </row>
    <row r="1101" spans="1:49" x14ac:dyDescent="0.3">
      <c r="A1101" s="66" t="s">
        <v>5113</v>
      </c>
      <c r="B1101" s="58">
        <v>56</v>
      </c>
      <c r="C1101" s="58" t="s">
        <v>10</v>
      </c>
      <c r="D1101" s="65">
        <v>533535</v>
      </c>
      <c r="E1101" s="65" t="s">
        <v>42</v>
      </c>
      <c r="F1101" s="65" t="s">
        <v>1307</v>
      </c>
      <c r="G1101" s="65" t="s">
        <v>1306</v>
      </c>
      <c r="H1101" s="65" t="s">
        <v>7</v>
      </c>
      <c r="I1101" s="65" t="s">
        <v>814</v>
      </c>
      <c r="J1101" s="65" t="s">
        <v>5</v>
      </c>
      <c r="K1101" s="65" t="s">
        <v>813</v>
      </c>
      <c r="L1101" s="64" t="s">
        <v>77</v>
      </c>
      <c r="M1101" s="58" t="s">
        <v>29</v>
      </c>
      <c r="N1101" s="58" t="s">
        <v>2</v>
      </c>
      <c r="O1101" s="58">
        <v>49</v>
      </c>
      <c r="P1101" s="58">
        <v>0</v>
      </c>
      <c r="Q1101" s="58">
        <v>0</v>
      </c>
      <c r="R1101" s="58">
        <v>49</v>
      </c>
      <c r="S1101" s="58">
        <v>0</v>
      </c>
      <c r="T1101" s="58">
        <v>0</v>
      </c>
      <c r="U1101" s="58">
        <v>4</v>
      </c>
      <c r="V1101" s="62"/>
      <c r="W1101" s="62"/>
      <c r="X1101" s="63">
        <f>IFERROR(1 -(Master[[#This Row],[Avg Garment Scans per Delivery]]/Master[[#This Row],[Garment Inventory]]), 0)</f>
        <v>0</v>
      </c>
      <c r="Y1101" s="62"/>
      <c r="Z1101" s="62"/>
      <c r="AA1101" s="53">
        <v>49.149999999999991</v>
      </c>
      <c r="AB1101" s="53">
        <v>57.8</v>
      </c>
      <c r="AC1101" s="53">
        <v>57.727755102040824</v>
      </c>
      <c r="AD1101" s="53">
        <v>58.883673469387766</v>
      </c>
      <c r="AE1101" s="53" t="str">
        <f>_xlfn.XLOOKUP(Master[[#This Row],[cu_id]],'[1]Customer Revenue'!$Q:$Q,'[1]Customer Revenue'!$K:$K, "None")</f>
        <v>None</v>
      </c>
      <c r="AF1101" s="53" t="str">
        <f>_xlfn.XLOOKUP(Master[[#This Row],[cu_id]],'[1]Customer Revenue'!$Q:$Q,'[1]Customer Revenue'!$L:$L, "None")</f>
        <v>None</v>
      </c>
      <c r="AG1101" s="53">
        <v>49.149999999999991</v>
      </c>
      <c r="AH1101" s="53">
        <v>57.8</v>
      </c>
      <c r="AI1101" s="53">
        <v>53.474999999999994</v>
      </c>
      <c r="AJ1101" s="53">
        <v>58.305714285714295</v>
      </c>
      <c r="AK1101" s="53" t="str">
        <f>_xlfn.XLOOKUP(Master[[#This Row],[cu_id]],'[1]Customer Revenue'!$Q:$Q,'[1]Customer Revenue'!$I:$I, "None")</f>
        <v>None</v>
      </c>
      <c r="AL1101" s="53">
        <v>53.474999999999994</v>
      </c>
      <c r="AM1101" s="61">
        <v>0.375</v>
      </c>
      <c r="AN1101" s="60">
        <v>0.70833333333333337</v>
      </c>
      <c r="AO1101" s="60" t="s">
        <v>36</v>
      </c>
      <c r="AP1101" s="60" t="s">
        <v>36</v>
      </c>
      <c r="AQ1101" s="58" t="s">
        <v>0</v>
      </c>
      <c r="AR1101" s="58"/>
      <c r="AS1101" s="58"/>
      <c r="AT1101" s="52">
        <v>0</v>
      </c>
      <c r="AU1101" s="52" t="e">
        <f>IF(Master[[#This Row],[RSP StopTime override]] &lt;&gt; "",Master[[#This Row],[RSP StopTime override]],IF(Master[[#This Row],[Avg stop time helper]] &lt;&gt; 0, Master[[#This Row],[Avg stop time helper]],Average_Stop_Time))</f>
        <v>#DIV/0!</v>
      </c>
      <c r="AV1101" s="21"/>
      <c r="AW1101" s="20">
        <f>Master[[#This Row],[RSP StopTime override]]-Master[[#This Row],[Avg stop time helper]]</f>
        <v>0</v>
      </c>
    </row>
    <row r="1102" spans="1:49" x14ac:dyDescent="0.3">
      <c r="A1102" s="66" t="s">
        <v>5114</v>
      </c>
      <c r="B1102" s="58">
        <v>56</v>
      </c>
      <c r="C1102" s="58" t="s">
        <v>10</v>
      </c>
      <c r="D1102" s="65">
        <v>585576</v>
      </c>
      <c r="E1102" s="65" t="s">
        <v>42</v>
      </c>
      <c r="F1102" s="65" t="s">
        <v>1305</v>
      </c>
      <c r="G1102" s="65" t="s">
        <v>1304</v>
      </c>
      <c r="H1102" s="65" t="s">
        <v>32</v>
      </c>
      <c r="I1102" s="65" t="s">
        <v>1303</v>
      </c>
      <c r="J1102" s="65" t="s">
        <v>5</v>
      </c>
      <c r="K1102" s="65" t="s">
        <v>1302</v>
      </c>
      <c r="L1102" s="64" t="s">
        <v>77</v>
      </c>
      <c r="M1102" s="58" t="s">
        <v>29</v>
      </c>
      <c r="N1102" s="58" t="s">
        <v>2</v>
      </c>
      <c r="O1102" s="58">
        <v>35</v>
      </c>
      <c r="P1102" s="58">
        <v>0</v>
      </c>
      <c r="Q1102" s="58">
        <v>0</v>
      </c>
      <c r="R1102" s="58">
        <v>35</v>
      </c>
      <c r="S1102" s="58">
        <v>0</v>
      </c>
      <c r="T1102" s="58">
        <v>0</v>
      </c>
      <c r="U1102" s="58">
        <v>37</v>
      </c>
      <c r="V1102" s="62"/>
      <c r="W1102" s="62"/>
      <c r="X1102" s="63">
        <f>IFERROR(1 -(Master[[#This Row],[Avg Garment Scans per Delivery]]/Master[[#This Row],[Garment Inventory]]), 0)</f>
        <v>0</v>
      </c>
      <c r="Y1102" s="62"/>
      <c r="Z1102" s="62"/>
      <c r="AA1102" s="53">
        <v>106.88749999999999</v>
      </c>
      <c r="AB1102" s="53">
        <v>347.47250000000003</v>
      </c>
      <c r="AC1102" s="53">
        <v>98.822040816326535</v>
      </c>
      <c r="AD1102" s="53">
        <v>927.31510204081633</v>
      </c>
      <c r="AE1102" s="53" t="str">
        <f>_xlfn.XLOOKUP(Master[[#This Row],[cu_id]],'[1]Customer Revenue'!$Q:$Q,'[1]Customer Revenue'!$K:$K, "None")</f>
        <v>None</v>
      </c>
      <c r="AF1102" s="53" t="str">
        <f>_xlfn.XLOOKUP(Master[[#This Row],[cu_id]],'[1]Customer Revenue'!$Q:$Q,'[1]Customer Revenue'!$L:$L, "None")</f>
        <v>None</v>
      </c>
      <c r="AG1102" s="53">
        <v>119.80211072664358</v>
      </c>
      <c r="AH1102" s="53">
        <v>306.27435986159173</v>
      </c>
      <c r="AI1102" s="53">
        <v>227.18</v>
      </c>
      <c r="AJ1102" s="53">
        <v>513.06857142857143</v>
      </c>
      <c r="AK1102" s="53" t="str">
        <f>_xlfn.XLOOKUP(Master[[#This Row],[cu_id]],'[1]Customer Revenue'!$Q:$Q,'[1]Customer Revenue'!$I:$I, "None")</f>
        <v>None</v>
      </c>
      <c r="AL1102" s="53">
        <v>213.03823529411764</v>
      </c>
      <c r="AM1102" s="61" t="s">
        <v>36</v>
      </c>
      <c r="AN1102" s="60" t="s">
        <v>36</v>
      </c>
      <c r="AO1102" s="60" t="s">
        <v>36</v>
      </c>
      <c r="AP1102" s="60" t="s">
        <v>36</v>
      </c>
      <c r="AQ1102" s="58" t="s">
        <v>0</v>
      </c>
      <c r="AR1102" s="58"/>
      <c r="AS1102" s="58"/>
      <c r="AT1102" s="52">
        <v>0</v>
      </c>
      <c r="AU1102" s="52" t="e">
        <f>IF(Master[[#This Row],[RSP StopTime override]] &lt;&gt; "",Master[[#This Row],[RSP StopTime override]],IF(Master[[#This Row],[Avg stop time helper]] &lt;&gt; 0, Master[[#This Row],[Avg stop time helper]],Average_Stop_Time))</f>
        <v>#DIV/0!</v>
      </c>
      <c r="AV1102" s="21"/>
      <c r="AW1102" s="20">
        <f>Master[[#This Row],[RSP StopTime override]]-Master[[#This Row],[Avg stop time helper]]</f>
        <v>0</v>
      </c>
    </row>
    <row r="1103" spans="1:49" x14ac:dyDescent="0.3">
      <c r="A1103" s="66" t="s">
        <v>5115</v>
      </c>
      <c r="B1103" s="58">
        <v>56</v>
      </c>
      <c r="C1103" s="58" t="s">
        <v>10</v>
      </c>
      <c r="D1103" s="65">
        <v>804500</v>
      </c>
      <c r="E1103" s="65" t="s">
        <v>42</v>
      </c>
      <c r="F1103" s="65" t="s">
        <v>1301</v>
      </c>
      <c r="G1103" s="65" t="s">
        <v>1300</v>
      </c>
      <c r="H1103" s="65" t="s">
        <v>7</v>
      </c>
      <c r="I1103" s="65" t="s">
        <v>1299</v>
      </c>
      <c r="J1103" s="65" t="s">
        <v>5</v>
      </c>
      <c r="K1103" s="65" t="s">
        <v>129</v>
      </c>
      <c r="L1103" s="64" t="s">
        <v>67</v>
      </c>
      <c r="M1103" s="58" t="s">
        <v>3</v>
      </c>
      <c r="N1103" s="58" t="s">
        <v>2</v>
      </c>
      <c r="O1103" s="58">
        <v>91</v>
      </c>
      <c r="P1103" s="58">
        <v>0</v>
      </c>
      <c r="Q1103" s="58">
        <v>0</v>
      </c>
      <c r="R1103" s="58">
        <v>91</v>
      </c>
      <c r="S1103" s="58">
        <v>0</v>
      </c>
      <c r="T1103" s="58">
        <v>0</v>
      </c>
      <c r="U1103" s="58">
        <v>39</v>
      </c>
      <c r="V1103" s="62"/>
      <c r="W1103" s="62"/>
      <c r="X1103" s="63">
        <f>IFERROR(1 -(Master[[#This Row],[Avg Garment Scans per Delivery]]/Master[[#This Row],[Garment Inventory]]), 0)</f>
        <v>0</v>
      </c>
      <c r="Y1103" s="62"/>
      <c r="Z1103" s="62"/>
      <c r="AA1103" s="53">
        <v>20.373609467455619</v>
      </c>
      <c r="AB1103" s="53">
        <v>21.438698224852072</v>
      </c>
      <c r="AC1103" s="53">
        <v>21.923313609467456</v>
      </c>
      <c r="AD1103" s="53">
        <v>23.381301775147932</v>
      </c>
      <c r="AE1103" s="53" t="str">
        <f>_xlfn.XLOOKUP(Master[[#This Row],[cu_id]],'[1]Customer Revenue'!$Q:$Q,'[1]Customer Revenue'!$K:$K, "None")</f>
        <v>None</v>
      </c>
      <c r="AF1103" s="53" t="str">
        <f>_xlfn.XLOOKUP(Master[[#This Row],[cu_id]],'[1]Customer Revenue'!$Q:$Q,'[1]Customer Revenue'!$L:$L, "None")</f>
        <v>None</v>
      </c>
      <c r="AG1103" s="53">
        <v>20.426863905325444</v>
      </c>
      <c r="AH1103" s="53">
        <v>21.0392899408284</v>
      </c>
      <c r="AI1103" s="53">
        <v>20.906153846153845</v>
      </c>
      <c r="AJ1103" s="53">
        <v>22.652307692307694</v>
      </c>
      <c r="AK1103" s="53" t="str">
        <f>_xlfn.XLOOKUP(Master[[#This Row],[cu_id]],'[1]Customer Revenue'!$Q:$Q,'[1]Customer Revenue'!$I:$I, "None")</f>
        <v>None</v>
      </c>
      <c r="AL1103" s="53">
        <v>20.733076923076922</v>
      </c>
      <c r="AM1103" s="61">
        <v>0.375</v>
      </c>
      <c r="AN1103" s="60">
        <v>0.70833333333333337</v>
      </c>
      <c r="AO1103" s="60" t="s">
        <v>36</v>
      </c>
      <c r="AP1103" s="60" t="s">
        <v>36</v>
      </c>
      <c r="AQ1103" s="58" t="s">
        <v>0</v>
      </c>
      <c r="AR1103" s="58"/>
      <c r="AS1103" s="58"/>
      <c r="AT1103" s="52">
        <v>0</v>
      </c>
      <c r="AU1103" s="52" t="e">
        <f>IF(Master[[#This Row],[RSP StopTime override]] &lt;&gt; "",Master[[#This Row],[RSP StopTime override]],IF(Master[[#This Row],[Avg stop time helper]] &lt;&gt; 0, Master[[#This Row],[Avg stop time helper]],Average_Stop_Time))</f>
        <v>#DIV/0!</v>
      </c>
      <c r="AV1103" s="21"/>
      <c r="AW1103" s="20">
        <f>Master[[#This Row],[RSP StopTime override]]-Master[[#This Row],[Avg stop time helper]]</f>
        <v>0</v>
      </c>
    </row>
    <row r="1104" spans="1:49" x14ac:dyDescent="0.3">
      <c r="A1104" s="66" t="s">
        <v>4030</v>
      </c>
      <c r="B1104" s="58">
        <v>6</v>
      </c>
      <c r="C1104" s="58" t="s">
        <v>24</v>
      </c>
      <c r="D1104" s="65">
        <v>99161</v>
      </c>
      <c r="E1104" s="65" t="s">
        <v>2988</v>
      </c>
      <c r="F1104" s="65" t="s">
        <v>3747</v>
      </c>
      <c r="G1104" s="65" t="s">
        <v>3498</v>
      </c>
      <c r="H1104" s="65" t="s">
        <v>7</v>
      </c>
      <c r="I1104" s="65" t="s">
        <v>39</v>
      </c>
      <c r="J1104" s="65" t="s">
        <v>5</v>
      </c>
      <c r="K1104" s="65" t="s">
        <v>3203</v>
      </c>
      <c r="L1104" s="64" t="s">
        <v>67</v>
      </c>
      <c r="M1104" s="58" t="s">
        <v>3</v>
      </c>
      <c r="N1104" s="58" t="s">
        <v>2</v>
      </c>
      <c r="O1104" s="58">
        <v>1</v>
      </c>
      <c r="P1104" s="58">
        <v>1</v>
      </c>
      <c r="Q1104" s="58">
        <v>0</v>
      </c>
      <c r="R1104" s="58">
        <v>0</v>
      </c>
      <c r="S1104" s="58">
        <v>0</v>
      </c>
      <c r="T1104" s="58">
        <v>0</v>
      </c>
      <c r="U1104" s="58">
        <v>1</v>
      </c>
      <c r="V1104" s="62"/>
      <c r="W1104" s="62"/>
      <c r="X1104" s="63">
        <f>IFERROR(1 -(Master[[#This Row],[Avg Garment Scans per Delivery]]/Master[[#This Row],[Garment Inventory]]), 0)</f>
        <v>0</v>
      </c>
      <c r="Y1104" s="62"/>
      <c r="Z1104" s="62"/>
      <c r="AA1104" s="53"/>
      <c r="AB1104" s="53"/>
      <c r="AC1104" s="53"/>
      <c r="AD1104" s="53"/>
      <c r="AE1104" s="53" t="str">
        <f>_xlfn.XLOOKUP(Master[[#This Row],[cu_id]],'[1]Customer Revenue'!$Q:$Q,'[1]Customer Revenue'!$K:$K, "0")</f>
        <v>0</v>
      </c>
      <c r="AF1104" s="53" t="str">
        <f>_xlfn.XLOOKUP(Master[[#This Row],[cu_id]],'[1]Customer Revenue'!$Q:$Q,'[1]Customer Revenue'!$L:$L, "0")</f>
        <v>0</v>
      </c>
      <c r="AG1104" s="53"/>
      <c r="AH1104" s="53"/>
      <c r="AI1104" s="53"/>
      <c r="AJ1104" s="53"/>
      <c r="AK1104" s="53" t="str">
        <f>_xlfn.XLOOKUP(Master[[#This Row],[cu_id]],'[1]Customer Revenue'!$Q:$Q,'[1]Customer Revenue'!$I:$I, "0")</f>
        <v>0</v>
      </c>
      <c r="AL1104" s="53"/>
      <c r="AM1104" s="61">
        <v>0.25</v>
      </c>
      <c r="AN1104" s="60">
        <v>0.5</v>
      </c>
      <c r="AO1104" s="60" t="s">
        <v>36</v>
      </c>
      <c r="AP1104" s="60" t="s">
        <v>36</v>
      </c>
      <c r="AQ1104" s="58" t="s">
        <v>0</v>
      </c>
      <c r="AR1104" s="58"/>
      <c r="AS1104" s="58"/>
      <c r="AT1104" s="52">
        <v>0</v>
      </c>
      <c r="AU1104" s="52" t="e">
        <f>IF(Master[[#This Row],[RSP StopTime override]] &lt;&gt; "",Master[[#This Row],[RSP StopTime override]],IF(Master[[#This Row],[Avg stop time helper]] &lt;&gt; 0, Master[[#This Row],[Avg stop time helper]],Average_Stop_Time))</f>
        <v>#DIV/0!</v>
      </c>
      <c r="AV1104" s="21"/>
      <c r="AW1104" s="20">
        <f>Master[[#This Row],[RSP StopTime override]]-Master[[#This Row],[Avg stop time helper]]</f>
        <v>0</v>
      </c>
    </row>
    <row r="1105" spans="1:49" x14ac:dyDescent="0.3">
      <c r="A1105" s="66" t="s">
        <v>5116</v>
      </c>
      <c r="B1105" s="58">
        <v>56</v>
      </c>
      <c r="C1105" s="58" t="s">
        <v>10</v>
      </c>
      <c r="D1105" s="65">
        <v>806238</v>
      </c>
      <c r="E1105" s="65" t="s">
        <v>1201</v>
      </c>
      <c r="F1105" s="65" t="s">
        <v>1298</v>
      </c>
      <c r="G1105" s="65" t="s">
        <v>1297</v>
      </c>
      <c r="H1105" s="65" t="s">
        <v>7</v>
      </c>
      <c r="I1105" s="65" t="s">
        <v>814</v>
      </c>
      <c r="J1105" s="65" t="s">
        <v>5</v>
      </c>
      <c r="K1105" s="65" t="s">
        <v>813</v>
      </c>
      <c r="L1105" s="64" t="s">
        <v>67</v>
      </c>
      <c r="M1105" s="58" t="s">
        <v>3</v>
      </c>
      <c r="N1105" s="58" t="s">
        <v>2</v>
      </c>
      <c r="O1105" s="58">
        <v>50</v>
      </c>
      <c r="P1105" s="58">
        <v>0</v>
      </c>
      <c r="Q1105" s="58">
        <v>0</v>
      </c>
      <c r="R1105" s="58">
        <v>50</v>
      </c>
      <c r="S1105" s="58">
        <v>0</v>
      </c>
      <c r="T1105" s="58">
        <v>0</v>
      </c>
      <c r="U1105" s="58">
        <v>39</v>
      </c>
      <c r="V1105" s="62"/>
      <c r="W1105" s="62"/>
      <c r="X1105" s="63">
        <f>IFERROR(1 -(Master[[#This Row],[Avg Garment Scans per Delivery]]/Master[[#This Row],[Garment Inventory]]), 0)</f>
        <v>0</v>
      </c>
      <c r="Y1105" s="62"/>
      <c r="Z1105" s="62"/>
      <c r="AA1105" s="53">
        <v>35.256449704142014</v>
      </c>
      <c r="AB1105" s="53">
        <v>55.3712426035503</v>
      </c>
      <c r="AC1105" s="53">
        <v>32.265029585798814</v>
      </c>
      <c r="AD1105" s="53">
        <v>49.493431952662718</v>
      </c>
      <c r="AE1105" s="53" t="str">
        <f>_xlfn.XLOOKUP(Master[[#This Row],[cu_id]],'[1]Customer Revenue'!$Q:$Q,'[1]Customer Revenue'!$K:$K, "None")</f>
        <v>None</v>
      </c>
      <c r="AF1105" s="53" t="str">
        <f>_xlfn.XLOOKUP(Master[[#This Row],[cu_id]],'[1]Customer Revenue'!$Q:$Q,'[1]Customer Revenue'!$L:$L, "None")</f>
        <v>None</v>
      </c>
      <c r="AG1105" s="53">
        <v>38.821538461538474</v>
      </c>
      <c r="AH1105" s="53">
        <v>58.794615384615405</v>
      </c>
      <c r="AI1105" s="53">
        <v>45.313846153846157</v>
      </c>
      <c r="AJ1105" s="53">
        <v>40.879230769230766</v>
      </c>
      <c r="AK1105" s="53" t="str">
        <f>_xlfn.XLOOKUP(Master[[#This Row],[cu_id]],'[1]Customer Revenue'!$Q:$Q,'[1]Customer Revenue'!$I:$I, "None")</f>
        <v>None</v>
      </c>
      <c r="AL1105" s="53">
        <v>48.808076923076939</v>
      </c>
      <c r="AM1105" s="61">
        <v>0.375</v>
      </c>
      <c r="AN1105" s="60">
        <v>0.70833333333333337</v>
      </c>
      <c r="AO1105" s="60" t="s">
        <v>36</v>
      </c>
      <c r="AP1105" s="60" t="s">
        <v>36</v>
      </c>
      <c r="AQ1105" s="58" t="s">
        <v>0</v>
      </c>
      <c r="AR1105" s="58"/>
      <c r="AS1105" s="58"/>
      <c r="AT1105" s="52">
        <v>0</v>
      </c>
      <c r="AU1105" s="52" t="e">
        <f>IF(Master[[#This Row],[RSP StopTime override]] &lt;&gt; "",Master[[#This Row],[RSP StopTime override]],IF(Master[[#This Row],[Avg stop time helper]] &lt;&gt; 0, Master[[#This Row],[Avg stop time helper]],Average_Stop_Time))</f>
        <v>#DIV/0!</v>
      </c>
      <c r="AV1105" s="21"/>
      <c r="AW1105" s="20">
        <f>Master[[#This Row],[RSP StopTime override]]-Master[[#This Row],[Avg stop time helper]]</f>
        <v>0</v>
      </c>
    </row>
    <row r="1106" spans="1:49" x14ac:dyDescent="0.3">
      <c r="A1106" s="66" t="s">
        <v>4136</v>
      </c>
      <c r="B1106" s="58">
        <v>56</v>
      </c>
      <c r="C1106" s="58" t="s">
        <v>10</v>
      </c>
      <c r="D1106" s="65">
        <v>806239</v>
      </c>
      <c r="E1106" s="65" t="s">
        <v>42</v>
      </c>
      <c r="F1106" s="65" t="s">
        <v>1296</v>
      </c>
      <c r="G1106" s="65" t="s">
        <v>1295</v>
      </c>
      <c r="H1106" s="65" t="s">
        <v>7</v>
      </c>
      <c r="I1106" s="65" t="s">
        <v>814</v>
      </c>
      <c r="J1106" s="65" t="s">
        <v>5</v>
      </c>
      <c r="K1106" s="65" t="s">
        <v>813</v>
      </c>
      <c r="L1106" s="64" t="s">
        <v>77</v>
      </c>
      <c r="M1106" s="58" t="s">
        <v>29</v>
      </c>
      <c r="N1106" s="58" t="s">
        <v>2</v>
      </c>
      <c r="O1106" s="58">
        <v>43</v>
      </c>
      <c r="P1106" s="58">
        <v>0</v>
      </c>
      <c r="Q1106" s="58">
        <v>0</v>
      </c>
      <c r="R1106" s="58">
        <v>43</v>
      </c>
      <c r="S1106" s="58">
        <v>0</v>
      </c>
      <c r="T1106" s="58">
        <v>0</v>
      </c>
      <c r="U1106" s="58">
        <v>19</v>
      </c>
      <c r="V1106" s="62"/>
      <c r="W1106" s="62"/>
      <c r="X1106" s="63">
        <f>IFERROR(1 -(Master[[#This Row],[Avg Garment Scans per Delivery]]/Master[[#This Row],[Garment Inventory]]), 0)</f>
        <v>0</v>
      </c>
      <c r="Y1106" s="62"/>
      <c r="Z1106" s="62"/>
      <c r="AA1106" s="53">
        <v>36.115238095238091</v>
      </c>
      <c r="AB1106" s="53">
        <v>63.658095238095235</v>
      </c>
      <c r="AC1106" s="53">
        <v>57.955714285714286</v>
      </c>
      <c r="AD1106" s="53">
        <v>59.464285714285715</v>
      </c>
      <c r="AE1106" s="53" t="str">
        <f>_xlfn.XLOOKUP(Master[[#This Row],[cu_id]],'[1]Customer Revenue'!$Q:$Q,'[1]Customer Revenue'!$K:$K, "None")</f>
        <v>None</v>
      </c>
      <c r="AF1106" s="53" t="str">
        <f>_xlfn.XLOOKUP(Master[[#This Row],[cu_id]],'[1]Customer Revenue'!$Q:$Q,'[1]Customer Revenue'!$L:$L, "None")</f>
        <v>None</v>
      </c>
      <c r="AG1106" s="53">
        <v>40.529309262166407</v>
      </c>
      <c r="AH1106" s="53">
        <v>59.399921507064363</v>
      </c>
      <c r="AI1106" s="53">
        <v>49.886666666666663</v>
      </c>
      <c r="AJ1106" s="53">
        <v>58.71</v>
      </c>
      <c r="AK1106" s="53" t="str">
        <f>_xlfn.XLOOKUP(Master[[#This Row],[cu_id]],'[1]Customer Revenue'!$Q:$Q,'[1]Customer Revenue'!$I:$I, "None")</f>
        <v>None</v>
      </c>
      <c r="AL1106" s="53">
        <v>49.964615384615385</v>
      </c>
      <c r="AM1106" s="61">
        <v>0.29166666666666669</v>
      </c>
      <c r="AN1106" s="60">
        <v>0.70833333333333337</v>
      </c>
      <c r="AO1106" s="60" t="s">
        <v>36</v>
      </c>
      <c r="AP1106" s="60" t="s">
        <v>36</v>
      </c>
      <c r="AQ1106" s="58" t="s">
        <v>0</v>
      </c>
      <c r="AR1106" s="58"/>
      <c r="AS1106" s="58"/>
      <c r="AT1106" s="52">
        <v>0</v>
      </c>
      <c r="AU1106" s="52" t="e">
        <f>IF(Master[[#This Row],[RSP StopTime override]] &lt;&gt; "",Master[[#This Row],[RSP StopTime override]],IF(Master[[#This Row],[Avg stop time helper]] &lt;&gt; 0, Master[[#This Row],[Avg stop time helper]],Average_Stop_Time))</f>
        <v>#DIV/0!</v>
      </c>
      <c r="AV1106" s="21"/>
      <c r="AW1106" s="20">
        <f>Master[[#This Row],[RSP StopTime override]]-Master[[#This Row],[Avg stop time helper]]</f>
        <v>0</v>
      </c>
    </row>
    <row r="1107" spans="1:49" x14ac:dyDescent="0.3">
      <c r="A1107" s="66" t="s">
        <v>5117</v>
      </c>
      <c r="B1107" s="58">
        <v>56</v>
      </c>
      <c r="C1107" s="58" t="s">
        <v>10</v>
      </c>
      <c r="D1107" s="65">
        <v>806240</v>
      </c>
      <c r="E1107" s="65" t="s">
        <v>42</v>
      </c>
      <c r="F1107" s="65" t="s">
        <v>1294</v>
      </c>
      <c r="G1107" s="65" t="s">
        <v>1293</v>
      </c>
      <c r="H1107" s="65" t="s">
        <v>7</v>
      </c>
      <c r="I1107" s="65" t="s">
        <v>1289</v>
      </c>
      <c r="J1107" s="65" t="s">
        <v>5</v>
      </c>
      <c r="K1107" s="65" t="s">
        <v>1292</v>
      </c>
      <c r="L1107" s="64" t="s">
        <v>206</v>
      </c>
      <c r="M1107" s="58" t="s">
        <v>205</v>
      </c>
      <c r="N1107" s="58" t="s">
        <v>2</v>
      </c>
      <c r="O1107" s="58">
        <v>37</v>
      </c>
      <c r="P1107" s="58">
        <v>0</v>
      </c>
      <c r="Q1107" s="58">
        <v>0</v>
      </c>
      <c r="R1107" s="58">
        <v>37</v>
      </c>
      <c r="S1107" s="58">
        <v>0</v>
      </c>
      <c r="T1107" s="58">
        <v>0</v>
      </c>
      <c r="U1107" s="58">
        <v>9</v>
      </c>
      <c r="V1107" s="62"/>
      <c r="W1107" s="62"/>
      <c r="X1107" s="63">
        <f>IFERROR(1 -(Master[[#This Row],[Avg Garment Scans per Delivery]]/Master[[#This Row],[Garment Inventory]]), 0)</f>
        <v>0</v>
      </c>
      <c r="Y1107" s="62"/>
      <c r="Z1107" s="62"/>
      <c r="AA1107" s="53">
        <v>18.940000000000001</v>
      </c>
      <c r="AB1107" s="53">
        <v>18.940000000000001</v>
      </c>
      <c r="AC1107" s="53">
        <v>20.440000000000001</v>
      </c>
      <c r="AD1107" s="53">
        <v>21.98</v>
      </c>
      <c r="AE1107" s="53" t="str">
        <f>_xlfn.XLOOKUP(Master[[#This Row],[cu_id]],'[1]Customer Revenue'!$Q:$Q,'[1]Customer Revenue'!$K:$K, "None")</f>
        <v>None</v>
      </c>
      <c r="AF1107" s="53" t="str">
        <f>_xlfn.XLOOKUP(Master[[#This Row],[cu_id]],'[1]Customer Revenue'!$Q:$Q,'[1]Customer Revenue'!$L:$L, "None")</f>
        <v>None</v>
      </c>
      <c r="AG1107" s="53">
        <v>14.301632653061224</v>
      </c>
      <c r="AH1107" s="53">
        <v>23.578367346938776</v>
      </c>
      <c r="AI1107" s="53">
        <v>18.940000000000001</v>
      </c>
      <c r="AJ1107" s="53">
        <v>21.21</v>
      </c>
      <c r="AK1107" s="53" t="str">
        <f>_xlfn.XLOOKUP(Master[[#This Row],[cu_id]],'[1]Customer Revenue'!$Q:$Q,'[1]Customer Revenue'!$I:$I, "None")</f>
        <v>None</v>
      </c>
      <c r="AL1107" s="53">
        <v>18.940000000000001</v>
      </c>
      <c r="AM1107" s="61" t="s">
        <v>36</v>
      </c>
      <c r="AN1107" s="60" t="s">
        <v>36</v>
      </c>
      <c r="AO1107" s="60" t="s">
        <v>36</v>
      </c>
      <c r="AP1107" s="60" t="s">
        <v>36</v>
      </c>
      <c r="AQ1107" s="58" t="s">
        <v>0</v>
      </c>
      <c r="AR1107" s="58"/>
      <c r="AS1107" s="58"/>
      <c r="AT1107" s="52">
        <v>0</v>
      </c>
      <c r="AU1107" s="52" t="e">
        <f>IF(Master[[#This Row],[RSP StopTime override]] &lt;&gt; "",Master[[#This Row],[RSP StopTime override]],IF(Master[[#This Row],[Avg stop time helper]] &lt;&gt; 0, Master[[#This Row],[Avg stop time helper]],Average_Stop_Time))</f>
        <v>#DIV/0!</v>
      </c>
      <c r="AV1107" s="21"/>
      <c r="AW1107" s="20">
        <f>Master[[#This Row],[RSP StopTime override]]-Master[[#This Row],[Avg stop time helper]]</f>
        <v>0</v>
      </c>
    </row>
    <row r="1108" spans="1:49" x14ac:dyDescent="0.3">
      <c r="A1108" s="66" t="s">
        <v>5118</v>
      </c>
      <c r="B1108" s="58">
        <v>56</v>
      </c>
      <c r="C1108" s="58" t="s">
        <v>10</v>
      </c>
      <c r="D1108" s="65">
        <v>806241</v>
      </c>
      <c r="E1108" s="65" t="s">
        <v>42</v>
      </c>
      <c r="F1108" s="65" t="s">
        <v>1291</v>
      </c>
      <c r="G1108" s="65" t="s">
        <v>1290</v>
      </c>
      <c r="H1108" s="65" t="s">
        <v>7</v>
      </c>
      <c r="I1108" s="65" t="s">
        <v>1289</v>
      </c>
      <c r="J1108" s="65" t="s">
        <v>5</v>
      </c>
      <c r="K1108" s="65" t="s">
        <v>813</v>
      </c>
      <c r="L1108" s="64" t="s">
        <v>91</v>
      </c>
      <c r="M1108" s="58" t="s">
        <v>90</v>
      </c>
      <c r="N1108" s="58" t="s">
        <v>2</v>
      </c>
      <c r="O1108" s="58">
        <v>38</v>
      </c>
      <c r="P1108" s="58">
        <v>0</v>
      </c>
      <c r="Q1108" s="58">
        <v>0</v>
      </c>
      <c r="R1108" s="58">
        <v>38</v>
      </c>
      <c r="S1108" s="58">
        <v>0</v>
      </c>
      <c r="T1108" s="58">
        <v>0</v>
      </c>
      <c r="U1108" s="58">
        <v>19</v>
      </c>
      <c r="V1108" s="62"/>
      <c r="W1108" s="62"/>
      <c r="X1108" s="63">
        <f>IFERROR(1 -(Master[[#This Row],[Avg Garment Scans per Delivery]]/Master[[#This Row],[Garment Inventory]]), 0)</f>
        <v>0</v>
      </c>
      <c r="Y1108" s="62"/>
      <c r="Z1108" s="62"/>
      <c r="AA1108" s="53">
        <v>26.373333333333331</v>
      </c>
      <c r="AB1108" s="53">
        <v>27.70666666666666</v>
      </c>
      <c r="AC1108" s="53">
        <v>27.868888888888886</v>
      </c>
      <c r="AD1108" s="53">
        <v>29.237777777777776</v>
      </c>
      <c r="AE1108" s="53" t="str">
        <f>_xlfn.XLOOKUP(Master[[#This Row],[cu_id]],'[1]Customer Revenue'!$Q:$Q,'[1]Customer Revenue'!$K:$K, "None")</f>
        <v>None</v>
      </c>
      <c r="AF1108" s="53" t="str">
        <f>_xlfn.XLOOKUP(Master[[#This Row],[cu_id]],'[1]Customer Revenue'!$Q:$Q,'[1]Customer Revenue'!$L:$L, "None")</f>
        <v>None</v>
      </c>
      <c r="AG1108" s="53">
        <v>22.985502958579886</v>
      </c>
      <c r="AH1108" s="53">
        <v>30.594497041420119</v>
      </c>
      <c r="AI1108" s="53">
        <v>27.039999999999996</v>
      </c>
      <c r="AJ1108" s="53">
        <v>28.553333333333331</v>
      </c>
      <c r="AK1108" s="53" t="str">
        <f>_xlfn.XLOOKUP(Master[[#This Row],[cu_id]],'[1]Customer Revenue'!$Q:$Q,'[1]Customer Revenue'!$I:$I, "None")</f>
        <v>None</v>
      </c>
      <c r="AL1108" s="53">
        <v>26.790000000000003</v>
      </c>
      <c r="AM1108" s="61" t="s">
        <v>36</v>
      </c>
      <c r="AN1108" s="60" t="s">
        <v>36</v>
      </c>
      <c r="AO1108" s="60" t="s">
        <v>36</v>
      </c>
      <c r="AP1108" s="60" t="s">
        <v>36</v>
      </c>
      <c r="AQ1108" s="58" t="s">
        <v>0</v>
      </c>
      <c r="AR1108" s="58"/>
      <c r="AS1108" s="58"/>
      <c r="AT1108" s="52">
        <v>0</v>
      </c>
      <c r="AU1108" s="52" t="e">
        <f>IF(Master[[#This Row],[RSP StopTime override]] &lt;&gt; "",Master[[#This Row],[RSP StopTime override]],IF(Master[[#This Row],[Avg stop time helper]] &lt;&gt; 0, Master[[#This Row],[Avg stop time helper]],Average_Stop_Time))</f>
        <v>#DIV/0!</v>
      </c>
      <c r="AV1108" s="21"/>
      <c r="AW1108" s="20">
        <f>Master[[#This Row],[RSP StopTime override]]-Master[[#This Row],[Avg stop time helper]]</f>
        <v>0</v>
      </c>
    </row>
    <row r="1109" spans="1:49" x14ac:dyDescent="0.3">
      <c r="A1109" s="66" t="s">
        <v>5119</v>
      </c>
      <c r="B1109" s="58">
        <v>56</v>
      </c>
      <c r="C1109" s="58" t="s">
        <v>10</v>
      </c>
      <c r="D1109" s="65">
        <v>808198</v>
      </c>
      <c r="E1109" s="65" t="s">
        <v>42</v>
      </c>
      <c r="F1109" s="65" t="s">
        <v>1288</v>
      </c>
      <c r="G1109" s="65" t="s">
        <v>1287</v>
      </c>
      <c r="H1109" s="65" t="s">
        <v>7</v>
      </c>
      <c r="I1109" s="65" t="s">
        <v>152</v>
      </c>
      <c r="J1109" s="65" t="s">
        <v>5</v>
      </c>
      <c r="K1109" s="65" t="s">
        <v>4</v>
      </c>
      <c r="L1109" s="64" t="s">
        <v>67</v>
      </c>
      <c r="M1109" s="58" t="s">
        <v>3</v>
      </c>
      <c r="N1109" s="58" t="s">
        <v>2</v>
      </c>
      <c r="O1109" s="58">
        <v>94</v>
      </c>
      <c r="P1109" s="58">
        <v>0</v>
      </c>
      <c r="Q1109" s="58">
        <v>0</v>
      </c>
      <c r="R1109" s="58">
        <v>94</v>
      </c>
      <c r="S1109" s="58">
        <v>0</v>
      </c>
      <c r="T1109" s="58">
        <v>0</v>
      </c>
      <c r="U1109" s="58">
        <v>40</v>
      </c>
      <c r="V1109" s="62"/>
      <c r="W1109" s="62"/>
      <c r="X1109" s="63">
        <f>IFERROR(1 -(Master[[#This Row],[Avg Garment Scans per Delivery]]/Master[[#This Row],[Garment Inventory]]), 0)</f>
        <v>0</v>
      </c>
      <c r="Y1109" s="62"/>
      <c r="Z1109" s="62"/>
      <c r="AA1109" s="53">
        <v>53.704201183431955</v>
      </c>
      <c r="AB1109" s="53">
        <v>59.952721893491123</v>
      </c>
      <c r="AC1109" s="53">
        <v>59.593313609467451</v>
      </c>
      <c r="AD1109" s="53">
        <v>61.051301775147927</v>
      </c>
      <c r="AE1109" s="53" t="str">
        <f>_xlfn.XLOOKUP(Master[[#This Row],[cu_id]],'[1]Customer Revenue'!$Q:$Q,'[1]Customer Revenue'!$K:$K, "None")</f>
        <v>None</v>
      </c>
      <c r="AF1109" s="53" t="str">
        <f>_xlfn.XLOOKUP(Master[[#This Row],[cu_id]],'[1]Customer Revenue'!$Q:$Q,'[1]Customer Revenue'!$L:$L, "None")</f>
        <v>None</v>
      </c>
      <c r="AG1109" s="53">
        <v>55.160946502057612</v>
      </c>
      <c r="AH1109" s="53">
        <v>62.136090534979431</v>
      </c>
      <c r="AI1109" s="53">
        <v>56.828461538461539</v>
      </c>
      <c r="AJ1109" s="53">
        <v>60.322307692307689</v>
      </c>
      <c r="AK1109" s="53" t="str">
        <f>_xlfn.XLOOKUP(Master[[#This Row],[cu_id]],'[1]Customer Revenue'!$Q:$Q,'[1]Customer Revenue'!$I:$I, "None")</f>
        <v>None</v>
      </c>
      <c r="AL1109" s="53">
        <v>58.648518518518522</v>
      </c>
      <c r="AM1109" s="61">
        <v>0.3125</v>
      </c>
      <c r="AN1109" s="60">
        <v>0.70833333333333337</v>
      </c>
      <c r="AO1109" s="60" t="s">
        <v>36</v>
      </c>
      <c r="AP1109" s="60" t="s">
        <v>36</v>
      </c>
      <c r="AQ1109" s="58" t="s">
        <v>0</v>
      </c>
      <c r="AR1109" s="58"/>
      <c r="AS1109" s="58"/>
      <c r="AT1109" s="52">
        <v>0</v>
      </c>
      <c r="AU1109" s="52" t="e">
        <f>IF(Master[[#This Row],[RSP StopTime override]] &lt;&gt; "",Master[[#This Row],[RSP StopTime override]],IF(Master[[#This Row],[Avg stop time helper]] &lt;&gt; 0, Master[[#This Row],[Avg stop time helper]],Average_Stop_Time))</f>
        <v>#DIV/0!</v>
      </c>
      <c r="AV1109" s="21"/>
      <c r="AW1109" s="20">
        <f>Master[[#This Row],[RSP StopTime override]]-Master[[#This Row],[Avg stop time helper]]</f>
        <v>0</v>
      </c>
    </row>
    <row r="1110" spans="1:49" x14ac:dyDescent="0.3">
      <c r="A1110" s="66" t="s">
        <v>5120</v>
      </c>
      <c r="B1110" s="58">
        <v>56</v>
      </c>
      <c r="C1110" s="58" t="s">
        <v>10</v>
      </c>
      <c r="D1110" s="65">
        <v>808200</v>
      </c>
      <c r="E1110" s="65" t="s">
        <v>42</v>
      </c>
      <c r="F1110" s="65" t="s">
        <v>1286</v>
      </c>
      <c r="G1110" s="65" t="s">
        <v>1285</v>
      </c>
      <c r="H1110" s="65" t="s">
        <v>7</v>
      </c>
      <c r="I1110" s="65" t="s">
        <v>712</v>
      </c>
      <c r="J1110" s="65" t="s">
        <v>5</v>
      </c>
      <c r="K1110" s="65" t="s">
        <v>4</v>
      </c>
      <c r="L1110" s="64" t="s">
        <v>91</v>
      </c>
      <c r="M1110" s="58" t="s">
        <v>90</v>
      </c>
      <c r="N1110" s="58" t="s">
        <v>2</v>
      </c>
      <c r="O1110" s="58">
        <v>93</v>
      </c>
      <c r="P1110" s="58">
        <v>0</v>
      </c>
      <c r="Q1110" s="58">
        <v>0</v>
      </c>
      <c r="R1110" s="58">
        <v>93</v>
      </c>
      <c r="S1110" s="58">
        <v>0</v>
      </c>
      <c r="T1110" s="58">
        <v>0</v>
      </c>
      <c r="U1110" s="58">
        <v>23</v>
      </c>
      <c r="V1110" s="62"/>
      <c r="W1110" s="62"/>
      <c r="X1110" s="63">
        <f>IFERROR(1 -(Master[[#This Row],[Avg Garment Scans per Delivery]]/Master[[#This Row],[Garment Inventory]]), 0)</f>
        <v>0</v>
      </c>
      <c r="Y1110" s="62"/>
      <c r="Z1110" s="62"/>
      <c r="AA1110" s="53">
        <v>33.892244897959188</v>
      </c>
      <c r="AB1110" s="53">
        <v>34.930612244897958</v>
      </c>
      <c r="AC1110" s="53">
        <v>38.646666666666668</v>
      </c>
      <c r="AD1110" s="53">
        <v>53.153333333333329</v>
      </c>
      <c r="AE1110" s="53" t="str">
        <f>_xlfn.XLOOKUP(Master[[#This Row],[cu_id]],'[1]Customer Revenue'!$Q:$Q,'[1]Customer Revenue'!$K:$K, "None")</f>
        <v>None</v>
      </c>
      <c r="AF1110" s="53" t="str">
        <f>_xlfn.XLOOKUP(Master[[#This Row],[cu_id]],'[1]Customer Revenue'!$Q:$Q,'[1]Customer Revenue'!$L:$L, "None")</f>
        <v>None</v>
      </c>
      <c r="AG1110" s="53">
        <v>29.449013806706105</v>
      </c>
      <c r="AH1110" s="53">
        <v>39.197652859960556</v>
      </c>
      <c r="AI1110" s="53">
        <v>34.411428571428573</v>
      </c>
      <c r="AJ1110" s="53">
        <v>45.9</v>
      </c>
      <c r="AK1110" s="53" t="str">
        <f>_xlfn.XLOOKUP(Master[[#This Row],[cu_id]],'[1]Customer Revenue'!$Q:$Q,'[1]Customer Revenue'!$I:$I, "None")</f>
        <v>None</v>
      </c>
      <c r="AL1110" s="53">
        <v>34.323333333333331</v>
      </c>
      <c r="AM1110" s="61">
        <v>0.45833333333333331</v>
      </c>
      <c r="AN1110" s="60">
        <v>0.70833333333333337</v>
      </c>
      <c r="AO1110" s="60" t="s">
        <v>36</v>
      </c>
      <c r="AP1110" s="60" t="s">
        <v>36</v>
      </c>
      <c r="AQ1110" s="58" t="s">
        <v>0</v>
      </c>
      <c r="AR1110" s="58"/>
      <c r="AS1110" s="58"/>
      <c r="AT1110" s="52">
        <v>0</v>
      </c>
      <c r="AU1110" s="52" t="e">
        <f>IF(Master[[#This Row],[RSP StopTime override]] &lt;&gt; "",Master[[#This Row],[RSP StopTime override]],IF(Master[[#This Row],[Avg stop time helper]] &lt;&gt; 0, Master[[#This Row],[Avg stop time helper]],Average_Stop_Time))</f>
        <v>#DIV/0!</v>
      </c>
      <c r="AV1110" s="21"/>
      <c r="AW1110" s="20">
        <f>Master[[#This Row],[RSP StopTime override]]-Master[[#This Row],[Avg stop time helper]]</f>
        <v>0</v>
      </c>
    </row>
    <row r="1111" spans="1:49" x14ac:dyDescent="0.3">
      <c r="A1111" s="66" t="s">
        <v>5121</v>
      </c>
      <c r="B1111" s="58">
        <v>56</v>
      </c>
      <c r="C1111" s="58" t="s">
        <v>10</v>
      </c>
      <c r="D1111" s="65">
        <v>808244</v>
      </c>
      <c r="E1111" s="65" t="s">
        <v>42</v>
      </c>
      <c r="F1111" s="65" t="s">
        <v>1284</v>
      </c>
      <c r="G1111" s="65" t="s">
        <v>1283</v>
      </c>
      <c r="H1111" s="65" t="s">
        <v>7</v>
      </c>
      <c r="I1111" s="65" t="s">
        <v>814</v>
      </c>
      <c r="J1111" s="65" t="s">
        <v>5</v>
      </c>
      <c r="K1111" s="65" t="s">
        <v>813</v>
      </c>
      <c r="L1111" s="64" t="s">
        <v>67</v>
      </c>
      <c r="M1111" s="58" t="s">
        <v>3</v>
      </c>
      <c r="N1111" s="58" t="s">
        <v>2</v>
      </c>
      <c r="O1111" s="58">
        <v>52</v>
      </c>
      <c r="P1111" s="58">
        <v>0</v>
      </c>
      <c r="Q1111" s="58">
        <v>0</v>
      </c>
      <c r="R1111" s="58">
        <v>52</v>
      </c>
      <c r="S1111" s="58">
        <v>0</v>
      </c>
      <c r="T1111" s="58">
        <v>0</v>
      </c>
      <c r="U1111" s="58">
        <v>39</v>
      </c>
      <c r="V1111" s="62">
        <v>19</v>
      </c>
      <c r="W1111" s="62">
        <v>1</v>
      </c>
      <c r="X1111" s="63">
        <f>IFERROR(1 -(Master[[#This Row],[Avg Garment Scans per Delivery]]/Master[[#This Row],[Garment Inventory]]), 0)</f>
        <v>0.94736842105263164</v>
      </c>
      <c r="Y1111" s="62">
        <v>2</v>
      </c>
      <c r="Z1111" s="62">
        <v>17</v>
      </c>
      <c r="AA1111" s="53">
        <v>25.953609467455617</v>
      </c>
      <c r="AB1111" s="53">
        <v>27.018698224852056</v>
      </c>
      <c r="AC1111" s="53">
        <v>27.503313609467455</v>
      </c>
      <c r="AD1111" s="53">
        <v>28.96130177514793</v>
      </c>
      <c r="AE1111" s="53" t="str">
        <f>_xlfn.XLOOKUP(Master[[#This Row],[cu_id]],'[1]Customer Revenue'!$Q:$Q,'[1]Customer Revenue'!$K:$K, "None")</f>
        <v>None</v>
      </c>
      <c r="AF1111" s="53" t="str">
        <f>_xlfn.XLOOKUP(Master[[#This Row],[cu_id]],'[1]Customer Revenue'!$Q:$Q,'[1]Customer Revenue'!$L:$L, "None")</f>
        <v>None</v>
      </c>
      <c r="AG1111" s="53">
        <v>26.139999999999993</v>
      </c>
      <c r="AH1111" s="53">
        <v>27.724615384615376</v>
      </c>
      <c r="AI1111" s="53">
        <v>26.486153846153837</v>
      </c>
      <c r="AJ1111" s="53">
        <v>28.232307692307693</v>
      </c>
      <c r="AK1111" s="53" t="str">
        <f>_xlfn.XLOOKUP(Master[[#This Row],[cu_id]],'[1]Customer Revenue'!$Q:$Q,'[1]Customer Revenue'!$I:$I, "None")</f>
        <v>None</v>
      </c>
      <c r="AL1111" s="53">
        <v>26.932307692307685</v>
      </c>
      <c r="AM1111" s="61">
        <v>0.29166666666666669</v>
      </c>
      <c r="AN1111" s="60">
        <v>0.70833333333333337</v>
      </c>
      <c r="AO1111" s="60" t="s">
        <v>36</v>
      </c>
      <c r="AP1111" s="60" t="s">
        <v>36</v>
      </c>
      <c r="AQ1111" s="58" t="s">
        <v>0</v>
      </c>
      <c r="AR1111" s="58"/>
      <c r="AS1111" s="58"/>
      <c r="AT1111" s="52">
        <v>0</v>
      </c>
      <c r="AU1111" s="52" t="e">
        <f>IF(Master[[#This Row],[RSP StopTime override]] &lt;&gt; "",Master[[#This Row],[RSP StopTime override]],IF(Master[[#This Row],[Avg stop time helper]] &lt;&gt; 0, Master[[#This Row],[Avg stop time helper]],Average_Stop_Time))</f>
        <v>#DIV/0!</v>
      </c>
      <c r="AV1111" s="21"/>
      <c r="AW1111" s="20">
        <f>Master[[#This Row],[RSP StopTime override]]-Master[[#This Row],[Avg stop time helper]]</f>
        <v>0</v>
      </c>
    </row>
    <row r="1112" spans="1:49" x14ac:dyDescent="0.3">
      <c r="A1112" s="66" t="s">
        <v>5122</v>
      </c>
      <c r="B1112" s="58">
        <v>56</v>
      </c>
      <c r="C1112" s="58" t="s">
        <v>10</v>
      </c>
      <c r="D1112" s="65">
        <v>808815</v>
      </c>
      <c r="E1112" s="65" t="s">
        <v>42</v>
      </c>
      <c r="F1112" s="65" t="s">
        <v>1282</v>
      </c>
      <c r="G1112" s="65" t="s">
        <v>1281</v>
      </c>
      <c r="H1112" s="65" t="s">
        <v>7</v>
      </c>
      <c r="I1112" s="65" t="s">
        <v>6</v>
      </c>
      <c r="J1112" s="65" t="s">
        <v>5</v>
      </c>
      <c r="K1112" s="65" t="s">
        <v>1280</v>
      </c>
      <c r="L1112" s="64" t="s">
        <v>141</v>
      </c>
      <c r="M1112" s="58" t="s">
        <v>140</v>
      </c>
      <c r="N1112" s="58" t="s">
        <v>2</v>
      </c>
      <c r="O1112" s="58">
        <v>92</v>
      </c>
      <c r="P1112" s="58">
        <v>0</v>
      </c>
      <c r="Q1112" s="58">
        <v>0</v>
      </c>
      <c r="R1112" s="58">
        <v>92</v>
      </c>
      <c r="S1112" s="58">
        <v>0</v>
      </c>
      <c r="T1112" s="58">
        <v>0</v>
      </c>
      <c r="U1112" s="58">
        <v>10</v>
      </c>
      <c r="V1112" s="62"/>
      <c r="W1112" s="62"/>
      <c r="X1112" s="63">
        <f>IFERROR(1 -(Master[[#This Row],[Avg Garment Scans per Delivery]]/Master[[#This Row],[Garment Inventory]]), 0)</f>
        <v>0</v>
      </c>
      <c r="Y1112" s="62"/>
      <c r="Z1112" s="62"/>
      <c r="AA1112" s="53">
        <v>47.683333333333337</v>
      </c>
      <c r="AB1112" s="53">
        <v>49.016666666666666</v>
      </c>
      <c r="AC1112" s="53">
        <v>49.178888888888892</v>
      </c>
      <c r="AD1112" s="53">
        <v>50.547777777777782</v>
      </c>
      <c r="AE1112" s="53" t="str">
        <f>_xlfn.XLOOKUP(Master[[#This Row],[cu_id]],'[1]Customer Revenue'!$Q:$Q,'[1]Customer Revenue'!$K:$K, "None")</f>
        <v>None</v>
      </c>
      <c r="AF1112" s="53" t="str">
        <f>_xlfn.XLOOKUP(Master[[#This Row],[cu_id]],'[1]Customer Revenue'!$Q:$Q,'[1]Customer Revenue'!$L:$L, "None")</f>
        <v>None</v>
      </c>
      <c r="AG1112" s="53">
        <v>37.55022321428573</v>
      </c>
      <c r="AH1112" s="53">
        <v>58.578348214285718</v>
      </c>
      <c r="AI1112" s="53">
        <v>48.35</v>
      </c>
      <c r="AJ1112" s="53">
        <v>49.863333333333337</v>
      </c>
      <c r="AK1112" s="53" t="str">
        <f>_xlfn.XLOOKUP(Master[[#This Row],[cu_id]],'[1]Customer Revenue'!$Q:$Q,'[1]Customer Revenue'!$I:$I, "None")</f>
        <v>None</v>
      </c>
      <c r="AL1112" s="53">
        <v>48.064285714285724</v>
      </c>
      <c r="AM1112" s="61">
        <v>0.375</v>
      </c>
      <c r="AN1112" s="60">
        <v>0.70833333333333337</v>
      </c>
      <c r="AO1112" s="60" t="s">
        <v>36</v>
      </c>
      <c r="AP1112" s="60" t="s">
        <v>36</v>
      </c>
      <c r="AQ1112" s="58" t="s">
        <v>0</v>
      </c>
      <c r="AR1112" s="58"/>
      <c r="AS1112" s="58"/>
      <c r="AT1112" s="52">
        <v>0</v>
      </c>
      <c r="AU1112" s="52" t="e">
        <f>IF(Master[[#This Row],[RSP StopTime override]] &lt;&gt; "",Master[[#This Row],[RSP StopTime override]],IF(Master[[#This Row],[Avg stop time helper]] &lt;&gt; 0, Master[[#This Row],[Avg stop time helper]],Average_Stop_Time))</f>
        <v>#DIV/0!</v>
      </c>
      <c r="AV1112" s="21"/>
      <c r="AW1112" s="20">
        <f>Master[[#This Row],[RSP StopTime override]]-Master[[#This Row],[Avg stop time helper]]</f>
        <v>0</v>
      </c>
    </row>
    <row r="1113" spans="1:49" x14ac:dyDescent="0.3">
      <c r="A1113" s="66" t="s">
        <v>5123</v>
      </c>
      <c r="B1113" s="58">
        <v>56</v>
      </c>
      <c r="C1113" s="58" t="s">
        <v>10</v>
      </c>
      <c r="D1113" s="65">
        <v>808831</v>
      </c>
      <c r="E1113" s="65" t="s">
        <v>42</v>
      </c>
      <c r="F1113" s="65" t="s">
        <v>1279</v>
      </c>
      <c r="G1113" s="65" t="s">
        <v>1278</v>
      </c>
      <c r="H1113" s="65" t="s">
        <v>7</v>
      </c>
      <c r="I1113" s="65" t="s">
        <v>712</v>
      </c>
      <c r="J1113" s="65" t="s">
        <v>5</v>
      </c>
      <c r="K1113" s="65" t="s">
        <v>4</v>
      </c>
      <c r="L1113" s="64" t="s">
        <v>67</v>
      </c>
      <c r="M1113" s="58" t="s">
        <v>3</v>
      </c>
      <c r="N1113" s="58" t="s">
        <v>2</v>
      </c>
      <c r="O1113" s="58">
        <v>100</v>
      </c>
      <c r="P1113" s="58">
        <v>0</v>
      </c>
      <c r="Q1113" s="58">
        <v>0</v>
      </c>
      <c r="R1113" s="58">
        <v>100</v>
      </c>
      <c r="S1113" s="58">
        <v>0</v>
      </c>
      <c r="T1113" s="58">
        <v>0</v>
      </c>
      <c r="U1113" s="58">
        <v>38</v>
      </c>
      <c r="V1113" s="62">
        <v>11</v>
      </c>
      <c r="W1113" s="62">
        <v>2</v>
      </c>
      <c r="X1113" s="63">
        <f>IFERROR(1 -(Master[[#This Row],[Avg Garment Scans per Delivery]]/Master[[#This Row],[Garment Inventory]]), 0)</f>
        <v>0.81818181818181812</v>
      </c>
      <c r="Y1113" s="62">
        <v>1</v>
      </c>
      <c r="Z1113" s="62">
        <v>11</v>
      </c>
      <c r="AA1113" s="53">
        <v>11.068816568047337</v>
      </c>
      <c r="AB1113" s="53">
        <v>18.194260355029588</v>
      </c>
      <c r="AC1113" s="53">
        <v>15.89958579881657</v>
      </c>
      <c r="AD1113" s="53">
        <v>23.729644970414203</v>
      </c>
      <c r="AE1113" s="53" t="str">
        <f>_xlfn.XLOOKUP(Master[[#This Row],[cu_id]],'[1]Customer Revenue'!$Q:$Q,'[1]Customer Revenue'!$K:$K, "None")</f>
        <v>None</v>
      </c>
      <c r="AF1113" s="53" t="str">
        <f>_xlfn.XLOOKUP(Master[[#This Row],[cu_id]],'[1]Customer Revenue'!$Q:$Q,'[1]Customer Revenue'!$L:$L, "None")</f>
        <v>None</v>
      </c>
      <c r="AG1113" s="53">
        <v>10.597986982248518</v>
      </c>
      <c r="AH1113" s="53">
        <v>20.580413017751482</v>
      </c>
      <c r="AI1113" s="53">
        <v>14.631538461538462</v>
      </c>
      <c r="AJ1113" s="53">
        <v>19.814615384615387</v>
      </c>
      <c r="AK1113" s="53" t="str">
        <f>_xlfn.XLOOKUP(Master[[#This Row],[cu_id]],'[1]Customer Revenue'!$Q:$Q,'[1]Customer Revenue'!$I:$I, "None")</f>
        <v>None</v>
      </c>
      <c r="AL1113" s="53">
        <v>15.5892</v>
      </c>
      <c r="AM1113" s="61">
        <v>0.375</v>
      </c>
      <c r="AN1113" s="60">
        <v>0.70833333333333337</v>
      </c>
      <c r="AO1113" s="60" t="s">
        <v>36</v>
      </c>
      <c r="AP1113" s="60" t="s">
        <v>36</v>
      </c>
      <c r="AQ1113" s="58" t="s">
        <v>0</v>
      </c>
      <c r="AR1113" s="58"/>
      <c r="AS1113" s="58"/>
      <c r="AT1113" s="52">
        <v>0</v>
      </c>
      <c r="AU1113" s="52" t="e">
        <f>IF(Master[[#This Row],[RSP StopTime override]] &lt;&gt; "",Master[[#This Row],[RSP StopTime override]],IF(Master[[#This Row],[Avg stop time helper]] &lt;&gt; 0, Master[[#This Row],[Avg stop time helper]],Average_Stop_Time))</f>
        <v>#DIV/0!</v>
      </c>
      <c r="AV1113" s="21"/>
      <c r="AW1113" s="20">
        <f>Master[[#This Row],[RSP StopTime override]]-Master[[#This Row],[Avg stop time helper]]</f>
        <v>0</v>
      </c>
    </row>
    <row r="1114" spans="1:49" x14ac:dyDescent="0.3">
      <c r="A1114" s="66" t="s">
        <v>5124</v>
      </c>
      <c r="B1114" s="58">
        <v>56</v>
      </c>
      <c r="C1114" s="58" t="s">
        <v>10</v>
      </c>
      <c r="D1114" s="65">
        <v>886244</v>
      </c>
      <c r="E1114" s="65" t="s">
        <v>1277</v>
      </c>
      <c r="F1114" s="65" t="s">
        <v>1276</v>
      </c>
      <c r="G1114" s="65" t="s">
        <v>1275</v>
      </c>
      <c r="H1114" s="65" t="s">
        <v>7</v>
      </c>
      <c r="I1114" s="65" t="s">
        <v>814</v>
      </c>
      <c r="J1114" s="65" t="s">
        <v>5</v>
      </c>
      <c r="K1114" s="65" t="s">
        <v>813</v>
      </c>
      <c r="L1114" s="64" t="s">
        <v>91</v>
      </c>
      <c r="M1114" s="58" t="s">
        <v>90</v>
      </c>
      <c r="N1114" s="58" t="s">
        <v>2</v>
      </c>
      <c r="O1114" s="58">
        <v>48</v>
      </c>
      <c r="P1114" s="58">
        <v>0</v>
      </c>
      <c r="Q1114" s="58">
        <v>0</v>
      </c>
      <c r="R1114" s="58">
        <v>48</v>
      </c>
      <c r="S1114" s="58">
        <v>0</v>
      </c>
      <c r="T1114" s="58">
        <v>0</v>
      </c>
      <c r="U1114" s="58">
        <v>16</v>
      </c>
      <c r="V1114" s="62"/>
      <c r="W1114" s="62"/>
      <c r="X1114" s="63">
        <f>IFERROR(1 -(Master[[#This Row],[Avg Garment Scans per Delivery]]/Master[[#This Row],[Garment Inventory]]), 0)</f>
        <v>0</v>
      </c>
      <c r="Y1114" s="62"/>
      <c r="Z1114" s="62"/>
      <c r="AA1114" s="53">
        <v>21.146938775510208</v>
      </c>
      <c r="AB1114" s="53">
        <v>24.167346938775516</v>
      </c>
      <c r="AC1114" s="53">
        <v>25.128888888888888</v>
      </c>
      <c r="AD1114" s="53">
        <v>26.497777777777777</v>
      </c>
      <c r="AE1114" s="53" t="str">
        <f>_xlfn.XLOOKUP(Master[[#This Row],[cu_id]],'[1]Customer Revenue'!$Q:$Q,'[1]Customer Revenue'!$K:$K, "None")</f>
        <v>None</v>
      </c>
      <c r="AF1114" s="53" t="str">
        <f>_xlfn.XLOOKUP(Master[[#This Row],[cu_id]],'[1]Customer Revenue'!$Q:$Q,'[1]Customer Revenue'!$L:$L, "None")</f>
        <v>None</v>
      </c>
      <c r="AG1114" s="53">
        <v>19.061637080867847</v>
      </c>
      <c r="AH1114" s="53">
        <v>25.371696252465483</v>
      </c>
      <c r="AI1114" s="53">
        <v>22.657142857142862</v>
      </c>
      <c r="AJ1114" s="53">
        <v>25.813333333333333</v>
      </c>
      <c r="AK1114" s="53" t="str">
        <f>_xlfn.XLOOKUP(Master[[#This Row],[cu_id]],'[1]Customer Revenue'!$Q:$Q,'[1]Customer Revenue'!$I:$I, "None")</f>
        <v>None</v>
      </c>
      <c r="AL1114" s="53">
        <v>22.216666666666665</v>
      </c>
      <c r="AM1114" s="61">
        <v>0.29166666666666669</v>
      </c>
      <c r="AN1114" s="60">
        <v>0.70833333333333337</v>
      </c>
      <c r="AO1114" s="60" t="s">
        <v>36</v>
      </c>
      <c r="AP1114" s="60" t="s">
        <v>36</v>
      </c>
      <c r="AQ1114" s="58" t="s">
        <v>0</v>
      </c>
      <c r="AR1114" s="58"/>
      <c r="AS1114" s="58"/>
      <c r="AT1114" s="52">
        <v>0</v>
      </c>
      <c r="AU1114" s="52" t="e">
        <f>IF(Master[[#This Row],[RSP StopTime override]] &lt;&gt; "",Master[[#This Row],[RSP StopTime override]],IF(Master[[#This Row],[Avg stop time helper]] &lt;&gt; 0, Master[[#This Row],[Avg stop time helper]],Average_Stop_Time))</f>
        <v>#DIV/0!</v>
      </c>
      <c r="AV1114" s="21"/>
      <c r="AW1114" s="20">
        <f>Master[[#This Row],[RSP StopTime override]]-Master[[#This Row],[Avg stop time helper]]</f>
        <v>0</v>
      </c>
    </row>
    <row r="1115" spans="1:49" x14ac:dyDescent="0.3">
      <c r="A1115" s="66" t="s">
        <v>5125</v>
      </c>
      <c r="B1115" s="58">
        <v>56</v>
      </c>
      <c r="C1115" s="58" t="s">
        <v>10</v>
      </c>
      <c r="D1115" s="65">
        <v>886245</v>
      </c>
      <c r="E1115" s="65" t="s">
        <v>1274</v>
      </c>
      <c r="F1115" s="65" t="s">
        <v>1273</v>
      </c>
      <c r="G1115" s="65" t="s">
        <v>1272</v>
      </c>
      <c r="H1115" s="65" t="s">
        <v>1271</v>
      </c>
      <c r="I1115" s="65" t="s">
        <v>814</v>
      </c>
      <c r="J1115" s="65" t="s">
        <v>5</v>
      </c>
      <c r="K1115" s="65" t="s">
        <v>813</v>
      </c>
      <c r="L1115" s="64" t="s">
        <v>91</v>
      </c>
      <c r="M1115" s="58" t="s">
        <v>90</v>
      </c>
      <c r="N1115" s="58" t="s">
        <v>2</v>
      </c>
      <c r="O1115" s="58">
        <v>47</v>
      </c>
      <c r="P1115" s="58">
        <v>0</v>
      </c>
      <c r="Q1115" s="58">
        <v>0</v>
      </c>
      <c r="R1115" s="58">
        <v>47</v>
      </c>
      <c r="S1115" s="58">
        <v>0</v>
      </c>
      <c r="T1115" s="58">
        <v>0</v>
      </c>
      <c r="U1115" s="58">
        <v>16</v>
      </c>
      <c r="V1115" s="62"/>
      <c r="W1115" s="62"/>
      <c r="X1115" s="63">
        <f>IFERROR(1 -(Master[[#This Row],[Avg Garment Scans per Delivery]]/Master[[#This Row],[Garment Inventory]]), 0)</f>
        <v>0</v>
      </c>
      <c r="Y1115" s="62"/>
      <c r="Z1115" s="62"/>
      <c r="AA1115" s="53">
        <v>23.246938775510205</v>
      </c>
      <c r="AB1115" s="53">
        <v>26.267346938775514</v>
      </c>
      <c r="AC1115" s="53">
        <v>27.228888888888886</v>
      </c>
      <c r="AD1115" s="53">
        <v>28.597777777777775</v>
      </c>
      <c r="AE1115" s="53" t="str">
        <f>_xlfn.XLOOKUP(Master[[#This Row],[cu_id]],'[1]Customer Revenue'!$Q:$Q,'[1]Customer Revenue'!$K:$K, "None")</f>
        <v>None</v>
      </c>
      <c r="AF1115" s="53" t="str">
        <f>_xlfn.XLOOKUP(Master[[#This Row],[cu_id]],'[1]Customer Revenue'!$Q:$Q,'[1]Customer Revenue'!$L:$L, "None")</f>
        <v>None</v>
      </c>
      <c r="AG1115" s="53">
        <v>20.863412228796832</v>
      </c>
      <c r="AH1115" s="53">
        <v>27.769921104536486</v>
      </c>
      <c r="AI1115" s="53">
        <v>24.75714285714286</v>
      </c>
      <c r="AJ1115" s="53">
        <v>27.91333333333333</v>
      </c>
      <c r="AK1115" s="53" t="str">
        <f>_xlfn.XLOOKUP(Master[[#This Row],[cu_id]],'[1]Customer Revenue'!$Q:$Q,'[1]Customer Revenue'!$I:$I, "None")</f>
        <v>None</v>
      </c>
      <c r="AL1115" s="53">
        <v>24.316666666666659</v>
      </c>
      <c r="AM1115" s="61">
        <v>0.29166666666666669</v>
      </c>
      <c r="AN1115" s="60">
        <v>0.70833333333333337</v>
      </c>
      <c r="AO1115" s="60" t="s">
        <v>36</v>
      </c>
      <c r="AP1115" s="60" t="s">
        <v>36</v>
      </c>
      <c r="AQ1115" s="58" t="s">
        <v>0</v>
      </c>
      <c r="AR1115" s="58"/>
      <c r="AS1115" s="58"/>
      <c r="AT1115" s="52">
        <v>0</v>
      </c>
      <c r="AU1115" s="52" t="e">
        <f>IF(Master[[#This Row],[RSP StopTime override]] &lt;&gt; "",Master[[#This Row],[RSP StopTime override]],IF(Master[[#This Row],[Avg stop time helper]] &lt;&gt; 0, Master[[#This Row],[Avg stop time helper]],Average_Stop_Time))</f>
        <v>#DIV/0!</v>
      </c>
      <c r="AV1115" s="21"/>
      <c r="AW1115" s="20">
        <f>Master[[#This Row],[RSP StopTime override]]-Master[[#This Row],[Avg stop time helper]]</f>
        <v>0</v>
      </c>
    </row>
    <row r="1116" spans="1:49" x14ac:dyDescent="0.3">
      <c r="A1116" s="86" t="s">
        <v>4089</v>
      </c>
      <c r="B1116" s="85">
        <v>8010</v>
      </c>
      <c r="C1116" s="85" t="s">
        <v>10</v>
      </c>
      <c r="D1116" s="84">
        <v>888050</v>
      </c>
      <c r="E1116" s="84" t="s">
        <v>1270</v>
      </c>
      <c r="F1116" s="84" t="s">
        <v>1269</v>
      </c>
      <c r="G1116" s="84" t="s">
        <v>1268</v>
      </c>
      <c r="H1116" s="65" t="s">
        <v>7</v>
      </c>
      <c r="I1116" s="65" t="s">
        <v>6</v>
      </c>
      <c r="J1116" s="65" t="s">
        <v>5</v>
      </c>
      <c r="K1116" s="65" t="s">
        <v>4</v>
      </c>
      <c r="L1116" s="64" t="s">
        <v>67</v>
      </c>
      <c r="M1116" s="58" t="s">
        <v>3</v>
      </c>
      <c r="N1116" s="58" t="s">
        <v>2</v>
      </c>
      <c r="O1116" s="58">
        <v>12</v>
      </c>
      <c r="P1116" s="58">
        <v>0</v>
      </c>
      <c r="Q1116" s="58">
        <v>0</v>
      </c>
      <c r="R1116" s="58">
        <v>102</v>
      </c>
      <c r="S1116" s="58">
        <v>0</v>
      </c>
      <c r="T1116" s="58">
        <v>0</v>
      </c>
      <c r="U1116" s="58">
        <v>40</v>
      </c>
      <c r="V1116" s="62"/>
      <c r="W1116" s="62"/>
      <c r="X1116" s="63">
        <f>IFERROR(1 -(Master[[#This Row],[Avg Garment Scans per Delivery]]/Master[[#This Row],[Garment Inventory]]), 0)</f>
        <v>0</v>
      </c>
      <c r="Y1116" s="62"/>
      <c r="Z1116" s="62"/>
      <c r="AA1116" s="53">
        <v>37.994023668639052</v>
      </c>
      <c r="AB1116" s="53">
        <v>42.687514792899414</v>
      </c>
      <c r="AC1116" s="53">
        <v>51.673313609467463</v>
      </c>
      <c r="AD1116" s="53">
        <v>53.131301775147939</v>
      </c>
      <c r="AE1116" s="53" t="str">
        <f>_xlfn.XLOOKUP(Master[[#This Row],[cu_id]],'[1]Customer Revenue'!$Q:$Q,'[1]Customer Revenue'!$K:$K, "None")</f>
        <v>None</v>
      </c>
      <c r="AF1116" s="53" t="str">
        <f>_xlfn.XLOOKUP(Master[[#This Row],[cu_id]],'[1]Customer Revenue'!$Q:$Q,'[1]Customer Revenue'!$L:$L, "None")</f>
        <v>None</v>
      </c>
      <c r="AG1116" s="53">
        <v>37.266543209876509</v>
      </c>
      <c r="AH1116" s="53">
        <v>44.857160493827145</v>
      </c>
      <c r="AI1116" s="53">
        <v>40.340769230769233</v>
      </c>
      <c r="AJ1116" s="53">
        <v>52.402307692307701</v>
      </c>
      <c r="AK1116" s="53" t="str">
        <f>_xlfn.XLOOKUP(Master[[#This Row],[cu_id]],'[1]Customer Revenue'!$Q:$Q,'[1]Customer Revenue'!$I:$I, "None")</f>
        <v>None</v>
      </c>
      <c r="AL1116" s="53">
        <v>41.061851851851827</v>
      </c>
      <c r="AM1116" s="61" t="s">
        <v>36</v>
      </c>
      <c r="AN1116" s="60" t="s">
        <v>36</v>
      </c>
      <c r="AO1116" s="60" t="s">
        <v>36</v>
      </c>
      <c r="AP1116" s="60" t="s">
        <v>36</v>
      </c>
      <c r="AQ1116" s="58" t="s">
        <v>0</v>
      </c>
      <c r="AR1116" s="58"/>
      <c r="AS1116" s="58"/>
      <c r="AT1116" s="52">
        <v>0</v>
      </c>
      <c r="AU1116" s="52" t="e">
        <f>IF(Master[[#This Row],[RSP StopTime override]] &lt;&gt; "",Master[[#This Row],[RSP StopTime override]],IF(Master[[#This Row],[Avg stop time helper]] &lt;&gt; 0, Master[[#This Row],[Avg stop time helper]],Average_Stop_Time))</f>
        <v>#DIV/0!</v>
      </c>
      <c r="AV1116" s="21"/>
      <c r="AW1116" s="20">
        <f>Master[[#This Row],[RSP StopTime override]]-Master[[#This Row],[Avg stop time helper]]</f>
        <v>0</v>
      </c>
    </row>
    <row r="1117" spans="1:49" x14ac:dyDescent="0.3">
      <c r="A1117" s="66" t="s">
        <v>3921</v>
      </c>
      <c r="B1117" s="58">
        <v>56</v>
      </c>
      <c r="C1117" s="58" t="s">
        <v>43</v>
      </c>
      <c r="D1117" s="65">
        <v>99061</v>
      </c>
      <c r="E1117" s="65" t="s">
        <v>1251</v>
      </c>
      <c r="F1117" s="65" t="s">
        <v>3748</v>
      </c>
      <c r="G1117" s="65" t="s">
        <v>1250</v>
      </c>
      <c r="H1117" s="65" t="s">
        <v>32</v>
      </c>
      <c r="I1117" s="65" t="s">
        <v>1183</v>
      </c>
      <c r="J1117" s="65" t="s">
        <v>5</v>
      </c>
      <c r="K1117" s="65" t="s">
        <v>1182</v>
      </c>
      <c r="L1117" s="64" t="s">
        <v>67</v>
      </c>
      <c r="M1117" s="58" t="s">
        <v>3</v>
      </c>
      <c r="N1117" s="58" t="s">
        <v>2</v>
      </c>
      <c r="O1117" s="58">
        <v>5</v>
      </c>
      <c r="P1117" s="58">
        <v>0</v>
      </c>
      <c r="Q1117" s="58">
        <v>0</v>
      </c>
      <c r="R1117" s="58">
        <v>0</v>
      </c>
      <c r="S1117" s="58">
        <v>5</v>
      </c>
      <c r="T1117" s="58">
        <v>0</v>
      </c>
      <c r="U1117" s="58">
        <v>53</v>
      </c>
      <c r="V1117" s="62">
        <v>22</v>
      </c>
      <c r="W1117" s="62">
        <v>7</v>
      </c>
      <c r="X1117" s="63">
        <f>IFERROR(1 -(Master[[#This Row],[Avg Garment Scans per Delivery]]/Master[[#This Row],[Garment Inventory]]), 0)</f>
        <v>0.68181818181818188</v>
      </c>
      <c r="Y1117" s="62">
        <v>2</v>
      </c>
      <c r="Z1117" s="62">
        <v>23</v>
      </c>
      <c r="AA1117" s="53">
        <v>58.617455621301779</v>
      </c>
      <c r="AB1117" s="53">
        <v>71.501005917159787</v>
      </c>
      <c r="AC1117" s="53">
        <v>50.177278106508872</v>
      </c>
      <c r="AD1117" s="53">
        <v>116.08426035502956</v>
      </c>
      <c r="AE1117" s="53" t="str">
        <f>_xlfn.XLOOKUP(Master[[#This Row],[cu_id]],'[1]Customer Revenue'!$Q:$Q,'[1]Customer Revenue'!$K:$K, "None")</f>
        <v>None</v>
      </c>
      <c r="AF1117" s="53" t="str">
        <f>_xlfn.XLOOKUP(Master[[#This Row],[cu_id]],'[1]Customer Revenue'!$Q:$Q,'[1]Customer Revenue'!$L:$L, "None")</f>
        <v>None</v>
      </c>
      <c r="AG1117" s="53">
        <v>53.476124260355036</v>
      </c>
      <c r="AH1117" s="53">
        <v>69.124644970414195</v>
      </c>
      <c r="AI1117" s="53">
        <v>65.05923076923078</v>
      </c>
      <c r="AJ1117" s="53">
        <v>83.130769230769218</v>
      </c>
      <c r="AK1117" s="53" t="str">
        <f>_xlfn.XLOOKUP(Master[[#This Row],[cu_id]],'[1]Customer Revenue'!$Q:$Q,'[1]Customer Revenue'!$I:$I, "None")</f>
        <v>None</v>
      </c>
      <c r="AL1117" s="53">
        <v>61.300384615384615</v>
      </c>
      <c r="AM1117" s="61">
        <v>0.20833333333333334</v>
      </c>
      <c r="AN1117" s="60">
        <v>0.70833333333333337</v>
      </c>
      <c r="AO1117" s="60" t="s">
        <v>36</v>
      </c>
      <c r="AP1117" s="60" t="s">
        <v>36</v>
      </c>
      <c r="AQ1117" s="58" t="s">
        <v>0</v>
      </c>
      <c r="AR1117" s="58"/>
      <c r="AS1117" s="58"/>
      <c r="AT1117" s="52">
        <v>0</v>
      </c>
      <c r="AU1117" s="52" t="e">
        <f>IF(Master[[#This Row],[RSP StopTime override]] &lt;&gt; "",Master[[#This Row],[RSP StopTime override]],IF(Master[[#This Row],[Avg stop time helper]] &lt;&gt; 0, Master[[#This Row],[Avg stop time helper]],Average_Stop_Time))</f>
        <v>#DIV/0!</v>
      </c>
      <c r="AV1117" s="21"/>
      <c r="AW1117" s="20">
        <f>Master[[#This Row],[RSP StopTime override]]-Master[[#This Row],[Avg stop time helper]]</f>
        <v>0</v>
      </c>
    </row>
    <row r="1118" spans="1:49" x14ac:dyDescent="0.3">
      <c r="A1118" s="66" t="s">
        <v>5126</v>
      </c>
      <c r="B1118" s="58">
        <v>56</v>
      </c>
      <c r="C1118" s="58" t="s">
        <v>43</v>
      </c>
      <c r="D1118" s="65">
        <v>99079</v>
      </c>
      <c r="E1118" s="65" t="s">
        <v>1154</v>
      </c>
      <c r="F1118" s="65" t="s">
        <v>3749</v>
      </c>
      <c r="G1118" s="65" t="s">
        <v>1267</v>
      </c>
      <c r="H1118" s="65" t="s">
        <v>32</v>
      </c>
      <c r="I1118" s="65" t="s">
        <v>165</v>
      </c>
      <c r="J1118" s="65" t="s">
        <v>5</v>
      </c>
      <c r="K1118" s="65" t="s">
        <v>115</v>
      </c>
      <c r="L1118" s="64" t="s">
        <v>67</v>
      </c>
      <c r="M1118" s="58" t="s">
        <v>3</v>
      </c>
      <c r="N1118" s="58" t="s">
        <v>2</v>
      </c>
      <c r="O1118" s="58">
        <v>65</v>
      </c>
      <c r="P1118" s="58">
        <v>0</v>
      </c>
      <c r="Q1118" s="58">
        <v>0</v>
      </c>
      <c r="R1118" s="58">
        <v>0</v>
      </c>
      <c r="S1118" s="58">
        <v>65</v>
      </c>
      <c r="T1118" s="58">
        <v>0</v>
      </c>
      <c r="U1118" s="58">
        <v>53</v>
      </c>
      <c r="V1118" s="62"/>
      <c r="W1118" s="62"/>
      <c r="X1118" s="63">
        <f>IFERROR(1 -(Master[[#This Row],[Avg Garment Scans per Delivery]]/Master[[#This Row],[Garment Inventory]]), 0)</f>
        <v>0</v>
      </c>
      <c r="Y1118" s="62"/>
      <c r="Z1118" s="62"/>
      <c r="AA1118" s="53">
        <v>111.24207100591721</v>
      </c>
      <c r="AB1118" s="53">
        <v>120.54100591715977</v>
      </c>
      <c r="AC1118" s="53">
        <v>71.554970414201179</v>
      </c>
      <c r="AD1118" s="53">
        <v>97.175798816568047</v>
      </c>
      <c r="AE1118" s="53" t="str">
        <f>_xlfn.XLOOKUP(Master[[#This Row],[cu_id]],'[1]Customer Revenue'!$Q:$Q,'[1]Customer Revenue'!$K:$K, "None")</f>
        <v>None</v>
      </c>
      <c r="AF1118" s="53" t="str">
        <f>_xlfn.XLOOKUP(Master[[#This Row],[cu_id]],'[1]Customer Revenue'!$Q:$Q,'[1]Customer Revenue'!$L:$L, "None")</f>
        <v>None</v>
      </c>
      <c r="AG1118" s="53">
        <v>114.72917159763308</v>
      </c>
      <c r="AH1118" s="53">
        <v>119.57236686390532</v>
      </c>
      <c r="AI1118" s="53">
        <v>115.89153846153849</v>
      </c>
      <c r="AJ1118" s="53">
        <v>84.365384615384613</v>
      </c>
      <c r="AK1118" s="53" t="str">
        <f>_xlfn.XLOOKUP(Master[[#This Row],[cu_id]],'[1]Customer Revenue'!$Q:$Q,'[1]Customer Revenue'!$I:$I, "None")</f>
        <v>None</v>
      </c>
      <c r="AL1118" s="53">
        <v>117.1507692307692</v>
      </c>
      <c r="AM1118" s="61">
        <v>0.375</v>
      </c>
      <c r="AN1118" s="60">
        <v>0.70833333333333337</v>
      </c>
      <c r="AO1118" s="60" t="s">
        <v>36</v>
      </c>
      <c r="AP1118" s="60" t="s">
        <v>36</v>
      </c>
      <c r="AQ1118" s="58" t="s">
        <v>0</v>
      </c>
      <c r="AR1118" s="58"/>
      <c r="AS1118" s="58"/>
      <c r="AT1118" s="52">
        <v>0</v>
      </c>
      <c r="AU1118" s="52" t="e">
        <f>IF(Master[[#This Row],[RSP StopTime override]] &lt;&gt; "",Master[[#This Row],[RSP StopTime override]],IF(Master[[#This Row],[Avg stop time helper]] &lt;&gt; 0, Master[[#This Row],[Avg stop time helper]],Average_Stop_Time))</f>
        <v>#DIV/0!</v>
      </c>
      <c r="AV1118" s="21"/>
      <c r="AW1118" s="20">
        <f>Master[[#This Row],[RSP StopTime override]]-Master[[#This Row],[Avg stop time helper]]</f>
        <v>0</v>
      </c>
    </row>
    <row r="1119" spans="1:49" x14ac:dyDescent="0.3">
      <c r="A1119" s="66" t="s">
        <v>5127</v>
      </c>
      <c r="B1119" s="58">
        <v>56</v>
      </c>
      <c r="C1119" s="58" t="s">
        <v>43</v>
      </c>
      <c r="D1119" s="65">
        <v>99084</v>
      </c>
      <c r="E1119" s="65" t="s">
        <v>686</v>
      </c>
      <c r="F1119" s="65" t="s">
        <v>1266</v>
      </c>
      <c r="G1119" s="65" t="s">
        <v>1265</v>
      </c>
      <c r="H1119" s="65" t="s">
        <v>7</v>
      </c>
      <c r="I1119" s="65" t="s">
        <v>1183</v>
      </c>
      <c r="J1119" s="65" t="s">
        <v>5</v>
      </c>
      <c r="K1119" s="65" t="s">
        <v>1182</v>
      </c>
      <c r="L1119" s="64" t="s">
        <v>67</v>
      </c>
      <c r="M1119" s="58" t="s">
        <v>3</v>
      </c>
      <c r="N1119" s="58" t="s">
        <v>2</v>
      </c>
      <c r="O1119" s="58">
        <v>15</v>
      </c>
      <c r="P1119" s="58">
        <v>0</v>
      </c>
      <c r="Q1119" s="58">
        <v>0</v>
      </c>
      <c r="R1119" s="58">
        <v>0</v>
      </c>
      <c r="S1119" s="58">
        <v>15</v>
      </c>
      <c r="T1119" s="58">
        <v>0</v>
      </c>
      <c r="U1119" s="58">
        <v>53</v>
      </c>
      <c r="V1119" s="62">
        <v>176</v>
      </c>
      <c r="W1119" s="62">
        <v>20</v>
      </c>
      <c r="X1119" s="63">
        <f>IFERROR(1 -(Master[[#This Row],[Avg Garment Scans per Delivery]]/Master[[#This Row],[Garment Inventory]]), 0)</f>
        <v>0.88636363636363635</v>
      </c>
      <c r="Y1119" s="62">
        <v>6</v>
      </c>
      <c r="Z1119" s="62">
        <v>134</v>
      </c>
      <c r="AA1119" s="53">
        <v>158.27153846153846</v>
      </c>
      <c r="AB1119" s="53">
        <v>191.06846153846158</v>
      </c>
      <c r="AC1119" s="53">
        <v>116.28467455621302</v>
      </c>
      <c r="AD1119" s="53">
        <v>200.99071005917165</v>
      </c>
      <c r="AE1119" s="53" t="str">
        <f>_xlfn.XLOOKUP(Master[[#This Row],[cu_id]],'[1]Customer Revenue'!$Q:$Q,'[1]Customer Revenue'!$K:$K, "None")</f>
        <v>None</v>
      </c>
      <c r="AF1119" s="53" t="str">
        <f>_xlfn.XLOOKUP(Master[[#This Row],[cu_id]],'[1]Customer Revenue'!$Q:$Q,'[1]Customer Revenue'!$L:$L, "None")</f>
        <v>None</v>
      </c>
      <c r="AG1119" s="53">
        <v>153.88934911242603</v>
      </c>
      <c r="AH1119" s="53">
        <v>190.17526627218928</v>
      </c>
      <c r="AI1119" s="53">
        <v>174.67000000000002</v>
      </c>
      <c r="AJ1119" s="53">
        <v>158.63769230769233</v>
      </c>
      <c r="AK1119" s="53" t="str">
        <f>_xlfn.XLOOKUP(Master[[#This Row],[cu_id]],'[1]Customer Revenue'!$Q:$Q,'[1]Customer Revenue'!$I:$I, "None")</f>
        <v>None</v>
      </c>
      <c r="AL1119" s="53">
        <v>172.03230769230765</v>
      </c>
      <c r="AM1119" s="61">
        <v>0.29166666666666669</v>
      </c>
      <c r="AN1119" s="60">
        <v>0.70833333333333337</v>
      </c>
      <c r="AO1119" s="60" t="s">
        <v>36</v>
      </c>
      <c r="AP1119" s="60" t="s">
        <v>36</v>
      </c>
      <c r="AQ1119" s="58" t="s">
        <v>0</v>
      </c>
      <c r="AR1119" s="58"/>
      <c r="AS1119" s="58"/>
      <c r="AT1119" s="52">
        <v>0</v>
      </c>
      <c r="AU1119" s="52" t="e">
        <f>IF(Master[[#This Row],[RSP StopTime override]] &lt;&gt; "",Master[[#This Row],[RSP StopTime override]],IF(Master[[#This Row],[Avg stop time helper]] &lt;&gt; 0, Master[[#This Row],[Avg stop time helper]],Average_Stop_Time))</f>
        <v>#DIV/0!</v>
      </c>
      <c r="AV1119" s="21"/>
      <c r="AW1119" s="20">
        <f>Master[[#This Row],[RSP StopTime override]]-Master[[#This Row],[Avg stop time helper]]</f>
        <v>0</v>
      </c>
    </row>
    <row r="1120" spans="1:49" x14ac:dyDescent="0.3">
      <c r="A1120" s="66" t="s">
        <v>5128</v>
      </c>
      <c r="B1120" s="58">
        <v>56</v>
      </c>
      <c r="C1120" s="58" t="s">
        <v>43</v>
      </c>
      <c r="D1120" s="65">
        <v>99094</v>
      </c>
      <c r="E1120" s="65" t="s">
        <v>1264</v>
      </c>
      <c r="F1120" s="65" t="s">
        <v>1263</v>
      </c>
      <c r="G1120" s="65" t="s">
        <v>1262</v>
      </c>
      <c r="H1120" s="65" t="s">
        <v>7</v>
      </c>
      <c r="I1120" s="65" t="s">
        <v>6</v>
      </c>
      <c r="J1120" s="65" t="s">
        <v>5</v>
      </c>
      <c r="K1120" s="65" t="s">
        <v>146</v>
      </c>
      <c r="L1120" s="64" t="s">
        <v>77</v>
      </c>
      <c r="M1120" s="58" t="s">
        <v>29</v>
      </c>
      <c r="N1120" s="58" t="s">
        <v>2</v>
      </c>
      <c r="O1120" s="58">
        <v>55</v>
      </c>
      <c r="P1120" s="58">
        <v>0</v>
      </c>
      <c r="Q1120" s="58">
        <v>0</v>
      </c>
      <c r="R1120" s="58">
        <v>0</v>
      </c>
      <c r="S1120" s="58">
        <v>55</v>
      </c>
      <c r="T1120" s="58">
        <v>0</v>
      </c>
      <c r="U1120" s="58">
        <v>14</v>
      </c>
      <c r="V1120" s="62"/>
      <c r="W1120" s="62"/>
      <c r="X1120" s="63">
        <f>IFERROR(1 -(Master[[#This Row],[Avg Garment Scans per Delivery]]/Master[[#This Row],[Garment Inventory]]), 0)</f>
        <v>0</v>
      </c>
      <c r="Y1120" s="62"/>
      <c r="Z1120" s="62"/>
      <c r="AA1120" s="53">
        <v>15.040277777777774</v>
      </c>
      <c r="AB1120" s="53">
        <v>39.104722222222222</v>
      </c>
      <c r="AC1120" s="53">
        <v>16.494444444444444</v>
      </c>
      <c r="AD1120" s="53">
        <v>42.885555555555555</v>
      </c>
      <c r="AE1120" s="53" t="str">
        <f>_xlfn.XLOOKUP(Master[[#This Row],[cu_id]],'[1]Customer Revenue'!$Q:$Q,'[1]Customer Revenue'!$K:$K, "None")</f>
        <v>None</v>
      </c>
      <c r="AF1120" s="53" t="str">
        <f>_xlfn.XLOOKUP(Master[[#This Row],[cu_id]],'[1]Customer Revenue'!$Q:$Q,'[1]Customer Revenue'!$L:$L, "None")</f>
        <v>None</v>
      </c>
      <c r="AG1120" s="53">
        <v>13.047262759924385</v>
      </c>
      <c r="AH1120" s="53">
        <v>38.268737240075609</v>
      </c>
      <c r="AI1120" s="53">
        <v>27.072499999999998</v>
      </c>
      <c r="AJ1120" s="53">
        <v>29.69</v>
      </c>
      <c r="AK1120" s="53" t="str">
        <f>_xlfn.XLOOKUP(Master[[#This Row],[cu_id]],'[1]Customer Revenue'!$Q:$Q,'[1]Customer Revenue'!$I:$I, "None")</f>
        <v>None</v>
      </c>
      <c r="AL1120" s="53">
        <v>25.657999999999998</v>
      </c>
      <c r="AM1120" s="61">
        <v>0.375</v>
      </c>
      <c r="AN1120" s="60">
        <v>0.70833333333333337</v>
      </c>
      <c r="AO1120" s="60" t="s">
        <v>36</v>
      </c>
      <c r="AP1120" s="60" t="s">
        <v>36</v>
      </c>
      <c r="AQ1120" s="58" t="s">
        <v>0</v>
      </c>
      <c r="AR1120" s="58"/>
      <c r="AS1120" s="58"/>
      <c r="AT1120" s="52">
        <v>0</v>
      </c>
      <c r="AU1120" s="52" t="e">
        <f>IF(Master[[#This Row],[RSP StopTime override]] &lt;&gt; "",Master[[#This Row],[RSP StopTime override]],IF(Master[[#This Row],[Avg stop time helper]] &lt;&gt; 0, Master[[#This Row],[Avg stop time helper]],Average_Stop_Time))</f>
        <v>#DIV/0!</v>
      </c>
      <c r="AV1120" s="21"/>
      <c r="AW1120" s="20">
        <f>Master[[#This Row],[RSP StopTime override]]-Master[[#This Row],[Avg stop time helper]]</f>
        <v>0</v>
      </c>
    </row>
    <row r="1121" spans="1:49" x14ac:dyDescent="0.3">
      <c r="A1121" s="66" t="s">
        <v>5129</v>
      </c>
      <c r="B1121" s="58">
        <v>56</v>
      </c>
      <c r="C1121" s="105" t="s">
        <v>10</v>
      </c>
      <c r="D1121" s="65">
        <v>99117</v>
      </c>
      <c r="E1121" s="65" t="s">
        <v>42</v>
      </c>
      <c r="F1121" s="65" t="s">
        <v>1261</v>
      </c>
      <c r="G1121" s="65" t="s">
        <v>1260</v>
      </c>
      <c r="H1121" s="65" t="s">
        <v>7</v>
      </c>
      <c r="I1121" s="65" t="s">
        <v>6</v>
      </c>
      <c r="J1121" s="65" t="s">
        <v>5</v>
      </c>
      <c r="K1121" s="65" t="s">
        <v>146</v>
      </c>
      <c r="L1121" s="64" t="s">
        <v>67</v>
      </c>
      <c r="M1121" s="58" t="s">
        <v>3</v>
      </c>
      <c r="N1121" s="58" t="s">
        <v>2</v>
      </c>
      <c r="O1121" s="58">
        <v>75</v>
      </c>
      <c r="P1121" s="58">
        <v>0</v>
      </c>
      <c r="Q1121" s="58">
        <v>0</v>
      </c>
      <c r="R1121" s="58">
        <v>0</v>
      </c>
      <c r="S1121" s="58">
        <v>75</v>
      </c>
      <c r="T1121" s="58">
        <v>0</v>
      </c>
      <c r="U1121" s="58">
        <v>54</v>
      </c>
      <c r="V1121" s="62">
        <v>490</v>
      </c>
      <c r="W1121" s="62">
        <v>141</v>
      </c>
      <c r="X1121" s="63">
        <f>IFERROR(1 -(Master[[#This Row],[Avg Garment Scans per Delivery]]/Master[[#This Row],[Garment Inventory]]), 0)</f>
        <v>0.71224489795918366</v>
      </c>
      <c r="Y1121" s="62">
        <v>7</v>
      </c>
      <c r="Z1121" s="62">
        <v>490</v>
      </c>
      <c r="AA1121" s="53">
        <v>205.25118343195268</v>
      </c>
      <c r="AB1121" s="53">
        <v>211.46420118343204</v>
      </c>
      <c r="AC1121" s="53">
        <v>207.72189349112423</v>
      </c>
      <c r="AD1121" s="53">
        <v>208.55502958579874</v>
      </c>
      <c r="AE1121" s="53" t="str">
        <f>_xlfn.XLOOKUP(Master[[#This Row],[cu_id]],'[1]Customer Revenue'!$Q:$Q,'[1]Customer Revenue'!$K:$K, "None")</f>
        <v>None</v>
      </c>
      <c r="AF1121" s="53" t="str">
        <f>_xlfn.XLOOKUP(Master[[#This Row],[cu_id]],'[1]Customer Revenue'!$Q:$Q,'[1]Customer Revenue'!$L:$L, "None")</f>
        <v>None</v>
      </c>
      <c r="AG1121" s="53">
        <v>201.8471893491126</v>
      </c>
      <c r="AH1121" s="53">
        <v>208.97357988165683</v>
      </c>
      <c r="AI1121" s="53">
        <v>208.35769230769236</v>
      </c>
      <c r="AJ1121" s="53">
        <v>208.13846153846148</v>
      </c>
      <c r="AK1121" s="53" t="str">
        <f>_xlfn.XLOOKUP(Master[[#This Row],[cu_id]],'[1]Customer Revenue'!$Q:$Q,'[1]Customer Revenue'!$I:$I, "None")</f>
        <v>None</v>
      </c>
      <c r="AL1121" s="53">
        <v>205.41038461538471</v>
      </c>
      <c r="AM1121" s="61">
        <v>0.29166666666666669</v>
      </c>
      <c r="AN1121" s="60">
        <v>0.70833333333333337</v>
      </c>
      <c r="AO1121" s="60" t="s">
        <v>36</v>
      </c>
      <c r="AP1121" s="60" t="s">
        <v>36</v>
      </c>
      <c r="AQ1121" s="58" t="s">
        <v>0</v>
      </c>
      <c r="AR1121" s="58"/>
      <c r="AS1121" s="58"/>
      <c r="AT1121" s="52">
        <v>0</v>
      </c>
      <c r="AU1121" s="52" t="e">
        <f>IF(Master[[#This Row],[RSP StopTime override]] &lt;&gt; "",Master[[#This Row],[RSP StopTime override]],IF(Master[[#This Row],[Avg stop time helper]] &lt;&gt; 0, Master[[#This Row],[Avg stop time helper]],Average_Stop_Time))</f>
        <v>#DIV/0!</v>
      </c>
      <c r="AV1121" s="21"/>
      <c r="AW1121" s="20">
        <f>Master[[#This Row],[RSP StopTime override]]-Master[[#This Row],[Avg stop time helper]]</f>
        <v>0</v>
      </c>
    </row>
    <row r="1122" spans="1:49" x14ac:dyDescent="0.3">
      <c r="A1122" s="66" t="s">
        <v>5130</v>
      </c>
      <c r="B1122" s="58">
        <v>56</v>
      </c>
      <c r="C1122" s="105" t="s">
        <v>10</v>
      </c>
      <c r="D1122" s="65">
        <v>99117</v>
      </c>
      <c r="E1122" s="65" t="s">
        <v>686</v>
      </c>
      <c r="F1122" s="65" t="s">
        <v>1259</v>
      </c>
      <c r="G1122" s="65" t="s">
        <v>1258</v>
      </c>
      <c r="H1122" s="65" t="s">
        <v>7</v>
      </c>
      <c r="I1122" s="65" t="s">
        <v>6</v>
      </c>
      <c r="J1122" s="65" t="s">
        <v>5</v>
      </c>
      <c r="K1122" s="65" t="s">
        <v>146</v>
      </c>
      <c r="L1122" s="64" t="s">
        <v>67</v>
      </c>
      <c r="M1122" s="58" t="s">
        <v>3</v>
      </c>
      <c r="N1122" s="58" t="s">
        <v>2</v>
      </c>
      <c r="O1122" s="58">
        <v>80</v>
      </c>
      <c r="P1122" s="58">
        <v>0</v>
      </c>
      <c r="Q1122" s="58">
        <v>0</v>
      </c>
      <c r="R1122" s="58">
        <v>0</v>
      </c>
      <c r="S1122" s="58">
        <v>80</v>
      </c>
      <c r="T1122" s="58">
        <v>0</v>
      </c>
      <c r="U1122" s="58">
        <v>53</v>
      </c>
      <c r="V1122" s="62">
        <v>962</v>
      </c>
      <c r="W1122" s="62">
        <v>162</v>
      </c>
      <c r="X1122" s="63">
        <f>IFERROR(1 -(Master[[#This Row],[Avg Garment Scans per Delivery]]/Master[[#This Row],[Garment Inventory]]), 0)</f>
        <v>0.83160083160083165</v>
      </c>
      <c r="Y1122" s="62">
        <v>26</v>
      </c>
      <c r="Z1122" s="62">
        <v>569</v>
      </c>
      <c r="AA1122" s="53">
        <v>211.11331360946747</v>
      </c>
      <c r="AB1122" s="53">
        <v>281.73437869822487</v>
      </c>
      <c r="AC1122" s="53">
        <v>240.49905325443788</v>
      </c>
      <c r="AD1122" s="53">
        <v>276.16863905325465</v>
      </c>
      <c r="AE1122" s="53" t="str">
        <f>_xlfn.XLOOKUP(Master[[#This Row],[cu_id]],'[1]Customer Revenue'!$Q:$Q,'[1]Customer Revenue'!$K:$K, "None")</f>
        <v>None</v>
      </c>
      <c r="AF1122" s="53" t="str">
        <f>_xlfn.XLOOKUP(Master[[#This Row],[cu_id]],'[1]Customer Revenue'!$Q:$Q,'[1]Customer Revenue'!$L:$L, "None")</f>
        <v>None</v>
      </c>
      <c r="AG1122" s="53">
        <v>210.6128402366864</v>
      </c>
      <c r="AH1122" s="53">
        <v>252.73177514792894</v>
      </c>
      <c r="AI1122" s="53">
        <v>246.42384615384617</v>
      </c>
      <c r="AJ1122" s="53">
        <v>258.33384615384625</v>
      </c>
      <c r="AK1122" s="53" t="str">
        <f>_xlfn.XLOOKUP(Master[[#This Row],[cu_id]],'[1]Customer Revenue'!$Q:$Q,'[1]Customer Revenue'!$I:$I, "None")</f>
        <v>None</v>
      </c>
      <c r="AL1122" s="53">
        <v>231.67230769230767</v>
      </c>
      <c r="AM1122" s="61">
        <v>0.29166666666666669</v>
      </c>
      <c r="AN1122" s="60">
        <v>0.70833333333333337</v>
      </c>
      <c r="AO1122" s="60" t="s">
        <v>36</v>
      </c>
      <c r="AP1122" s="60" t="s">
        <v>36</v>
      </c>
      <c r="AQ1122" s="58" t="s">
        <v>0</v>
      </c>
      <c r="AR1122" s="58"/>
      <c r="AS1122" s="58"/>
      <c r="AT1122" s="52">
        <v>0</v>
      </c>
      <c r="AU1122" s="52" t="e">
        <f>IF(Master[[#This Row],[RSP StopTime override]] &lt;&gt; "",Master[[#This Row],[RSP StopTime override]],IF(Master[[#This Row],[Avg stop time helper]] &lt;&gt; 0, Master[[#This Row],[Avg stop time helper]],Average_Stop_Time))</f>
        <v>#DIV/0!</v>
      </c>
      <c r="AV1122" s="21"/>
      <c r="AW1122" s="20">
        <f>Master[[#This Row],[RSP StopTime override]]-Master[[#This Row],[Avg stop time helper]]</f>
        <v>0</v>
      </c>
    </row>
    <row r="1123" spans="1:49" x14ac:dyDescent="0.3">
      <c r="A1123" s="66" t="s">
        <v>5131</v>
      </c>
      <c r="B1123" s="58">
        <v>56</v>
      </c>
      <c r="C1123" s="58" t="s">
        <v>43</v>
      </c>
      <c r="D1123" s="65">
        <v>99117</v>
      </c>
      <c r="E1123" s="65" t="s">
        <v>1257</v>
      </c>
      <c r="F1123" s="65" t="s">
        <v>3750</v>
      </c>
      <c r="G1123" s="65" t="s">
        <v>1256</v>
      </c>
      <c r="H1123" s="65" t="s">
        <v>7</v>
      </c>
      <c r="I1123" s="65" t="s">
        <v>126</v>
      </c>
      <c r="J1123" s="65" t="s">
        <v>5</v>
      </c>
      <c r="K1123" s="65" t="s">
        <v>164</v>
      </c>
      <c r="L1123" s="64" t="s">
        <v>67</v>
      </c>
      <c r="M1123" s="58" t="s">
        <v>3</v>
      </c>
      <c r="N1123" s="58" t="s">
        <v>2</v>
      </c>
      <c r="O1123" s="58">
        <v>30</v>
      </c>
      <c r="P1123" s="58">
        <v>0</v>
      </c>
      <c r="Q1123" s="58">
        <v>0</v>
      </c>
      <c r="R1123" s="58">
        <v>0</v>
      </c>
      <c r="S1123" s="58">
        <v>30</v>
      </c>
      <c r="T1123" s="58">
        <v>0</v>
      </c>
      <c r="U1123" s="58">
        <v>53</v>
      </c>
      <c r="V1123" s="62"/>
      <c r="W1123" s="62"/>
      <c r="X1123" s="63">
        <f>IFERROR(1 -(Master[[#This Row],[Avg Garment Scans per Delivery]]/Master[[#This Row],[Garment Inventory]]), 0)</f>
        <v>0</v>
      </c>
      <c r="Y1123" s="62"/>
      <c r="Z1123" s="62"/>
      <c r="AA1123" s="53">
        <v>62.233609467455622</v>
      </c>
      <c r="AB1123" s="53">
        <v>63.29869822485206</v>
      </c>
      <c r="AC1123" s="53">
        <v>63.84189349112426</v>
      </c>
      <c r="AD1123" s="53">
        <v>64.675029585798811</v>
      </c>
      <c r="AE1123" s="53" t="str">
        <f>_xlfn.XLOOKUP(Master[[#This Row],[cu_id]],'[1]Customer Revenue'!$Q:$Q,'[1]Customer Revenue'!$K:$K, "None")</f>
        <v>None</v>
      </c>
      <c r="AF1123" s="53" t="str">
        <f>_xlfn.XLOOKUP(Master[[#This Row],[cu_id]],'[1]Customer Revenue'!$Q:$Q,'[1]Customer Revenue'!$L:$L, "None")</f>
        <v>None</v>
      </c>
      <c r="AG1123" s="53">
        <v>59.432307692307717</v>
      </c>
      <c r="AH1123" s="53">
        <v>63.387692307692319</v>
      </c>
      <c r="AI1123" s="53">
        <v>62.766153846153841</v>
      </c>
      <c r="AJ1123" s="53">
        <v>64.258461538461532</v>
      </c>
      <c r="AK1123" s="53" t="str">
        <f>_xlfn.XLOOKUP(Master[[#This Row],[cu_id]],'[1]Customer Revenue'!$Q:$Q,'[1]Customer Revenue'!$I:$I, "None")</f>
        <v>None</v>
      </c>
      <c r="AL1123" s="53">
        <v>61.410000000000018</v>
      </c>
      <c r="AM1123" s="61" t="s">
        <v>36</v>
      </c>
      <c r="AN1123" s="60" t="s">
        <v>36</v>
      </c>
      <c r="AO1123" s="60" t="s">
        <v>36</v>
      </c>
      <c r="AP1123" s="60" t="s">
        <v>36</v>
      </c>
      <c r="AQ1123" s="58" t="s">
        <v>0</v>
      </c>
      <c r="AR1123" s="58"/>
      <c r="AS1123" s="58"/>
      <c r="AT1123" s="52">
        <v>0</v>
      </c>
      <c r="AU1123" s="52" t="e">
        <f>IF(Master[[#This Row],[RSP StopTime override]] &lt;&gt; "",Master[[#This Row],[RSP StopTime override]],IF(Master[[#This Row],[Avg stop time helper]] &lt;&gt; 0, Master[[#This Row],[Avg stop time helper]],Average_Stop_Time))</f>
        <v>#DIV/0!</v>
      </c>
      <c r="AV1123" s="21"/>
      <c r="AW1123" s="20">
        <f>Master[[#This Row],[RSP StopTime override]]-Master[[#This Row],[Avg stop time helper]]</f>
        <v>0</v>
      </c>
    </row>
    <row r="1124" spans="1:49" x14ac:dyDescent="0.3">
      <c r="A1124" s="66" t="s">
        <v>5132</v>
      </c>
      <c r="B1124" s="58">
        <v>56</v>
      </c>
      <c r="C1124" s="58" t="s">
        <v>43</v>
      </c>
      <c r="D1124" s="65">
        <v>99117</v>
      </c>
      <c r="E1124" s="65" t="s">
        <v>1255</v>
      </c>
      <c r="F1124" s="65" t="s">
        <v>3751</v>
      </c>
      <c r="G1124" s="65" t="s">
        <v>1254</v>
      </c>
      <c r="H1124" s="65" t="s">
        <v>7</v>
      </c>
      <c r="I1124" s="65" t="s">
        <v>126</v>
      </c>
      <c r="J1124" s="65" t="s">
        <v>5</v>
      </c>
      <c r="K1124" s="65" t="s">
        <v>164</v>
      </c>
      <c r="L1124" s="64" t="s">
        <v>67</v>
      </c>
      <c r="M1124" s="58" t="s">
        <v>3</v>
      </c>
      <c r="N1124" s="58" t="s">
        <v>2</v>
      </c>
      <c r="O1124" s="58">
        <v>25</v>
      </c>
      <c r="P1124" s="58">
        <v>0</v>
      </c>
      <c r="Q1124" s="58">
        <v>0</v>
      </c>
      <c r="R1124" s="58">
        <v>0</v>
      </c>
      <c r="S1124" s="58">
        <v>25</v>
      </c>
      <c r="T1124" s="58">
        <v>0</v>
      </c>
      <c r="U1124" s="58">
        <v>53</v>
      </c>
      <c r="V1124" s="62"/>
      <c r="W1124" s="62"/>
      <c r="X1124" s="63">
        <f>IFERROR(1 -(Master[[#This Row],[Avg Garment Scans per Delivery]]/Master[[#This Row],[Garment Inventory]]), 0)</f>
        <v>0</v>
      </c>
      <c r="Y1124" s="62"/>
      <c r="Z1124" s="62"/>
      <c r="AA1124" s="53">
        <v>46.943609467455623</v>
      </c>
      <c r="AB1124" s="53">
        <v>48.008698224852075</v>
      </c>
      <c r="AC1124" s="53">
        <v>48.551893491124261</v>
      </c>
      <c r="AD1124" s="53">
        <v>49.385029585798819</v>
      </c>
      <c r="AE1124" s="53" t="str">
        <f>_xlfn.XLOOKUP(Master[[#This Row],[cu_id]],'[1]Customer Revenue'!$Q:$Q,'[1]Customer Revenue'!$K:$K, "None")</f>
        <v>None</v>
      </c>
      <c r="AF1124" s="53" t="str">
        <f>_xlfn.XLOOKUP(Master[[#This Row],[cu_id]],'[1]Customer Revenue'!$Q:$Q,'[1]Customer Revenue'!$L:$L, "None")</f>
        <v>None</v>
      </c>
      <c r="AG1124" s="53">
        <v>46.085917159763355</v>
      </c>
      <c r="AH1124" s="53">
        <v>47.655621301775156</v>
      </c>
      <c r="AI1124" s="53">
        <v>47.476153846153849</v>
      </c>
      <c r="AJ1124" s="53">
        <v>48.96846153846154</v>
      </c>
      <c r="AK1124" s="53" t="str">
        <f>_xlfn.XLOOKUP(Master[[#This Row],[cu_id]],'[1]Customer Revenue'!$Q:$Q,'[1]Customer Revenue'!$I:$I, "None")</f>
        <v>None</v>
      </c>
      <c r="AL1124" s="53">
        <v>46.870769230769255</v>
      </c>
      <c r="AM1124" s="61" t="s">
        <v>36</v>
      </c>
      <c r="AN1124" s="60" t="s">
        <v>36</v>
      </c>
      <c r="AO1124" s="60" t="s">
        <v>36</v>
      </c>
      <c r="AP1124" s="60" t="s">
        <v>36</v>
      </c>
      <c r="AQ1124" s="58" t="s">
        <v>0</v>
      </c>
      <c r="AR1124" s="58"/>
      <c r="AS1124" s="58"/>
      <c r="AT1124" s="52">
        <v>0</v>
      </c>
      <c r="AU1124" s="52" t="e">
        <f>IF(Master[[#This Row],[RSP StopTime override]] &lt;&gt; "",Master[[#This Row],[RSP StopTime override]],IF(Master[[#This Row],[Avg stop time helper]] &lt;&gt; 0, Master[[#This Row],[Avg stop time helper]],Average_Stop_Time))</f>
        <v>#DIV/0!</v>
      </c>
      <c r="AV1124" s="21"/>
      <c r="AW1124" s="20">
        <f>Master[[#This Row],[RSP StopTime override]]-Master[[#This Row],[Avg stop time helper]]</f>
        <v>0</v>
      </c>
    </row>
    <row r="1125" spans="1:49" x14ac:dyDescent="0.3">
      <c r="A1125" s="66" t="s">
        <v>5133</v>
      </c>
      <c r="B1125" s="58">
        <v>56</v>
      </c>
      <c r="C1125" s="58" t="s">
        <v>43</v>
      </c>
      <c r="D1125" s="65">
        <v>99117</v>
      </c>
      <c r="E1125" s="65" t="s">
        <v>1253</v>
      </c>
      <c r="F1125" s="65" t="s">
        <v>3752</v>
      </c>
      <c r="G1125" s="65" t="s">
        <v>1252</v>
      </c>
      <c r="H1125" s="65" t="s">
        <v>7</v>
      </c>
      <c r="I1125" s="65" t="s">
        <v>169</v>
      </c>
      <c r="J1125" s="65" t="s">
        <v>5</v>
      </c>
      <c r="K1125" s="65" t="s">
        <v>1115</v>
      </c>
      <c r="L1125" s="64" t="s">
        <v>67</v>
      </c>
      <c r="M1125" s="58" t="s">
        <v>3</v>
      </c>
      <c r="N1125" s="58" t="s">
        <v>2</v>
      </c>
      <c r="O1125" s="58">
        <v>84</v>
      </c>
      <c r="P1125" s="58">
        <v>0</v>
      </c>
      <c r="Q1125" s="58">
        <v>0</v>
      </c>
      <c r="R1125" s="58">
        <v>0</v>
      </c>
      <c r="S1125" s="58">
        <v>84</v>
      </c>
      <c r="T1125" s="58">
        <v>0</v>
      </c>
      <c r="U1125" s="58">
        <v>54</v>
      </c>
      <c r="V1125" s="62"/>
      <c r="W1125" s="62"/>
      <c r="X1125" s="63">
        <f>IFERROR(1 -(Master[[#This Row],[Avg Garment Scans per Delivery]]/Master[[#This Row],[Garment Inventory]]), 0)</f>
        <v>0</v>
      </c>
      <c r="Y1125" s="62"/>
      <c r="Z1125" s="62"/>
      <c r="AA1125" s="53">
        <v>114.4892307692308</v>
      </c>
      <c r="AB1125" s="53">
        <v>147.59076923076924</v>
      </c>
      <c r="AC1125" s="53">
        <v>73.976863905325416</v>
      </c>
      <c r="AD1125" s="53">
        <v>77.230828402366853</v>
      </c>
      <c r="AE1125" s="53" t="str">
        <f>_xlfn.XLOOKUP(Master[[#This Row],[cu_id]],'[1]Customer Revenue'!$Q:$Q,'[1]Customer Revenue'!$K:$K, "None")</f>
        <v>None</v>
      </c>
      <c r="AF1125" s="53" t="str">
        <f>_xlfn.XLOOKUP(Master[[#This Row],[cu_id]],'[1]Customer Revenue'!$Q:$Q,'[1]Customer Revenue'!$L:$L, "None")</f>
        <v>None</v>
      </c>
      <c r="AG1125" s="53">
        <v>76.472958579881677</v>
      </c>
      <c r="AH1125" s="53">
        <v>137.95934911242605</v>
      </c>
      <c r="AI1125" s="53">
        <v>131.04000000000002</v>
      </c>
      <c r="AJ1125" s="53">
        <v>75.603846153846135</v>
      </c>
      <c r="AK1125" s="53" t="str">
        <f>_xlfn.XLOOKUP(Master[[#This Row],[cu_id]],'[1]Customer Revenue'!$Q:$Q,'[1]Customer Revenue'!$I:$I, "None")</f>
        <v>None</v>
      </c>
      <c r="AL1125" s="53">
        <v>107.21615384615386</v>
      </c>
      <c r="AM1125" s="61" t="s">
        <v>36</v>
      </c>
      <c r="AN1125" s="60" t="s">
        <v>36</v>
      </c>
      <c r="AO1125" s="60" t="s">
        <v>36</v>
      </c>
      <c r="AP1125" s="60" t="s">
        <v>36</v>
      </c>
      <c r="AQ1125" s="58" t="s">
        <v>0</v>
      </c>
      <c r="AR1125" s="58"/>
      <c r="AS1125" s="58"/>
      <c r="AT1125" s="52">
        <v>0</v>
      </c>
      <c r="AU1125" s="52" t="e">
        <f>IF(Master[[#This Row],[RSP StopTime override]] &lt;&gt; "",Master[[#This Row],[RSP StopTime override]],IF(Master[[#This Row],[Avg stop time helper]] &lt;&gt; 0, Master[[#This Row],[Avg stop time helper]],Average_Stop_Time))</f>
        <v>#DIV/0!</v>
      </c>
      <c r="AV1125" s="21"/>
      <c r="AW1125" s="20">
        <f>Master[[#This Row],[RSP StopTime override]]-Master[[#This Row],[Avg stop time helper]]</f>
        <v>0</v>
      </c>
    </row>
    <row r="1126" spans="1:49" x14ac:dyDescent="0.3">
      <c r="A1126" s="66" t="s">
        <v>4050</v>
      </c>
      <c r="B1126" s="58">
        <v>56</v>
      </c>
      <c r="C1126" s="58" t="s">
        <v>43</v>
      </c>
      <c r="D1126" s="65">
        <v>99161</v>
      </c>
      <c r="E1126" s="65" t="s">
        <v>1251</v>
      </c>
      <c r="F1126" s="65" t="s">
        <v>3753</v>
      </c>
      <c r="G1126" s="65" t="s">
        <v>1250</v>
      </c>
      <c r="H1126" s="65" t="s">
        <v>7</v>
      </c>
      <c r="I1126" s="65" t="s">
        <v>1183</v>
      </c>
      <c r="J1126" s="65" t="s">
        <v>5</v>
      </c>
      <c r="K1126" s="65" t="s">
        <v>1182</v>
      </c>
      <c r="L1126" s="64" t="s">
        <v>67</v>
      </c>
      <c r="M1126" s="58" t="s">
        <v>3</v>
      </c>
      <c r="N1126" s="58" t="s">
        <v>2</v>
      </c>
      <c r="O1126" s="58">
        <v>1</v>
      </c>
      <c r="P1126" s="58">
        <v>0</v>
      </c>
      <c r="Q1126" s="58">
        <v>0</v>
      </c>
      <c r="R1126" s="58">
        <v>0</v>
      </c>
      <c r="S1126" s="58">
        <v>1</v>
      </c>
      <c r="T1126" s="58">
        <v>0</v>
      </c>
      <c r="U1126" s="58">
        <v>2</v>
      </c>
      <c r="V1126" s="62"/>
      <c r="W1126" s="62"/>
      <c r="X1126" s="63">
        <f>IFERROR(1 -(Master[[#This Row],[Avg Garment Scans per Delivery]]/Master[[#This Row],[Garment Inventory]]), 0)</f>
        <v>0</v>
      </c>
      <c r="Y1126" s="62"/>
      <c r="Z1126" s="62"/>
      <c r="AA1126" s="53">
        <v>38.51</v>
      </c>
      <c r="AB1126" s="53">
        <v>38.51</v>
      </c>
      <c r="AC1126" s="53">
        <v>49.52</v>
      </c>
      <c r="AD1126" s="53">
        <v>49.52</v>
      </c>
      <c r="AE1126" s="53" t="str">
        <f>_xlfn.XLOOKUP(Master[[#This Row],[cu_id]],'[1]Customer Revenue'!$Q:$Q,'[1]Customer Revenue'!$K:$K, "None")</f>
        <v>None</v>
      </c>
      <c r="AF1126" s="53" t="str">
        <f>_xlfn.XLOOKUP(Master[[#This Row],[cu_id]],'[1]Customer Revenue'!$Q:$Q,'[1]Customer Revenue'!$L:$L, "None")</f>
        <v>None</v>
      </c>
      <c r="AG1126" s="53">
        <v>14</v>
      </c>
      <c r="AH1126" s="53">
        <v>38.51</v>
      </c>
      <c r="AI1126" s="53">
        <v>38.51</v>
      </c>
      <c r="AJ1126" s="53">
        <v>49.52</v>
      </c>
      <c r="AK1126" s="53" t="str">
        <f>_xlfn.XLOOKUP(Master[[#This Row],[cu_id]],'[1]Customer Revenue'!$Q:$Q,'[1]Customer Revenue'!$I:$I, "None")</f>
        <v>None</v>
      </c>
      <c r="AL1126" s="53">
        <v>26.254999999999999</v>
      </c>
      <c r="AM1126" s="61">
        <v>0.20833333333333334</v>
      </c>
      <c r="AN1126" s="60">
        <v>0.70833333333333337</v>
      </c>
      <c r="AO1126" s="60" t="s">
        <v>36</v>
      </c>
      <c r="AP1126" s="60" t="s">
        <v>36</v>
      </c>
      <c r="AQ1126" s="58" t="s">
        <v>0</v>
      </c>
      <c r="AR1126" s="58"/>
      <c r="AS1126" s="58"/>
      <c r="AT1126" s="52">
        <v>0</v>
      </c>
      <c r="AU1126" s="52" t="e">
        <f>IF(Master[[#This Row],[RSP StopTime override]] &lt;&gt; "",Master[[#This Row],[RSP StopTime override]],IF(Master[[#This Row],[Avg stop time helper]] &lt;&gt; 0, Master[[#This Row],[Avg stop time helper]],Average_Stop_Time))</f>
        <v>#DIV/0!</v>
      </c>
      <c r="AV1126" s="21"/>
      <c r="AW1126" s="20">
        <f>Master[[#This Row],[RSP StopTime override]]-Master[[#This Row],[Avg stop time helper]]</f>
        <v>0</v>
      </c>
    </row>
    <row r="1127" spans="1:49" x14ac:dyDescent="0.3">
      <c r="A1127" s="66" t="s">
        <v>5134</v>
      </c>
      <c r="B1127" s="58">
        <v>56</v>
      </c>
      <c r="C1127" s="58" t="s">
        <v>43</v>
      </c>
      <c r="D1127" s="65">
        <v>512907</v>
      </c>
      <c r="E1127" s="65" t="s">
        <v>42</v>
      </c>
      <c r="F1127" s="65" t="s">
        <v>1247</v>
      </c>
      <c r="G1127" s="65" t="s">
        <v>1246</v>
      </c>
      <c r="H1127" s="65" t="s">
        <v>32</v>
      </c>
      <c r="I1127" s="65" t="s">
        <v>1243</v>
      </c>
      <c r="J1127" s="65" t="s">
        <v>5</v>
      </c>
      <c r="K1127" s="65" t="s">
        <v>1242</v>
      </c>
      <c r="L1127" s="64" t="s">
        <v>67</v>
      </c>
      <c r="M1127" s="58" t="s">
        <v>3</v>
      </c>
      <c r="N1127" s="58" t="s">
        <v>2</v>
      </c>
      <c r="O1127" s="58">
        <v>145</v>
      </c>
      <c r="P1127" s="58">
        <v>0</v>
      </c>
      <c r="Q1127" s="58">
        <v>0</v>
      </c>
      <c r="R1127" s="58">
        <v>0</v>
      </c>
      <c r="S1127" s="58">
        <v>145</v>
      </c>
      <c r="T1127" s="58">
        <v>0</v>
      </c>
      <c r="U1127" s="58">
        <v>53</v>
      </c>
      <c r="V1127" s="62"/>
      <c r="W1127" s="62"/>
      <c r="X1127" s="63">
        <f>IFERROR(1 -(Master[[#This Row],[Avg Garment Scans per Delivery]]/Master[[#This Row],[Garment Inventory]]), 0)</f>
        <v>0</v>
      </c>
      <c r="Y1127" s="62"/>
      <c r="Z1127" s="62"/>
      <c r="AA1127" s="53">
        <v>120.07331360946745</v>
      </c>
      <c r="AB1127" s="53">
        <v>127.61130177514792</v>
      </c>
      <c r="AC1127" s="53">
        <v>128.85680473372781</v>
      </c>
      <c r="AD1127" s="53">
        <v>133.05088757396453</v>
      </c>
      <c r="AE1127" s="53" t="str">
        <f>_xlfn.XLOOKUP(Master[[#This Row],[cu_id]],'[1]Customer Revenue'!$Q:$Q,'[1]Customer Revenue'!$K:$K, "None")</f>
        <v>None</v>
      </c>
      <c r="AF1127" s="53" t="str">
        <f>_xlfn.XLOOKUP(Master[[#This Row],[cu_id]],'[1]Customer Revenue'!$Q:$Q,'[1]Customer Revenue'!$L:$L, "None")</f>
        <v>None</v>
      </c>
      <c r="AG1127" s="53">
        <v>111.84549488234677</v>
      </c>
      <c r="AH1127" s="53">
        <v>131.36604357919174</v>
      </c>
      <c r="AI1127" s="53">
        <v>123.84230769230768</v>
      </c>
      <c r="AJ1127" s="53">
        <v>130.95384615384617</v>
      </c>
      <c r="AK1127" s="53" t="str">
        <f>_xlfn.XLOOKUP(Master[[#This Row],[cu_id]],'[1]Customer Revenue'!$Q:$Q,'[1]Customer Revenue'!$I:$I, "None")</f>
        <v>None</v>
      </c>
      <c r="AL1127" s="53">
        <v>121.60576923076925</v>
      </c>
      <c r="AM1127" s="61">
        <v>0.375</v>
      </c>
      <c r="AN1127" s="60">
        <v>0.70833333333333337</v>
      </c>
      <c r="AO1127" s="60" t="s">
        <v>36</v>
      </c>
      <c r="AP1127" s="60" t="s">
        <v>36</v>
      </c>
      <c r="AQ1127" s="58" t="s">
        <v>0</v>
      </c>
      <c r="AR1127" s="58"/>
      <c r="AS1127" s="58"/>
      <c r="AT1127" s="52">
        <v>0</v>
      </c>
      <c r="AU1127" s="52" t="e">
        <f>IF(Master[[#This Row],[RSP StopTime override]] &lt;&gt; "",Master[[#This Row],[RSP StopTime override]],IF(Master[[#This Row],[Avg stop time helper]] &lt;&gt; 0, Master[[#This Row],[Avg stop time helper]],Average_Stop_Time))</f>
        <v>#DIV/0!</v>
      </c>
      <c r="AV1127" s="21"/>
      <c r="AW1127" s="20">
        <f>Master[[#This Row],[RSP StopTime override]]-Master[[#This Row],[Avg stop time helper]]</f>
        <v>0</v>
      </c>
    </row>
    <row r="1128" spans="1:49" x14ac:dyDescent="0.3">
      <c r="A1128" s="66" t="s">
        <v>5135</v>
      </c>
      <c r="B1128" s="58">
        <v>56</v>
      </c>
      <c r="C1128" s="58" t="s">
        <v>43</v>
      </c>
      <c r="D1128" s="65">
        <v>514953</v>
      </c>
      <c r="E1128" s="65" t="s">
        <v>42</v>
      </c>
      <c r="F1128" s="65" t="s">
        <v>1245</v>
      </c>
      <c r="G1128" s="65" t="s">
        <v>1244</v>
      </c>
      <c r="H1128" s="65" t="s">
        <v>32</v>
      </c>
      <c r="I1128" s="65" t="s">
        <v>1243</v>
      </c>
      <c r="J1128" s="65" t="s">
        <v>5</v>
      </c>
      <c r="K1128" s="65" t="s">
        <v>1242</v>
      </c>
      <c r="L1128" s="64" t="s">
        <v>91</v>
      </c>
      <c r="M1128" s="58" t="s">
        <v>90</v>
      </c>
      <c r="N1128" s="58" t="s">
        <v>2</v>
      </c>
      <c r="O1128" s="58">
        <v>155</v>
      </c>
      <c r="P1128" s="58">
        <v>0</v>
      </c>
      <c r="Q1128" s="58">
        <v>0</v>
      </c>
      <c r="R1128" s="58">
        <v>0</v>
      </c>
      <c r="S1128" s="58">
        <v>155</v>
      </c>
      <c r="T1128" s="58">
        <v>0</v>
      </c>
      <c r="U1128" s="58">
        <v>20</v>
      </c>
      <c r="V1128" s="62">
        <v>47</v>
      </c>
      <c r="W1128" s="62">
        <v>9</v>
      </c>
      <c r="X1128" s="63">
        <f>IFERROR(1 -(Master[[#This Row],[Avg Garment Scans per Delivery]]/Master[[#This Row],[Garment Inventory]]), 0)</f>
        <v>0.8085106382978724</v>
      </c>
      <c r="Y1128" s="62">
        <v>1</v>
      </c>
      <c r="Z1128" s="62">
        <v>49</v>
      </c>
      <c r="AA1128" s="53">
        <v>40.788095238095231</v>
      </c>
      <c r="AB1128" s="53">
        <v>67.245238095238079</v>
      </c>
      <c r="AC1128" s="53">
        <v>41.394888888888879</v>
      </c>
      <c r="AD1128" s="53">
        <v>73.237111111111105</v>
      </c>
      <c r="AE1128" s="53" t="str">
        <f>_xlfn.XLOOKUP(Master[[#This Row],[cu_id]],'[1]Customer Revenue'!$Q:$Q,'[1]Customer Revenue'!$K:$K, "None")</f>
        <v>None</v>
      </c>
      <c r="AF1128" s="53" t="str">
        <f>_xlfn.XLOOKUP(Master[[#This Row],[cu_id]],'[1]Customer Revenue'!$Q:$Q,'[1]Customer Revenue'!$L:$L, "None")</f>
        <v>None</v>
      </c>
      <c r="AG1128" s="53">
        <v>38.955755782678864</v>
      </c>
      <c r="AH1128" s="53">
        <v>66.380607853684779</v>
      </c>
      <c r="AI1128" s="53">
        <v>54.016666666666659</v>
      </c>
      <c r="AJ1128" s="53">
        <v>57.315999999999995</v>
      </c>
      <c r="AK1128" s="53" t="str">
        <f>_xlfn.XLOOKUP(Master[[#This Row],[cu_id]],'[1]Customer Revenue'!$Q:$Q,'[1]Customer Revenue'!$I:$I, "None")</f>
        <v>None</v>
      </c>
      <c r="AL1128" s="53">
        <v>52.668181818181822</v>
      </c>
      <c r="AM1128" s="61">
        <v>0.375</v>
      </c>
      <c r="AN1128" s="60">
        <v>0.625</v>
      </c>
      <c r="AO1128" s="60" t="s">
        <v>36</v>
      </c>
      <c r="AP1128" s="60" t="s">
        <v>36</v>
      </c>
      <c r="AQ1128" s="58" t="s">
        <v>0</v>
      </c>
      <c r="AR1128" s="58"/>
      <c r="AS1128" s="58"/>
      <c r="AT1128" s="52">
        <v>0</v>
      </c>
      <c r="AU1128" s="52" t="e">
        <f>IF(Master[[#This Row],[RSP StopTime override]] &lt;&gt; "",Master[[#This Row],[RSP StopTime override]],IF(Master[[#This Row],[Avg stop time helper]] &lt;&gt; 0, Master[[#This Row],[Avg stop time helper]],Average_Stop_Time))</f>
        <v>#DIV/0!</v>
      </c>
      <c r="AV1128" s="21"/>
      <c r="AW1128" s="20">
        <f>Master[[#This Row],[RSP StopTime override]]-Master[[#This Row],[Avg stop time helper]]</f>
        <v>0</v>
      </c>
    </row>
    <row r="1129" spans="1:49" x14ac:dyDescent="0.3">
      <c r="A1129" s="66" t="s">
        <v>5136</v>
      </c>
      <c r="B1129" s="58">
        <v>56</v>
      </c>
      <c r="C1129" s="105" t="s">
        <v>15</v>
      </c>
      <c r="D1129" s="65">
        <v>520553</v>
      </c>
      <c r="E1129" s="65" t="s">
        <v>42</v>
      </c>
      <c r="F1129" s="65" t="s">
        <v>1241</v>
      </c>
      <c r="G1129" s="65" t="s">
        <v>1240</v>
      </c>
      <c r="H1129" s="65" t="s">
        <v>32</v>
      </c>
      <c r="I1129" s="65" t="s">
        <v>1198</v>
      </c>
      <c r="J1129" s="65" t="s">
        <v>5</v>
      </c>
      <c r="K1129" s="65" t="s">
        <v>1182</v>
      </c>
      <c r="L1129" s="64" t="s">
        <v>194</v>
      </c>
      <c r="M1129" s="58" t="s">
        <v>193</v>
      </c>
      <c r="N1129" s="58" t="s">
        <v>2</v>
      </c>
      <c r="O1129" s="58">
        <v>20</v>
      </c>
      <c r="P1129" s="58">
        <v>0</v>
      </c>
      <c r="Q1129" s="58">
        <v>0</v>
      </c>
      <c r="R1129" s="58">
        <v>0</v>
      </c>
      <c r="S1129" s="58">
        <v>20</v>
      </c>
      <c r="T1129" s="58">
        <v>0</v>
      </c>
      <c r="U1129" s="58">
        <v>13</v>
      </c>
      <c r="V1129" s="62"/>
      <c r="W1129" s="62"/>
      <c r="X1129" s="63">
        <f>IFERROR(1 -(Master[[#This Row],[Avg Garment Scans per Delivery]]/Master[[#This Row],[Garment Inventory]]), 0)</f>
        <v>0</v>
      </c>
      <c r="Y1129" s="62"/>
      <c r="Z1129" s="62"/>
      <c r="AA1129" s="53">
        <v>35.443333333333328</v>
      </c>
      <c r="AB1129" s="53">
        <v>37.016666666666666</v>
      </c>
      <c r="AC1129" s="53">
        <v>38.64875</v>
      </c>
      <c r="AD1129" s="53">
        <v>41.176250000000003</v>
      </c>
      <c r="AE1129" s="53" t="str">
        <f>_xlfn.XLOOKUP(Master[[#This Row],[cu_id]],'[1]Customer Revenue'!$Q:$Q,'[1]Customer Revenue'!$K:$K, "None")</f>
        <v>None</v>
      </c>
      <c r="AF1129" s="53" t="str">
        <f>_xlfn.XLOOKUP(Master[[#This Row],[cu_id]],'[1]Customer Revenue'!$Q:$Q,'[1]Customer Revenue'!$L:$L, "None")</f>
        <v>None</v>
      </c>
      <c r="AG1129" s="53">
        <v>34.853333333333325</v>
      </c>
      <c r="AH1129" s="53">
        <v>36.426666666666662</v>
      </c>
      <c r="AI1129" s="53">
        <v>36.229999999999997</v>
      </c>
      <c r="AJ1129" s="53">
        <v>39.912500000000001</v>
      </c>
      <c r="AK1129" s="53" t="str">
        <f>_xlfn.XLOOKUP(Master[[#This Row],[cu_id]],'[1]Customer Revenue'!$Q:$Q,'[1]Customer Revenue'!$I:$I, "None")</f>
        <v>None</v>
      </c>
      <c r="AL1129" s="53">
        <v>35.639999999999993</v>
      </c>
      <c r="AM1129" s="61">
        <v>0.29166666666666669</v>
      </c>
      <c r="AN1129" s="60">
        <v>0</v>
      </c>
      <c r="AO1129" s="60">
        <v>0.54166666666666663</v>
      </c>
      <c r="AP1129" s="60">
        <v>0.66666666666666663</v>
      </c>
      <c r="AQ1129" s="58" t="s">
        <v>1239</v>
      </c>
      <c r="AR1129" s="58"/>
      <c r="AS1129" s="58"/>
      <c r="AT1129" s="52">
        <v>0</v>
      </c>
      <c r="AU1129" s="52" t="e">
        <f>IF(Master[[#This Row],[RSP StopTime override]] &lt;&gt; "",Master[[#This Row],[RSP StopTime override]],IF(Master[[#This Row],[Avg stop time helper]] &lt;&gt; 0, Master[[#This Row],[Avg stop time helper]],Average_Stop_Time))</f>
        <v>#DIV/0!</v>
      </c>
      <c r="AV1129" s="21"/>
      <c r="AW1129" s="20">
        <f>Master[[#This Row],[RSP StopTime override]]-Master[[#This Row],[Avg stop time helper]]</f>
        <v>0</v>
      </c>
    </row>
    <row r="1130" spans="1:49" x14ac:dyDescent="0.3">
      <c r="A1130" s="66" t="s">
        <v>5137</v>
      </c>
      <c r="B1130" s="58">
        <v>56</v>
      </c>
      <c r="C1130" s="58" t="s">
        <v>43</v>
      </c>
      <c r="D1130" s="65">
        <v>521497</v>
      </c>
      <c r="E1130" s="65" t="s">
        <v>42</v>
      </c>
      <c r="F1130" s="65" t="s">
        <v>1238</v>
      </c>
      <c r="G1130" s="65" t="s">
        <v>1237</v>
      </c>
      <c r="H1130" s="65" t="s">
        <v>32</v>
      </c>
      <c r="I1130" s="65" t="s">
        <v>1198</v>
      </c>
      <c r="J1130" s="65" t="s">
        <v>5</v>
      </c>
      <c r="K1130" s="65" t="s">
        <v>1182</v>
      </c>
      <c r="L1130" s="64" t="s">
        <v>77</v>
      </c>
      <c r="M1130" s="58" t="s">
        <v>29</v>
      </c>
      <c r="N1130" s="58" t="s">
        <v>2</v>
      </c>
      <c r="O1130" s="58">
        <v>110</v>
      </c>
      <c r="P1130" s="58">
        <v>0</v>
      </c>
      <c r="Q1130" s="58">
        <v>0</v>
      </c>
      <c r="R1130" s="58">
        <v>0</v>
      </c>
      <c r="S1130" s="58">
        <v>110</v>
      </c>
      <c r="T1130" s="58">
        <v>0</v>
      </c>
      <c r="U1130" s="58">
        <v>24</v>
      </c>
      <c r="V1130" s="62"/>
      <c r="W1130" s="62"/>
      <c r="X1130" s="63">
        <f>IFERROR(1 -(Master[[#This Row],[Avg Garment Scans per Delivery]]/Master[[#This Row],[Garment Inventory]]), 0)</f>
        <v>0</v>
      </c>
      <c r="Y1130" s="62"/>
      <c r="Z1130" s="62"/>
      <c r="AA1130" s="53">
        <v>70.3</v>
      </c>
      <c r="AB1130" s="53">
        <v>71.55</v>
      </c>
      <c r="AC1130" s="53">
        <v>72.354285714285709</v>
      </c>
      <c r="AD1130" s="53">
        <v>79.485714285714266</v>
      </c>
      <c r="AE1130" s="53" t="str">
        <f>_xlfn.XLOOKUP(Master[[#This Row],[cu_id]],'[1]Customer Revenue'!$Q:$Q,'[1]Customer Revenue'!$K:$K, "None")</f>
        <v>None</v>
      </c>
      <c r="AF1130" s="53" t="str">
        <f>_xlfn.XLOOKUP(Master[[#This Row],[cu_id]],'[1]Customer Revenue'!$Q:$Q,'[1]Customer Revenue'!$L:$L, "None")</f>
        <v>None</v>
      </c>
      <c r="AG1130" s="53">
        <v>53.414030612244879</v>
      </c>
      <c r="AH1130" s="53">
        <v>88.06096938775508</v>
      </c>
      <c r="AI1130" s="53">
        <v>70.924999999999997</v>
      </c>
      <c r="AJ1130" s="53">
        <v>75.919999999999987</v>
      </c>
      <c r="AK1130" s="53" t="str">
        <f>_xlfn.XLOOKUP(Master[[#This Row],[cu_id]],'[1]Customer Revenue'!$Q:$Q,'[1]Customer Revenue'!$I:$I, "None")</f>
        <v>None</v>
      </c>
      <c r="AL1130" s="53">
        <v>70.737499999999983</v>
      </c>
      <c r="AM1130" s="61">
        <v>0.375</v>
      </c>
      <c r="AN1130" s="60">
        <v>0.70833333333333337</v>
      </c>
      <c r="AO1130" s="60" t="s">
        <v>36</v>
      </c>
      <c r="AP1130" s="60" t="s">
        <v>36</v>
      </c>
      <c r="AQ1130" s="58" t="s">
        <v>0</v>
      </c>
      <c r="AR1130" s="58"/>
      <c r="AS1130" s="58"/>
      <c r="AT1130" s="52">
        <v>0</v>
      </c>
      <c r="AU1130" s="52" t="e">
        <f>IF(Master[[#This Row],[RSP StopTime override]] &lt;&gt; "",Master[[#This Row],[RSP StopTime override]],IF(Master[[#This Row],[Avg stop time helper]] &lt;&gt; 0, Master[[#This Row],[Avg stop time helper]],Average_Stop_Time))</f>
        <v>#DIV/0!</v>
      </c>
      <c r="AV1130" s="21"/>
      <c r="AW1130" s="20">
        <f>Master[[#This Row],[RSP StopTime override]]-Master[[#This Row],[Avg stop time helper]]</f>
        <v>0</v>
      </c>
    </row>
    <row r="1131" spans="1:49" x14ac:dyDescent="0.3">
      <c r="A1131" s="66" t="s">
        <v>5138</v>
      </c>
      <c r="B1131" s="58">
        <v>56</v>
      </c>
      <c r="C1131" s="58" t="s">
        <v>43</v>
      </c>
      <c r="D1131" s="65">
        <v>521854</v>
      </c>
      <c r="E1131" s="65" t="s">
        <v>42</v>
      </c>
      <c r="F1131" s="65" t="s">
        <v>1236</v>
      </c>
      <c r="G1131" s="65" t="s">
        <v>1235</v>
      </c>
      <c r="H1131" s="65" t="s">
        <v>32</v>
      </c>
      <c r="I1131" s="65" t="s">
        <v>1198</v>
      </c>
      <c r="J1131" s="65" t="s">
        <v>5</v>
      </c>
      <c r="K1131" s="65" t="s">
        <v>1182</v>
      </c>
      <c r="L1131" s="64" t="s">
        <v>145</v>
      </c>
      <c r="M1131" s="58" t="s">
        <v>123</v>
      </c>
      <c r="N1131" s="58" t="s">
        <v>144</v>
      </c>
      <c r="O1131" s="58">
        <v>115</v>
      </c>
      <c r="P1131" s="58">
        <v>0</v>
      </c>
      <c r="Q1131" s="58">
        <v>0</v>
      </c>
      <c r="R1131" s="58">
        <v>0</v>
      </c>
      <c r="S1131" s="58">
        <v>115</v>
      </c>
      <c r="T1131" s="58">
        <v>0</v>
      </c>
      <c r="U1131" s="58">
        <v>4</v>
      </c>
      <c r="V1131" s="62"/>
      <c r="W1131" s="62"/>
      <c r="X1131" s="63">
        <f>IFERROR(1 -(Master[[#This Row],[Avg Garment Scans per Delivery]]/Master[[#This Row],[Garment Inventory]]), 0)</f>
        <v>0</v>
      </c>
      <c r="Y1131" s="62"/>
      <c r="Z1131" s="62"/>
      <c r="AA1131" s="53">
        <v>221.97</v>
      </c>
      <c r="AB1131" s="53">
        <v>221.97</v>
      </c>
      <c r="AC1131" s="53">
        <v>208.51</v>
      </c>
      <c r="AD1131" s="53">
        <v>208.51</v>
      </c>
      <c r="AE1131" s="53" t="str">
        <f>_xlfn.XLOOKUP(Master[[#This Row],[cu_id]],'[1]Customer Revenue'!$Q:$Q,'[1]Customer Revenue'!$K:$K, "None")</f>
        <v>None</v>
      </c>
      <c r="AF1131" s="53" t="str">
        <f>_xlfn.XLOOKUP(Master[[#This Row],[cu_id]],'[1]Customer Revenue'!$Q:$Q,'[1]Customer Revenue'!$L:$L, "None")</f>
        <v>None</v>
      </c>
      <c r="AG1131" s="53">
        <v>221.97</v>
      </c>
      <c r="AH1131" s="53">
        <v>221.97</v>
      </c>
      <c r="AI1131" s="53">
        <v>221.97</v>
      </c>
      <c r="AJ1131" s="53">
        <v>208.51</v>
      </c>
      <c r="AK1131" s="53" t="str">
        <f>_xlfn.XLOOKUP(Master[[#This Row],[cu_id]],'[1]Customer Revenue'!$Q:$Q,'[1]Customer Revenue'!$I:$I, "None")</f>
        <v>None</v>
      </c>
      <c r="AL1131" s="53">
        <v>221.97</v>
      </c>
      <c r="AM1131" s="61">
        <v>0.375</v>
      </c>
      <c r="AN1131" s="60">
        <v>0.70833333333333337</v>
      </c>
      <c r="AO1131" s="60" t="s">
        <v>36</v>
      </c>
      <c r="AP1131" s="60" t="s">
        <v>36</v>
      </c>
      <c r="AQ1131" s="58" t="s">
        <v>0</v>
      </c>
      <c r="AR1131" s="58"/>
      <c r="AS1131" s="58"/>
      <c r="AT1131" s="52">
        <v>0</v>
      </c>
      <c r="AU1131" s="52" t="e">
        <f>IF(Master[[#This Row],[RSP StopTime override]] &lt;&gt; "",Master[[#This Row],[RSP StopTime override]],IF(Master[[#This Row],[Avg stop time helper]] &lt;&gt; 0, Master[[#This Row],[Avg stop time helper]],Average_Stop_Time))</f>
        <v>#DIV/0!</v>
      </c>
      <c r="AV1131" s="21"/>
      <c r="AW1131" s="20">
        <f>Master[[#This Row],[RSP StopTime override]]-Master[[#This Row],[Avg stop time helper]]</f>
        <v>0</v>
      </c>
    </row>
    <row r="1132" spans="1:49" x14ac:dyDescent="0.3">
      <c r="A1132" s="66" t="s">
        <v>5139</v>
      </c>
      <c r="B1132" s="58">
        <v>56</v>
      </c>
      <c r="C1132" s="58" t="s">
        <v>43</v>
      </c>
      <c r="D1132" s="65">
        <v>524527</v>
      </c>
      <c r="E1132" s="65" t="s">
        <v>42</v>
      </c>
      <c r="F1132" s="65" t="s">
        <v>1234</v>
      </c>
      <c r="G1132" s="65" t="s">
        <v>1233</v>
      </c>
      <c r="H1132" s="65" t="s">
        <v>32</v>
      </c>
      <c r="I1132" s="65" t="s">
        <v>1232</v>
      </c>
      <c r="J1132" s="65" t="s">
        <v>5</v>
      </c>
      <c r="K1132" s="65" t="s">
        <v>115</v>
      </c>
      <c r="L1132" s="64">
        <v>6</v>
      </c>
      <c r="M1132" s="58" t="s">
        <v>3</v>
      </c>
      <c r="N1132" s="58" t="s">
        <v>2</v>
      </c>
      <c r="O1132" s="58">
        <v>90</v>
      </c>
      <c r="P1132" s="58">
        <v>0</v>
      </c>
      <c r="Q1132" s="58">
        <v>0</v>
      </c>
      <c r="R1132" s="58">
        <v>0</v>
      </c>
      <c r="S1132" s="58">
        <v>90</v>
      </c>
      <c r="T1132" s="58">
        <v>0</v>
      </c>
      <c r="U1132" s="58">
        <v>51</v>
      </c>
      <c r="V1132" s="62">
        <v>66</v>
      </c>
      <c r="W1132" s="62">
        <v>0</v>
      </c>
      <c r="X1132" s="63">
        <f>IFERROR(1 -(Master[[#This Row],[Avg Garment Scans per Delivery]]/Master[[#This Row],[Garment Inventory]]), 0)</f>
        <v>1</v>
      </c>
      <c r="Y1132" s="62">
        <v>3</v>
      </c>
      <c r="Z1132" s="62">
        <v>66</v>
      </c>
      <c r="AA1132" s="53">
        <v>46.590473372781055</v>
      </c>
      <c r="AB1132" s="53">
        <v>100.5187573964497</v>
      </c>
      <c r="AC1132" s="53">
        <v>47.790000000000006</v>
      </c>
      <c r="AD1132" s="53">
        <v>108.40666666666668</v>
      </c>
      <c r="AE1132" s="53" t="str">
        <f>_xlfn.XLOOKUP(Master[[#This Row],[cu_id]],'[1]Customer Revenue'!$Q:$Q,'[1]Customer Revenue'!$K:$K, "None")</f>
        <v>None</v>
      </c>
      <c r="AF1132" s="53" t="str">
        <f>_xlfn.XLOOKUP(Master[[#This Row],[cu_id]],'[1]Customer Revenue'!$Q:$Q,'[1]Customer Revenue'!$L:$L, "None")</f>
        <v>None</v>
      </c>
      <c r="AG1132" s="53">
        <v>46.369632642998027</v>
      </c>
      <c r="AH1132" s="53">
        <v>105.05620069033529</v>
      </c>
      <c r="AI1132" s="53">
        <v>73.554615384615374</v>
      </c>
      <c r="AJ1132" s="53">
        <v>78.098333333333343</v>
      </c>
      <c r="AK1132" s="53" t="str">
        <f>_xlfn.XLOOKUP(Master[[#This Row],[cu_id]],'[1]Customer Revenue'!$Q:$Q,'[1]Customer Revenue'!$I:$I, "None")</f>
        <v>None</v>
      </c>
      <c r="AL1132" s="53">
        <v>75.712916666666658</v>
      </c>
      <c r="AM1132" s="61">
        <v>0.29166666666666669</v>
      </c>
      <c r="AN1132" s="60">
        <v>0.70833333333333337</v>
      </c>
      <c r="AO1132" s="60" t="s">
        <v>36</v>
      </c>
      <c r="AP1132" s="60" t="s">
        <v>36</v>
      </c>
      <c r="AQ1132" s="58" t="s">
        <v>0</v>
      </c>
      <c r="AR1132" s="58"/>
      <c r="AS1132" s="58"/>
      <c r="AT1132" s="52">
        <v>0</v>
      </c>
      <c r="AU1132" s="52" t="e">
        <f>IF(Master[[#This Row],[RSP StopTime override]] &lt;&gt; "",Master[[#This Row],[RSP StopTime override]],IF(Master[[#This Row],[Avg stop time helper]] &lt;&gt; 0, Master[[#This Row],[Avg stop time helper]],Average_Stop_Time))</f>
        <v>#DIV/0!</v>
      </c>
      <c r="AV1132" s="21"/>
      <c r="AW1132" s="20">
        <f>Master[[#This Row],[RSP StopTime override]]-Master[[#This Row],[Avg stop time helper]]</f>
        <v>0</v>
      </c>
    </row>
    <row r="1133" spans="1:49" x14ac:dyDescent="0.3">
      <c r="A1133" s="66" t="s">
        <v>5140</v>
      </c>
      <c r="B1133" s="58">
        <v>56</v>
      </c>
      <c r="C1133" s="58" t="s">
        <v>43</v>
      </c>
      <c r="D1133" s="65">
        <v>529530</v>
      </c>
      <c r="E1133" s="65" t="s">
        <v>42</v>
      </c>
      <c r="F1133" s="65" t="s">
        <v>1231</v>
      </c>
      <c r="G1133" s="65" t="s">
        <v>1230</v>
      </c>
      <c r="H1133" s="65" t="s">
        <v>7</v>
      </c>
      <c r="I1133" s="65" t="s">
        <v>1183</v>
      </c>
      <c r="J1133" s="65" t="s">
        <v>5</v>
      </c>
      <c r="K1133" s="65" t="s">
        <v>1182</v>
      </c>
      <c r="L1133" s="64" t="s">
        <v>141</v>
      </c>
      <c r="M1133" s="58" t="s">
        <v>140</v>
      </c>
      <c r="N1133" s="58" t="s">
        <v>2</v>
      </c>
      <c r="O1133" s="58">
        <v>105</v>
      </c>
      <c r="P1133" s="58">
        <v>0</v>
      </c>
      <c r="Q1133" s="58">
        <v>0</v>
      </c>
      <c r="R1133" s="58">
        <v>0</v>
      </c>
      <c r="S1133" s="58">
        <v>105</v>
      </c>
      <c r="T1133" s="58">
        <v>0</v>
      </c>
      <c r="U1133" s="58">
        <v>13</v>
      </c>
      <c r="V1133" s="62"/>
      <c r="W1133" s="62"/>
      <c r="X1133" s="63">
        <f>IFERROR(1 -(Master[[#This Row],[Avg Garment Scans per Delivery]]/Master[[#This Row],[Garment Inventory]]), 0)</f>
        <v>0</v>
      </c>
      <c r="Y1133" s="62"/>
      <c r="Z1133" s="62"/>
      <c r="AA1133" s="53">
        <v>108.33999999999999</v>
      </c>
      <c r="AB1133" s="53">
        <v>110.33999999999999</v>
      </c>
      <c r="AC1133" s="53">
        <v>110.57777777777778</v>
      </c>
      <c r="AD1133" s="53">
        <v>112.67555555555555</v>
      </c>
      <c r="AE1133" s="53" t="str">
        <f>_xlfn.XLOOKUP(Master[[#This Row],[cu_id]],'[1]Customer Revenue'!$Q:$Q,'[1]Customer Revenue'!$K:$K, "None")</f>
        <v>None</v>
      </c>
      <c r="AF1133" s="53" t="str">
        <f>_xlfn.XLOOKUP(Master[[#This Row],[cu_id]],'[1]Customer Revenue'!$Q:$Q,'[1]Customer Revenue'!$L:$L, "None")</f>
        <v>None</v>
      </c>
      <c r="AG1133" s="53">
        <v>108.36040816326532</v>
      </c>
      <c r="AH1133" s="53">
        <v>109.46244897959185</v>
      </c>
      <c r="AI1133" s="53">
        <v>109.33999999999999</v>
      </c>
      <c r="AJ1133" s="53">
        <v>111.62666666666667</v>
      </c>
      <c r="AK1133" s="53" t="str">
        <f>_xlfn.XLOOKUP(Master[[#This Row],[cu_id]],'[1]Customer Revenue'!$Q:$Q,'[1]Customer Revenue'!$I:$I, "None")</f>
        <v>None</v>
      </c>
      <c r="AL1133" s="53">
        <v>108.91142857142859</v>
      </c>
      <c r="AM1133" s="61">
        <v>0.375</v>
      </c>
      <c r="AN1133" s="60">
        <v>0.70833333333333337</v>
      </c>
      <c r="AO1133" s="60" t="s">
        <v>36</v>
      </c>
      <c r="AP1133" s="60" t="s">
        <v>36</v>
      </c>
      <c r="AQ1133" s="58" t="s">
        <v>0</v>
      </c>
      <c r="AR1133" s="58"/>
      <c r="AS1133" s="58"/>
      <c r="AT1133" s="52">
        <v>0</v>
      </c>
      <c r="AU1133" s="52" t="e">
        <f>IF(Master[[#This Row],[RSP StopTime override]] &lt;&gt; "",Master[[#This Row],[RSP StopTime override]],IF(Master[[#This Row],[Avg stop time helper]] &lt;&gt; 0, Master[[#This Row],[Avg stop time helper]],Average_Stop_Time))</f>
        <v>#DIV/0!</v>
      </c>
      <c r="AV1133" s="21"/>
      <c r="AW1133" s="20">
        <f>Master[[#This Row],[RSP StopTime override]]-Master[[#This Row],[Avg stop time helper]]</f>
        <v>0</v>
      </c>
    </row>
    <row r="1134" spans="1:49" x14ac:dyDescent="0.3">
      <c r="A1134" s="66" t="s">
        <v>5141</v>
      </c>
      <c r="B1134" s="58">
        <v>56</v>
      </c>
      <c r="C1134" s="58" t="s">
        <v>43</v>
      </c>
      <c r="D1134" s="65">
        <v>530054</v>
      </c>
      <c r="E1134" s="65" t="s">
        <v>42</v>
      </c>
      <c r="F1134" s="65" t="s">
        <v>1229</v>
      </c>
      <c r="G1134" s="65" t="s">
        <v>1228</v>
      </c>
      <c r="H1134" s="65" t="s">
        <v>7</v>
      </c>
      <c r="I1134" s="65" t="s">
        <v>1183</v>
      </c>
      <c r="J1134" s="65" t="s">
        <v>5</v>
      </c>
      <c r="K1134" s="65" t="s">
        <v>1227</v>
      </c>
      <c r="L1134" s="64" t="s">
        <v>67</v>
      </c>
      <c r="M1134" s="58" t="s">
        <v>3</v>
      </c>
      <c r="N1134" s="58" t="s">
        <v>2</v>
      </c>
      <c r="O1134" s="58">
        <v>120</v>
      </c>
      <c r="P1134" s="58">
        <v>0</v>
      </c>
      <c r="Q1134" s="58">
        <v>0</v>
      </c>
      <c r="R1134" s="58">
        <v>0</v>
      </c>
      <c r="S1134" s="58">
        <v>120</v>
      </c>
      <c r="T1134" s="58">
        <v>0</v>
      </c>
      <c r="U1134" s="58">
        <v>53</v>
      </c>
      <c r="V1134" s="62"/>
      <c r="W1134" s="62"/>
      <c r="X1134" s="63">
        <f>IFERROR(1 -(Master[[#This Row],[Avg Garment Scans per Delivery]]/Master[[#This Row],[Garment Inventory]]), 0)</f>
        <v>0</v>
      </c>
      <c r="Y1134" s="62"/>
      <c r="Z1134" s="62"/>
      <c r="AA1134" s="53">
        <v>44.254911242603541</v>
      </c>
      <c r="AB1134" s="53">
        <v>49.043550295857969</v>
      </c>
      <c r="AC1134" s="53">
        <v>48.185443786982248</v>
      </c>
      <c r="AD1134" s="53">
        <v>50.580710059171608</v>
      </c>
      <c r="AE1134" s="53" t="str">
        <f>_xlfn.XLOOKUP(Master[[#This Row],[cu_id]],'[1]Customer Revenue'!$Q:$Q,'[1]Customer Revenue'!$K:$K, "None")</f>
        <v>None</v>
      </c>
      <c r="AF1134" s="53" t="str">
        <f>_xlfn.XLOOKUP(Master[[#This Row],[cu_id]],'[1]Customer Revenue'!$Q:$Q,'[1]Customer Revenue'!$L:$L, "None")</f>
        <v>None</v>
      </c>
      <c r="AG1134" s="53">
        <v>45.132189349112423</v>
      </c>
      <c r="AH1134" s="53">
        <v>47.677041420118329</v>
      </c>
      <c r="AI1134" s="53">
        <v>46.649230769230755</v>
      </c>
      <c r="AJ1134" s="53">
        <v>49.383076923076928</v>
      </c>
      <c r="AK1134" s="53" t="str">
        <f>_xlfn.XLOOKUP(Master[[#This Row],[cu_id]],'[1]Customer Revenue'!$Q:$Q,'[1]Customer Revenue'!$I:$I, "None")</f>
        <v>None</v>
      </c>
      <c r="AL1134" s="53">
        <v>46.404615384615376</v>
      </c>
      <c r="AM1134" s="61" t="s">
        <v>36</v>
      </c>
      <c r="AN1134" s="60" t="s">
        <v>36</v>
      </c>
      <c r="AO1134" s="60" t="s">
        <v>36</v>
      </c>
      <c r="AP1134" s="60" t="s">
        <v>36</v>
      </c>
      <c r="AQ1134" s="58" t="s">
        <v>0</v>
      </c>
      <c r="AR1134" s="58"/>
      <c r="AS1134" s="58"/>
      <c r="AT1134" s="52">
        <v>0</v>
      </c>
      <c r="AU1134" s="52" t="e">
        <f>IF(Master[[#This Row],[RSP StopTime override]] &lt;&gt; "",Master[[#This Row],[RSP StopTime override]],IF(Master[[#This Row],[Avg stop time helper]] &lt;&gt; 0, Master[[#This Row],[Avg stop time helper]],Average_Stop_Time))</f>
        <v>#DIV/0!</v>
      </c>
      <c r="AV1134" s="21"/>
      <c r="AW1134" s="20">
        <f>Master[[#This Row],[RSP StopTime override]]-Master[[#This Row],[Avg stop time helper]]</f>
        <v>0</v>
      </c>
    </row>
    <row r="1135" spans="1:49" x14ac:dyDescent="0.3">
      <c r="A1135" s="66" t="s">
        <v>5142</v>
      </c>
      <c r="B1135" s="58">
        <v>56</v>
      </c>
      <c r="C1135" s="58" t="s">
        <v>43</v>
      </c>
      <c r="D1135" s="65">
        <v>530614</v>
      </c>
      <c r="E1135" s="65" t="s">
        <v>42</v>
      </c>
      <c r="F1135" s="65" t="s">
        <v>1226</v>
      </c>
      <c r="G1135" s="65" t="s">
        <v>1225</v>
      </c>
      <c r="H1135" s="65" t="s">
        <v>7</v>
      </c>
      <c r="I1135" s="65" t="s">
        <v>6</v>
      </c>
      <c r="J1135" s="65" t="s">
        <v>5</v>
      </c>
      <c r="K1135" s="65" t="s">
        <v>146</v>
      </c>
      <c r="L1135" s="64" t="s">
        <v>67</v>
      </c>
      <c r="M1135" s="58" t="s">
        <v>3</v>
      </c>
      <c r="N1135" s="58" t="s">
        <v>2</v>
      </c>
      <c r="O1135" s="58">
        <v>60</v>
      </c>
      <c r="P1135" s="58">
        <v>0</v>
      </c>
      <c r="Q1135" s="58">
        <v>0</v>
      </c>
      <c r="R1135" s="58">
        <v>0</v>
      </c>
      <c r="S1135" s="58">
        <v>60</v>
      </c>
      <c r="T1135" s="58">
        <v>0</v>
      </c>
      <c r="U1135" s="58">
        <v>54</v>
      </c>
      <c r="V1135" s="62"/>
      <c r="W1135" s="62"/>
      <c r="X1135" s="63">
        <f>IFERROR(1 -(Master[[#This Row],[Avg Garment Scans per Delivery]]/Master[[#This Row],[Garment Inventory]]), 0)</f>
        <v>0</v>
      </c>
      <c r="Y1135" s="62"/>
      <c r="Z1135" s="62"/>
      <c r="AA1135" s="53">
        <v>157.21970172684465</v>
      </c>
      <c r="AB1135" s="53">
        <v>226.52337519623231</v>
      </c>
      <c r="AC1135" s="53">
        <v>204.11047337278106</v>
      </c>
      <c r="AD1135" s="53">
        <v>205.91875739644971</v>
      </c>
      <c r="AE1135" s="53" t="str">
        <f>_xlfn.XLOOKUP(Master[[#This Row],[cu_id]],'[1]Customer Revenue'!$Q:$Q,'[1]Customer Revenue'!$K:$K, "None")</f>
        <v>None</v>
      </c>
      <c r="AF1135" s="53" t="str">
        <f>_xlfn.XLOOKUP(Master[[#This Row],[cu_id]],'[1]Customer Revenue'!$Q:$Q,'[1]Customer Revenue'!$L:$L, "None")</f>
        <v>None</v>
      </c>
      <c r="AG1135" s="53">
        <v>164.49250131898273</v>
      </c>
      <c r="AH1135" s="53">
        <v>229.61442175794016</v>
      </c>
      <c r="AI1135" s="53">
        <v>191.87153846153848</v>
      </c>
      <c r="AJ1135" s="53">
        <v>205.01461538461538</v>
      </c>
      <c r="AK1135" s="53" t="str">
        <f>_xlfn.XLOOKUP(Master[[#This Row],[cu_id]],'[1]Customer Revenue'!$Q:$Q,'[1]Customer Revenue'!$I:$I, "None")</f>
        <v>None</v>
      </c>
      <c r="AL1135" s="53">
        <v>197.05346153846145</v>
      </c>
      <c r="AM1135" s="61">
        <v>0.41666666666666669</v>
      </c>
      <c r="AN1135" s="60">
        <v>0.70833333333333337</v>
      </c>
      <c r="AO1135" s="60" t="s">
        <v>36</v>
      </c>
      <c r="AP1135" s="60" t="s">
        <v>36</v>
      </c>
      <c r="AQ1135" s="58" t="s">
        <v>0</v>
      </c>
      <c r="AR1135" s="58"/>
      <c r="AS1135" s="58"/>
      <c r="AT1135" s="52">
        <v>0</v>
      </c>
      <c r="AU1135" s="52" t="e">
        <f>IF(Master[[#This Row],[RSP StopTime override]] &lt;&gt; "",Master[[#This Row],[RSP StopTime override]],IF(Master[[#This Row],[Avg stop time helper]] &lt;&gt; 0, Master[[#This Row],[Avg stop time helper]],Average_Stop_Time))</f>
        <v>#DIV/0!</v>
      </c>
      <c r="AV1135" s="21"/>
      <c r="AW1135" s="20">
        <f>Master[[#This Row],[RSP StopTime override]]-Master[[#This Row],[Avg stop time helper]]</f>
        <v>0</v>
      </c>
    </row>
    <row r="1136" spans="1:49" x14ac:dyDescent="0.3">
      <c r="A1136" s="66" t="s">
        <v>5143</v>
      </c>
      <c r="B1136" s="58">
        <v>56</v>
      </c>
      <c r="C1136" s="58" t="s">
        <v>43</v>
      </c>
      <c r="D1136" s="65">
        <v>531814</v>
      </c>
      <c r="E1136" s="65" t="s">
        <v>42</v>
      </c>
      <c r="F1136" s="65" t="s">
        <v>1224</v>
      </c>
      <c r="G1136" s="65" t="s">
        <v>1223</v>
      </c>
      <c r="H1136" s="65" t="s">
        <v>7</v>
      </c>
      <c r="I1136" s="65" t="s">
        <v>169</v>
      </c>
      <c r="J1136" s="65" t="s">
        <v>5</v>
      </c>
      <c r="K1136" s="65" t="s">
        <v>146</v>
      </c>
      <c r="L1136" s="64" t="s">
        <v>67</v>
      </c>
      <c r="M1136" s="58" t="s">
        <v>3</v>
      </c>
      <c r="N1136" s="58" t="s">
        <v>2</v>
      </c>
      <c r="O1136" s="58">
        <v>70</v>
      </c>
      <c r="P1136" s="58">
        <v>0</v>
      </c>
      <c r="Q1136" s="58">
        <v>0</v>
      </c>
      <c r="R1136" s="58">
        <v>0</v>
      </c>
      <c r="S1136" s="58">
        <v>70</v>
      </c>
      <c r="T1136" s="58">
        <v>0</v>
      </c>
      <c r="U1136" s="58">
        <v>53</v>
      </c>
      <c r="V1136" s="62"/>
      <c r="W1136" s="62"/>
      <c r="X1136" s="63">
        <f>IFERROR(1 -(Master[[#This Row],[Avg Garment Scans per Delivery]]/Master[[#This Row],[Garment Inventory]]), 0)</f>
        <v>0</v>
      </c>
      <c r="Y1136" s="62"/>
      <c r="Z1136" s="62"/>
      <c r="AA1136" s="53">
        <v>106.04715976331362</v>
      </c>
      <c r="AB1136" s="53">
        <v>137.54514792899408</v>
      </c>
      <c r="AC1136" s="53">
        <v>116.82479289940832</v>
      </c>
      <c r="AD1136" s="53">
        <v>138.74905325443788</v>
      </c>
      <c r="AE1136" s="53" t="str">
        <f>_xlfn.XLOOKUP(Master[[#This Row],[cu_id]],'[1]Customer Revenue'!$Q:$Q,'[1]Customer Revenue'!$K:$K, "None")</f>
        <v>None</v>
      </c>
      <c r="AF1136" s="53" t="str">
        <f>_xlfn.XLOOKUP(Master[[#This Row],[cu_id]],'[1]Customer Revenue'!$Q:$Q,'[1]Customer Revenue'!$L:$L, "None")</f>
        <v>None</v>
      </c>
      <c r="AG1136" s="53">
        <v>111.6984615384615</v>
      </c>
      <c r="AH1136" s="53">
        <v>135.47076923076921</v>
      </c>
      <c r="AI1136" s="53">
        <v>121.79615384615386</v>
      </c>
      <c r="AJ1136" s="53">
        <v>127.7869230769231</v>
      </c>
      <c r="AK1136" s="53" t="str">
        <f>_xlfn.XLOOKUP(Master[[#This Row],[cu_id]],'[1]Customer Revenue'!$Q:$Q,'[1]Customer Revenue'!$I:$I, "None")</f>
        <v>None</v>
      </c>
      <c r="AL1136" s="53">
        <v>123.58461538461535</v>
      </c>
      <c r="AM1136" s="61">
        <v>0.29166666666666669</v>
      </c>
      <c r="AN1136" s="60">
        <v>0.70833333333333337</v>
      </c>
      <c r="AO1136" s="60" t="s">
        <v>36</v>
      </c>
      <c r="AP1136" s="60" t="s">
        <v>36</v>
      </c>
      <c r="AQ1136" s="58" t="s">
        <v>0</v>
      </c>
      <c r="AR1136" s="58"/>
      <c r="AS1136" s="58"/>
      <c r="AT1136" s="52">
        <v>0</v>
      </c>
      <c r="AU1136" s="52" t="e">
        <f>IF(Master[[#This Row],[RSP StopTime override]] &lt;&gt; "",Master[[#This Row],[RSP StopTime override]],IF(Master[[#This Row],[Avg stop time helper]] &lt;&gt; 0, Master[[#This Row],[Avg stop time helper]],Average_Stop_Time))</f>
        <v>#DIV/0!</v>
      </c>
      <c r="AV1136" s="21"/>
      <c r="AW1136" s="20">
        <f>Master[[#This Row],[RSP StopTime override]]-Master[[#This Row],[Avg stop time helper]]</f>
        <v>0</v>
      </c>
    </row>
    <row r="1137" spans="1:49" x14ac:dyDescent="0.3">
      <c r="A1137" s="66" t="s">
        <v>5144</v>
      </c>
      <c r="B1137" s="58">
        <v>56</v>
      </c>
      <c r="C1137" s="58" t="s">
        <v>43</v>
      </c>
      <c r="D1137" s="65">
        <v>532052</v>
      </c>
      <c r="E1137" s="65" t="s">
        <v>42</v>
      </c>
      <c r="F1137" s="65" t="s">
        <v>1222</v>
      </c>
      <c r="G1137" s="65" t="s">
        <v>1221</v>
      </c>
      <c r="H1137" s="65" t="s">
        <v>7</v>
      </c>
      <c r="I1137" s="65" t="s">
        <v>6</v>
      </c>
      <c r="J1137" s="65" t="s">
        <v>5</v>
      </c>
      <c r="K1137" s="65" t="s">
        <v>146</v>
      </c>
      <c r="L1137" s="64" t="s">
        <v>145</v>
      </c>
      <c r="M1137" s="58" t="s">
        <v>123</v>
      </c>
      <c r="N1137" s="58" t="s">
        <v>144</v>
      </c>
      <c r="O1137" s="58">
        <v>98</v>
      </c>
      <c r="P1137" s="58">
        <v>0</v>
      </c>
      <c r="Q1137" s="58">
        <v>0</v>
      </c>
      <c r="R1137" s="58">
        <v>0</v>
      </c>
      <c r="S1137" s="58">
        <v>98</v>
      </c>
      <c r="T1137" s="58">
        <v>0</v>
      </c>
      <c r="U1137" s="58">
        <v>34</v>
      </c>
      <c r="V1137" s="62"/>
      <c r="W1137" s="62"/>
      <c r="X1137" s="63">
        <f>IFERROR(1 -(Master[[#This Row],[Avg Garment Scans per Delivery]]/Master[[#This Row],[Garment Inventory]]), 0)</f>
        <v>0</v>
      </c>
      <c r="Y1137" s="62"/>
      <c r="Z1137" s="62"/>
      <c r="AA1137" s="53">
        <v>97.246666666666655</v>
      </c>
      <c r="AB1137" s="53">
        <v>292.56</v>
      </c>
      <c r="AC1137" s="53">
        <v>180.27392857142857</v>
      </c>
      <c r="AD1137" s="53">
        <v>490.26892857142866</v>
      </c>
      <c r="AE1137" s="53" t="str">
        <f>_xlfn.XLOOKUP(Master[[#This Row],[cu_id]],'[1]Customer Revenue'!$Q:$Q,'[1]Customer Revenue'!$K:$K, "None")</f>
        <v>None</v>
      </c>
      <c r="AF1137" s="53" t="str">
        <f>_xlfn.XLOOKUP(Master[[#This Row],[cu_id]],'[1]Customer Revenue'!$Q:$Q,'[1]Customer Revenue'!$L:$L, "None")</f>
        <v>None</v>
      </c>
      <c r="AG1137" s="53">
        <v>120.70147928994081</v>
      </c>
      <c r="AH1137" s="53">
        <v>310.94005917159768</v>
      </c>
      <c r="AI1137" s="53">
        <v>194.90333333333334</v>
      </c>
      <c r="AJ1137" s="53">
        <v>335.2714285714286</v>
      </c>
      <c r="AK1137" s="53" t="str">
        <f>_xlfn.XLOOKUP(Master[[#This Row],[cu_id]],'[1]Customer Revenue'!$Q:$Q,'[1]Customer Revenue'!$I:$I, "None")</f>
        <v>None</v>
      </c>
      <c r="AL1137" s="53">
        <v>215.82076923076923</v>
      </c>
      <c r="AM1137" s="61" t="s">
        <v>36</v>
      </c>
      <c r="AN1137" s="60" t="s">
        <v>36</v>
      </c>
      <c r="AO1137" s="60" t="s">
        <v>36</v>
      </c>
      <c r="AP1137" s="60" t="s">
        <v>36</v>
      </c>
      <c r="AQ1137" s="58" t="s">
        <v>0</v>
      </c>
      <c r="AR1137" s="58"/>
      <c r="AS1137" s="58"/>
      <c r="AT1137" s="52">
        <v>0</v>
      </c>
      <c r="AU1137" s="52" t="e">
        <f>IF(Master[[#This Row],[RSP StopTime override]] &lt;&gt; "",Master[[#This Row],[RSP StopTime override]],IF(Master[[#This Row],[Avg stop time helper]] &lt;&gt; 0, Master[[#This Row],[Avg stop time helper]],Average_Stop_Time))</f>
        <v>#DIV/0!</v>
      </c>
      <c r="AV1137" s="21"/>
      <c r="AW1137" s="20">
        <f>Master[[#This Row],[RSP StopTime override]]-Master[[#This Row],[Avg stop time helper]]</f>
        <v>0</v>
      </c>
    </row>
    <row r="1138" spans="1:49" x14ac:dyDescent="0.3">
      <c r="A1138" s="66" t="s">
        <v>5145</v>
      </c>
      <c r="B1138" s="58">
        <v>56</v>
      </c>
      <c r="C1138" s="58" t="s">
        <v>43</v>
      </c>
      <c r="D1138" s="65">
        <v>532076</v>
      </c>
      <c r="E1138" s="65" t="s">
        <v>42</v>
      </c>
      <c r="F1138" s="65" t="s">
        <v>1220</v>
      </c>
      <c r="G1138" s="65" t="s">
        <v>1219</v>
      </c>
      <c r="H1138" s="65" t="s">
        <v>7</v>
      </c>
      <c r="I1138" s="65" t="s">
        <v>1183</v>
      </c>
      <c r="J1138" s="65" t="s">
        <v>5</v>
      </c>
      <c r="K1138" s="65" t="s">
        <v>1182</v>
      </c>
      <c r="L1138" s="64" t="s">
        <v>67</v>
      </c>
      <c r="M1138" s="58" t="s">
        <v>3</v>
      </c>
      <c r="N1138" s="58" t="s">
        <v>2</v>
      </c>
      <c r="O1138" s="58">
        <v>130</v>
      </c>
      <c r="P1138" s="58">
        <v>0</v>
      </c>
      <c r="Q1138" s="58">
        <v>0</v>
      </c>
      <c r="R1138" s="58">
        <v>0</v>
      </c>
      <c r="S1138" s="58">
        <v>130</v>
      </c>
      <c r="T1138" s="58">
        <v>0</v>
      </c>
      <c r="U1138" s="58">
        <v>53</v>
      </c>
      <c r="V1138" s="62"/>
      <c r="W1138" s="62"/>
      <c r="X1138" s="63">
        <f>IFERROR(1 -(Master[[#This Row],[Avg Garment Scans per Delivery]]/Master[[#This Row],[Garment Inventory]]), 0)</f>
        <v>0</v>
      </c>
      <c r="Y1138" s="62"/>
      <c r="Z1138" s="62"/>
      <c r="AA1138" s="53">
        <v>88.455562130177526</v>
      </c>
      <c r="AB1138" s="53">
        <v>118.33982248520709</v>
      </c>
      <c r="AC1138" s="53">
        <v>99.297988165680465</v>
      </c>
      <c r="AD1138" s="53">
        <v>131.56970414201183</v>
      </c>
      <c r="AE1138" s="53" t="str">
        <f>_xlfn.XLOOKUP(Master[[#This Row],[cu_id]],'[1]Customer Revenue'!$Q:$Q,'[1]Customer Revenue'!$K:$K, "None")</f>
        <v>None</v>
      </c>
      <c r="AF1138" s="53" t="str">
        <f>_xlfn.XLOOKUP(Master[[#This Row],[cu_id]],'[1]Customer Revenue'!$Q:$Q,'[1]Customer Revenue'!$L:$L, "None")</f>
        <v>None</v>
      </c>
      <c r="AG1138" s="53">
        <v>89.227692307692351</v>
      </c>
      <c r="AH1138" s="53">
        <v>119.38230769230775</v>
      </c>
      <c r="AI1138" s="53">
        <v>103.39769230769231</v>
      </c>
      <c r="AJ1138" s="53">
        <v>115.43384615384615</v>
      </c>
      <c r="AK1138" s="53" t="str">
        <f>_xlfn.XLOOKUP(Master[[#This Row],[cu_id]],'[1]Customer Revenue'!$Q:$Q,'[1]Customer Revenue'!$I:$I, "None")</f>
        <v>None</v>
      </c>
      <c r="AL1138" s="53">
        <v>104.30500000000005</v>
      </c>
      <c r="AM1138" s="61">
        <v>0.375</v>
      </c>
      <c r="AN1138" s="60">
        <v>0.70833333333333337</v>
      </c>
      <c r="AO1138" s="60" t="s">
        <v>36</v>
      </c>
      <c r="AP1138" s="60" t="s">
        <v>36</v>
      </c>
      <c r="AQ1138" s="58" t="s">
        <v>0</v>
      </c>
      <c r="AR1138" s="58"/>
      <c r="AS1138" s="58"/>
      <c r="AT1138" s="52">
        <v>0</v>
      </c>
      <c r="AU1138" s="52" t="e">
        <f>IF(Master[[#This Row],[RSP StopTime override]] &lt;&gt; "",Master[[#This Row],[RSP StopTime override]],IF(Master[[#This Row],[Avg stop time helper]] &lt;&gt; 0, Master[[#This Row],[Avg stop time helper]],Average_Stop_Time))</f>
        <v>#DIV/0!</v>
      </c>
      <c r="AV1138" s="21"/>
      <c r="AW1138" s="20">
        <f>Master[[#This Row],[RSP StopTime override]]-Master[[#This Row],[Avg stop time helper]]</f>
        <v>0</v>
      </c>
    </row>
    <row r="1139" spans="1:49" x14ac:dyDescent="0.3">
      <c r="A1139" s="66" t="s">
        <v>5146</v>
      </c>
      <c r="B1139" s="58">
        <v>56</v>
      </c>
      <c r="C1139" s="58" t="s">
        <v>43</v>
      </c>
      <c r="D1139" s="65">
        <v>532078</v>
      </c>
      <c r="E1139" s="65" t="s">
        <v>42</v>
      </c>
      <c r="F1139" s="65" t="s">
        <v>1218</v>
      </c>
      <c r="G1139" s="65" t="s">
        <v>1217</v>
      </c>
      <c r="H1139" s="65" t="s">
        <v>7</v>
      </c>
      <c r="I1139" s="65" t="s">
        <v>1216</v>
      </c>
      <c r="J1139" s="65" t="s">
        <v>5</v>
      </c>
      <c r="K1139" s="65" t="s">
        <v>1215</v>
      </c>
      <c r="L1139" s="64" t="s">
        <v>67</v>
      </c>
      <c r="M1139" s="58" t="s">
        <v>3</v>
      </c>
      <c r="N1139" s="58" t="s">
        <v>2</v>
      </c>
      <c r="O1139" s="58">
        <v>175</v>
      </c>
      <c r="P1139" s="58">
        <v>0</v>
      </c>
      <c r="Q1139" s="58">
        <v>0</v>
      </c>
      <c r="R1139" s="58">
        <v>0</v>
      </c>
      <c r="S1139" s="58">
        <v>175</v>
      </c>
      <c r="T1139" s="58">
        <v>0</v>
      </c>
      <c r="U1139" s="58">
        <v>54</v>
      </c>
      <c r="V1139" s="62"/>
      <c r="W1139" s="62"/>
      <c r="X1139" s="63">
        <f>IFERROR(1 -(Master[[#This Row],[Avg Garment Scans per Delivery]]/Master[[#This Row],[Garment Inventory]]), 0)</f>
        <v>0</v>
      </c>
      <c r="Y1139" s="62"/>
      <c r="Z1139" s="62"/>
      <c r="AA1139" s="53">
        <v>121.65755102040821</v>
      </c>
      <c r="AB1139" s="53">
        <v>191.40244897959184</v>
      </c>
      <c r="AC1139" s="53">
        <v>141.67627218934911</v>
      </c>
      <c r="AD1139" s="53">
        <v>219.87603550295859</v>
      </c>
      <c r="AE1139" s="53" t="str">
        <f>_xlfn.XLOOKUP(Master[[#This Row],[cu_id]],'[1]Customer Revenue'!$Q:$Q,'[1]Customer Revenue'!$K:$K, "None")</f>
        <v>None</v>
      </c>
      <c r="AF1139" s="53" t="str">
        <f>_xlfn.XLOOKUP(Master[[#This Row],[cu_id]],'[1]Customer Revenue'!$Q:$Q,'[1]Customer Revenue'!$L:$L, "None")</f>
        <v>None</v>
      </c>
      <c r="AG1139" s="53">
        <v>129.14828796032501</v>
      </c>
      <c r="AH1139" s="53">
        <v>184.65555819352116</v>
      </c>
      <c r="AI1139" s="53">
        <v>156.53000000000003</v>
      </c>
      <c r="AJ1139" s="53">
        <v>180.77615384615385</v>
      </c>
      <c r="AK1139" s="53" t="str">
        <f>_xlfn.XLOOKUP(Master[[#This Row],[cu_id]],'[1]Customer Revenue'!$Q:$Q,'[1]Customer Revenue'!$I:$I, "None")</f>
        <v>None</v>
      </c>
      <c r="AL1139" s="53">
        <v>156.90192307692308</v>
      </c>
      <c r="AM1139" s="61">
        <v>0.375</v>
      </c>
      <c r="AN1139" s="60">
        <v>0.70833333333333337</v>
      </c>
      <c r="AO1139" s="60" t="s">
        <v>36</v>
      </c>
      <c r="AP1139" s="60" t="s">
        <v>36</v>
      </c>
      <c r="AQ1139" s="58" t="s">
        <v>0</v>
      </c>
      <c r="AR1139" s="58"/>
      <c r="AS1139" s="58"/>
      <c r="AT1139" s="52">
        <v>0</v>
      </c>
      <c r="AU1139" s="52" t="e">
        <f>IF(Master[[#This Row],[RSP StopTime override]] &lt;&gt; "",Master[[#This Row],[RSP StopTime override]],IF(Master[[#This Row],[Avg stop time helper]] &lt;&gt; 0, Master[[#This Row],[Avg stop time helper]],Average_Stop_Time))</f>
        <v>#DIV/0!</v>
      </c>
      <c r="AV1139" s="21"/>
      <c r="AW1139" s="20">
        <f>Master[[#This Row],[RSP StopTime override]]-Master[[#This Row],[Avg stop time helper]]</f>
        <v>0</v>
      </c>
    </row>
    <row r="1140" spans="1:49" x14ac:dyDescent="0.3">
      <c r="A1140" s="66" t="s">
        <v>5147</v>
      </c>
      <c r="B1140" s="58">
        <v>56</v>
      </c>
      <c r="C1140" s="58" t="s">
        <v>43</v>
      </c>
      <c r="D1140" s="65">
        <v>532137</v>
      </c>
      <c r="E1140" s="65" t="s">
        <v>686</v>
      </c>
      <c r="F1140" s="65" t="s">
        <v>1214</v>
      </c>
      <c r="G1140" s="65" t="s">
        <v>1213</v>
      </c>
      <c r="H1140" s="65" t="s">
        <v>1212</v>
      </c>
      <c r="I1140" s="65" t="s">
        <v>1183</v>
      </c>
      <c r="J1140" s="65" t="s">
        <v>5</v>
      </c>
      <c r="K1140" s="65" t="s">
        <v>1211</v>
      </c>
      <c r="L1140" s="64" t="s">
        <v>67</v>
      </c>
      <c r="M1140" s="58" t="s">
        <v>3</v>
      </c>
      <c r="N1140" s="58" t="s">
        <v>2</v>
      </c>
      <c r="O1140" s="58">
        <v>135</v>
      </c>
      <c r="P1140" s="58">
        <v>0</v>
      </c>
      <c r="Q1140" s="58">
        <v>0</v>
      </c>
      <c r="R1140" s="58">
        <v>0</v>
      </c>
      <c r="S1140" s="58">
        <v>135</v>
      </c>
      <c r="T1140" s="58">
        <v>0</v>
      </c>
      <c r="U1140" s="58">
        <v>51</v>
      </c>
      <c r="V1140" s="62"/>
      <c r="W1140" s="62"/>
      <c r="X1140" s="63">
        <f>IFERROR(1 -(Master[[#This Row],[Avg Garment Scans per Delivery]]/Master[[#This Row],[Garment Inventory]]), 0)</f>
        <v>0</v>
      </c>
      <c r="Y1140" s="62"/>
      <c r="Z1140" s="62"/>
      <c r="AA1140" s="53">
        <v>39.154023668639056</v>
      </c>
      <c r="AB1140" s="53">
        <v>59.705976331360944</v>
      </c>
      <c r="AC1140" s="53">
        <v>49.642544378698226</v>
      </c>
      <c r="AD1140" s="53">
        <v>60.706686390532546</v>
      </c>
      <c r="AE1140" s="53" t="str">
        <f>_xlfn.XLOOKUP(Master[[#This Row],[cu_id]],'[1]Customer Revenue'!$Q:$Q,'[1]Customer Revenue'!$K:$K, "None")</f>
        <v>None</v>
      </c>
      <c r="AF1140" s="53" t="str">
        <f>_xlfn.XLOOKUP(Master[[#This Row],[cu_id]],'[1]Customer Revenue'!$Q:$Q,'[1]Customer Revenue'!$L:$L, "None")</f>
        <v>None</v>
      </c>
      <c r="AG1140" s="53">
        <v>40.94094674556213</v>
      </c>
      <c r="AH1140" s="53">
        <v>62.259053254437873</v>
      </c>
      <c r="AI1140" s="53">
        <v>49.43</v>
      </c>
      <c r="AJ1140" s="53">
        <v>55.174615384615386</v>
      </c>
      <c r="AK1140" s="53" t="str">
        <f>_xlfn.XLOOKUP(Master[[#This Row],[cu_id]],'[1]Customer Revenue'!$Q:$Q,'[1]Customer Revenue'!$I:$I, "None")</f>
        <v>None</v>
      </c>
      <c r="AL1140" s="53">
        <v>51.6</v>
      </c>
      <c r="AM1140" s="61">
        <v>0.45833333333333331</v>
      </c>
      <c r="AN1140" s="60">
        <v>0.70833333333333337</v>
      </c>
      <c r="AO1140" s="60" t="s">
        <v>36</v>
      </c>
      <c r="AP1140" s="60" t="s">
        <v>36</v>
      </c>
      <c r="AQ1140" s="58" t="s">
        <v>0</v>
      </c>
      <c r="AR1140" s="58"/>
      <c r="AS1140" s="58"/>
      <c r="AT1140" s="52">
        <v>0</v>
      </c>
      <c r="AU1140" s="52" t="e">
        <f>IF(Master[[#This Row],[RSP StopTime override]] &lt;&gt; "",Master[[#This Row],[RSP StopTime override]],IF(Master[[#This Row],[Avg stop time helper]] &lt;&gt; 0, Master[[#This Row],[Avg stop time helper]],Average_Stop_Time))</f>
        <v>#DIV/0!</v>
      </c>
      <c r="AV1140" s="21"/>
      <c r="AW1140" s="20">
        <f>Master[[#This Row],[RSP StopTime override]]-Master[[#This Row],[Avg stop time helper]]</f>
        <v>0</v>
      </c>
    </row>
    <row r="1141" spans="1:49" x14ac:dyDescent="0.3">
      <c r="A1141" s="66" t="s">
        <v>5148</v>
      </c>
      <c r="B1141" s="58">
        <v>56</v>
      </c>
      <c r="C1141" s="58" t="s">
        <v>43</v>
      </c>
      <c r="D1141" s="65">
        <v>532170</v>
      </c>
      <c r="E1141" s="65" t="s">
        <v>42</v>
      </c>
      <c r="F1141" s="65" t="s">
        <v>1210</v>
      </c>
      <c r="G1141" s="65" t="s">
        <v>1209</v>
      </c>
      <c r="H1141" s="65" t="s">
        <v>7</v>
      </c>
      <c r="I1141" s="65" t="s">
        <v>1183</v>
      </c>
      <c r="J1141" s="65" t="s">
        <v>5</v>
      </c>
      <c r="K1141" s="65" t="s">
        <v>1208</v>
      </c>
      <c r="L1141" s="64" t="s">
        <v>67</v>
      </c>
      <c r="M1141" s="58" t="s">
        <v>3</v>
      </c>
      <c r="N1141" s="58" t="s">
        <v>2</v>
      </c>
      <c r="O1141" s="58">
        <v>140</v>
      </c>
      <c r="P1141" s="58">
        <v>0</v>
      </c>
      <c r="Q1141" s="58">
        <v>0</v>
      </c>
      <c r="R1141" s="58">
        <v>0</v>
      </c>
      <c r="S1141" s="58">
        <v>140</v>
      </c>
      <c r="T1141" s="58">
        <v>0</v>
      </c>
      <c r="U1141" s="58">
        <v>33</v>
      </c>
      <c r="V1141" s="62"/>
      <c r="W1141" s="62"/>
      <c r="X1141" s="63">
        <f>IFERROR(1 -(Master[[#This Row],[Avg Garment Scans per Delivery]]/Master[[#This Row],[Garment Inventory]]), 0)</f>
        <v>0</v>
      </c>
      <c r="Y1141" s="62"/>
      <c r="Z1141" s="62"/>
      <c r="AA1141" s="53">
        <v>27.334491124260367</v>
      </c>
      <c r="AB1141" s="53">
        <v>57.427508875739647</v>
      </c>
      <c r="AC1141" s="53"/>
      <c r="AD1141" s="53"/>
      <c r="AE1141" s="53" t="str">
        <f>_xlfn.XLOOKUP(Master[[#This Row],[cu_id]],'[1]Customer Revenue'!$Q:$Q,'[1]Customer Revenue'!$K:$K, "None")</f>
        <v>None</v>
      </c>
      <c r="AF1141" s="53" t="str">
        <f>_xlfn.XLOOKUP(Master[[#This Row],[cu_id]],'[1]Customer Revenue'!$Q:$Q,'[1]Customer Revenue'!$L:$L, "None")</f>
        <v>None</v>
      </c>
      <c r="AG1141" s="53">
        <v>30.10321921668077</v>
      </c>
      <c r="AH1141" s="53">
        <v>57.234876021414493</v>
      </c>
      <c r="AI1141" s="53">
        <v>42.381000000000007</v>
      </c>
      <c r="AJ1141" s="53"/>
      <c r="AK1141" s="53" t="str">
        <f>_xlfn.XLOOKUP(Master[[#This Row],[cu_id]],'[1]Customer Revenue'!$Q:$Q,'[1]Customer Revenue'!$I:$I, "None")</f>
        <v>None</v>
      </c>
      <c r="AL1141" s="53">
        <v>43.669047619047632</v>
      </c>
      <c r="AM1141" s="61">
        <v>0.375</v>
      </c>
      <c r="AN1141" s="60">
        <v>0.66666666666666663</v>
      </c>
      <c r="AO1141" s="60" t="s">
        <v>36</v>
      </c>
      <c r="AP1141" s="60" t="s">
        <v>36</v>
      </c>
      <c r="AQ1141" s="58" t="s">
        <v>0</v>
      </c>
      <c r="AR1141" s="58"/>
      <c r="AS1141" s="58"/>
      <c r="AT1141" s="52">
        <v>0</v>
      </c>
      <c r="AU1141" s="52" t="e">
        <f>IF(Master[[#This Row],[RSP StopTime override]] &lt;&gt; "",Master[[#This Row],[RSP StopTime override]],IF(Master[[#This Row],[Avg stop time helper]] &lt;&gt; 0, Master[[#This Row],[Avg stop time helper]],Average_Stop_Time))</f>
        <v>#DIV/0!</v>
      </c>
      <c r="AV1141" s="21"/>
      <c r="AW1141" s="20">
        <f>Master[[#This Row],[RSP StopTime override]]-Master[[#This Row],[Avg stop time helper]]</f>
        <v>0</v>
      </c>
    </row>
    <row r="1142" spans="1:49" x14ac:dyDescent="0.3">
      <c r="A1142" s="66" t="s">
        <v>5149</v>
      </c>
      <c r="B1142" s="58">
        <v>56</v>
      </c>
      <c r="C1142" s="58" t="s">
        <v>43</v>
      </c>
      <c r="D1142" s="65">
        <v>532240</v>
      </c>
      <c r="E1142" s="65" t="s">
        <v>42</v>
      </c>
      <c r="F1142" s="65" t="s">
        <v>1207</v>
      </c>
      <c r="G1142" s="65" t="s">
        <v>1206</v>
      </c>
      <c r="H1142" s="65" t="s">
        <v>7</v>
      </c>
      <c r="I1142" s="65" t="s">
        <v>1183</v>
      </c>
      <c r="J1142" s="65" t="s">
        <v>5</v>
      </c>
      <c r="K1142" s="65" t="s">
        <v>1182</v>
      </c>
      <c r="L1142" s="64" t="s">
        <v>77</v>
      </c>
      <c r="M1142" s="58" t="s">
        <v>29</v>
      </c>
      <c r="N1142" s="58" t="s">
        <v>2</v>
      </c>
      <c r="O1142" s="58">
        <v>115</v>
      </c>
      <c r="P1142" s="58">
        <v>0</v>
      </c>
      <c r="Q1142" s="58">
        <v>0</v>
      </c>
      <c r="R1142" s="58">
        <v>0</v>
      </c>
      <c r="S1142" s="58">
        <v>115</v>
      </c>
      <c r="T1142" s="58">
        <v>0</v>
      </c>
      <c r="U1142" s="58">
        <v>24</v>
      </c>
      <c r="V1142" s="62"/>
      <c r="W1142" s="62"/>
      <c r="X1142" s="63">
        <f>IFERROR(1 -(Master[[#This Row],[Avg Garment Scans per Delivery]]/Master[[#This Row],[Garment Inventory]]), 0)</f>
        <v>0</v>
      </c>
      <c r="Y1142" s="62"/>
      <c r="Z1142" s="62"/>
      <c r="AA1142" s="53">
        <v>54.99</v>
      </c>
      <c r="AB1142" s="53">
        <v>56.24</v>
      </c>
      <c r="AC1142" s="53">
        <v>56.800740740740736</v>
      </c>
      <c r="AD1142" s="53">
        <v>83.025925925925918</v>
      </c>
      <c r="AE1142" s="53" t="str">
        <f>_xlfn.XLOOKUP(Master[[#This Row],[cu_id]],'[1]Customer Revenue'!$Q:$Q,'[1]Customer Revenue'!$K:$K, "None")</f>
        <v>None</v>
      </c>
      <c r="AF1142" s="53" t="str">
        <f>_xlfn.XLOOKUP(Master[[#This Row],[cu_id]],'[1]Customer Revenue'!$Q:$Q,'[1]Customer Revenue'!$L:$L, "None")</f>
        <v>None</v>
      </c>
      <c r="AG1142" s="53">
        <v>41.181377551020404</v>
      </c>
      <c r="AH1142" s="53">
        <v>67.893622448979599</v>
      </c>
      <c r="AI1142" s="53">
        <v>55.615000000000002</v>
      </c>
      <c r="AJ1142" s="53">
        <v>69.913333333333327</v>
      </c>
      <c r="AK1142" s="53" t="str">
        <f>_xlfn.XLOOKUP(Master[[#This Row],[cu_id]],'[1]Customer Revenue'!$Q:$Q,'[1]Customer Revenue'!$I:$I, "None")</f>
        <v>None</v>
      </c>
      <c r="AL1142" s="53">
        <v>54.537500000000001</v>
      </c>
      <c r="AM1142" s="61">
        <v>0.29166666666666669</v>
      </c>
      <c r="AN1142" s="60">
        <v>0.70833333333333337</v>
      </c>
      <c r="AO1142" s="60" t="s">
        <v>36</v>
      </c>
      <c r="AP1142" s="60" t="s">
        <v>36</v>
      </c>
      <c r="AQ1142" s="58" t="s">
        <v>0</v>
      </c>
      <c r="AR1142" s="58"/>
      <c r="AS1142" s="58"/>
      <c r="AT1142" s="52">
        <v>0</v>
      </c>
      <c r="AU1142" s="52" t="e">
        <f>IF(Master[[#This Row],[RSP StopTime override]] &lt;&gt; "",Master[[#This Row],[RSP StopTime override]],IF(Master[[#This Row],[Avg stop time helper]] &lt;&gt; 0, Master[[#This Row],[Avg stop time helper]],Average_Stop_Time))</f>
        <v>#DIV/0!</v>
      </c>
      <c r="AV1142" s="21"/>
      <c r="AW1142" s="20">
        <f>Master[[#This Row],[RSP StopTime override]]-Master[[#This Row],[Avg stop time helper]]</f>
        <v>0</v>
      </c>
    </row>
    <row r="1143" spans="1:49" x14ac:dyDescent="0.3">
      <c r="A1143" s="66" t="s">
        <v>5150</v>
      </c>
      <c r="B1143" s="58">
        <v>56</v>
      </c>
      <c r="C1143" s="58" t="s">
        <v>43</v>
      </c>
      <c r="D1143" s="65">
        <v>533216</v>
      </c>
      <c r="E1143" s="65" t="s">
        <v>42</v>
      </c>
      <c r="F1143" s="65" t="s">
        <v>1205</v>
      </c>
      <c r="G1143" s="65" t="s">
        <v>1204</v>
      </c>
      <c r="H1143" s="65" t="s">
        <v>7</v>
      </c>
      <c r="I1143" s="65" t="s">
        <v>169</v>
      </c>
      <c r="J1143" s="65" t="s">
        <v>5</v>
      </c>
      <c r="K1143" s="65" t="s">
        <v>115</v>
      </c>
      <c r="L1143" s="64" t="s">
        <v>67</v>
      </c>
      <c r="M1143" s="58" t="s">
        <v>3</v>
      </c>
      <c r="N1143" s="58" t="s">
        <v>2</v>
      </c>
      <c r="O1143" s="58">
        <v>87</v>
      </c>
      <c r="P1143" s="58">
        <v>0</v>
      </c>
      <c r="Q1143" s="58">
        <v>0</v>
      </c>
      <c r="R1143" s="58">
        <v>0</v>
      </c>
      <c r="S1143" s="58">
        <v>87</v>
      </c>
      <c r="T1143" s="58">
        <v>0</v>
      </c>
      <c r="U1143" s="58">
        <v>54</v>
      </c>
      <c r="V1143" s="62">
        <v>102</v>
      </c>
      <c r="W1143" s="62">
        <v>19</v>
      </c>
      <c r="X1143" s="63">
        <f>IFERROR(1 -(Master[[#This Row],[Avg Garment Scans per Delivery]]/Master[[#This Row],[Garment Inventory]]), 0)</f>
        <v>0.81372549019607843</v>
      </c>
      <c r="Y1143" s="62">
        <v>7</v>
      </c>
      <c r="Z1143" s="62">
        <v>102</v>
      </c>
      <c r="AA1143" s="53">
        <v>85.122544378698223</v>
      </c>
      <c r="AB1143" s="53">
        <v>139.08822485207099</v>
      </c>
      <c r="AC1143" s="53">
        <v>103.3803550295858</v>
      </c>
      <c r="AD1143" s="53">
        <v>148.10887573964499</v>
      </c>
      <c r="AE1143" s="53" t="str">
        <f>_xlfn.XLOOKUP(Master[[#This Row],[cu_id]],'[1]Customer Revenue'!$Q:$Q,'[1]Customer Revenue'!$K:$K, "None")</f>
        <v>None</v>
      </c>
      <c r="AF1143" s="53" t="str">
        <f>_xlfn.XLOOKUP(Master[[#This Row],[cu_id]],'[1]Customer Revenue'!$Q:$Q,'[1]Customer Revenue'!$L:$L, "None")</f>
        <v>None</v>
      </c>
      <c r="AG1143" s="53">
        <v>85.342307692307685</v>
      </c>
      <c r="AH1143" s="53">
        <v>132.7976923076923</v>
      </c>
      <c r="AI1143" s="53">
        <v>112.10538461538461</v>
      </c>
      <c r="AJ1143" s="53">
        <v>125.74461538461539</v>
      </c>
      <c r="AK1143" s="53" t="str">
        <f>_xlfn.XLOOKUP(Master[[#This Row],[cu_id]],'[1]Customer Revenue'!$Q:$Q,'[1]Customer Revenue'!$I:$I, "None")</f>
        <v>None</v>
      </c>
      <c r="AL1143" s="53">
        <v>109.07</v>
      </c>
      <c r="AM1143" s="61">
        <v>0.29166666666666669</v>
      </c>
      <c r="AN1143" s="60">
        <v>0.70833333333333337</v>
      </c>
      <c r="AO1143" s="60" t="s">
        <v>36</v>
      </c>
      <c r="AP1143" s="60" t="s">
        <v>36</v>
      </c>
      <c r="AQ1143" s="58" t="s">
        <v>0</v>
      </c>
      <c r="AR1143" s="58"/>
      <c r="AS1143" s="58"/>
      <c r="AT1143" s="52">
        <v>0</v>
      </c>
      <c r="AU1143" s="52" t="e">
        <f>IF(Master[[#This Row],[RSP StopTime override]] &lt;&gt; "",Master[[#This Row],[RSP StopTime override]],IF(Master[[#This Row],[Avg stop time helper]] &lt;&gt; 0, Master[[#This Row],[Avg stop time helper]],Average_Stop_Time))</f>
        <v>#DIV/0!</v>
      </c>
      <c r="AV1143" s="21"/>
      <c r="AW1143" s="20">
        <f>Master[[#This Row],[RSP StopTime override]]-Master[[#This Row],[Avg stop time helper]]</f>
        <v>0</v>
      </c>
    </row>
    <row r="1144" spans="1:49" x14ac:dyDescent="0.3">
      <c r="A1144" s="73" t="s">
        <v>5151</v>
      </c>
      <c r="B1144" s="64">
        <v>56</v>
      </c>
      <c r="C1144" s="64" t="s">
        <v>43</v>
      </c>
      <c r="D1144" s="65">
        <v>533600</v>
      </c>
      <c r="E1144" s="65" t="s">
        <v>42</v>
      </c>
      <c r="F1144" s="65" t="s">
        <v>1203</v>
      </c>
      <c r="G1144" s="65" t="s">
        <v>1202</v>
      </c>
      <c r="H1144" s="65" t="s">
        <v>7</v>
      </c>
      <c r="I1144" s="65" t="s">
        <v>1183</v>
      </c>
      <c r="J1144" s="65" t="s">
        <v>5</v>
      </c>
      <c r="K1144" s="65" t="s">
        <v>1182</v>
      </c>
      <c r="L1144" s="64" t="s">
        <v>77</v>
      </c>
      <c r="M1144" s="65" t="s">
        <v>29</v>
      </c>
      <c r="N1144" s="65" t="s">
        <v>2</v>
      </c>
      <c r="O1144" s="65">
        <v>132</v>
      </c>
      <c r="P1144" s="65">
        <v>0</v>
      </c>
      <c r="Q1144" s="65">
        <v>0</v>
      </c>
      <c r="R1144" s="65">
        <v>0</v>
      </c>
      <c r="S1144" s="65">
        <v>132</v>
      </c>
      <c r="T1144" s="65">
        <v>0</v>
      </c>
      <c r="U1144" s="65">
        <v>6</v>
      </c>
      <c r="V1144" s="65"/>
      <c r="W1144" s="65"/>
      <c r="X1144" s="72">
        <f>IFERROR(1 -(Master[[#This Row],[Avg Garment Scans per Delivery]]/Master[[#This Row],[Garment Inventory]]), 0)</f>
        <v>0</v>
      </c>
      <c r="Y1144" s="65"/>
      <c r="Z1144" s="65"/>
      <c r="AA1144" s="53">
        <v>77</v>
      </c>
      <c r="AB1144" s="53">
        <v>183</v>
      </c>
      <c r="AC1144" s="53">
        <v>77</v>
      </c>
      <c r="AD1144" s="53">
        <v>183</v>
      </c>
      <c r="AE1144" s="53" t="str">
        <f>_xlfn.XLOOKUP(Master[[#This Row],[cu_id]],'[1]Customer Revenue'!$Q:$Q,'[1]Customer Revenue'!$K:$K, "None")</f>
        <v>None</v>
      </c>
      <c r="AF1144" s="53" t="str">
        <f>_xlfn.XLOOKUP(Master[[#This Row],[cu_id]],'[1]Customer Revenue'!$Q:$Q,'[1]Customer Revenue'!$L:$L, "None")</f>
        <v>None</v>
      </c>
      <c r="AG1144" s="53">
        <v>77</v>
      </c>
      <c r="AH1144" s="53">
        <v>183</v>
      </c>
      <c r="AI1144" s="53">
        <v>120</v>
      </c>
      <c r="AJ1144" s="53">
        <v>120</v>
      </c>
      <c r="AK1144" s="53" t="str">
        <f>_xlfn.XLOOKUP(Master[[#This Row],[cu_id]],'[1]Customer Revenue'!$Q:$Q,'[1]Customer Revenue'!$I:$I, "None")</f>
        <v>None</v>
      </c>
      <c r="AL1144" s="53">
        <v>120</v>
      </c>
      <c r="AM1144" s="71" t="s">
        <v>1</v>
      </c>
      <c r="AN1144" s="71" t="s">
        <v>1</v>
      </c>
      <c r="AO1144" s="71" t="s">
        <v>36</v>
      </c>
      <c r="AP1144" s="71" t="s">
        <v>36</v>
      </c>
      <c r="AQ1144" s="64" t="s">
        <v>0</v>
      </c>
      <c r="AR1144" s="64"/>
      <c r="AS1144" s="65"/>
      <c r="AT1144" s="52">
        <v>0</v>
      </c>
      <c r="AU1144" s="52" t="e">
        <f>IF(Master[[#This Row],[RSP StopTime override]] &lt;&gt; "",Master[[#This Row],[RSP StopTime override]],IF(Master[[#This Row],[Avg stop time helper]] &lt;&gt; 0, Master[[#This Row],[Avg stop time helper]],Average_Stop_Time))</f>
        <v>#DIV/0!</v>
      </c>
      <c r="AV1144" s="21"/>
      <c r="AW1144" s="20">
        <f>Master[[#This Row],[RSP StopTime override]]-Master[[#This Row],[Avg stop time helper]]</f>
        <v>0</v>
      </c>
    </row>
    <row r="1145" spans="1:49" x14ac:dyDescent="0.3">
      <c r="A1145" s="66" t="s">
        <v>5152</v>
      </c>
      <c r="B1145" s="58">
        <v>56</v>
      </c>
      <c r="C1145" s="58" t="s">
        <v>43</v>
      </c>
      <c r="D1145" s="65">
        <v>599000</v>
      </c>
      <c r="E1145" s="65" t="s">
        <v>1201</v>
      </c>
      <c r="F1145" s="65" t="s">
        <v>1200</v>
      </c>
      <c r="G1145" s="65" t="s">
        <v>1199</v>
      </c>
      <c r="H1145" s="65" t="s">
        <v>32</v>
      </c>
      <c r="I1145" s="65" t="s">
        <v>1198</v>
      </c>
      <c r="J1145" s="65" t="s">
        <v>5</v>
      </c>
      <c r="K1145" s="65" t="s">
        <v>1182</v>
      </c>
      <c r="L1145" s="64" t="s">
        <v>67</v>
      </c>
      <c r="M1145" s="58" t="s">
        <v>3</v>
      </c>
      <c r="N1145" s="58" t="s">
        <v>2</v>
      </c>
      <c r="O1145" s="58">
        <v>10</v>
      </c>
      <c r="P1145" s="58">
        <v>0</v>
      </c>
      <c r="Q1145" s="58">
        <v>0</v>
      </c>
      <c r="R1145" s="58">
        <v>0</v>
      </c>
      <c r="S1145" s="58">
        <v>10</v>
      </c>
      <c r="T1145" s="58">
        <v>0</v>
      </c>
      <c r="U1145" s="58">
        <v>53</v>
      </c>
      <c r="V1145" s="62">
        <v>21</v>
      </c>
      <c r="W1145" s="62">
        <v>0</v>
      </c>
      <c r="X1145" s="63">
        <f>IFERROR(1 -(Master[[#This Row],[Avg Garment Scans per Delivery]]/Master[[#This Row],[Garment Inventory]]), 0)</f>
        <v>1</v>
      </c>
      <c r="Y1145" s="62">
        <v>1</v>
      </c>
      <c r="Z1145" s="62">
        <v>20</v>
      </c>
      <c r="AA1145" s="53">
        <v>34.753609467455618</v>
      </c>
      <c r="AB1145" s="53">
        <v>35.818698224852071</v>
      </c>
      <c r="AC1145" s="53">
        <v>36.311301775147925</v>
      </c>
      <c r="AD1145" s="53">
        <v>37.684082840236684</v>
      </c>
      <c r="AE1145" s="53" t="str">
        <f>_xlfn.XLOOKUP(Master[[#This Row],[cu_id]],'[1]Customer Revenue'!$Q:$Q,'[1]Customer Revenue'!$K:$K, "None")</f>
        <v>None</v>
      </c>
      <c r="AF1145" s="53" t="str">
        <f>_xlfn.XLOOKUP(Master[[#This Row],[cu_id]],'[1]Customer Revenue'!$Q:$Q,'[1]Customer Revenue'!$L:$L, "None")</f>
        <v>None</v>
      </c>
      <c r="AG1145" s="53">
        <v>34.80686390532545</v>
      </c>
      <c r="AH1145" s="53">
        <v>35.419289940828442</v>
      </c>
      <c r="AI1145" s="53">
        <v>35.286153846153844</v>
      </c>
      <c r="AJ1145" s="53">
        <v>36.997692307692304</v>
      </c>
      <c r="AK1145" s="53" t="str">
        <f>_xlfn.XLOOKUP(Master[[#This Row],[cu_id]],'[1]Customer Revenue'!$Q:$Q,'[1]Customer Revenue'!$I:$I, "None")</f>
        <v>None</v>
      </c>
      <c r="AL1145" s="53">
        <v>35.113076923076946</v>
      </c>
      <c r="AM1145" s="61">
        <v>0.25</v>
      </c>
      <c r="AN1145" s="60">
        <v>0.58333333333333337</v>
      </c>
      <c r="AO1145" s="60" t="s">
        <v>36</v>
      </c>
      <c r="AP1145" s="60" t="s">
        <v>36</v>
      </c>
      <c r="AQ1145" s="58" t="s">
        <v>0</v>
      </c>
      <c r="AR1145" s="58"/>
      <c r="AS1145" s="58"/>
      <c r="AT1145" s="52">
        <v>0</v>
      </c>
      <c r="AU1145" s="52" t="e">
        <f>IF(Master[[#This Row],[RSP StopTime override]] &lt;&gt; "",Master[[#This Row],[RSP StopTime override]],IF(Master[[#This Row],[Avg stop time helper]] &lt;&gt; 0, Master[[#This Row],[Avg stop time helper]],Average_Stop_Time))</f>
        <v>#DIV/0!</v>
      </c>
      <c r="AV1145" s="21"/>
      <c r="AW1145" s="20">
        <f>Master[[#This Row],[RSP StopTime override]]-Master[[#This Row],[Avg stop time helper]]</f>
        <v>0</v>
      </c>
    </row>
    <row r="1146" spans="1:49" x14ac:dyDescent="0.3">
      <c r="A1146" s="66" t="s">
        <v>5153</v>
      </c>
      <c r="B1146" s="58">
        <v>56</v>
      </c>
      <c r="C1146" s="58" t="s">
        <v>43</v>
      </c>
      <c r="D1146" s="65">
        <v>803842</v>
      </c>
      <c r="E1146" s="65" t="s">
        <v>42</v>
      </c>
      <c r="F1146" s="65" t="s">
        <v>1197</v>
      </c>
      <c r="G1146" s="65" t="s">
        <v>1196</v>
      </c>
      <c r="H1146" s="65" t="s">
        <v>7</v>
      </c>
      <c r="I1146" s="65" t="s">
        <v>6</v>
      </c>
      <c r="J1146" s="65" t="s">
        <v>5</v>
      </c>
      <c r="K1146" s="65" t="s">
        <v>146</v>
      </c>
      <c r="L1146" s="64" t="s">
        <v>91</v>
      </c>
      <c r="M1146" s="58" t="s">
        <v>90</v>
      </c>
      <c r="N1146" s="58" t="s">
        <v>2</v>
      </c>
      <c r="O1146" s="58">
        <v>85</v>
      </c>
      <c r="P1146" s="58">
        <v>0</v>
      </c>
      <c r="Q1146" s="58">
        <v>0</v>
      </c>
      <c r="R1146" s="58">
        <v>0</v>
      </c>
      <c r="S1146" s="58">
        <v>85</v>
      </c>
      <c r="T1146" s="58">
        <v>0</v>
      </c>
      <c r="U1146" s="58">
        <v>21</v>
      </c>
      <c r="V1146" s="62"/>
      <c r="W1146" s="62"/>
      <c r="X1146" s="63">
        <f>IFERROR(1 -(Master[[#This Row],[Avg Garment Scans per Delivery]]/Master[[#This Row],[Garment Inventory]]), 0)</f>
        <v>0</v>
      </c>
      <c r="Y1146" s="62"/>
      <c r="Z1146" s="62"/>
      <c r="AA1146" s="53">
        <v>26.418447971781312</v>
      </c>
      <c r="AB1146" s="53">
        <v>61.918694885361553</v>
      </c>
      <c r="AC1146" s="53">
        <v>26.846666666666664</v>
      </c>
      <c r="AD1146" s="53">
        <v>45.239999999999995</v>
      </c>
      <c r="AE1146" s="53" t="str">
        <f>_xlfn.XLOOKUP(Master[[#This Row],[cu_id]],'[1]Customer Revenue'!$Q:$Q,'[1]Customer Revenue'!$K:$K, "None")</f>
        <v>None</v>
      </c>
      <c r="AF1146" s="53" t="str">
        <f>_xlfn.XLOOKUP(Master[[#This Row],[cu_id]],'[1]Customer Revenue'!$Q:$Q,'[1]Customer Revenue'!$L:$L, "None")</f>
        <v>None</v>
      </c>
      <c r="AG1146" s="53">
        <v>21.441237980769234</v>
      </c>
      <c r="AH1146" s="53">
        <v>56.420300480769242</v>
      </c>
      <c r="AI1146" s="53">
        <v>44.168571428571433</v>
      </c>
      <c r="AJ1146" s="53">
        <v>36.043333333333329</v>
      </c>
      <c r="AK1146" s="53" t="str">
        <f>_xlfn.XLOOKUP(Master[[#This Row],[cu_id]],'[1]Customer Revenue'!$Q:$Q,'[1]Customer Revenue'!$I:$I, "None")</f>
        <v>None</v>
      </c>
      <c r="AL1146" s="53">
        <v>38.930769230769236</v>
      </c>
      <c r="AM1146" s="61">
        <v>0.375</v>
      </c>
      <c r="AN1146" s="60">
        <v>0.70833333333333337</v>
      </c>
      <c r="AO1146" s="60" t="s">
        <v>36</v>
      </c>
      <c r="AP1146" s="60" t="s">
        <v>36</v>
      </c>
      <c r="AQ1146" s="58" t="s">
        <v>0</v>
      </c>
      <c r="AR1146" s="58"/>
      <c r="AS1146" s="58"/>
      <c r="AT1146" s="52">
        <v>0</v>
      </c>
      <c r="AU1146" s="52" t="e">
        <f>IF(Master[[#This Row],[RSP StopTime override]] &lt;&gt; "",Master[[#This Row],[RSP StopTime override]],IF(Master[[#This Row],[Avg stop time helper]] &lt;&gt; 0, Master[[#This Row],[Avg stop time helper]],Average_Stop_Time))</f>
        <v>#DIV/0!</v>
      </c>
      <c r="AV1146" s="21"/>
      <c r="AW1146" s="20">
        <f>Master[[#This Row],[RSP StopTime override]]-Master[[#This Row],[Avg stop time helper]]</f>
        <v>0</v>
      </c>
    </row>
    <row r="1147" spans="1:49" x14ac:dyDescent="0.3">
      <c r="A1147" s="66" t="s">
        <v>5154</v>
      </c>
      <c r="B1147" s="58">
        <v>56</v>
      </c>
      <c r="C1147" s="58" t="s">
        <v>43</v>
      </c>
      <c r="D1147" s="65">
        <v>806410</v>
      </c>
      <c r="E1147" s="65" t="s">
        <v>42</v>
      </c>
      <c r="F1147" s="65" t="s">
        <v>1195</v>
      </c>
      <c r="G1147" s="65" t="s">
        <v>1194</v>
      </c>
      <c r="H1147" s="65" t="s">
        <v>7</v>
      </c>
      <c r="I1147" s="65" t="s">
        <v>1183</v>
      </c>
      <c r="J1147" s="65" t="s">
        <v>5</v>
      </c>
      <c r="K1147" s="65" t="s">
        <v>1182</v>
      </c>
      <c r="L1147" s="64" t="s">
        <v>91</v>
      </c>
      <c r="M1147" s="58" t="s">
        <v>90</v>
      </c>
      <c r="N1147" s="58" t="s">
        <v>2</v>
      </c>
      <c r="O1147" s="58">
        <v>132</v>
      </c>
      <c r="P1147" s="58">
        <v>0</v>
      </c>
      <c r="Q1147" s="58">
        <v>0</v>
      </c>
      <c r="R1147" s="58">
        <v>0</v>
      </c>
      <c r="S1147" s="58">
        <v>132</v>
      </c>
      <c r="T1147" s="58">
        <v>0</v>
      </c>
      <c r="U1147" s="58">
        <v>21</v>
      </c>
      <c r="V1147" s="62"/>
      <c r="W1147" s="62"/>
      <c r="X1147" s="63">
        <f>IFERROR(1 -(Master[[#This Row],[Avg Garment Scans per Delivery]]/Master[[#This Row],[Garment Inventory]]), 0)</f>
        <v>0</v>
      </c>
      <c r="Y1147" s="62"/>
      <c r="Z1147" s="62"/>
      <c r="AA1147" s="53">
        <v>137.17102040816326</v>
      </c>
      <c r="AB1147" s="53">
        <v>184.43469387755101</v>
      </c>
      <c r="AC1147" s="53">
        <v>104.79551020408162</v>
      </c>
      <c r="AD1147" s="53">
        <v>178.74163265306123</v>
      </c>
      <c r="AE1147" s="53" t="str">
        <f>_xlfn.XLOOKUP(Master[[#This Row],[cu_id]],'[1]Customer Revenue'!$Q:$Q,'[1]Customer Revenue'!$K:$K, "None")</f>
        <v>None</v>
      </c>
      <c r="AF1147" s="53" t="str">
        <f>_xlfn.XLOOKUP(Master[[#This Row],[cu_id]],'[1]Customer Revenue'!$Q:$Q,'[1]Customer Revenue'!$L:$L, "None")</f>
        <v>None</v>
      </c>
      <c r="AG1147" s="53">
        <v>109.55751428571426</v>
      </c>
      <c r="AH1147" s="53">
        <v>175.28391428571427</v>
      </c>
      <c r="AI1147" s="53">
        <v>160.80285714285714</v>
      </c>
      <c r="AJ1147" s="53">
        <v>141.76857142857142</v>
      </c>
      <c r="AK1147" s="53" t="str">
        <f>_xlfn.XLOOKUP(Master[[#This Row],[cu_id]],'[1]Customer Revenue'!$Q:$Q,'[1]Customer Revenue'!$I:$I, "None")</f>
        <v>None</v>
      </c>
      <c r="AL1147" s="53">
        <v>142.42071428571427</v>
      </c>
      <c r="AM1147" s="61">
        <v>0.45833333333333331</v>
      </c>
      <c r="AN1147" s="60">
        <v>0.70833333333333337</v>
      </c>
      <c r="AO1147" s="60" t="s">
        <v>36</v>
      </c>
      <c r="AP1147" s="60" t="s">
        <v>36</v>
      </c>
      <c r="AQ1147" s="58" t="s">
        <v>0</v>
      </c>
      <c r="AR1147" s="58"/>
      <c r="AS1147" s="58"/>
      <c r="AT1147" s="52">
        <v>0</v>
      </c>
      <c r="AU1147" s="52" t="e">
        <f>IF(Master[[#This Row],[RSP StopTime override]] &lt;&gt; "",Master[[#This Row],[RSP StopTime override]],IF(Master[[#This Row],[Avg stop time helper]] &lt;&gt; 0, Master[[#This Row],[Avg stop time helper]],Average_Stop_Time))</f>
        <v>#DIV/0!</v>
      </c>
      <c r="AV1147" s="21"/>
      <c r="AW1147" s="20">
        <f>Master[[#This Row],[RSP StopTime override]]-Master[[#This Row],[Avg stop time helper]]</f>
        <v>0</v>
      </c>
    </row>
    <row r="1148" spans="1:49" x14ac:dyDescent="0.3">
      <c r="A1148" s="66" t="s">
        <v>5155</v>
      </c>
      <c r="B1148" s="58">
        <v>56</v>
      </c>
      <c r="C1148" s="58" t="s">
        <v>43</v>
      </c>
      <c r="D1148" s="65">
        <v>806469</v>
      </c>
      <c r="E1148" s="65" t="s">
        <v>42</v>
      </c>
      <c r="F1148" s="65" t="s">
        <v>1193</v>
      </c>
      <c r="G1148" s="65" t="s">
        <v>1192</v>
      </c>
      <c r="H1148" s="65" t="s">
        <v>1191</v>
      </c>
      <c r="I1148" s="65" t="s">
        <v>1183</v>
      </c>
      <c r="J1148" s="65" t="s">
        <v>5</v>
      </c>
      <c r="K1148" s="65" t="s">
        <v>1182</v>
      </c>
      <c r="L1148" s="64" t="s">
        <v>124</v>
      </c>
      <c r="M1148" s="58" t="s">
        <v>123</v>
      </c>
      <c r="N1148" s="58" t="s">
        <v>2</v>
      </c>
      <c r="O1148" s="58">
        <v>115</v>
      </c>
      <c r="P1148" s="58">
        <v>0</v>
      </c>
      <c r="Q1148" s="58">
        <v>0</v>
      </c>
      <c r="R1148" s="58">
        <v>0</v>
      </c>
      <c r="S1148" s="58">
        <v>120</v>
      </c>
      <c r="T1148" s="58">
        <v>0</v>
      </c>
      <c r="U1148" s="58">
        <v>8</v>
      </c>
      <c r="V1148" s="62"/>
      <c r="W1148" s="62"/>
      <c r="X1148" s="63">
        <f>IFERROR(1 -(Master[[#This Row],[Avg Garment Scans per Delivery]]/Master[[#This Row],[Garment Inventory]]), 0)</f>
        <v>0</v>
      </c>
      <c r="Y1148" s="62"/>
      <c r="Z1148" s="62"/>
      <c r="AA1148" s="53">
        <v>26.711111111111112</v>
      </c>
      <c r="AB1148" s="53">
        <v>69.448888888888888</v>
      </c>
      <c r="AC1148" s="53">
        <v>20</v>
      </c>
      <c r="AD1148" s="53">
        <v>20</v>
      </c>
      <c r="AE1148" s="53" t="str">
        <f>_xlfn.XLOOKUP(Master[[#This Row],[cu_id]],'[1]Customer Revenue'!$Q:$Q,'[1]Customer Revenue'!$K:$K, "None")</f>
        <v>None</v>
      </c>
      <c r="AF1148" s="53" t="str">
        <f>_xlfn.XLOOKUP(Master[[#This Row],[cu_id]],'[1]Customer Revenue'!$Q:$Q,'[1]Customer Revenue'!$L:$L, "None")</f>
        <v>None</v>
      </c>
      <c r="AG1148" s="53">
        <v>20.607500000000002</v>
      </c>
      <c r="AH1148" s="53">
        <v>61.517499999999998</v>
      </c>
      <c r="AI1148" s="53">
        <v>48.08</v>
      </c>
      <c r="AJ1148" s="53">
        <v>20</v>
      </c>
      <c r="AK1148" s="53" t="str">
        <f>_xlfn.XLOOKUP(Master[[#This Row],[cu_id]],'[1]Customer Revenue'!$Q:$Q,'[1]Customer Revenue'!$I:$I, "None")</f>
        <v>None</v>
      </c>
      <c r="AL1148" s="53">
        <v>41.0625</v>
      </c>
      <c r="AM1148" s="61">
        <v>0.375</v>
      </c>
      <c r="AN1148" s="60">
        <v>0.70833333333333337</v>
      </c>
      <c r="AO1148" s="60" t="s">
        <v>36</v>
      </c>
      <c r="AP1148" s="60" t="s">
        <v>36</v>
      </c>
      <c r="AQ1148" s="58" t="s">
        <v>0</v>
      </c>
      <c r="AR1148" s="58"/>
      <c r="AS1148" s="58"/>
      <c r="AT1148" s="52">
        <v>0</v>
      </c>
      <c r="AU1148" s="52" t="e">
        <f>IF(Master[[#This Row],[RSP StopTime override]] &lt;&gt; "",Master[[#This Row],[RSP StopTime override]],IF(Master[[#This Row],[Avg stop time helper]] &lt;&gt; 0, Master[[#This Row],[Avg stop time helper]],Average_Stop_Time))</f>
        <v>#DIV/0!</v>
      </c>
      <c r="AV1148" s="21"/>
      <c r="AW1148" s="20">
        <f>Master[[#This Row],[RSP StopTime override]]-Master[[#This Row],[Avg stop time helper]]</f>
        <v>0</v>
      </c>
    </row>
    <row r="1149" spans="1:49" x14ac:dyDescent="0.3">
      <c r="A1149" s="66" t="s">
        <v>5156</v>
      </c>
      <c r="B1149" s="58">
        <v>56</v>
      </c>
      <c r="C1149" s="58" t="s">
        <v>43</v>
      </c>
      <c r="D1149" s="65">
        <v>807380</v>
      </c>
      <c r="E1149" s="65" t="s">
        <v>42</v>
      </c>
      <c r="F1149" s="65" t="s">
        <v>1190</v>
      </c>
      <c r="G1149" s="65" t="s">
        <v>1189</v>
      </c>
      <c r="H1149" s="65" t="s">
        <v>7</v>
      </c>
      <c r="I1149" s="65" t="s">
        <v>1188</v>
      </c>
      <c r="J1149" s="65" t="s">
        <v>5</v>
      </c>
      <c r="K1149" s="65" t="s">
        <v>1182</v>
      </c>
      <c r="L1149" s="64" t="s">
        <v>124</v>
      </c>
      <c r="M1149" s="58" t="s">
        <v>123</v>
      </c>
      <c r="N1149" s="58" t="s">
        <v>2</v>
      </c>
      <c r="O1149" s="58">
        <v>131</v>
      </c>
      <c r="P1149" s="58">
        <v>0</v>
      </c>
      <c r="Q1149" s="58">
        <v>0</v>
      </c>
      <c r="R1149" s="58">
        <v>0</v>
      </c>
      <c r="S1149" s="58">
        <v>131</v>
      </c>
      <c r="T1149" s="58">
        <v>0</v>
      </c>
      <c r="U1149" s="58">
        <v>10</v>
      </c>
      <c r="V1149" s="62"/>
      <c r="W1149" s="62"/>
      <c r="X1149" s="63">
        <f>IFERROR(1 -(Master[[#This Row],[Avg Garment Scans per Delivery]]/Master[[#This Row],[Garment Inventory]]), 0)</f>
        <v>0</v>
      </c>
      <c r="Y1149" s="62"/>
      <c r="Z1149" s="62"/>
      <c r="AA1149" s="53">
        <v>40.743333333333332</v>
      </c>
      <c r="AB1149" s="53">
        <v>42.076666666666661</v>
      </c>
      <c r="AC1149" s="53">
        <v>41.50555555555556</v>
      </c>
      <c r="AD1149" s="53">
        <v>42.727777777777774</v>
      </c>
      <c r="AE1149" s="53" t="str">
        <f>_xlfn.XLOOKUP(Master[[#This Row],[cu_id]],'[1]Customer Revenue'!$Q:$Q,'[1]Customer Revenue'!$K:$K, "None")</f>
        <v>None</v>
      </c>
      <c r="AF1149" s="53" t="str">
        <f>_xlfn.XLOOKUP(Master[[#This Row],[cu_id]],'[1]Customer Revenue'!$Q:$Q,'[1]Customer Revenue'!$L:$L, "None")</f>
        <v>None</v>
      </c>
      <c r="AG1149" s="53">
        <v>35.377040816326527</v>
      </c>
      <c r="AH1149" s="53">
        <v>58.972959183673453</v>
      </c>
      <c r="AI1149" s="53">
        <v>41.41</v>
      </c>
      <c r="AJ1149" s="53">
        <v>42.116666666666667</v>
      </c>
      <c r="AK1149" s="53" t="str">
        <f>_xlfn.XLOOKUP(Master[[#This Row],[cu_id]],'[1]Customer Revenue'!$Q:$Q,'[1]Customer Revenue'!$I:$I, "None")</f>
        <v>None</v>
      </c>
      <c r="AL1149" s="53">
        <v>47.17499999999999</v>
      </c>
      <c r="AM1149" s="61">
        <v>0.3125</v>
      </c>
      <c r="AN1149" s="60">
        <v>2.0833333333333332E-2</v>
      </c>
      <c r="AO1149" s="60">
        <v>0.60416666666666663</v>
      </c>
      <c r="AP1149" s="60">
        <v>0.75</v>
      </c>
      <c r="AQ1149" s="58" t="s">
        <v>0</v>
      </c>
      <c r="AR1149" s="58"/>
      <c r="AS1149" s="58"/>
      <c r="AT1149" s="52">
        <v>0</v>
      </c>
      <c r="AU1149" s="52" t="e">
        <f>IF(Master[[#This Row],[RSP StopTime override]] &lt;&gt; "",Master[[#This Row],[RSP StopTime override]],IF(Master[[#This Row],[Avg stop time helper]] &lt;&gt; 0, Master[[#This Row],[Avg stop time helper]],Average_Stop_Time))</f>
        <v>#DIV/0!</v>
      </c>
      <c r="AV1149" s="21"/>
      <c r="AW1149" s="20">
        <f>Master[[#This Row],[RSP StopTime override]]-Master[[#This Row],[Avg stop time helper]]</f>
        <v>0</v>
      </c>
    </row>
    <row r="1150" spans="1:49" x14ac:dyDescent="0.3">
      <c r="A1150" s="66" t="s">
        <v>5157</v>
      </c>
      <c r="B1150" s="58">
        <v>56</v>
      </c>
      <c r="C1150" s="58" t="s">
        <v>43</v>
      </c>
      <c r="D1150" s="65">
        <v>808080</v>
      </c>
      <c r="E1150" s="65" t="s">
        <v>42</v>
      </c>
      <c r="F1150" s="65" t="s">
        <v>1187</v>
      </c>
      <c r="G1150" s="65" t="s">
        <v>1186</v>
      </c>
      <c r="H1150" s="65" t="s">
        <v>7</v>
      </c>
      <c r="I1150" s="65" t="s">
        <v>6</v>
      </c>
      <c r="J1150" s="65" t="s">
        <v>5</v>
      </c>
      <c r="K1150" s="65" t="s">
        <v>115</v>
      </c>
      <c r="L1150" s="64" t="s">
        <v>67</v>
      </c>
      <c r="M1150" s="58" t="s">
        <v>3</v>
      </c>
      <c r="N1150" s="58" t="s">
        <v>2</v>
      </c>
      <c r="O1150" s="58">
        <v>86</v>
      </c>
      <c r="P1150" s="58">
        <v>0</v>
      </c>
      <c r="Q1150" s="58">
        <v>0</v>
      </c>
      <c r="R1150" s="58">
        <v>0</v>
      </c>
      <c r="S1150" s="58">
        <v>86</v>
      </c>
      <c r="T1150" s="58">
        <v>0</v>
      </c>
      <c r="U1150" s="58">
        <v>40</v>
      </c>
      <c r="V1150" s="62"/>
      <c r="W1150" s="62"/>
      <c r="X1150" s="63">
        <f>IFERROR(1 -(Master[[#This Row],[Avg Garment Scans per Delivery]]/Master[[#This Row],[Garment Inventory]]), 0)</f>
        <v>0</v>
      </c>
      <c r="Y1150" s="62"/>
      <c r="Z1150" s="62"/>
      <c r="AA1150" s="53">
        <v>45.791550480769217</v>
      </c>
      <c r="AB1150" s="53">
        <v>145.94998798076924</v>
      </c>
      <c r="AC1150" s="53">
        <v>91.714722222222221</v>
      </c>
      <c r="AD1150" s="53">
        <v>133.61694444444444</v>
      </c>
      <c r="AE1150" s="53" t="str">
        <f>_xlfn.XLOOKUP(Master[[#This Row],[cu_id]],'[1]Customer Revenue'!$Q:$Q,'[1]Customer Revenue'!$K:$K, "None")</f>
        <v>None</v>
      </c>
      <c r="AF1150" s="53" t="str">
        <f>_xlfn.XLOOKUP(Master[[#This Row],[cu_id]],'[1]Customer Revenue'!$Q:$Q,'[1]Customer Revenue'!$L:$L, "None")</f>
        <v>None</v>
      </c>
      <c r="AG1150" s="53">
        <v>55.118747008547032</v>
      </c>
      <c r="AH1150" s="53">
        <v>154.31279145299146</v>
      </c>
      <c r="AI1150" s="53">
        <v>95.870769230769227</v>
      </c>
      <c r="AJ1150" s="53">
        <v>112.66583333333334</v>
      </c>
      <c r="AK1150" s="53" t="str">
        <f>_xlfn.XLOOKUP(Master[[#This Row],[cu_id]],'[1]Customer Revenue'!$Q:$Q,'[1]Customer Revenue'!$I:$I, "None")</f>
        <v>None</v>
      </c>
      <c r="AL1150" s="53">
        <v>104.71576923076924</v>
      </c>
      <c r="AM1150" s="61" t="s">
        <v>36</v>
      </c>
      <c r="AN1150" s="60" t="s">
        <v>36</v>
      </c>
      <c r="AO1150" s="60" t="s">
        <v>36</v>
      </c>
      <c r="AP1150" s="60" t="s">
        <v>36</v>
      </c>
      <c r="AQ1150" s="58" t="s">
        <v>0</v>
      </c>
      <c r="AR1150" s="58"/>
      <c r="AS1150" s="58"/>
      <c r="AT1150" s="52">
        <v>0</v>
      </c>
      <c r="AU1150" s="52" t="e">
        <f>IF(Master[[#This Row],[RSP StopTime override]] &lt;&gt; "",Master[[#This Row],[RSP StopTime override]],IF(Master[[#This Row],[Avg stop time helper]] &lt;&gt; 0, Master[[#This Row],[Avg stop time helper]],Average_Stop_Time))</f>
        <v>#DIV/0!</v>
      </c>
      <c r="AV1150" s="21"/>
      <c r="AW1150" s="20">
        <f>Master[[#This Row],[RSP StopTime override]]-Master[[#This Row],[Avg stop time helper]]</f>
        <v>0</v>
      </c>
    </row>
    <row r="1151" spans="1:49" x14ac:dyDescent="0.3">
      <c r="A1151" s="66" t="s">
        <v>4085</v>
      </c>
      <c r="B1151" s="58">
        <v>56</v>
      </c>
      <c r="C1151" s="58" t="s">
        <v>43</v>
      </c>
      <c r="D1151" s="65">
        <v>886085</v>
      </c>
      <c r="E1151" s="65" t="s">
        <v>1185</v>
      </c>
      <c r="F1151" s="65" t="s">
        <v>3754</v>
      </c>
      <c r="G1151" s="65" t="s">
        <v>1184</v>
      </c>
      <c r="H1151" s="65" t="s">
        <v>7</v>
      </c>
      <c r="I1151" s="65" t="s">
        <v>1183</v>
      </c>
      <c r="J1151" s="65" t="s">
        <v>5</v>
      </c>
      <c r="K1151" s="65" t="s">
        <v>1182</v>
      </c>
      <c r="L1151" s="64" t="s">
        <v>91</v>
      </c>
      <c r="M1151" s="58" t="s">
        <v>90</v>
      </c>
      <c r="N1151" s="58" t="s">
        <v>2</v>
      </c>
      <c r="O1151" s="58">
        <v>100</v>
      </c>
      <c r="P1151" s="58">
        <v>0</v>
      </c>
      <c r="Q1151" s="58">
        <v>0</v>
      </c>
      <c r="R1151" s="58">
        <v>0</v>
      </c>
      <c r="S1151" s="58">
        <v>100</v>
      </c>
      <c r="T1151" s="58">
        <v>0</v>
      </c>
      <c r="U1151" s="58">
        <v>29</v>
      </c>
      <c r="V1151" s="62"/>
      <c r="W1151" s="62"/>
      <c r="X1151" s="63">
        <f>IFERROR(1 -(Master[[#This Row],[Avg Garment Scans per Delivery]]/Master[[#This Row],[Garment Inventory]]), 0)</f>
        <v>0</v>
      </c>
      <c r="Y1151" s="62"/>
      <c r="Z1151" s="62"/>
      <c r="AA1151" s="53">
        <v>19.691420118343199</v>
      </c>
      <c r="AB1151" s="53">
        <v>29.608579881656805</v>
      </c>
      <c r="AC1151" s="53">
        <v>15.633333333333336</v>
      </c>
      <c r="AD1151" s="53">
        <v>34.393333333333331</v>
      </c>
      <c r="AE1151" s="53" t="str">
        <f>_xlfn.XLOOKUP(Master[[#This Row],[cu_id]],'[1]Customer Revenue'!$Q:$Q,'[1]Customer Revenue'!$K:$K, "None")</f>
        <v>None</v>
      </c>
      <c r="AF1151" s="53" t="str">
        <f>_xlfn.XLOOKUP(Master[[#This Row],[cu_id]],'[1]Customer Revenue'!$Q:$Q,'[1]Customer Revenue'!$L:$L, "None")</f>
        <v>None</v>
      </c>
      <c r="AG1151" s="53">
        <v>18.364698181818188</v>
      </c>
      <c r="AH1151" s="53">
        <v>28.198938181818182</v>
      </c>
      <c r="AI1151" s="53">
        <v>24.650000000000002</v>
      </c>
      <c r="AJ1151" s="53">
        <v>25.013333333333335</v>
      </c>
      <c r="AK1151" s="53" t="str">
        <f>_xlfn.XLOOKUP(Master[[#This Row],[cu_id]],'[1]Customer Revenue'!$Q:$Q,'[1]Customer Revenue'!$I:$I, "None")</f>
        <v>None</v>
      </c>
      <c r="AL1151" s="53">
        <v>23.281818181818185</v>
      </c>
      <c r="AM1151" s="61">
        <v>0.41666666666666669</v>
      </c>
      <c r="AN1151" s="60">
        <v>0.70833333333333337</v>
      </c>
      <c r="AO1151" s="60" t="s">
        <v>36</v>
      </c>
      <c r="AP1151" s="60" t="s">
        <v>36</v>
      </c>
      <c r="AQ1151" s="58" t="s">
        <v>0</v>
      </c>
      <c r="AR1151" s="58"/>
      <c r="AS1151" s="58"/>
      <c r="AT1151" s="52">
        <v>0</v>
      </c>
      <c r="AU1151" s="52" t="e">
        <f>IF(Master[[#This Row],[RSP StopTime override]] &lt;&gt; "",Master[[#This Row],[RSP StopTime override]],IF(Master[[#This Row],[Avg stop time helper]] &lt;&gt; 0, Master[[#This Row],[Avg stop time helper]],Average_Stop_Time))</f>
        <v>#DIV/0!</v>
      </c>
      <c r="AV1151" s="21"/>
      <c r="AW1151" s="20">
        <f>Master[[#This Row],[RSP StopTime override]]-Master[[#This Row],[Avg stop time helper]]</f>
        <v>0</v>
      </c>
    </row>
    <row r="1152" spans="1:49" x14ac:dyDescent="0.3">
      <c r="A1152" s="66" t="s">
        <v>5158</v>
      </c>
      <c r="B1152" s="58">
        <v>56</v>
      </c>
      <c r="C1152" s="58" t="s">
        <v>15</v>
      </c>
      <c r="D1152" s="65">
        <v>99031</v>
      </c>
      <c r="E1152" s="65" t="s">
        <v>1181</v>
      </c>
      <c r="F1152" s="65" t="s">
        <v>1180</v>
      </c>
      <c r="G1152" s="65" t="s">
        <v>1179</v>
      </c>
      <c r="H1152" s="65" t="s">
        <v>1178</v>
      </c>
      <c r="I1152" s="65" t="s">
        <v>1084</v>
      </c>
      <c r="J1152" s="65" t="s">
        <v>5</v>
      </c>
      <c r="K1152" s="65" t="s">
        <v>1088</v>
      </c>
      <c r="L1152" s="64" t="s">
        <v>67</v>
      </c>
      <c r="M1152" s="58" t="s">
        <v>3</v>
      </c>
      <c r="N1152" s="58" t="s">
        <v>2</v>
      </c>
      <c r="O1152" s="58">
        <v>45</v>
      </c>
      <c r="P1152" s="58">
        <v>0</v>
      </c>
      <c r="Q1152" s="58">
        <v>0</v>
      </c>
      <c r="R1152" s="58">
        <v>0</v>
      </c>
      <c r="S1152" s="58">
        <v>0</v>
      </c>
      <c r="T1152" s="58">
        <v>45</v>
      </c>
      <c r="U1152" s="58">
        <v>53</v>
      </c>
      <c r="V1152" s="62"/>
      <c r="W1152" s="62"/>
      <c r="X1152" s="63">
        <f>IFERROR(1 -(Master[[#This Row],[Avg Garment Scans per Delivery]]/Master[[#This Row],[Garment Inventory]]), 0)</f>
        <v>0</v>
      </c>
      <c r="Y1152" s="62"/>
      <c r="Z1152" s="62"/>
      <c r="AA1152" s="53">
        <v>34.914999999999999</v>
      </c>
      <c r="AB1152" s="53">
        <v>70.37166666666667</v>
      </c>
      <c r="AC1152" s="53">
        <v>32.161395463510843</v>
      </c>
      <c r="AD1152" s="53">
        <v>112.31027120315582</v>
      </c>
      <c r="AE1152" s="53" t="str">
        <f>_xlfn.XLOOKUP(Master[[#This Row],[cu_id]],'[1]Customer Revenue'!$Q:$Q,'[1]Customer Revenue'!$K:$K, "None")</f>
        <v>None</v>
      </c>
      <c r="AF1152" s="53" t="str">
        <f>_xlfn.XLOOKUP(Master[[#This Row],[cu_id]],'[1]Customer Revenue'!$Q:$Q,'[1]Customer Revenue'!$L:$L, "None")</f>
        <v>None</v>
      </c>
      <c r="AG1152" s="53">
        <v>32.447455621301778</v>
      </c>
      <c r="AH1152" s="53">
        <v>65.820236686390501</v>
      </c>
      <c r="AI1152" s="53">
        <v>52.643333333333338</v>
      </c>
      <c r="AJ1152" s="53">
        <v>72.235833333333332</v>
      </c>
      <c r="AK1152" s="53" t="str">
        <f>_xlfn.XLOOKUP(Master[[#This Row],[cu_id]],'[1]Customer Revenue'!$Q:$Q,'[1]Customer Revenue'!$I:$I, "None")</f>
        <v>None</v>
      </c>
      <c r="AL1152" s="53">
        <v>49.133846153846143</v>
      </c>
      <c r="AM1152" s="61" t="s">
        <v>36</v>
      </c>
      <c r="AN1152" s="60" t="s">
        <v>36</v>
      </c>
      <c r="AO1152" s="60" t="s">
        <v>36</v>
      </c>
      <c r="AP1152" s="60" t="s">
        <v>36</v>
      </c>
      <c r="AQ1152" s="58" t="s">
        <v>0</v>
      </c>
      <c r="AR1152" s="58"/>
      <c r="AS1152" s="58"/>
      <c r="AT1152" s="52">
        <v>0</v>
      </c>
      <c r="AU1152" s="52" t="e">
        <f>IF(Master[[#This Row],[RSP StopTime override]] &lt;&gt; "",Master[[#This Row],[RSP StopTime override]],IF(Master[[#This Row],[Avg stop time helper]] &lt;&gt; 0, Master[[#This Row],[Avg stop time helper]],Average_Stop_Time))</f>
        <v>#DIV/0!</v>
      </c>
      <c r="AV1152" s="21"/>
      <c r="AW1152" s="20">
        <f>Master[[#This Row],[RSP StopTime override]]-Master[[#This Row],[Avg stop time helper]]</f>
        <v>0</v>
      </c>
    </row>
    <row r="1153" spans="1:49" x14ac:dyDescent="0.3">
      <c r="A1153" s="66" t="s">
        <v>5159</v>
      </c>
      <c r="B1153" s="58">
        <v>56</v>
      </c>
      <c r="C1153" s="58" t="s">
        <v>15</v>
      </c>
      <c r="D1153" s="65">
        <v>99031</v>
      </c>
      <c r="E1153" s="65" t="s">
        <v>1177</v>
      </c>
      <c r="F1153" s="65" t="s">
        <v>1176</v>
      </c>
      <c r="G1153" s="65" t="s">
        <v>1175</v>
      </c>
      <c r="H1153" s="65" t="s">
        <v>7</v>
      </c>
      <c r="I1153" s="65" t="s">
        <v>1174</v>
      </c>
      <c r="J1153" s="65" t="s">
        <v>5</v>
      </c>
      <c r="K1153" s="65" t="s">
        <v>1173</v>
      </c>
      <c r="L1153" s="64" t="s">
        <v>67</v>
      </c>
      <c r="M1153" s="58" t="s">
        <v>3</v>
      </c>
      <c r="N1153" s="58" t="s">
        <v>2</v>
      </c>
      <c r="O1153" s="58">
        <v>130</v>
      </c>
      <c r="P1153" s="58">
        <v>0</v>
      </c>
      <c r="Q1153" s="58">
        <v>0</v>
      </c>
      <c r="R1153" s="58">
        <v>0</v>
      </c>
      <c r="S1153" s="58">
        <v>0</v>
      </c>
      <c r="T1153" s="58">
        <v>130</v>
      </c>
      <c r="U1153" s="58">
        <v>52</v>
      </c>
      <c r="V1153" s="62"/>
      <c r="W1153" s="62"/>
      <c r="X1153" s="63">
        <f>IFERROR(1 -(Master[[#This Row],[Avg Garment Scans per Delivery]]/Master[[#This Row],[Garment Inventory]]), 0)</f>
        <v>0</v>
      </c>
      <c r="Y1153" s="62"/>
      <c r="Z1153" s="62"/>
      <c r="AA1153" s="53">
        <v>89.848333333333315</v>
      </c>
      <c r="AB1153" s="53">
        <v>153.69833333333332</v>
      </c>
      <c r="AC1153" s="53">
        <v>111.32905325443787</v>
      </c>
      <c r="AD1153" s="53">
        <v>177.98940828402365</v>
      </c>
      <c r="AE1153" s="53" t="str">
        <f>_xlfn.XLOOKUP(Master[[#This Row],[cu_id]],'[1]Customer Revenue'!$Q:$Q,'[1]Customer Revenue'!$K:$K, "None")</f>
        <v>None</v>
      </c>
      <c r="AF1153" s="53" t="str">
        <f>_xlfn.XLOOKUP(Master[[#This Row],[cu_id]],'[1]Customer Revenue'!$Q:$Q,'[1]Customer Revenue'!$L:$L, "None")</f>
        <v>None</v>
      </c>
      <c r="AG1153" s="53">
        <v>80.839881656804721</v>
      </c>
      <c r="AH1153" s="53">
        <v>141.50319526627217</v>
      </c>
      <c r="AI1153" s="53">
        <v>121.77333333333333</v>
      </c>
      <c r="AJ1153" s="53">
        <v>144.65923076923076</v>
      </c>
      <c r="AK1153" s="53" t="str">
        <f>_xlfn.XLOOKUP(Master[[#This Row],[cu_id]],'[1]Customer Revenue'!$Q:$Q,'[1]Customer Revenue'!$I:$I, "None")</f>
        <v>None</v>
      </c>
      <c r="AL1153" s="53">
        <v>111.17153846153845</v>
      </c>
      <c r="AM1153" s="61" t="s">
        <v>36</v>
      </c>
      <c r="AN1153" s="60" t="s">
        <v>36</v>
      </c>
      <c r="AO1153" s="60" t="s">
        <v>36</v>
      </c>
      <c r="AP1153" s="60" t="s">
        <v>36</v>
      </c>
      <c r="AQ1153" s="58" t="s">
        <v>0</v>
      </c>
      <c r="AR1153" s="58"/>
      <c r="AS1153" s="58"/>
      <c r="AT1153" s="52">
        <v>0</v>
      </c>
      <c r="AU1153" s="52" t="e">
        <f>IF(Master[[#This Row],[RSP StopTime override]] &lt;&gt; "",Master[[#This Row],[RSP StopTime override]],IF(Master[[#This Row],[Avg stop time helper]] &lt;&gt; 0, Master[[#This Row],[Avg stop time helper]],Average_Stop_Time))</f>
        <v>#DIV/0!</v>
      </c>
      <c r="AV1153" s="21"/>
      <c r="AW1153" s="20">
        <f>Master[[#This Row],[RSP StopTime override]]-Master[[#This Row],[Avg stop time helper]]</f>
        <v>0</v>
      </c>
    </row>
    <row r="1154" spans="1:49" x14ac:dyDescent="0.3">
      <c r="A1154" s="66" t="s">
        <v>5160</v>
      </c>
      <c r="B1154" s="58">
        <v>56</v>
      </c>
      <c r="C1154" s="58" t="s">
        <v>15</v>
      </c>
      <c r="D1154" s="65">
        <v>99061</v>
      </c>
      <c r="E1154" s="65" t="s">
        <v>1154</v>
      </c>
      <c r="F1154" s="65" t="s">
        <v>1172</v>
      </c>
      <c r="G1154" s="65" t="s">
        <v>1152</v>
      </c>
      <c r="H1154" s="65" t="s">
        <v>32</v>
      </c>
      <c r="I1154" s="65" t="s">
        <v>1084</v>
      </c>
      <c r="J1154" s="65" t="s">
        <v>5</v>
      </c>
      <c r="K1154" s="65" t="s">
        <v>1088</v>
      </c>
      <c r="L1154" s="64" t="s">
        <v>67</v>
      </c>
      <c r="M1154" s="58" t="s">
        <v>3</v>
      </c>
      <c r="N1154" s="58" t="s">
        <v>2</v>
      </c>
      <c r="O1154" s="58">
        <v>10</v>
      </c>
      <c r="P1154" s="58">
        <v>0</v>
      </c>
      <c r="Q1154" s="58">
        <v>0</v>
      </c>
      <c r="R1154" s="58">
        <v>0</v>
      </c>
      <c r="S1154" s="58">
        <v>0</v>
      </c>
      <c r="T1154" s="58">
        <v>10</v>
      </c>
      <c r="U1154" s="58">
        <v>52</v>
      </c>
      <c r="V1154" s="62">
        <v>11</v>
      </c>
      <c r="W1154" s="62">
        <v>1</v>
      </c>
      <c r="X1154" s="63">
        <f>IFERROR(1 -(Master[[#This Row],[Avg Garment Scans per Delivery]]/Master[[#This Row],[Garment Inventory]]), 0)</f>
        <v>0.90909090909090906</v>
      </c>
      <c r="Y1154" s="62">
        <v>1</v>
      </c>
      <c r="Z1154" s="62">
        <v>11</v>
      </c>
      <c r="AA1154" s="53">
        <v>57.66</v>
      </c>
      <c r="AB1154" s="53">
        <v>58.84</v>
      </c>
      <c r="AC1154" s="53">
        <v>58.02082840236686</v>
      </c>
      <c r="AD1154" s="53">
        <v>62.077633136094676</v>
      </c>
      <c r="AE1154" s="53" t="str">
        <f>_xlfn.XLOOKUP(Master[[#This Row],[cu_id]],'[1]Customer Revenue'!$Q:$Q,'[1]Customer Revenue'!$K:$K, "None")</f>
        <v>None</v>
      </c>
      <c r="AF1154" s="53" t="str">
        <f>_xlfn.XLOOKUP(Master[[#This Row],[cu_id]],'[1]Customer Revenue'!$Q:$Q,'[1]Customer Revenue'!$L:$L, "None")</f>
        <v>None</v>
      </c>
      <c r="AG1154" s="53">
        <v>56.709911242603553</v>
      </c>
      <c r="AH1154" s="53">
        <v>58.409319526627215</v>
      </c>
      <c r="AI1154" s="53">
        <v>58.25</v>
      </c>
      <c r="AJ1154" s="53">
        <v>60.049230769230768</v>
      </c>
      <c r="AK1154" s="53" t="str">
        <f>_xlfn.XLOOKUP(Master[[#This Row],[cu_id]],'[1]Customer Revenue'!$Q:$Q,'[1]Customer Revenue'!$I:$I, "None")</f>
        <v>None</v>
      </c>
      <c r="AL1154" s="53">
        <v>57.559615384615384</v>
      </c>
      <c r="AM1154" s="61">
        <v>0.29166666666666669</v>
      </c>
      <c r="AN1154" s="60">
        <v>0.5</v>
      </c>
      <c r="AO1154" s="60" t="s">
        <v>36</v>
      </c>
      <c r="AP1154" s="60" t="s">
        <v>36</v>
      </c>
      <c r="AQ1154" s="58" t="s">
        <v>0</v>
      </c>
      <c r="AR1154" s="58"/>
      <c r="AS1154" s="58"/>
      <c r="AT1154" s="52">
        <v>0</v>
      </c>
      <c r="AU1154" s="52" t="e">
        <f>IF(Master[[#This Row],[RSP StopTime override]] &lt;&gt; "",Master[[#This Row],[RSP StopTime override]],IF(Master[[#This Row],[Avg stop time helper]] &lt;&gt; 0, Master[[#This Row],[Avg stop time helper]],Average_Stop_Time))</f>
        <v>#DIV/0!</v>
      </c>
      <c r="AV1154" s="21"/>
      <c r="AW1154" s="20">
        <f>Master[[#This Row],[RSP StopTime override]]-Master[[#This Row],[Avg stop time helper]]</f>
        <v>0</v>
      </c>
    </row>
    <row r="1155" spans="1:49" x14ac:dyDescent="0.3">
      <c r="A1155" s="66" t="s">
        <v>5161</v>
      </c>
      <c r="B1155" s="58">
        <v>56</v>
      </c>
      <c r="C1155" s="58" t="s">
        <v>15</v>
      </c>
      <c r="D1155" s="65">
        <v>99061</v>
      </c>
      <c r="E1155" s="65" t="s">
        <v>1171</v>
      </c>
      <c r="F1155" s="65" t="s">
        <v>1170</v>
      </c>
      <c r="G1155" s="65" t="s">
        <v>1152</v>
      </c>
      <c r="H1155" s="65" t="s">
        <v>32</v>
      </c>
      <c r="I1155" s="65" t="s">
        <v>1084</v>
      </c>
      <c r="J1155" s="65" t="s">
        <v>5</v>
      </c>
      <c r="K1155" s="65" t="s">
        <v>1088</v>
      </c>
      <c r="L1155" s="64" t="s">
        <v>67</v>
      </c>
      <c r="M1155" s="58" t="s">
        <v>3</v>
      </c>
      <c r="N1155" s="58" t="s">
        <v>2</v>
      </c>
      <c r="O1155" s="58">
        <v>10</v>
      </c>
      <c r="P1155" s="58">
        <v>0</v>
      </c>
      <c r="Q1155" s="58">
        <v>0</v>
      </c>
      <c r="R1155" s="58">
        <v>0</v>
      </c>
      <c r="S1155" s="58">
        <v>0</v>
      </c>
      <c r="T1155" s="58">
        <v>10</v>
      </c>
      <c r="U1155" s="58">
        <v>53</v>
      </c>
      <c r="V1155" s="62"/>
      <c r="W1155" s="62"/>
      <c r="X1155" s="63">
        <f>IFERROR(1 -(Master[[#This Row],[Avg Garment Scans per Delivery]]/Master[[#This Row],[Garment Inventory]]), 0)</f>
        <v>0</v>
      </c>
      <c r="Y1155" s="62"/>
      <c r="Z1155" s="62"/>
      <c r="AA1155" s="53">
        <v>31.718888888888888</v>
      </c>
      <c r="AB1155" s="53">
        <v>33.747777777777777</v>
      </c>
      <c r="AC1155" s="53">
        <v>38.596923076923069</v>
      </c>
      <c r="AD1155" s="53">
        <v>42.763076923076916</v>
      </c>
      <c r="AE1155" s="53" t="str">
        <f>_xlfn.XLOOKUP(Master[[#This Row],[cu_id]],'[1]Customer Revenue'!$Q:$Q,'[1]Customer Revenue'!$K:$K, "None")</f>
        <v>None</v>
      </c>
      <c r="AF1155" s="53" t="str">
        <f>_xlfn.XLOOKUP(Master[[#This Row],[cu_id]],'[1]Customer Revenue'!$Q:$Q,'[1]Customer Revenue'!$L:$L, "None")</f>
        <v>None</v>
      </c>
      <c r="AG1155" s="53">
        <v>31.380946745562117</v>
      </c>
      <c r="AH1155" s="53">
        <v>32.720591715976326</v>
      </c>
      <c r="AI1155" s="53">
        <v>32.733333333333334</v>
      </c>
      <c r="AJ1155" s="53">
        <v>40.679999999999993</v>
      </c>
      <c r="AK1155" s="53" t="str">
        <f>_xlfn.XLOOKUP(Master[[#This Row],[cu_id]],'[1]Customer Revenue'!$Q:$Q,'[1]Customer Revenue'!$I:$I, "None")</f>
        <v>None</v>
      </c>
      <c r="AL1155" s="53">
        <v>32.05076923076922</v>
      </c>
      <c r="AM1155" s="61">
        <v>0.29166666666666669</v>
      </c>
      <c r="AN1155" s="60">
        <v>0.5</v>
      </c>
      <c r="AO1155" s="60" t="s">
        <v>36</v>
      </c>
      <c r="AP1155" s="60" t="s">
        <v>36</v>
      </c>
      <c r="AQ1155" s="58" t="s">
        <v>0</v>
      </c>
      <c r="AR1155" s="58"/>
      <c r="AS1155" s="58"/>
      <c r="AT1155" s="52">
        <v>0</v>
      </c>
      <c r="AU1155" s="52" t="e">
        <f>IF(Master[[#This Row],[RSP StopTime override]] &lt;&gt; "",Master[[#This Row],[RSP StopTime override]],IF(Master[[#This Row],[Avg stop time helper]] &lt;&gt; 0, Master[[#This Row],[Avg stop time helper]],Average_Stop_Time))</f>
        <v>#DIV/0!</v>
      </c>
      <c r="AV1155" s="21"/>
      <c r="AW1155" s="20">
        <f>Master[[#This Row],[RSP StopTime override]]-Master[[#This Row],[Avg stop time helper]]</f>
        <v>0</v>
      </c>
    </row>
    <row r="1156" spans="1:49" x14ac:dyDescent="0.3">
      <c r="A1156" s="66" t="s">
        <v>5162</v>
      </c>
      <c r="B1156" s="58">
        <v>56</v>
      </c>
      <c r="C1156" s="58" t="s">
        <v>15</v>
      </c>
      <c r="D1156" s="65">
        <v>99061</v>
      </c>
      <c r="E1156" s="65" t="s">
        <v>1169</v>
      </c>
      <c r="F1156" s="65" t="s">
        <v>1168</v>
      </c>
      <c r="G1156" s="65" t="s">
        <v>1152</v>
      </c>
      <c r="H1156" s="65" t="s">
        <v>32</v>
      </c>
      <c r="I1156" s="65" t="s">
        <v>1084</v>
      </c>
      <c r="J1156" s="65" t="s">
        <v>5</v>
      </c>
      <c r="K1156" s="65" t="s">
        <v>1088</v>
      </c>
      <c r="L1156" s="64" t="s">
        <v>67</v>
      </c>
      <c r="M1156" s="58" t="s">
        <v>3</v>
      </c>
      <c r="N1156" s="58" t="s">
        <v>2</v>
      </c>
      <c r="O1156" s="58">
        <v>10</v>
      </c>
      <c r="P1156" s="58">
        <v>0</v>
      </c>
      <c r="Q1156" s="58">
        <v>0</v>
      </c>
      <c r="R1156" s="58">
        <v>0</v>
      </c>
      <c r="S1156" s="58">
        <v>0</v>
      </c>
      <c r="T1156" s="58">
        <v>10</v>
      </c>
      <c r="U1156" s="58">
        <v>52</v>
      </c>
      <c r="V1156" s="62"/>
      <c r="W1156" s="62"/>
      <c r="X1156" s="63">
        <f>IFERROR(1 -(Master[[#This Row],[Avg Garment Scans per Delivery]]/Master[[#This Row],[Garment Inventory]]), 0)</f>
        <v>0</v>
      </c>
      <c r="Y1156" s="62"/>
      <c r="Z1156" s="62"/>
      <c r="AA1156" s="53">
        <v>41.319583333333334</v>
      </c>
      <c r="AB1156" s="53">
        <v>48.185416666666661</v>
      </c>
      <c r="AC1156" s="53">
        <v>43.124082840236689</v>
      </c>
      <c r="AD1156" s="53">
        <v>47.683609467455632</v>
      </c>
      <c r="AE1156" s="53" t="str">
        <f>_xlfn.XLOOKUP(Master[[#This Row],[cu_id]],'[1]Customer Revenue'!$Q:$Q,'[1]Customer Revenue'!$K:$K, "None")</f>
        <v>None</v>
      </c>
      <c r="AF1156" s="53" t="str">
        <f>_xlfn.XLOOKUP(Master[[#This Row],[cu_id]],'[1]Customer Revenue'!$Q:$Q,'[1]Customer Revenue'!$L:$L, "None")</f>
        <v>None</v>
      </c>
      <c r="AG1156" s="53">
        <v>41.523076923076928</v>
      </c>
      <c r="AH1156" s="53">
        <v>44.92692307692306</v>
      </c>
      <c r="AI1156" s="53">
        <v>44.752499999999998</v>
      </c>
      <c r="AJ1156" s="53">
        <v>45.40384615384616</v>
      </c>
      <c r="AK1156" s="53" t="str">
        <f>_xlfn.XLOOKUP(Master[[#This Row],[cu_id]],'[1]Customer Revenue'!$Q:$Q,'[1]Customer Revenue'!$I:$I, "None")</f>
        <v>None</v>
      </c>
      <c r="AL1156" s="53">
        <v>43.224999999999994</v>
      </c>
      <c r="AM1156" s="61">
        <v>0.29166666666666669</v>
      </c>
      <c r="AN1156" s="60">
        <v>0.5</v>
      </c>
      <c r="AO1156" s="60" t="s">
        <v>36</v>
      </c>
      <c r="AP1156" s="60" t="s">
        <v>36</v>
      </c>
      <c r="AQ1156" s="58" t="s">
        <v>0</v>
      </c>
      <c r="AR1156" s="58"/>
      <c r="AS1156" s="58"/>
      <c r="AT1156" s="52">
        <v>0</v>
      </c>
      <c r="AU1156" s="52" t="e">
        <f>IF(Master[[#This Row],[RSP StopTime override]] &lt;&gt; "",Master[[#This Row],[RSP StopTime override]],IF(Master[[#This Row],[Avg stop time helper]] &lt;&gt; 0, Master[[#This Row],[Avg stop time helper]],Average_Stop_Time))</f>
        <v>#DIV/0!</v>
      </c>
      <c r="AV1156" s="21"/>
      <c r="AW1156" s="20">
        <f>Master[[#This Row],[RSP StopTime override]]-Master[[#This Row],[Avg stop time helper]]</f>
        <v>0</v>
      </c>
    </row>
    <row r="1157" spans="1:49" x14ac:dyDescent="0.3">
      <c r="A1157" s="66" t="s">
        <v>5163</v>
      </c>
      <c r="B1157" s="58">
        <v>56</v>
      </c>
      <c r="C1157" s="58" t="s">
        <v>15</v>
      </c>
      <c r="D1157" s="65">
        <v>99061</v>
      </c>
      <c r="E1157" s="65" t="s">
        <v>1167</v>
      </c>
      <c r="F1157" s="65" t="s">
        <v>1166</v>
      </c>
      <c r="G1157" s="65" t="s">
        <v>1152</v>
      </c>
      <c r="H1157" s="65" t="s">
        <v>32</v>
      </c>
      <c r="I1157" s="65" t="s">
        <v>1084</v>
      </c>
      <c r="J1157" s="65" t="s">
        <v>5</v>
      </c>
      <c r="K1157" s="65" t="s">
        <v>1088</v>
      </c>
      <c r="L1157" s="64" t="s">
        <v>67</v>
      </c>
      <c r="M1157" s="58" t="s">
        <v>3</v>
      </c>
      <c r="N1157" s="58" t="s">
        <v>2</v>
      </c>
      <c r="O1157" s="58">
        <v>10</v>
      </c>
      <c r="P1157" s="58">
        <v>0</v>
      </c>
      <c r="Q1157" s="58">
        <v>0</v>
      </c>
      <c r="R1157" s="58">
        <v>0</v>
      </c>
      <c r="S1157" s="58">
        <v>0</v>
      </c>
      <c r="T1157" s="58">
        <v>10</v>
      </c>
      <c r="U1157" s="58">
        <v>52</v>
      </c>
      <c r="V1157" s="62"/>
      <c r="W1157" s="62"/>
      <c r="X1157" s="63">
        <f>IFERROR(1 -(Master[[#This Row],[Avg Garment Scans per Delivery]]/Master[[#This Row],[Garment Inventory]]), 0)</f>
        <v>0</v>
      </c>
      <c r="Y1157" s="62"/>
      <c r="Z1157" s="62"/>
      <c r="AA1157" s="53">
        <v>14.312916666666666</v>
      </c>
      <c r="AB1157" s="53">
        <v>15.532083333333333</v>
      </c>
      <c r="AC1157" s="53">
        <v>12.035443786982247</v>
      </c>
      <c r="AD1157" s="53">
        <v>15.606094674556212</v>
      </c>
      <c r="AE1157" s="53" t="str">
        <f>_xlfn.XLOOKUP(Master[[#This Row],[cu_id]],'[1]Customer Revenue'!$Q:$Q,'[1]Customer Revenue'!$K:$K, "None")</f>
        <v>None</v>
      </c>
      <c r="AF1157" s="53" t="str">
        <f>_xlfn.XLOOKUP(Master[[#This Row],[cu_id]],'[1]Customer Revenue'!$Q:$Q,'[1]Customer Revenue'!$L:$L, "None")</f>
        <v>None</v>
      </c>
      <c r="AG1157" s="53">
        <v>14.2221597633136</v>
      </c>
      <c r="AH1157" s="53">
        <v>14.903224852071</v>
      </c>
      <c r="AI1157" s="53">
        <v>14.922499999999999</v>
      </c>
      <c r="AJ1157" s="53">
        <v>13.82076923076923</v>
      </c>
      <c r="AK1157" s="53" t="str">
        <f>_xlfn.XLOOKUP(Master[[#This Row],[cu_id]],'[1]Customer Revenue'!$Q:$Q,'[1]Customer Revenue'!$I:$I, "None")</f>
        <v>None</v>
      </c>
      <c r="AL1157" s="53">
        <v>14.5626923076923</v>
      </c>
      <c r="AM1157" s="61">
        <v>0.29166666666666669</v>
      </c>
      <c r="AN1157" s="60">
        <v>0.5</v>
      </c>
      <c r="AO1157" s="60" t="s">
        <v>36</v>
      </c>
      <c r="AP1157" s="60" t="s">
        <v>36</v>
      </c>
      <c r="AQ1157" s="58" t="s">
        <v>0</v>
      </c>
      <c r="AR1157" s="58"/>
      <c r="AS1157" s="58"/>
      <c r="AT1157" s="52">
        <v>0</v>
      </c>
      <c r="AU1157" s="52" t="e">
        <f>IF(Master[[#This Row],[RSP StopTime override]] &lt;&gt; "",Master[[#This Row],[RSP StopTime override]],IF(Master[[#This Row],[Avg stop time helper]] &lt;&gt; 0, Master[[#This Row],[Avg stop time helper]],Average_Stop_Time))</f>
        <v>#DIV/0!</v>
      </c>
      <c r="AV1157" s="21"/>
      <c r="AW1157" s="20">
        <f>Master[[#This Row],[RSP StopTime override]]-Master[[#This Row],[Avg stop time helper]]</f>
        <v>0</v>
      </c>
    </row>
    <row r="1158" spans="1:49" x14ac:dyDescent="0.3">
      <c r="A1158" s="66" t="s">
        <v>5164</v>
      </c>
      <c r="B1158" s="58">
        <v>56</v>
      </c>
      <c r="C1158" s="58" t="s">
        <v>15</v>
      </c>
      <c r="D1158" s="65">
        <v>99061</v>
      </c>
      <c r="E1158" s="65" t="s">
        <v>1165</v>
      </c>
      <c r="F1158" s="65" t="s">
        <v>1164</v>
      </c>
      <c r="G1158" s="65" t="s">
        <v>1152</v>
      </c>
      <c r="H1158" s="65" t="s">
        <v>32</v>
      </c>
      <c r="I1158" s="65" t="s">
        <v>1084</v>
      </c>
      <c r="J1158" s="65" t="s">
        <v>5</v>
      </c>
      <c r="K1158" s="65" t="s">
        <v>1088</v>
      </c>
      <c r="L1158" s="64" t="s">
        <v>67</v>
      </c>
      <c r="M1158" s="58" t="s">
        <v>3</v>
      </c>
      <c r="N1158" s="58" t="s">
        <v>2</v>
      </c>
      <c r="O1158" s="58">
        <v>10</v>
      </c>
      <c r="P1158" s="58">
        <v>0</v>
      </c>
      <c r="Q1158" s="58">
        <v>0</v>
      </c>
      <c r="R1158" s="58">
        <v>0</v>
      </c>
      <c r="S1158" s="58">
        <v>0</v>
      </c>
      <c r="T1158" s="58">
        <v>10</v>
      </c>
      <c r="U1158" s="58">
        <v>52</v>
      </c>
      <c r="V1158" s="62"/>
      <c r="W1158" s="62"/>
      <c r="X1158" s="63">
        <f>IFERROR(1 -(Master[[#This Row],[Avg Garment Scans per Delivery]]/Master[[#This Row],[Garment Inventory]]), 0)</f>
        <v>0</v>
      </c>
      <c r="Y1158" s="62"/>
      <c r="Z1158" s="62"/>
      <c r="AA1158" s="53">
        <v>14.312916666666666</v>
      </c>
      <c r="AB1158" s="53">
        <v>15.532083333333333</v>
      </c>
      <c r="AC1158" s="53">
        <v>15.158639053254438</v>
      </c>
      <c r="AD1158" s="53">
        <v>17.156745562130176</v>
      </c>
      <c r="AE1158" s="53" t="str">
        <f>_xlfn.XLOOKUP(Master[[#This Row],[cu_id]],'[1]Customer Revenue'!$Q:$Q,'[1]Customer Revenue'!$K:$K, "None")</f>
        <v>None</v>
      </c>
      <c r="AF1158" s="53" t="str">
        <f>_xlfn.XLOOKUP(Master[[#This Row],[cu_id]],'[1]Customer Revenue'!$Q:$Q,'[1]Customer Revenue'!$L:$L, "None")</f>
        <v>None</v>
      </c>
      <c r="AG1158" s="53">
        <v>14.2221597633136</v>
      </c>
      <c r="AH1158" s="53">
        <v>14.903224852071</v>
      </c>
      <c r="AI1158" s="53">
        <v>14.922499999999999</v>
      </c>
      <c r="AJ1158" s="53">
        <v>16.157692307692308</v>
      </c>
      <c r="AK1158" s="53" t="str">
        <f>_xlfn.XLOOKUP(Master[[#This Row],[cu_id]],'[1]Customer Revenue'!$Q:$Q,'[1]Customer Revenue'!$I:$I, "None")</f>
        <v>None</v>
      </c>
      <c r="AL1158" s="53">
        <v>14.5626923076923</v>
      </c>
      <c r="AM1158" s="61">
        <v>0.29166666666666669</v>
      </c>
      <c r="AN1158" s="60">
        <v>0.5</v>
      </c>
      <c r="AO1158" s="60" t="s">
        <v>36</v>
      </c>
      <c r="AP1158" s="60" t="s">
        <v>36</v>
      </c>
      <c r="AQ1158" s="58" t="s">
        <v>0</v>
      </c>
      <c r="AR1158" s="58"/>
      <c r="AS1158" s="58"/>
      <c r="AT1158" s="52">
        <v>0</v>
      </c>
      <c r="AU1158" s="52" t="e">
        <f>IF(Master[[#This Row],[RSP StopTime override]] &lt;&gt; "",Master[[#This Row],[RSP StopTime override]],IF(Master[[#This Row],[Avg stop time helper]] &lt;&gt; 0, Master[[#This Row],[Avg stop time helper]],Average_Stop_Time))</f>
        <v>#DIV/0!</v>
      </c>
      <c r="AV1158" s="21"/>
      <c r="AW1158" s="20">
        <f>Master[[#This Row],[RSP StopTime override]]-Master[[#This Row],[Avg stop time helper]]</f>
        <v>0</v>
      </c>
    </row>
    <row r="1159" spans="1:49" x14ac:dyDescent="0.3">
      <c r="A1159" s="66" t="s">
        <v>5165</v>
      </c>
      <c r="B1159" s="58">
        <v>56</v>
      </c>
      <c r="C1159" s="58" t="s">
        <v>15</v>
      </c>
      <c r="D1159" s="65">
        <v>99061</v>
      </c>
      <c r="E1159" s="65" t="s">
        <v>803</v>
      </c>
      <c r="F1159" s="65" t="s">
        <v>1163</v>
      </c>
      <c r="G1159" s="65" t="s">
        <v>1152</v>
      </c>
      <c r="H1159" s="65" t="s">
        <v>32</v>
      </c>
      <c r="I1159" s="65" t="s">
        <v>1084</v>
      </c>
      <c r="J1159" s="65" t="s">
        <v>5</v>
      </c>
      <c r="K1159" s="65" t="s">
        <v>1088</v>
      </c>
      <c r="L1159" s="64" t="s">
        <v>67</v>
      </c>
      <c r="M1159" s="58" t="s">
        <v>3</v>
      </c>
      <c r="N1159" s="58" t="s">
        <v>2</v>
      </c>
      <c r="O1159" s="58">
        <v>10</v>
      </c>
      <c r="P1159" s="58">
        <v>0</v>
      </c>
      <c r="Q1159" s="58">
        <v>0</v>
      </c>
      <c r="R1159" s="58">
        <v>0</v>
      </c>
      <c r="S1159" s="58">
        <v>0</v>
      </c>
      <c r="T1159" s="58">
        <v>10</v>
      </c>
      <c r="U1159" s="58">
        <v>52</v>
      </c>
      <c r="V1159" s="62"/>
      <c r="W1159" s="62"/>
      <c r="X1159" s="63">
        <f>IFERROR(1 -(Master[[#This Row],[Avg Garment Scans per Delivery]]/Master[[#This Row],[Garment Inventory]]), 0)</f>
        <v>0</v>
      </c>
      <c r="Y1159" s="62"/>
      <c r="Z1159" s="62"/>
      <c r="AA1159" s="53">
        <v>77.572222222222223</v>
      </c>
      <c r="AB1159" s="53">
        <v>78.354444444444425</v>
      </c>
      <c r="AC1159" s="53">
        <v>49.574437869822482</v>
      </c>
      <c r="AD1159" s="53">
        <v>73.662485207100588</v>
      </c>
      <c r="AE1159" s="53" t="str">
        <f>_xlfn.XLOOKUP(Master[[#This Row],[cu_id]],'[1]Customer Revenue'!$Q:$Q,'[1]Customer Revenue'!$K:$K, "None")</f>
        <v>None</v>
      </c>
      <c r="AF1159" s="53" t="str">
        <f>_xlfn.XLOOKUP(Master[[#This Row],[cu_id]],'[1]Customer Revenue'!$Q:$Q,'[1]Customer Revenue'!$L:$L, "None")</f>
        <v>None</v>
      </c>
      <c r="AG1159" s="53">
        <v>29.26840236686391</v>
      </c>
      <c r="AH1159" s="53">
        <v>84.696213017751475</v>
      </c>
      <c r="AI1159" s="53">
        <v>77.963333333333324</v>
      </c>
      <c r="AJ1159" s="53">
        <v>61.618461538461538</v>
      </c>
      <c r="AK1159" s="53" t="str">
        <f>_xlfn.XLOOKUP(Master[[#This Row],[cu_id]],'[1]Customer Revenue'!$Q:$Q,'[1]Customer Revenue'!$I:$I, "None")</f>
        <v>None</v>
      </c>
      <c r="AL1159" s="53">
        <v>56.982307692307693</v>
      </c>
      <c r="AM1159" s="61">
        <v>0.29166666666666669</v>
      </c>
      <c r="AN1159" s="60">
        <v>0.5</v>
      </c>
      <c r="AO1159" s="60" t="s">
        <v>36</v>
      </c>
      <c r="AP1159" s="60" t="s">
        <v>36</v>
      </c>
      <c r="AQ1159" s="58" t="s">
        <v>0</v>
      </c>
      <c r="AR1159" s="58"/>
      <c r="AS1159" s="58"/>
      <c r="AT1159" s="52">
        <v>0</v>
      </c>
      <c r="AU1159" s="52" t="e">
        <f>IF(Master[[#This Row],[RSP StopTime override]] &lt;&gt; "",Master[[#This Row],[RSP StopTime override]],IF(Master[[#This Row],[Avg stop time helper]] &lt;&gt; 0, Master[[#This Row],[Avg stop time helper]],Average_Stop_Time))</f>
        <v>#DIV/0!</v>
      </c>
      <c r="AV1159" s="21"/>
      <c r="AW1159" s="20">
        <f>Master[[#This Row],[RSP StopTime override]]-Master[[#This Row],[Avg stop time helper]]</f>
        <v>0</v>
      </c>
    </row>
    <row r="1160" spans="1:49" x14ac:dyDescent="0.3">
      <c r="A1160" s="66" t="s">
        <v>3985</v>
      </c>
      <c r="B1160" s="58">
        <v>56</v>
      </c>
      <c r="C1160" s="58" t="s">
        <v>15</v>
      </c>
      <c r="D1160" s="65">
        <v>99061</v>
      </c>
      <c r="E1160" s="65" t="s">
        <v>1162</v>
      </c>
      <c r="F1160" s="65" t="s">
        <v>3755</v>
      </c>
      <c r="G1160" s="65" t="s">
        <v>1152</v>
      </c>
      <c r="H1160" s="65" t="s">
        <v>32</v>
      </c>
      <c r="I1160" s="65" t="s">
        <v>1084</v>
      </c>
      <c r="J1160" s="65" t="s">
        <v>5</v>
      </c>
      <c r="K1160" s="65" t="s">
        <v>1088</v>
      </c>
      <c r="L1160" s="64" t="s">
        <v>67</v>
      </c>
      <c r="M1160" s="58" t="s">
        <v>3</v>
      </c>
      <c r="N1160" s="58" t="s">
        <v>2</v>
      </c>
      <c r="O1160" s="58">
        <v>20</v>
      </c>
      <c r="P1160" s="58">
        <v>0</v>
      </c>
      <c r="Q1160" s="58">
        <v>0</v>
      </c>
      <c r="R1160" s="58">
        <v>0</v>
      </c>
      <c r="S1160" s="58">
        <v>0</v>
      </c>
      <c r="T1160" s="58">
        <v>20</v>
      </c>
      <c r="U1160" s="58">
        <v>52</v>
      </c>
      <c r="V1160" s="62"/>
      <c r="W1160" s="62"/>
      <c r="X1160" s="63">
        <f>IFERROR(1 -(Master[[#This Row],[Avg Garment Scans per Delivery]]/Master[[#This Row],[Garment Inventory]]), 0)</f>
        <v>0</v>
      </c>
      <c r="Y1160" s="62"/>
      <c r="Z1160" s="62"/>
      <c r="AA1160" s="53">
        <v>21.110555555555557</v>
      </c>
      <c r="AB1160" s="53">
        <v>25.282777777777781</v>
      </c>
      <c r="AC1160" s="53">
        <v>23.607988165680474</v>
      </c>
      <c r="AD1160" s="53">
        <v>28.461242603550296</v>
      </c>
      <c r="AE1160" s="53" t="str">
        <f>_xlfn.XLOOKUP(Master[[#This Row],[cu_id]],'[1]Customer Revenue'!$Q:$Q,'[1]Customer Revenue'!$K:$K, "None")</f>
        <v>None</v>
      </c>
      <c r="AF1160" s="53" t="str">
        <f>_xlfn.XLOOKUP(Master[[#This Row],[cu_id]],'[1]Customer Revenue'!$Q:$Q,'[1]Customer Revenue'!$L:$L, "None")</f>
        <v>None</v>
      </c>
      <c r="AG1160" s="53">
        <v>18.026893491124259</v>
      </c>
      <c r="AH1160" s="53">
        <v>23.946183431952665</v>
      </c>
      <c r="AI1160" s="53">
        <v>23.196666666666669</v>
      </c>
      <c r="AJ1160" s="53">
        <v>26.034615384615385</v>
      </c>
      <c r="AK1160" s="53" t="str">
        <f>_xlfn.XLOOKUP(Master[[#This Row],[cu_id]],'[1]Customer Revenue'!$Q:$Q,'[1]Customer Revenue'!$I:$I, "None")</f>
        <v>None</v>
      </c>
      <c r="AL1160" s="53">
        <v>20.986538461538462</v>
      </c>
      <c r="AM1160" s="61">
        <v>0.29166666666666669</v>
      </c>
      <c r="AN1160" s="60">
        <v>0.5</v>
      </c>
      <c r="AO1160" s="60" t="s">
        <v>36</v>
      </c>
      <c r="AP1160" s="60" t="s">
        <v>36</v>
      </c>
      <c r="AQ1160" s="58" t="s">
        <v>0</v>
      </c>
      <c r="AR1160" s="58"/>
      <c r="AS1160" s="58"/>
      <c r="AT1160" s="52">
        <v>0</v>
      </c>
      <c r="AU1160" s="52" t="e">
        <f>IF(Master[[#This Row],[RSP StopTime override]] &lt;&gt; "",Master[[#This Row],[RSP StopTime override]],IF(Master[[#This Row],[Avg stop time helper]] &lt;&gt; 0, Master[[#This Row],[Avg stop time helper]],Average_Stop_Time))</f>
        <v>#DIV/0!</v>
      </c>
      <c r="AV1160" s="21"/>
      <c r="AW1160" s="20">
        <f>Master[[#This Row],[RSP StopTime override]]-Master[[#This Row],[Avg stop time helper]]</f>
        <v>0</v>
      </c>
    </row>
    <row r="1161" spans="1:49" x14ac:dyDescent="0.3">
      <c r="A1161" s="66" t="s">
        <v>5166</v>
      </c>
      <c r="B1161" s="58">
        <v>56</v>
      </c>
      <c r="C1161" s="58" t="s">
        <v>15</v>
      </c>
      <c r="D1161" s="65">
        <v>99094</v>
      </c>
      <c r="E1161" s="65" t="s">
        <v>1161</v>
      </c>
      <c r="F1161" s="65" t="s">
        <v>1160</v>
      </c>
      <c r="G1161" s="65" t="s">
        <v>1159</v>
      </c>
      <c r="H1161" s="65" t="s">
        <v>7</v>
      </c>
      <c r="I1161" s="65" t="s">
        <v>1084</v>
      </c>
      <c r="J1161" s="65" t="s">
        <v>5</v>
      </c>
      <c r="K1161" s="65" t="s">
        <v>1088</v>
      </c>
      <c r="L1161" s="64" t="s">
        <v>77</v>
      </c>
      <c r="M1161" s="58" t="s">
        <v>29</v>
      </c>
      <c r="N1161" s="58" t="s">
        <v>2</v>
      </c>
      <c r="O1161" s="58">
        <v>90</v>
      </c>
      <c r="P1161" s="58">
        <v>0</v>
      </c>
      <c r="Q1161" s="58">
        <v>0</v>
      </c>
      <c r="R1161" s="58">
        <v>0</v>
      </c>
      <c r="S1161" s="58">
        <v>0</v>
      </c>
      <c r="T1161" s="58">
        <v>90</v>
      </c>
      <c r="U1161" s="58">
        <v>37</v>
      </c>
      <c r="V1161" s="62"/>
      <c r="W1161" s="62"/>
      <c r="X1161" s="63">
        <f>IFERROR(1 -(Master[[#This Row],[Avg Garment Scans per Delivery]]/Master[[#This Row],[Garment Inventory]]), 0)</f>
        <v>0</v>
      </c>
      <c r="Y1161" s="62"/>
      <c r="Z1161" s="62"/>
      <c r="AA1161" s="53">
        <v>20</v>
      </c>
      <c r="AB1161" s="53">
        <v>20</v>
      </c>
      <c r="AC1161" s="53">
        <v>11.111111111111112</v>
      </c>
      <c r="AD1161" s="53">
        <v>28.888888888888886</v>
      </c>
      <c r="AE1161" s="53" t="str">
        <f>_xlfn.XLOOKUP(Master[[#This Row],[cu_id]],'[1]Customer Revenue'!$Q:$Q,'[1]Customer Revenue'!$K:$K, "None")</f>
        <v>None</v>
      </c>
      <c r="AF1161" s="53" t="str">
        <f>_xlfn.XLOOKUP(Master[[#This Row],[cu_id]],'[1]Customer Revenue'!$Q:$Q,'[1]Customer Revenue'!$L:$L, "None")</f>
        <v>None</v>
      </c>
      <c r="AG1161" s="53">
        <v>20</v>
      </c>
      <c r="AH1161" s="53">
        <v>20</v>
      </c>
      <c r="AI1161" s="53">
        <v>20</v>
      </c>
      <c r="AJ1161" s="53">
        <v>20</v>
      </c>
      <c r="AK1161" s="53" t="str">
        <f>_xlfn.XLOOKUP(Master[[#This Row],[cu_id]],'[1]Customer Revenue'!$Q:$Q,'[1]Customer Revenue'!$I:$I, "None")</f>
        <v>None</v>
      </c>
      <c r="AL1161" s="53">
        <v>20</v>
      </c>
      <c r="AM1161" s="61">
        <v>0.375</v>
      </c>
      <c r="AN1161" s="60">
        <v>0.5</v>
      </c>
      <c r="AO1161" s="60" t="s">
        <v>36</v>
      </c>
      <c r="AP1161" s="60" t="s">
        <v>36</v>
      </c>
      <c r="AQ1161" s="58" t="s">
        <v>0</v>
      </c>
      <c r="AR1161" s="58"/>
      <c r="AS1161" s="58"/>
      <c r="AT1161" s="52">
        <v>0</v>
      </c>
      <c r="AU1161" s="52" t="e">
        <f>IF(Master[[#This Row],[RSP StopTime override]] &lt;&gt; "",Master[[#This Row],[RSP StopTime override]],IF(Master[[#This Row],[Avg stop time helper]] &lt;&gt; 0, Master[[#This Row],[Avg stop time helper]],Average_Stop_Time))</f>
        <v>#DIV/0!</v>
      </c>
      <c r="AV1161" s="21"/>
      <c r="AW1161" s="20">
        <f>Master[[#This Row],[RSP StopTime override]]-Master[[#This Row],[Avg stop time helper]]</f>
        <v>0</v>
      </c>
    </row>
    <row r="1162" spans="1:49" x14ac:dyDescent="0.3">
      <c r="A1162" s="66" t="s">
        <v>5167</v>
      </c>
      <c r="B1162" s="58">
        <v>56</v>
      </c>
      <c r="C1162" s="58" t="s">
        <v>15</v>
      </c>
      <c r="D1162" s="65">
        <v>99117</v>
      </c>
      <c r="E1162" s="65" t="s">
        <v>1158</v>
      </c>
      <c r="F1162" s="65" t="s">
        <v>3756</v>
      </c>
      <c r="G1162" s="65" t="s">
        <v>1157</v>
      </c>
      <c r="H1162" s="65" t="s">
        <v>7</v>
      </c>
      <c r="I1162" s="65" t="s">
        <v>1084</v>
      </c>
      <c r="J1162" s="65" t="s">
        <v>5</v>
      </c>
      <c r="K1162" s="65" t="s">
        <v>1088</v>
      </c>
      <c r="L1162" s="64" t="s">
        <v>67</v>
      </c>
      <c r="M1162" s="58" t="s">
        <v>3</v>
      </c>
      <c r="N1162" s="58" t="s">
        <v>2</v>
      </c>
      <c r="O1162" s="58">
        <v>5</v>
      </c>
      <c r="P1162" s="58">
        <v>0</v>
      </c>
      <c r="Q1162" s="58">
        <v>0</v>
      </c>
      <c r="R1162" s="58">
        <v>0</v>
      </c>
      <c r="S1162" s="58">
        <v>0</v>
      </c>
      <c r="T1162" s="58">
        <v>5</v>
      </c>
      <c r="U1162" s="58">
        <v>52</v>
      </c>
      <c r="V1162" s="62"/>
      <c r="W1162" s="62"/>
      <c r="X1162" s="63">
        <f>IFERROR(1 -(Master[[#This Row],[Avg Garment Scans per Delivery]]/Master[[#This Row],[Garment Inventory]]), 0)</f>
        <v>0</v>
      </c>
      <c r="Y1162" s="62"/>
      <c r="Z1162" s="62"/>
      <c r="AA1162" s="53">
        <v>103.9122222222222</v>
      </c>
      <c r="AB1162" s="53">
        <v>114.52111111111108</v>
      </c>
      <c r="AC1162" s="53">
        <v>97.175680473372793</v>
      </c>
      <c r="AD1162" s="53">
        <v>108.63508875739645</v>
      </c>
      <c r="AE1162" s="53" t="str">
        <f>_xlfn.XLOOKUP(Master[[#This Row],[cu_id]],'[1]Customer Revenue'!$Q:$Q,'[1]Customer Revenue'!$K:$K, "None")</f>
        <v>None</v>
      </c>
      <c r="AF1162" s="53" t="str">
        <f>_xlfn.XLOOKUP(Master[[#This Row],[cu_id]],'[1]Customer Revenue'!$Q:$Q,'[1]Customer Revenue'!$L:$L, "None")</f>
        <v>None</v>
      </c>
      <c r="AG1162" s="53">
        <v>94.470828402366891</v>
      </c>
      <c r="AH1162" s="53">
        <v>108.73686390532546</v>
      </c>
      <c r="AI1162" s="53">
        <v>109.21666666666664</v>
      </c>
      <c r="AJ1162" s="53">
        <v>102.90538461538462</v>
      </c>
      <c r="AK1162" s="53" t="str">
        <f>_xlfn.XLOOKUP(Master[[#This Row],[cu_id]],'[1]Customer Revenue'!$Q:$Q,'[1]Customer Revenue'!$I:$I, "None")</f>
        <v>None</v>
      </c>
      <c r="AL1162" s="53">
        <v>101.60384615384618</v>
      </c>
      <c r="AM1162" s="61" t="s">
        <v>36</v>
      </c>
      <c r="AN1162" s="60" t="s">
        <v>36</v>
      </c>
      <c r="AO1162" s="60" t="s">
        <v>36</v>
      </c>
      <c r="AP1162" s="60" t="s">
        <v>36</v>
      </c>
      <c r="AQ1162" s="58" t="s">
        <v>0</v>
      </c>
      <c r="AR1162" s="58"/>
      <c r="AS1162" s="58"/>
      <c r="AT1162" s="52">
        <v>0</v>
      </c>
      <c r="AU1162" s="52" t="e">
        <f>IF(Master[[#This Row],[RSP StopTime override]] &lt;&gt; "",Master[[#This Row],[RSP StopTime override]],IF(Master[[#This Row],[Avg stop time helper]] &lt;&gt; 0, Master[[#This Row],[Avg stop time helper]],Average_Stop_Time))</f>
        <v>#DIV/0!</v>
      </c>
      <c r="AV1162" s="21"/>
      <c r="AW1162" s="20">
        <f>Master[[#This Row],[RSP StopTime override]]-Master[[#This Row],[Avg stop time helper]]</f>
        <v>0</v>
      </c>
    </row>
    <row r="1163" spans="1:49" x14ac:dyDescent="0.3">
      <c r="A1163" s="66" t="s">
        <v>5168</v>
      </c>
      <c r="B1163" s="58">
        <v>56</v>
      </c>
      <c r="C1163" s="58" t="s">
        <v>15</v>
      </c>
      <c r="D1163" s="65">
        <v>99117</v>
      </c>
      <c r="E1163" s="65" t="s">
        <v>1156</v>
      </c>
      <c r="F1163" s="65" t="s">
        <v>3757</v>
      </c>
      <c r="G1163" s="65" t="s">
        <v>1155</v>
      </c>
      <c r="H1163" s="65" t="s">
        <v>7</v>
      </c>
      <c r="I1163" s="65" t="s">
        <v>1116</v>
      </c>
      <c r="J1163" s="65" t="s">
        <v>5</v>
      </c>
      <c r="K1163" s="65" t="s">
        <v>1115</v>
      </c>
      <c r="L1163" s="64" t="s">
        <v>67</v>
      </c>
      <c r="M1163" s="58" t="s">
        <v>3</v>
      </c>
      <c r="N1163" s="58" t="s">
        <v>2</v>
      </c>
      <c r="O1163" s="58">
        <v>110</v>
      </c>
      <c r="P1163" s="58">
        <v>0</v>
      </c>
      <c r="Q1163" s="58">
        <v>0</v>
      </c>
      <c r="R1163" s="58">
        <v>0</v>
      </c>
      <c r="S1163" s="58">
        <v>0</v>
      </c>
      <c r="T1163" s="58">
        <v>110</v>
      </c>
      <c r="U1163" s="58">
        <v>53</v>
      </c>
      <c r="V1163" s="62"/>
      <c r="W1163" s="62"/>
      <c r="X1163" s="63">
        <f>IFERROR(1 -(Master[[#This Row],[Avg Garment Scans per Delivery]]/Master[[#This Row],[Garment Inventory]]), 0)</f>
        <v>0</v>
      </c>
      <c r="Y1163" s="62"/>
      <c r="Z1163" s="62"/>
      <c r="AA1163" s="53">
        <v>88.967500000000001</v>
      </c>
      <c r="AB1163" s="53">
        <v>95.682500000000005</v>
      </c>
      <c r="AC1163" s="53">
        <v>74.618994082840231</v>
      </c>
      <c r="AD1163" s="53">
        <v>92.976390532544372</v>
      </c>
      <c r="AE1163" s="53" t="str">
        <f>_xlfn.XLOOKUP(Master[[#This Row],[cu_id]],'[1]Customer Revenue'!$Q:$Q,'[1]Customer Revenue'!$K:$K, "None")</f>
        <v>None</v>
      </c>
      <c r="AF1163" s="53" t="str">
        <f>_xlfn.XLOOKUP(Master[[#This Row],[cu_id]],'[1]Customer Revenue'!$Q:$Q,'[1]Customer Revenue'!$L:$L, "None")</f>
        <v>None</v>
      </c>
      <c r="AG1163" s="53">
        <v>79.139142011834309</v>
      </c>
      <c r="AH1163" s="53">
        <v>91.901627218934891</v>
      </c>
      <c r="AI1163" s="53">
        <v>92.325000000000003</v>
      </c>
      <c r="AJ1163" s="53">
        <v>83.797692307692301</v>
      </c>
      <c r="AK1163" s="53" t="str">
        <f>_xlfn.XLOOKUP(Master[[#This Row],[cu_id]],'[1]Customer Revenue'!$Q:$Q,'[1]Customer Revenue'!$I:$I, "None")</f>
        <v>None</v>
      </c>
      <c r="AL1163" s="53">
        <v>85.5203846153846</v>
      </c>
      <c r="AM1163" s="61" t="s">
        <v>36</v>
      </c>
      <c r="AN1163" s="60" t="s">
        <v>36</v>
      </c>
      <c r="AO1163" s="60" t="s">
        <v>36</v>
      </c>
      <c r="AP1163" s="60" t="s">
        <v>36</v>
      </c>
      <c r="AQ1163" s="58" t="s">
        <v>0</v>
      </c>
      <c r="AR1163" s="58"/>
      <c r="AS1163" s="58"/>
      <c r="AT1163" s="52">
        <v>0</v>
      </c>
      <c r="AU1163" s="52" t="e">
        <f>IF(Master[[#This Row],[RSP StopTime override]] &lt;&gt; "",Master[[#This Row],[RSP StopTime override]],IF(Master[[#This Row],[Avg stop time helper]] &lt;&gt; 0, Master[[#This Row],[Avg stop time helper]],Average_Stop_Time))</f>
        <v>#DIV/0!</v>
      </c>
      <c r="AV1163" s="21"/>
      <c r="AW1163" s="20">
        <f>Master[[#This Row],[RSP StopTime override]]-Master[[#This Row],[Avg stop time helper]]</f>
        <v>0</v>
      </c>
    </row>
    <row r="1164" spans="1:49" x14ac:dyDescent="0.3">
      <c r="A1164" s="66" t="s">
        <v>5169</v>
      </c>
      <c r="B1164" s="58">
        <v>56</v>
      </c>
      <c r="C1164" s="58" t="s">
        <v>15</v>
      </c>
      <c r="D1164" s="65">
        <v>99161</v>
      </c>
      <c r="E1164" s="65" t="s">
        <v>1154</v>
      </c>
      <c r="F1164" s="65" t="s">
        <v>1153</v>
      </c>
      <c r="G1164" s="65" t="s">
        <v>1152</v>
      </c>
      <c r="H1164" s="65" t="s">
        <v>7</v>
      </c>
      <c r="I1164" s="65" t="s">
        <v>1084</v>
      </c>
      <c r="J1164" s="65" t="s">
        <v>5</v>
      </c>
      <c r="K1164" s="65" t="s">
        <v>1088</v>
      </c>
      <c r="L1164" s="64" t="s">
        <v>67</v>
      </c>
      <c r="M1164" s="58" t="s">
        <v>3</v>
      </c>
      <c r="N1164" s="58" t="s">
        <v>2</v>
      </c>
      <c r="O1164" s="58">
        <v>17</v>
      </c>
      <c r="P1164" s="58">
        <v>0</v>
      </c>
      <c r="Q1164" s="58">
        <v>0</v>
      </c>
      <c r="R1164" s="58">
        <v>0</v>
      </c>
      <c r="S1164" s="58">
        <v>0</v>
      </c>
      <c r="T1164" s="58">
        <v>17</v>
      </c>
      <c r="U1164" s="58">
        <v>2</v>
      </c>
      <c r="V1164" s="62"/>
      <c r="W1164" s="62"/>
      <c r="X1164" s="63">
        <f>IFERROR(1 -(Master[[#This Row],[Avg Garment Scans per Delivery]]/Master[[#This Row],[Garment Inventory]]), 0)</f>
        <v>0</v>
      </c>
      <c r="Y1164" s="62"/>
      <c r="Z1164" s="62"/>
      <c r="AA1164" s="53">
        <v>399.27</v>
      </c>
      <c r="AB1164" s="53">
        <v>399.27</v>
      </c>
      <c r="AC1164" s="53">
        <v>33</v>
      </c>
      <c r="AD1164" s="53">
        <v>71.489999999999995</v>
      </c>
      <c r="AE1164" s="53" t="str">
        <f>_xlfn.XLOOKUP(Master[[#This Row],[cu_id]],'[1]Customer Revenue'!$Q:$Q,'[1]Customer Revenue'!$K:$K, "None")</f>
        <v>None</v>
      </c>
      <c r="AF1164" s="53" t="str">
        <f>_xlfn.XLOOKUP(Master[[#This Row],[cu_id]],'[1]Customer Revenue'!$Q:$Q,'[1]Customer Revenue'!$L:$L, "None")</f>
        <v>None</v>
      </c>
      <c r="AG1164" s="53">
        <v>399.27</v>
      </c>
      <c r="AH1164" s="53">
        <v>399.27</v>
      </c>
      <c r="AI1164" s="53">
        <v>399.27</v>
      </c>
      <c r="AJ1164" s="53">
        <v>52.244999999999997</v>
      </c>
      <c r="AK1164" s="53" t="str">
        <f>_xlfn.XLOOKUP(Master[[#This Row],[cu_id]],'[1]Customer Revenue'!$Q:$Q,'[1]Customer Revenue'!$I:$I, "None")</f>
        <v>None</v>
      </c>
      <c r="AL1164" s="53">
        <v>399.27</v>
      </c>
      <c r="AM1164" s="61">
        <v>0.29166666666666669</v>
      </c>
      <c r="AN1164" s="60">
        <v>0.70833333333333337</v>
      </c>
      <c r="AO1164" s="60" t="s">
        <v>36</v>
      </c>
      <c r="AP1164" s="60" t="s">
        <v>36</v>
      </c>
      <c r="AQ1164" s="58" t="s">
        <v>0</v>
      </c>
      <c r="AR1164" s="58"/>
      <c r="AS1164" s="58"/>
      <c r="AT1164" s="52">
        <v>0</v>
      </c>
      <c r="AU1164" s="52" t="e">
        <f>IF(Master[[#This Row],[RSP StopTime override]] &lt;&gt; "",Master[[#This Row],[RSP StopTime override]],IF(Master[[#This Row],[Avg stop time helper]] &lt;&gt; 0, Master[[#This Row],[Avg stop time helper]],Average_Stop_Time))</f>
        <v>#DIV/0!</v>
      </c>
      <c r="AV1164" s="21"/>
      <c r="AW1164" s="20">
        <f>Master[[#This Row],[RSP StopTime override]]-Master[[#This Row],[Avg stop time helper]]</f>
        <v>0</v>
      </c>
    </row>
    <row r="1165" spans="1:49" x14ac:dyDescent="0.3">
      <c r="A1165" s="66" t="s">
        <v>4032</v>
      </c>
      <c r="B1165" s="58">
        <v>6</v>
      </c>
      <c r="C1165" s="58" t="s">
        <v>15</v>
      </c>
      <c r="D1165" s="65">
        <v>99161</v>
      </c>
      <c r="E1165" s="65" t="s">
        <v>3228</v>
      </c>
      <c r="F1165" s="65" t="s">
        <v>3758</v>
      </c>
      <c r="G1165" s="65" t="s">
        <v>3227</v>
      </c>
      <c r="H1165" s="65" t="s">
        <v>7</v>
      </c>
      <c r="I1165" s="65" t="s">
        <v>3226</v>
      </c>
      <c r="J1165" s="65" t="s">
        <v>5</v>
      </c>
      <c r="K1165" s="65" t="s">
        <v>38</v>
      </c>
      <c r="L1165" s="64" t="s">
        <v>67</v>
      </c>
      <c r="M1165" s="58" t="s">
        <v>3</v>
      </c>
      <c r="N1165" s="58" t="s">
        <v>2</v>
      </c>
      <c r="O1165" s="58">
        <v>1</v>
      </c>
      <c r="P1165" s="58">
        <v>0</v>
      </c>
      <c r="Q1165" s="58">
        <v>0</v>
      </c>
      <c r="R1165" s="58">
        <v>0</v>
      </c>
      <c r="S1165" s="58">
        <v>0</v>
      </c>
      <c r="T1165" s="58">
        <v>1</v>
      </c>
      <c r="U1165" s="58">
        <v>1</v>
      </c>
      <c r="V1165" s="62"/>
      <c r="W1165" s="62"/>
      <c r="X1165" s="63">
        <f>IFERROR(1 -(Master[[#This Row],[Avg Garment Scans per Delivery]]/Master[[#This Row],[Garment Inventory]]), 0)</f>
        <v>0</v>
      </c>
      <c r="Y1165" s="62"/>
      <c r="Z1165" s="62"/>
      <c r="AA1165" s="53"/>
      <c r="AB1165" s="53"/>
      <c r="AC1165" s="53"/>
      <c r="AD1165" s="53"/>
      <c r="AE1165" s="53" t="str">
        <f>_xlfn.XLOOKUP(Master[[#This Row],[cu_id]],'[1]Customer Revenue'!$Q:$Q,'[1]Customer Revenue'!$K:$K, "0")</f>
        <v>0</v>
      </c>
      <c r="AF1165" s="53" t="str">
        <f>_xlfn.XLOOKUP(Master[[#This Row],[cu_id]],'[1]Customer Revenue'!$Q:$Q,'[1]Customer Revenue'!$L:$L, "0")</f>
        <v>0</v>
      </c>
      <c r="AG1165" s="53"/>
      <c r="AH1165" s="53"/>
      <c r="AI1165" s="53"/>
      <c r="AJ1165" s="53"/>
      <c r="AK1165" s="53" t="str">
        <f>_xlfn.XLOOKUP(Master[[#This Row],[cu_id]],'[1]Customer Revenue'!$Q:$Q,'[1]Customer Revenue'!$I:$I, "0")</f>
        <v>0</v>
      </c>
      <c r="AL1165" s="53"/>
      <c r="AM1165" s="61">
        <v>0.25</v>
      </c>
      <c r="AN1165" s="60">
        <v>0.5</v>
      </c>
      <c r="AO1165" s="60" t="s">
        <v>36</v>
      </c>
      <c r="AP1165" s="60" t="s">
        <v>36</v>
      </c>
      <c r="AQ1165" s="58" t="s">
        <v>0</v>
      </c>
      <c r="AR1165" s="58"/>
      <c r="AS1165" s="58"/>
      <c r="AT1165" s="52">
        <v>0</v>
      </c>
      <c r="AU1165" s="52" t="e">
        <f>IF(Master[[#This Row],[RSP StopTime override]] &lt;&gt; "",Master[[#This Row],[RSP StopTime override]],IF(Master[[#This Row],[Avg stop time helper]] &lt;&gt; 0, Master[[#This Row],[Avg stop time helper]],Average_Stop_Time))</f>
        <v>#DIV/0!</v>
      </c>
      <c r="AV1165" s="21"/>
      <c r="AW1165" s="20">
        <f>Master[[#This Row],[RSP StopTime override]]-Master[[#This Row],[Avg stop time helper]]</f>
        <v>0</v>
      </c>
    </row>
    <row r="1166" spans="1:49" x14ac:dyDescent="0.3">
      <c r="A1166" s="66" t="s">
        <v>5170</v>
      </c>
      <c r="B1166" s="58">
        <v>56</v>
      </c>
      <c r="C1166" s="58" t="s">
        <v>15</v>
      </c>
      <c r="D1166" s="65">
        <v>499014</v>
      </c>
      <c r="E1166" s="65" t="s">
        <v>803</v>
      </c>
      <c r="F1166" s="65" t="s">
        <v>1149</v>
      </c>
      <c r="G1166" s="65" t="s">
        <v>1148</v>
      </c>
      <c r="H1166" s="65" t="s">
        <v>32</v>
      </c>
      <c r="I1166" s="65" t="s">
        <v>1129</v>
      </c>
      <c r="J1166" s="65" t="s">
        <v>5</v>
      </c>
      <c r="K1166" s="65" t="s">
        <v>1088</v>
      </c>
      <c r="L1166" s="64" t="s">
        <v>194</v>
      </c>
      <c r="M1166" s="58" t="s">
        <v>193</v>
      </c>
      <c r="N1166" s="58" t="s">
        <v>2</v>
      </c>
      <c r="O1166" s="58">
        <v>35</v>
      </c>
      <c r="P1166" s="58">
        <v>0</v>
      </c>
      <c r="Q1166" s="58">
        <v>0</v>
      </c>
      <c r="R1166" s="58">
        <v>0</v>
      </c>
      <c r="S1166" s="58">
        <v>0</v>
      </c>
      <c r="T1166" s="58">
        <v>35</v>
      </c>
      <c r="U1166" s="58">
        <v>34</v>
      </c>
      <c r="V1166" s="62"/>
      <c r="W1166" s="62">
        <v>2</v>
      </c>
      <c r="X1166" s="63">
        <f>IFERROR(1 -(Master[[#This Row],[Avg Garment Scans per Delivery]]/Master[[#This Row],[Garment Inventory]]), 0)</f>
        <v>0</v>
      </c>
      <c r="Y1166" s="62"/>
      <c r="Z1166" s="62"/>
      <c r="AA1166" s="53">
        <v>29.33</v>
      </c>
      <c r="AB1166" s="53">
        <v>29.33</v>
      </c>
      <c r="AC1166" s="53">
        <v>30.375</v>
      </c>
      <c r="AD1166" s="53">
        <v>34.44</v>
      </c>
      <c r="AE1166" s="53" t="str">
        <f>_xlfn.XLOOKUP(Master[[#This Row],[cu_id]],'[1]Customer Revenue'!$Q:$Q,'[1]Customer Revenue'!$K:$K, "None")</f>
        <v>None</v>
      </c>
      <c r="AF1166" s="53" t="str">
        <f>_xlfn.XLOOKUP(Master[[#This Row],[cu_id]],'[1]Customer Revenue'!$Q:$Q,'[1]Customer Revenue'!$L:$L, "None")</f>
        <v>None</v>
      </c>
      <c r="AG1166" s="53">
        <v>23.213877551020403</v>
      </c>
      <c r="AH1166" s="53">
        <v>39.083265306122442</v>
      </c>
      <c r="AI1166" s="53">
        <v>29.33</v>
      </c>
      <c r="AJ1166" s="53">
        <v>32.407499999999999</v>
      </c>
      <c r="AK1166" s="53" t="str">
        <f>_xlfn.XLOOKUP(Master[[#This Row],[cu_id]],'[1]Customer Revenue'!$Q:$Q,'[1]Customer Revenue'!$I:$I, "None")</f>
        <v>None</v>
      </c>
      <c r="AL1166" s="53">
        <v>31.148571428571422</v>
      </c>
      <c r="AM1166" s="61">
        <v>0.375</v>
      </c>
      <c r="AN1166" s="60">
        <v>0.70833333333333337</v>
      </c>
      <c r="AO1166" s="60" t="s">
        <v>36</v>
      </c>
      <c r="AP1166" s="60" t="s">
        <v>36</v>
      </c>
      <c r="AQ1166" s="58" t="s">
        <v>0</v>
      </c>
      <c r="AR1166" s="58"/>
      <c r="AS1166" s="58"/>
      <c r="AT1166" s="52">
        <v>0</v>
      </c>
      <c r="AU1166" s="52" t="e">
        <f>IF(Master[[#This Row],[RSP StopTime override]] &lt;&gt; "",Master[[#This Row],[RSP StopTime override]],IF(Master[[#This Row],[Avg stop time helper]] &lt;&gt; 0, Master[[#This Row],[Avg stop time helper]],Average_Stop_Time))</f>
        <v>#DIV/0!</v>
      </c>
      <c r="AV1166" s="21"/>
      <c r="AW1166" s="20">
        <f>Master[[#This Row],[RSP StopTime override]]-Master[[#This Row],[Avg stop time helper]]</f>
        <v>0</v>
      </c>
    </row>
    <row r="1167" spans="1:49" x14ac:dyDescent="0.3">
      <c r="A1167" s="66" t="s">
        <v>5171</v>
      </c>
      <c r="B1167" s="58">
        <v>56</v>
      </c>
      <c r="C1167" s="58" t="s">
        <v>15</v>
      </c>
      <c r="D1167" s="65">
        <v>513937</v>
      </c>
      <c r="E1167" s="65" t="s">
        <v>42</v>
      </c>
      <c r="F1167" s="65" t="s">
        <v>1147</v>
      </c>
      <c r="G1167" s="65" t="s">
        <v>1146</v>
      </c>
      <c r="H1167" s="65" t="s">
        <v>32</v>
      </c>
      <c r="I1167" s="65" t="s">
        <v>1129</v>
      </c>
      <c r="J1167" s="65" t="s">
        <v>5</v>
      </c>
      <c r="K1167" s="65" t="s">
        <v>1088</v>
      </c>
      <c r="L1167" s="64" t="s">
        <v>141</v>
      </c>
      <c r="M1167" s="58" t="s">
        <v>140</v>
      </c>
      <c r="N1167" s="58" t="s">
        <v>2</v>
      </c>
      <c r="O1167" s="58">
        <v>40</v>
      </c>
      <c r="P1167" s="58">
        <v>0</v>
      </c>
      <c r="Q1167" s="58">
        <v>0</v>
      </c>
      <c r="R1167" s="58">
        <v>0</v>
      </c>
      <c r="S1167" s="58">
        <v>0</v>
      </c>
      <c r="T1167" s="58">
        <v>40</v>
      </c>
      <c r="U1167" s="58">
        <v>23</v>
      </c>
      <c r="V1167" s="62"/>
      <c r="W1167" s="62"/>
      <c r="X1167" s="63">
        <f>IFERROR(1 -(Master[[#This Row],[Avg Garment Scans per Delivery]]/Master[[#This Row],[Garment Inventory]]), 0)</f>
        <v>0</v>
      </c>
      <c r="Y1167" s="62"/>
      <c r="Z1167" s="62"/>
      <c r="AA1167" s="53">
        <v>21.119444444444444</v>
      </c>
      <c r="AB1167" s="53">
        <v>54.910555555555561</v>
      </c>
      <c r="AC1167" s="53">
        <v>38.68333333333333</v>
      </c>
      <c r="AD1167" s="53">
        <v>42.336666666666666</v>
      </c>
      <c r="AE1167" s="53" t="str">
        <f>_xlfn.XLOOKUP(Master[[#This Row],[cu_id]],'[1]Customer Revenue'!$Q:$Q,'[1]Customer Revenue'!$K:$K, "None")</f>
        <v>None</v>
      </c>
      <c r="AF1167" s="53" t="str">
        <f>_xlfn.XLOOKUP(Master[[#This Row],[cu_id]],'[1]Customer Revenue'!$Q:$Q,'[1]Customer Revenue'!$L:$L, "None")</f>
        <v>None</v>
      </c>
      <c r="AG1167" s="53">
        <v>27.941097364174272</v>
      </c>
      <c r="AH1167" s="53">
        <v>47.611629908552985</v>
      </c>
      <c r="AI1167" s="53">
        <v>38.015000000000001</v>
      </c>
      <c r="AJ1167" s="53">
        <v>40.51</v>
      </c>
      <c r="AK1167" s="53" t="str">
        <f>_xlfn.XLOOKUP(Master[[#This Row],[cu_id]],'[1]Customer Revenue'!$Q:$Q,'[1]Customer Revenue'!$I:$I, "None")</f>
        <v>None</v>
      </c>
      <c r="AL1167" s="53">
        <v>37.776363636363627</v>
      </c>
      <c r="AM1167" s="61">
        <v>0.39583333333333331</v>
      </c>
      <c r="AN1167" s="60">
        <v>0.70833333333333337</v>
      </c>
      <c r="AO1167" s="60" t="s">
        <v>36</v>
      </c>
      <c r="AP1167" s="60" t="s">
        <v>36</v>
      </c>
      <c r="AQ1167" s="58" t="s">
        <v>0</v>
      </c>
      <c r="AR1167" s="58"/>
      <c r="AS1167" s="58"/>
      <c r="AT1167" s="52">
        <v>0</v>
      </c>
      <c r="AU1167" s="52" t="e">
        <f>IF(Master[[#This Row],[RSP StopTime override]] &lt;&gt; "",Master[[#This Row],[RSP StopTime override]],IF(Master[[#This Row],[Avg stop time helper]] &lt;&gt; 0, Master[[#This Row],[Avg stop time helper]],Average_Stop_Time))</f>
        <v>#DIV/0!</v>
      </c>
      <c r="AV1167" s="21"/>
      <c r="AW1167" s="20">
        <f>Master[[#This Row],[RSP StopTime override]]-Master[[#This Row],[Avg stop time helper]]</f>
        <v>0</v>
      </c>
    </row>
    <row r="1168" spans="1:49" x14ac:dyDescent="0.3">
      <c r="A1168" s="66" t="s">
        <v>5172</v>
      </c>
      <c r="B1168" s="58">
        <v>56</v>
      </c>
      <c r="C1168" s="58" t="s">
        <v>15</v>
      </c>
      <c r="D1168" s="65">
        <v>519821</v>
      </c>
      <c r="E1168" s="65" t="s">
        <v>42</v>
      </c>
      <c r="F1168" s="65" t="s">
        <v>1145</v>
      </c>
      <c r="G1168" s="65" t="s">
        <v>1144</v>
      </c>
      <c r="H1168" s="65" t="s">
        <v>32</v>
      </c>
      <c r="I1168" s="65" t="s">
        <v>1126</v>
      </c>
      <c r="J1168" s="65" t="s">
        <v>5</v>
      </c>
      <c r="K1168" s="65" t="s">
        <v>1115</v>
      </c>
      <c r="L1168" s="64" t="s">
        <v>67</v>
      </c>
      <c r="M1168" s="58" t="s">
        <v>3</v>
      </c>
      <c r="N1168" s="58" t="s">
        <v>2</v>
      </c>
      <c r="O1168" s="58">
        <v>125</v>
      </c>
      <c r="P1168" s="58">
        <v>0</v>
      </c>
      <c r="Q1168" s="58">
        <v>0</v>
      </c>
      <c r="R1168" s="58">
        <v>0</v>
      </c>
      <c r="S1168" s="58">
        <v>0</v>
      </c>
      <c r="T1168" s="58">
        <v>125</v>
      </c>
      <c r="U1168" s="58">
        <v>52</v>
      </c>
      <c r="V1168" s="62"/>
      <c r="W1168" s="62">
        <v>16</v>
      </c>
      <c r="X1168" s="63">
        <f>IFERROR(1 -(Master[[#This Row],[Avg Garment Scans per Delivery]]/Master[[#This Row],[Garment Inventory]]), 0)</f>
        <v>0</v>
      </c>
      <c r="Y1168" s="62"/>
      <c r="Z1168" s="62"/>
      <c r="AA1168" s="53">
        <v>95.625111111111153</v>
      </c>
      <c r="AB1168" s="53">
        <v>169.1828888888889</v>
      </c>
      <c r="AC1168" s="53">
        <v>129.20627218934914</v>
      </c>
      <c r="AD1168" s="53">
        <v>138.08295857988168</v>
      </c>
      <c r="AE1168" s="53" t="str">
        <f>_xlfn.XLOOKUP(Master[[#This Row],[cu_id]],'[1]Customer Revenue'!$Q:$Q,'[1]Customer Revenue'!$K:$K, "None")</f>
        <v>None</v>
      </c>
      <c r="AF1168" s="53" t="str">
        <f>_xlfn.XLOOKUP(Master[[#This Row],[cu_id]],'[1]Customer Revenue'!$Q:$Q,'[1]Customer Revenue'!$L:$L, "None")</f>
        <v>None</v>
      </c>
      <c r="AG1168" s="53">
        <v>87.587167054332852</v>
      </c>
      <c r="AH1168" s="53">
        <v>191.69718077175406</v>
      </c>
      <c r="AI1168" s="53">
        <v>132.40400000000002</v>
      </c>
      <c r="AJ1168" s="53">
        <v>133.64461538461541</v>
      </c>
      <c r="AK1168" s="53" t="str">
        <f>_xlfn.XLOOKUP(Master[[#This Row],[cu_id]],'[1]Customer Revenue'!$Q:$Q,'[1]Customer Revenue'!$I:$I, "None")</f>
        <v>None</v>
      </c>
      <c r="AL1168" s="53">
        <v>139.64217391304345</v>
      </c>
      <c r="AM1168" s="61">
        <v>0.375</v>
      </c>
      <c r="AN1168" s="60">
        <v>0.70833333333333337</v>
      </c>
      <c r="AO1168" s="60" t="s">
        <v>36</v>
      </c>
      <c r="AP1168" s="60" t="s">
        <v>36</v>
      </c>
      <c r="AQ1168" s="58" t="s">
        <v>0</v>
      </c>
      <c r="AR1168" s="58"/>
      <c r="AS1168" s="58"/>
      <c r="AT1168" s="52">
        <v>0</v>
      </c>
      <c r="AU1168" s="52" t="e">
        <f>IF(Master[[#This Row],[RSP StopTime override]] &lt;&gt; "",Master[[#This Row],[RSP StopTime override]],IF(Master[[#This Row],[Avg stop time helper]] &lt;&gt; 0, Master[[#This Row],[Avg stop time helper]],Average_Stop_Time))</f>
        <v>#DIV/0!</v>
      </c>
      <c r="AV1168" s="21"/>
      <c r="AW1168" s="20">
        <f>Master[[#This Row],[RSP StopTime override]]-Master[[#This Row],[Avg stop time helper]]</f>
        <v>0</v>
      </c>
    </row>
    <row r="1169" spans="1:49" x14ac:dyDescent="0.3">
      <c r="A1169" s="66" t="s">
        <v>5173</v>
      </c>
      <c r="B1169" s="58">
        <v>56</v>
      </c>
      <c r="C1169" s="58" t="s">
        <v>15</v>
      </c>
      <c r="D1169" s="65">
        <v>520889</v>
      </c>
      <c r="E1169" s="65" t="s">
        <v>42</v>
      </c>
      <c r="F1169" s="65" t="s">
        <v>1143</v>
      </c>
      <c r="G1169" s="65" t="s">
        <v>1141</v>
      </c>
      <c r="H1169" s="65" t="s">
        <v>1140</v>
      </c>
      <c r="I1169" s="65" t="s">
        <v>1126</v>
      </c>
      <c r="J1169" s="65" t="s">
        <v>5</v>
      </c>
      <c r="K1169" s="65" t="s">
        <v>1115</v>
      </c>
      <c r="L1169" s="64" t="s">
        <v>67</v>
      </c>
      <c r="M1169" s="58" t="s">
        <v>3</v>
      </c>
      <c r="N1169" s="58" t="s">
        <v>2</v>
      </c>
      <c r="O1169" s="58">
        <v>95</v>
      </c>
      <c r="P1169" s="58">
        <v>0</v>
      </c>
      <c r="Q1169" s="58">
        <v>0</v>
      </c>
      <c r="R1169" s="58">
        <v>0</v>
      </c>
      <c r="S1169" s="58">
        <v>0</v>
      </c>
      <c r="T1169" s="58">
        <v>95</v>
      </c>
      <c r="U1169" s="58">
        <v>90</v>
      </c>
      <c r="V1169" s="62"/>
      <c r="W1169" s="62"/>
      <c r="X1169" s="63">
        <f>IFERROR(1 -(Master[[#This Row],[Avg Garment Scans per Delivery]]/Master[[#This Row],[Garment Inventory]]), 0)</f>
        <v>0</v>
      </c>
      <c r="Y1169" s="62"/>
      <c r="Z1169" s="62"/>
      <c r="AA1169" s="53">
        <v>227.05917355371901</v>
      </c>
      <c r="AB1169" s="53">
        <v>342.60628099173562</v>
      </c>
      <c r="AC1169" s="53">
        <v>281.36688888888881</v>
      </c>
      <c r="AD1169" s="53">
        <v>1160.6077777777778</v>
      </c>
      <c r="AE1169" s="53" t="str">
        <f>_xlfn.XLOOKUP(Master[[#This Row],[cu_id]],'[1]Customer Revenue'!$Q:$Q,'[1]Customer Revenue'!$K:$K, "None")</f>
        <v>None</v>
      </c>
      <c r="AF1169" s="53" t="str">
        <f>_xlfn.XLOOKUP(Master[[#This Row],[cu_id]],'[1]Customer Revenue'!$Q:$Q,'[1]Customer Revenue'!$L:$L, "None")</f>
        <v>None</v>
      </c>
      <c r="AG1169" s="53">
        <v>212.33923076923085</v>
      </c>
      <c r="AH1169" s="53">
        <v>527.98076923076928</v>
      </c>
      <c r="AI1169" s="53">
        <v>284.83272727272731</v>
      </c>
      <c r="AJ1169" s="53">
        <v>720.98733333333325</v>
      </c>
      <c r="AK1169" s="53" t="str">
        <f>_xlfn.XLOOKUP(Master[[#This Row],[cu_id]],'[1]Customer Revenue'!$Q:$Q,'[1]Customer Revenue'!$I:$I, "None")</f>
        <v>None</v>
      </c>
      <c r="AL1169" s="53">
        <v>370.16000000000008</v>
      </c>
      <c r="AM1169" s="61">
        <v>0.29166666666666669</v>
      </c>
      <c r="AN1169" s="60">
        <v>0.70833333333333337</v>
      </c>
      <c r="AO1169" s="60" t="s">
        <v>36</v>
      </c>
      <c r="AP1169" s="60" t="s">
        <v>36</v>
      </c>
      <c r="AQ1169" s="58" t="s">
        <v>0</v>
      </c>
      <c r="AR1169" s="58"/>
      <c r="AS1169" s="58"/>
      <c r="AT1169" s="52">
        <v>0</v>
      </c>
      <c r="AU1169" s="52" t="e">
        <f>IF(Master[[#This Row],[RSP StopTime override]] &lt;&gt; "",Master[[#This Row],[RSP StopTime override]],IF(Master[[#This Row],[Avg stop time helper]] &lt;&gt; 0, Master[[#This Row],[Avg stop time helper]],Average_Stop_Time))</f>
        <v>#DIV/0!</v>
      </c>
      <c r="AV1169" s="21"/>
      <c r="AW1169" s="20">
        <f>Master[[#This Row],[RSP StopTime override]]-Master[[#This Row],[Avg stop time helper]]</f>
        <v>0</v>
      </c>
    </row>
    <row r="1170" spans="1:49" x14ac:dyDescent="0.3">
      <c r="A1170" s="66" t="s">
        <v>5174</v>
      </c>
      <c r="B1170" s="58">
        <v>56</v>
      </c>
      <c r="C1170" s="58" t="s">
        <v>15</v>
      </c>
      <c r="D1170" s="65">
        <v>520889</v>
      </c>
      <c r="E1170" s="65" t="s">
        <v>686</v>
      </c>
      <c r="F1170" s="65" t="s">
        <v>1142</v>
      </c>
      <c r="G1170" s="65" t="s">
        <v>1141</v>
      </c>
      <c r="H1170" s="65" t="s">
        <v>1140</v>
      </c>
      <c r="I1170" s="65" t="s">
        <v>1126</v>
      </c>
      <c r="J1170" s="65" t="s">
        <v>5</v>
      </c>
      <c r="K1170" s="65" t="s">
        <v>1115</v>
      </c>
      <c r="L1170" s="64" t="s">
        <v>145</v>
      </c>
      <c r="M1170" s="58" t="s">
        <v>123</v>
      </c>
      <c r="N1170" s="58" t="s">
        <v>144</v>
      </c>
      <c r="O1170" s="58">
        <v>96</v>
      </c>
      <c r="P1170" s="58">
        <v>0</v>
      </c>
      <c r="Q1170" s="58">
        <v>0</v>
      </c>
      <c r="R1170" s="58">
        <v>0</v>
      </c>
      <c r="S1170" s="58">
        <v>0</v>
      </c>
      <c r="T1170" s="58">
        <v>1</v>
      </c>
      <c r="U1170" s="58">
        <v>3</v>
      </c>
      <c r="V1170" s="62"/>
      <c r="W1170" s="62"/>
      <c r="X1170" s="63">
        <f>IFERROR(1 -(Master[[#This Row],[Avg Garment Scans per Delivery]]/Master[[#This Row],[Garment Inventory]]), 0)</f>
        <v>0</v>
      </c>
      <c r="Y1170" s="62"/>
      <c r="Z1170" s="62"/>
      <c r="AA1170" s="53">
        <v>47.172777777777782</v>
      </c>
      <c r="AB1170" s="53">
        <v>137.49722222222223</v>
      </c>
      <c r="AC1170" s="53">
        <v>138.17541666666665</v>
      </c>
      <c r="AD1170" s="53">
        <v>783.12791666666681</v>
      </c>
      <c r="AE1170" s="53" t="str">
        <f>_xlfn.XLOOKUP(Master[[#This Row],[cu_id]],'[1]Customer Revenue'!$Q:$Q,'[1]Customer Revenue'!$K:$K, "None")</f>
        <v>None</v>
      </c>
      <c r="AF1170" s="53" t="str">
        <f>_xlfn.XLOOKUP(Master[[#This Row],[cu_id]],'[1]Customer Revenue'!$Q:$Q,'[1]Customer Revenue'!$L:$L, "None")</f>
        <v>None</v>
      </c>
      <c r="AG1170" s="53">
        <v>47.172777777777782</v>
      </c>
      <c r="AH1170" s="53">
        <v>137.49722222222223</v>
      </c>
      <c r="AI1170" s="53">
        <v>92.335000000000008</v>
      </c>
      <c r="AJ1170" s="53">
        <v>460.6516666666667</v>
      </c>
      <c r="AK1170" s="53" t="str">
        <f>_xlfn.XLOOKUP(Master[[#This Row],[cu_id]],'[1]Customer Revenue'!$Q:$Q,'[1]Customer Revenue'!$I:$I, "None")</f>
        <v>None</v>
      </c>
      <c r="AL1170" s="53">
        <v>92.335000000000008</v>
      </c>
      <c r="AM1170" s="61">
        <v>0.29166666666666669</v>
      </c>
      <c r="AN1170" s="60">
        <v>0.70833333333333337</v>
      </c>
      <c r="AO1170" s="60" t="s">
        <v>36</v>
      </c>
      <c r="AP1170" s="60" t="s">
        <v>36</v>
      </c>
      <c r="AQ1170" s="58" t="s">
        <v>0</v>
      </c>
      <c r="AR1170" s="58"/>
      <c r="AS1170" s="58"/>
      <c r="AT1170" s="52">
        <v>0</v>
      </c>
      <c r="AU1170" s="52" t="e">
        <f>IF(Master[[#This Row],[RSP StopTime override]] &lt;&gt; "",Master[[#This Row],[RSP StopTime override]],IF(Master[[#This Row],[Avg stop time helper]] &lt;&gt; 0, Master[[#This Row],[Avg stop time helper]],Average_Stop_Time))</f>
        <v>#DIV/0!</v>
      </c>
      <c r="AV1170" s="21"/>
      <c r="AW1170" s="20">
        <f>Master[[#This Row],[RSP StopTime override]]-Master[[#This Row],[Avg stop time helper]]</f>
        <v>0</v>
      </c>
    </row>
    <row r="1171" spans="1:49" x14ac:dyDescent="0.3">
      <c r="A1171" s="66" t="s">
        <v>5175</v>
      </c>
      <c r="B1171" s="58">
        <v>56</v>
      </c>
      <c r="C1171" s="58" t="s">
        <v>15</v>
      </c>
      <c r="D1171" s="65">
        <v>522135</v>
      </c>
      <c r="E1171" s="65" t="s">
        <v>42</v>
      </c>
      <c r="F1171" s="65" t="s">
        <v>1139</v>
      </c>
      <c r="G1171" s="65" t="s">
        <v>1138</v>
      </c>
      <c r="H1171" s="65" t="s">
        <v>32</v>
      </c>
      <c r="I1171" s="65" t="s">
        <v>1129</v>
      </c>
      <c r="J1171" s="65" t="s">
        <v>5</v>
      </c>
      <c r="K1171" s="65" t="s">
        <v>1088</v>
      </c>
      <c r="L1171" s="64" t="s">
        <v>145</v>
      </c>
      <c r="M1171" s="58" t="s">
        <v>123</v>
      </c>
      <c r="N1171" s="58" t="s">
        <v>144</v>
      </c>
      <c r="O1171" s="58">
        <v>30</v>
      </c>
      <c r="P1171" s="58">
        <v>0</v>
      </c>
      <c r="Q1171" s="58">
        <v>0</v>
      </c>
      <c r="R1171" s="58">
        <v>0</v>
      </c>
      <c r="S1171" s="58">
        <v>0</v>
      </c>
      <c r="T1171" s="58">
        <v>30</v>
      </c>
      <c r="U1171" s="58">
        <v>2</v>
      </c>
      <c r="V1171" s="62"/>
      <c r="W1171" s="62"/>
      <c r="X1171" s="63">
        <f>IFERROR(1 -(Master[[#This Row],[Avg Garment Scans per Delivery]]/Master[[#This Row],[Garment Inventory]]), 0)</f>
        <v>0</v>
      </c>
      <c r="Y1171" s="62"/>
      <c r="Z1171" s="62"/>
      <c r="AA1171" s="53"/>
      <c r="AB1171" s="53"/>
      <c r="AC1171" s="53">
        <v>101.43</v>
      </c>
      <c r="AD1171" s="53">
        <v>200.7</v>
      </c>
      <c r="AE1171" s="53" t="str">
        <f>_xlfn.XLOOKUP(Master[[#This Row],[cu_id]],'[1]Customer Revenue'!$Q:$Q,'[1]Customer Revenue'!$K:$K, "None")</f>
        <v>None</v>
      </c>
      <c r="AF1171" s="53" t="str">
        <f>_xlfn.XLOOKUP(Master[[#This Row],[cu_id]],'[1]Customer Revenue'!$Q:$Q,'[1]Customer Revenue'!$L:$L, "None")</f>
        <v>None</v>
      </c>
      <c r="AG1171" s="53"/>
      <c r="AH1171" s="53"/>
      <c r="AI1171" s="53"/>
      <c r="AJ1171" s="53">
        <v>151.065</v>
      </c>
      <c r="AK1171" s="53" t="str">
        <f>_xlfn.XLOOKUP(Master[[#This Row],[cu_id]],'[1]Customer Revenue'!$Q:$Q,'[1]Customer Revenue'!$I:$I, "None")</f>
        <v>None</v>
      </c>
      <c r="AL1171" s="53"/>
      <c r="AM1171" s="61" t="s">
        <v>36</v>
      </c>
      <c r="AN1171" s="60" t="s">
        <v>36</v>
      </c>
      <c r="AO1171" s="60" t="s">
        <v>36</v>
      </c>
      <c r="AP1171" s="60" t="s">
        <v>36</v>
      </c>
      <c r="AQ1171" s="58" t="s">
        <v>0</v>
      </c>
      <c r="AR1171" s="58"/>
      <c r="AS1171" s="58"/>
      <c r="AT1171" s="52">
        <v>0</v>
      </c>
      <c r="AU1171" s="52" t="e">
        <f>IF(Master[[#This Row],[RSP StopTime override]] &lt;&gt; "",Master[[#This Row],[RSP StopTime override]],IF(Master[[#This Row],[Avg stop time helper]] &lt;&gt; 0, Master[[#This Row],[Avg stop time helper]],Average_Stop_Time))</f>
        <v>#DIV/0!</v>
      </c>
      <c r="AV1171" s="21"/>
      <c r="AW1171" s="20">
        <f>Master[[#This Row],[RSP StopTime override]]-Master[[#This Row],[Avg stop time helper]]</f>
        <v>0</v>
      </c>
    </row>
    <row r="1172" spans="1:49" x14ac:dyDescent="0.3">
      <c r="A1172" s="66" t="s">
        <v>5176</v>
      </c>
      <c r="B1172" s="58">
        <v>56</v>
      </c>
      <c r="C1172" s="58" t="s">
        <v>15</v>
      </c>
      <c r="D1172" s="65">
        <v>526659</v>
      </c>
      <c r="E1172" s="65" t="s">
        <v>42</v>
      </c>
      <c r="F1172" s="65" t="s">
        <v>1137</v>
      </c>
      <c r="G1172" s="65" t="s">
        <v>1136</v>
      </c>
      <c r="H1172" s="65" t="s">
        <v>32</v>
      </c>
      <c r="I1172" s="65" t="s">
        <v>1126</v>
      </c>
      <c r="J1172" s="65" t="s">
        <v>5</v>
      </c>
      <c r="K1172" s="65" t="s">
        <v>1115</v>
      </c>
      <c r="L1172" s="64" t="s">
        <v>67</v>
      </c>
      <c r="M1172" s="58" t="s">
        <v>3</v>
      </c>
      <c r="N1172" s="58" t="s">
        <v>2</v>
      </c>
      <c r="O1172" s="58">
        <v>115</v>
      </c>
      <c r="P1172" s="58">
        <v>0</v>
      </c>
      <c r="Q1172" s="58">
        <v>0</v>
      </c>
      <c r="R1172" s="58">
        <v>0</v>
      </c>
      <c r="S1172" s="58">
        <v>0</v>
      </c>
      <c r="T1172" s="58">
        <v>115</v>
      </c>
      <c r="U1172" s="58">
        <v>53</v>
      </c>
      <c r="V1172" s="62"/>
      <c r="W1172" s="62"/>
      <c r="X1172" s="63">
        <f>IFERROR(1 -(Master[[#This Row],[Avg Garment Scans per Delivery]]/Master[[#This Row],[Garment Inventory]]), 0)</f>
        <v>0</v>
      </c>
      <c r="Y1172" s="62"/>
      <c r="Z1172" s="62"/>
      <c r="AA1172" s="53">
        <v>224.31971400394474</v>
      </c>
      <c r="AB1172" s="53">
        <v>381.38361932938852</v>
      </c>
      <c r="AC1172" s="53">
        <v>251.62195266272195</v>
      </c>
      <c r="AD1172" s="53">
        <v>338.00420118343197</v>
      </c>
      <c r="AE1172" s="53" t="str">
        <f>_xlfn.XLOOKUP(Master[[#This Row],[cu_id]],'[1]Customer Revenue'!$Q:$Q,'[1]Customer Revenue'!$K:$K, "None")</f>
        <v>None</v>
      </c>
      <c r="AF1172" s="53" t="str">
        <f>_xlfn.XLOOKUP(Master[[#This Row],[cu_id]],'[1]Customer Revenue'!$Q:$Q,'[1]Customer Revenue'!$L:$L, "None")</f>
        <v>None</v>
      </c>
      <c r="AG1172" s="53">
        <v>223.19181544792659</v>
      </c>
      <c r="AH1172" s="53">
        <v>338.1151076289965</v>
      </c>
      <c r="AI1172" s="53">
        <v>302.85166666666663</v>
      </c>
      <c r="AJ1172" s="53">
        <v>294.81307692307695</v>
      </c>
      <c r="AK1172" s="53" t="str">
        <f>_xlfn.XLOOKUP(Master[[#This Row],[cu_id]],'[1]Customer Revenue'!$Q:$Q,'[1]Customer Revenue'!$I:$I, "None")</f>
        <v>None</v>
      </c>
      <c r="AL1172" s="53">
        <v>280.65346153846156</v>
      </c>
      <c r="AM1172" s="61">
        <v>0.41666666666666669</v>
      </c>
      <c r="AN1172" s="60">
        <v>0.70833333333333337</v>
      </c>
      <c r="AO1172" s="60" t="s">
        <v>36</v>
      </c>
      <c r="AP1172" s="60" t="s">
        <v>36</v>
      </c>
      <c r="AQ1172" s="58" t="s">
        <v>0</v>
      </c>
      <c r="AR1172" s="58"/>
      <c r="AS1172" s="58"/>
      <c r="AT1172" s="52">
        <v>0</v>
      </c>
      <c r="AU1172" s="52" t="e">
        <f>IF(Master[[#This Row],[RSP StopTime override]] &lt;&gt; "",Master[[#This Row],[RSP StopTime override]],IF(Master[[#This Row],[Avg stop time helper]] &lt;&gt; 0, Master[[#This Row],[Avg stop time helper]],Average_Stop_Time))</f>
        <v>#DIV/0!</v>
      </c>
      <c r="AV1172" s="21"/>
      <c r="AW1172" s="20">
        <f>Master[[#This Row],[RSP StopTime override]]-Master[[#This Row],[Avg stop time helper]]</f>
        <v>0</v>
      </c>
    </row>
    <row r="1173" spans="1:49" x14ac:dyDescent="0.3">
      <c r="A1173" s="66" t="s">
        <v>5177</v>
      </c>
      <c r="B1173" s="58">
        <v>56</v>
      </c>
      <c r="C1173" s="58" t="s">
        <v>15</v>
      </c>
      <c r="D1173" s="65">
        <v>527739</v>
      </c>
      <c r="E1173" s="65" t="s">
        <v>42</v>
      </c>
      <c r="F1173" s="65" t="s">
        <v>1135</v>
      </c>
      <c r="G1173" s="65" t="s">
        <v>1134</v>
      </c>
      <c r="H1173" s="65" t="s">
        <v>32</v>
      </c>
      <c r="I1173" s="65" t="s">
        <v>1129</v>
      </c>
      <c r="J1173" s="65" t="s">
        <v>5</v>
      </c>
      <c r="K1173" s="65" t="s">
        <v>1088</v>
      </c>
      <c r="L1173" s="64" t="s">
        <v>124</v>
      </c>
      <c r="M1173" s="58" t="s">
        <v>123</v>
      </c>
      <c r="N1173" s="58" t="s">
        <v>2</v>
      </c>
      <c r="O1173" s="58">
        <v>35</v>
      </c>
      <c r="P1173" s="58">
        <v>0</v>
      </c>
      <c r="Q1173" s="58">
        <v>0</v>
      </c>
      <c r="R1173" s="58">
        <v>0</v>
      </c>
      <c r="S1173" s="58">
        <v>0</v>
      </c>
      <c r="T1173" s="58">
        <v>35</v>
      </c>
      <c r="U1173" s="58">
        <v>13</v>
      </c>
      <c r="V1173" s="62"/>
      <c r="W1173" s="62"/>
      <c r="X1173" s="63">
        <f>IFERROR(1 -(Master[[#This Row],[Avg Garment Scans per Delivery]]/Master[[#This Row],[Garment Inventory]]), 0)</f>
        <v>0</v>
      </c>
      <c r="Y1173" s="62"/>
      <c r="Z1173" s="62"/>
      <c r="AA1173" s="53">
        <v>66.15625</v>
      </c>
      <c r="AB1173" s="53">
        <v>145.54375000000002</v>
      </c>
      <c r="AC1173" s="53">
        <v>158.49777777777777</v>
      </c>
      <c r="AD1173" s="53">
        <v>160.51555555555555</v>
      </c>
      <c r="AE1173" s="53" t="str">
        <f>_xlfn.XLOOKUP(Master[[#This Row],[cu_id]],'[1]Customer Revenue'!$Q:$Q,'[1]Customer Revenue'!$K:$K, "None")</f>
        <v>None</v>
      </c>
      <c r="AF1173" s="53" t="str">
        <f>_xlfn.XLOOKUP(Master[[#This Row],[cu_id]],'[1]Customer Revenue'!$Q:$Q,'[1]Customer Revenue'!$L:$L, "None")</f>
        <v>None</v>
      </c>
      <c r="AG1173" s="53">
        <v>68.383299319727897</v>
      </c>
      <c r="AH1173" s="53">
        <v>130.82003401360546</v>
      </c>
      <c r="AI1173" s="53">
        <v>105.85000000000001</v>
      </c>
      <c r="AJ1173" s="53">
        <v>159.50666666666666</v>
      </c>
      <c r="AK1173" s="53" t="str">
        <f>_xlfn.XLOOKUP(Master[[#This Row],[cu_id]],'[1]Customer Revenue'!$Q:$Q,'[1]Customer Revenue'!$I:$I, "None")</f>
        <v>None</v>
      </c>
      <c r="AL1173" s="53">
        <v>99.601666666666674</v>
      </c>
      <c r="AM1173" s="61">
        <v>0.375</v>
      </c>
      <c r="AN1173" s="60">
        <v>0.70833333333333337</v>
      </c>
      <c r="AO1173" s="60" t="s">
        <v>36</v>
      </c>
      <c r="AP1173" s="60" t="s">
        <v>36</v>
      </c>
      <c r="AQ1173" s="58" t="s">
        <v>0</v>
      </c>
      <c r="AR1173" s="58"/>
      <c r="AS1173" s="58"/>
      <c r="AT1173" s="52">
        <v>0</v>
      </c>
      <c r="AU1173" s="52" t="e">
        <f>IF(Master[[#This Row],[RSP StopTime override]] &lt;&gt; "",Master[[#This Row],[RSP StopTime override]],IF(Master[[#This Row],[Avg stop time helper]] &lt;&gt; 0, Master[[#This Row],[Avg stop time helper]],Average_Stop_Time))</f>
        <v>#DIV/0!</v>
      </c>
      <c r="AV1173" s="21"/>
      <c r="AW1173" s="20">
        <f>Master[[#This Row],[RSP StopTime override]]-Master[[#This Row],[Avg stop time helper]]</f>
        <v>0</v>
      </c>
    </row>
    <row r="1174" spans="1:49" x14ac:dyDescent="0.3">
      <c r="A1174" s="66" t="s">
        <v>5178</v>
      </c>
      <c r="B1174" s="58">
        <v>56</v>
      </c>
      <c r="C1174" s="58" t="s">
        <v>15</v>
      </c>
      <c r="D1174" s="65">
        <v>528125</v>
      </c>
      <c r="E1174" s="65" t="s">
        <v>42</v>
      </c>
      <c r="F1174" s="65" t="s">
        <v>1133</v>
      </c>
      <c r="G1174" s="65" t="s">
        <v>1132</v>
      </c>
      <c r="H1174" s="65" t="s">
        <v>32</v>
      </c>
      <c r="I1174" s="65" t="s">
        <v>1126</v>
      </c>
      <c r="J1174" s="65" t="s">
        <v>5</v>
      </c>
      <c r="K1174" s="65" t="s">
        <v>1115</v>
      </c>
      <c r="L1174" s="64" t="s">
        <v>67</v>
      </c>
      <c r="M1174" s="58" t="s">
        <v>3</v>
      </c>
      <c r="N1174" s="58" t="s">
        <v>2</v>
      </c>
      <c r="O1174" s="58">
        <v>100</v>
      </c>
      <c r="P1174" s="58">
        <v>0</v>
      </c>
      <c r="Q1174" s="58">
        <v>0</v>
      </c>
      <c r="R1174" s="58">
        <v>0</v>
      </c>
      <c r="S1174" s="58">
        <v>0</v>
      </c>
      <c r="T1174" s="58">
        <v>100</v>
      </c>
      <c r="U1174" s="58">
        <v>43</v>
      </c>
      <c r="V1174" s="62">
        <v>54</v>
      </c>
      <c r="W1174" s="62">
        <v>1</v>
      </c>
      <c r="X1174" s="63">
        <f>IFERROR(1 -(Master[[#This Row],[Avg Garment Scans per Delivery]]/Master[[#This Row],[Garment Inventory]]), 0)</f>
        <v>0.98148148148148151</v>
      </c>
      <c r="Y1174" s="62">
        <v>4</v>
      </c>
      <c r="Z1174" s="62">
        <v>54</v>
      </c>
      <c r="AA1174" s="53">
        <v>155.92666666666662</v>
      </c>
      <c r="AB1174" s="53">
        <v>289.57333333333332</v>
      </c>
      <c r="AC1174" s="53">
        <v>196.8467603550296</v>
      </c>
      <c r="AD1174" s="53">
        <v>339.51823964497044</v>
      </c>
      <c r="AE1174" s="53" t="str">
        <f>_xlfn.XLOOKUP(Master[[#This Row],[cu_id]],'[1]Customer Revenue'!$Q:$Q,'[1]Customer Revenue'!$K:$K, "None")</f>
        <v>None</v>
      </c>
      <c r="AF1174" s="53" t="str">
        <f>_xlfn.XLOOKUP(Master[[#This Row],[cu_id]],'[1]Customer Revenue'!$Q:$Q,'[1]Customer Revenue'!$L:$L, "None")</f>
        <v>None</v>
      </c>
      <c r="AG1174" s="53">
        <v>146.97161242603551</v>
      </c>
      <c r="AH1174" s="53">
        <v>310.71338757396444</v>
      </c>
      <c r="AI1174" s="53">
        <v>222.74999999999997</v>
      </c>
      <c r="AJ1174" s="53">
        <v>268.1825</v>
      </c>
      <c r="AK1174" s="53" t="str">
        <f>_xlfn.XLOOKUP(Master[[#This Row],[cu_id]],'[1]Customer Revenue'!$Q:$Q,'[1]Customer Revenue'!$I:$I, "None")</f>
        <v>None</v>
      </c>
      <c r="AL1174" s="53">
        <v>228.84249999999997</v>
      </c>
      <c r="AM1174" s="61">
        <v>0.41666666666666669</v>
      </c>
      <c r="AN1174" s="60">
        <v>0.70833333333333337</v>
      </c>
      <c r="AO1174" s="60" t="s">
        <v>36</v>
      </c>
      <c r="AP1174" s="60" t="s">
        <v>36</v>
      </c>
      <c r="AQ1174" s="58" t="s">
        <v>1121</v>
      </c>
      <c r="AR1174" s="58"/>
      <c r="AS1174" s="58"/>
      <c r="AT1174" s="52">
        <v>0</v>
      </c>
      <c r="AU1174" s="52" t="e">
        <f>IF(Master[[#This Row],[RSP StopTime override]] &lt;&gt; "",Master[[#This Row],[RSP StopTime override]],IF(Master[[#This Row],[Avg stop time helper]] &lt;&gt; 0, Master[[#This Row],[Avg stop time helper]],Average_Stop_Time))</f>
        <v>#DIV/0!</v>
      </c>
      <c r="AV1174" s="21"/>
      <c r="AW1174" s="20">
        <f>Master[[#This Row],[RSP StopTime override]]-Master[[#This Row],[Avg stop time helper]]</f>
        <v>0</v>
      </c>
    </row>
    <row r="1175" spans="1:49" x14ac:dyDescent="0.3">
      <c r="A1175" s="66" t="s">
        <v>5179</v>
      </c>
      <c r="B1175" s="58">
        <v>56</v>
      </c>
      <c r="C1175" s="58" t="s">
        <v>15</v>
      </c>
      <c r="D1175" s="65">
        <v>529107</v>
      </c>
      <c r="E1175" s="65" t="s">
        <v>42</v>
      </c>
      <c r="F1175" s="65" t="s">
        <v>1131</v>
      </c>
      <c r="G1175" s="65" t="s">
        <v>1130</v>
      </c>
      <c r="H1175" s="65" t="s">
        <v>32</v>
      </c>
      <c r="I1175" s="65" t="s">
        <v>1129</v>
      </c>
      <c r="J1175" s="65" t="s">
        <v>5</v>
      </c>
      <c r="K1175" s="65" t="s">
        <v>1088</v>
      </c>
      <c r="L1175" s="64" t="s">
        <v>67</v>
      </c>
      <c r="M1175" s="58" t="s">
        <v>3</v>
      </c>
      <c r="N1175" s="58" t="s">
        <v>2</v>
      </c>
      <c r="O1175" s="58">
        <v>40</v>
      </c>
      <c r="P1175" s="58">
        <v>0</v>
      </c>
      <c r="Q1175" s="58">
        <v>0</v>
      </c>
      <c r="R1175" s="58">
        <v>0</v>
      </c>
      <c r="S1175" s="58">
        <v>0</v>
      </c>
      <c r="T1175" s="58">
        <v>40</v>
      </c>
      <c r="U1175" s="58">
        <v>15</v>
      </c>
      <c r="V1175" s="62"/>
      <c r="W1175" s="62"/>
      <c r="X1175" s="63">
        <f>IFERROR(1 -(Master[[#This Row],[Avg Garment Scans per Delivery]]/Master[[#This Row],[Garment Inventory]]), 0)</f>
        <v>0</v>
      </c>
      <c r="Y1175" s="62"/>
      <c r="Z1175" s="62"/>
      <c r="AA1175" s="53"/>
      <c r="AB1175" s="53"/>
      <c r="AC1175" s="53">
        <v>97.592799999999997</v>
      </c>
      <c r="AD1175" s="53">
        <v>124.27919999999999</v>
      </c>
      <c r="AE1175" s="53" t="str">
        <f>_xlfn.XLOOKUP(Master[[#This Row],[cu_id]],'[1]Customer Revenue'!$Q:$Q,'[1]Customer Revenue'!$K:$K, "None")</f>
        <v>None</v>
      </c>
      <c r="AF1175" s="53" t="str">
        <f>_xlfn.XLOOKUP(Master[[#This Row],[cu_id]],'[1]Customer Revenue'!$Q:$Q,'[1]Customer Revenue'!$L:$L, "None")</f>
        <v>None</v>
      </c>
      <c r="AG1175" s="53"/>
      <c r="AH1175" s="53"/>
      <c r="AI1175" s="53"/>
      <c r="AJ1175" s="53">
        <v>110.93599999999999</v>
      </c>
      <c r="AK1175" s="53" t="str">
        <f>_xlfn.XLOOKUP(Master[[#This Row],[cu_id]],'[1]Customer Revenue'!$Q:$Q,'[1]Customer Revenue'!$I:$I, "None")</f>
        <v>None</v>
      </c>
      <c r="AL1175" s="53"/>
      <c r="AM1175" s="61">
        <v>0.41666666666666669</v>
      </c>
      <c r="AN1175" s="60">
        <v>0.70833333333333337</v>
      </c>
      <c r="AO1175" s="60" t="s">
        <v>36</v>
      </c>
      <c r="AP1175" s="60" t="s">
        <v>36</v>
      </c>
      <c r="AQ1175" s="58" t="s">
        <v>0</v>
      </c>
      <c r="AR1175" s="58"/>
      <c r="AS1175" s="58"/>
      <c r="AT1175" s="52">
        <v>0</v>
      </c>
      <c r="AU1175" s="52" t="e">
        <f>IF(Master[[#This Row],[RSP StopTime override]] &lt;&gt; "",Master[[#This Row],[RSP StopTime override]],IF(Master[[#This Row],[Avg stop time helper]] &lt;&gt; 0, Master[[#This Row],[Avg stop time helper]],Average_Stop_Time))</f>
        <v>#DIV/0!</v>
      </c>
      <c r="AV1175" s="21"/>
      <c r="AW1175" s="20">
        <f>Master[[#This Row],[RSP StopTime override]]-Master[[#This Row],[Avg stop time helper]]</f>
        <v>0</v>
      </c>
    </row>
    <row r="1176" spans="1:49" x14ac:dyDescent="0.3">
      <c r="A1176" s="66" t="s">
        <v>5180</v>
      </c>
      <c r="B1176" s="58">
        <v>56</v>
      </c>
      <c r="C1176" s="58" t="s">
        <v>15</v>
      </c>
      <c r="D1176" s="65">
        <v>529379</v>
      </c>
      <c r="E1176" s="65" t="s">
        <v>42</v>
      </c>
      <c r="F1176" s="65" t="s">
        <v>1128</v>
      </c>
      <c r="G1176" s="65" t="s">
        <v>1127</v>
      </c>
      <c r="H1176" s="65" t="s">
        <v>32</v>
      </c>
      <c r="I1176" s="65" t="s">
        <v>1126</v>
      </c>
      <c r="J1176" s="65" t="s">
        <v>5</v>
      </c>
      <c r="K1176" s="65" t="s">
        <v>1115</v>
      </c>
      <c r="L1176" s="64" t="s">
        <v>67</v>
      </c>
      <c r="M1176" s="58" t="s">
        <v>3</v>
      </c>
      <c r="N1176" s="58" t="s">
        <v>2</v>
      </c>
      <c r="O1176" s="58">
        <v>120</v>
      </c>
      <c r="P1176" s="58">
        <v>0</v>
      </c>
      <c r="Q1176" s="58">
        <v>0</v>
      </c>
      <c r="R1176" s="58">
        <v>0</v>
      </c>
      <c r="S1176" s="58">
        <v>0</v>
      </c>
      <c r="T1176" s="58">
        <v>120</v>
      </c>
      <c r="U1176" s="58">
        <v>52</v>
      </c>
      <c r="V1176" s="62"/>
      <c r="W1176" s="62"/>
      <c r="X1176" s="63">
        <f>IFERROR(1 -(Master[[#This Row],[Avg Garment Scans per Delivery]]/Master[[#This Row],[Garment Inventory]]), 0)</f>
        <v>0</v>
      </c>
      <c r="Y1176" s="62"/>
      <c r="Z1176" s="62"/>
      <c r="AA1176" s="53">
        <v>39.471111111111107</v>
      </c>
      <c r="AB1176" s="53">
        <v>42.342222222222212</v>
      </c>
      <c r="AC1176" s="53">
        <v>43.567455621301775</v>
      </c>
      <c r="AD1176" s="53">
        <v>45.961775147928989</v>
      </c>
      <c r="AE1176" s="53" t="str">
        <f>_xlfn.XLOOKUP(Master[[#This Row],[cu_id]],'[1]Customer Revenue'!$Q:$Q,'[1]Customer Revenue'!$K:$K, "None")</f>
        <v>None</v>
      </c>
      <c r="AF1176" s="53" t="str">
        <f>_xlfn.XLOOKUP(Master[[#This Row],[cu_id]],'[1]Customer Revenue'!$Q:$Q,'[1]Customer Revenue'!$L:$L, "None")</f>
        <v>None</v>
      </c>
      <c r="AG1176" s="53">
        <v>39.485976331360952</v>
      </c>
      <c r="AH1176" s="53">
        <v>41.167869822485223</v>
      </c>
      <c r="AI1176" s="53">
        <v>40.906666666666659</v>
      </c>
      <c r="AJ1176" s="53">
        <v>44.764615384615382</v>
      </c>
      <c r="AK1176" s="53" t="str">
        <f>_xlfn.XLOOKUP(Master[[#This Row],[cu_id]],'[1]Customer Revenue'!$Q:$Q,'[1]Customer Revenue'!$I:$I, "None")</f>
        <v>None</v>
      </c>
      <c r="AL1176" s="53">
        <v>40.326923076923087</v>
      </c>
      <c r="AM1176" s="61">
        <v>0.29166666666666669</v>
      </c>
      <c r="AN1176" s="60">
        <v>0.70833333333333337</v>
      </c>
      <c r="AO1176" s="60" t="s">
        <v>36</v>
      </c>
      <c r="AP1176" s="60" t="s">
        <v>36</v>
      </c>
      <c r="AQ1176" s="58" t="s">
        <v>0</v>
      </c>
      <c r="AR1176" s="58"/>
      <c r="AS1176" s="58"/>
      <c r="AT1176" s="52">
        <v>0</v>
      </c>
      <c r="AU1176" s="52" t="e">
        <f>IF(Master[[#This Row],[RSP StopTime override]] &lt;&gt; "",Master[[#This Row],[RSP StopTime override]],IF(Master[[#This Row],[Avg stop time helper]] &lt;&gt; 0, Master[[#This Row],[Avg stop time helper]],Average_Stop_Time))</f>
        <v>#DIV/0!</v>
      </c>
      <c r="AV1176" s="21"/>
      <c r="AW1176" s="20">
        <f>Master[[#This Row],[RSP StopTime override]]-Master[[#This Row],[Avg stop time helper]]</f>
        <v>0</v>
      </c>
    </row>
    <row r="1177" spans="1:49" x14ac:dyDescent="0.3">
      <c r="A1177" s="66" t="s">
        <v>5181</v>
      </c>
      <c r="B1177" s="58">
        <v>56</v>
      </c>
      <c r="C1177" s="58" t="s">
        <v>15</v>
      </c>
      <c r="D1177" s="65">
        <v>531517</v>
      </c>
      <c r="E1177" s="65" t="s">
        <v>42</v>
      </c>
      <c r="F1177" s="65" t="s">
        <v>1125</v>
      </c>
      <c r="G1177" s="65" t="s">
        <v>1124</v>
      </c>
      <c r="H1177" s="65" t="s">
        <v>7</v>
      </c>
      <c r="I1177" s="65" t="s">
        <v>1084</v>
      </c>
      <c r="J1177" s="65" t="s">
        <v>5</v>
      </c>
      <c r="K1177" s="65" t="s">
        <v>1088</v>
      </c>
      <c r="L1177" s="64" t="s">
        <v>194</v>
      </c>
      <c r="M1177" s="58" t="s">
        <v>193</v>
      </c>
      <c r="N1177" s="58" t="s">
        <v>2</v>
      </c>
      <c r="O1177" s="58">
        <v>93</v>
      </c>
      <c r="P1177" s="58">
        <v>0</v>
      </c>
      <c r="Q1177" s="58">
        <v>0</v>
      </c>
      <c r="R1177" s="58">
        <v>0</v>
      </c>
      <c r="S1177" s="58">
        <v>0</v>
      </c>
      <c r="T1177" s="58">
        <v>93</v>
      </c>
      <c r="U1177" s="58">
        <v>13</v>
      </c>
      <c r="V1177" s="62"/>
      <c r="W1177" s="62"/>
      <c r="X1177" s="63">
        <f>IFERROR(1 -(Master[[#This Row],[Avg Garment Scans per Delivery]]/Master[[#This Row],[Garment Inventory]]), 0)</f>
        <v>0</v>
      </c>
      <c r="Y1177" s="62"/>
      <c r="Z1177" s="62"/>
      <c r="AA1177" s="53">
        <v>44.46</v>
      </c>
      <c r="AB1177" s="53">
        <v>44.46</v>
      </c>
      <c r="AC1177" s="53">
        <v>40.645000000000003</v>
      </c>
      <c r="AD1177" s="53">
        <v>46.71</v>
      </c>
      <c r="AE1177" s="53" t="str">
        <f>_xlfn.XLOOKUP(Master[[#This Row],[cu_id]],'[1]Customer Revenue'!$Q:$Q,'[1]Customer Revenue'!$K:$K, "None")</f>
        <v>None</v>
      </c>
      <c r="AF1177" s="53" t="str">
        <f>_xlfn.XLOOKUP(Master[[#This Row],[cu_id]],'[1]Customer Revenue'!$Q:$Q,'[1]Customer Revenue'!$L:$L, "None")</f>
        <v>None</v>
      </c>
      <c r="AG1177" s="53">
        <v>40.98</v>
      </c>
      <c r="AH1177" s="53">
        <v>44.46</v>
      </c>
      <c r="AI1177" s="53">
        <v>44.46</v>
      </c>
      <c r="AJ1177" s="53">
        <v>43.677500000000002</v>
      </c>
      <c r="AK1177" s="53" t="str">
        <f>_xlfn.XLOOKUP(Master[[#This Row],[cu_id]],'[1]Customer Revenue'!$Q:$Q,'[1]Customer Revenue'!$I:$I, "None")</f>
        <v>None</v>
      </c>
      <c r="AL1177" s="53">
        <v>42.72</v>
      </c>
      <c r="AM1177" s="61">
        <v>0.45833333333333331</v>
      </c>
      <c r="AN1177" s="60">
        <v>0.70833333333333337</v>
      </c>
      <c r="AO1177" s="60" t="s">
        <v>36</v>
      </c>
      <c r="AP1177" s="60" t="s">
        <v>36</v>
      </c>
      <c r="AQ1177" s="58" t="s">
        <v>0</v>
      </c>
      <c r="AR1177" s="58"/>
      <c r="AS1177" s="58"/>
      <c r="AT1177" s="52">
        <v>0</v>
      </c>
      <c r="AU1177" s="52" t="e">
        <f>IF(Master[[#This Row],[RSP StopTime override]] &lt;&gt; "",Master[[#This Row],[RSP StopTime override]],IF(Master[[#This Row],[Avg stop time helper]] &lt;&gt; 0, Master[[#This Row],[Avg stop time helper]],Average_Stop_Time))</f>
        <v>#DIV/0!</v>
      </c>
      <c r="AV1177" s="21"/>
      <c r="AW1177" s="20">
        <f>Master[[#This Row],[RSP StopTime override]]-Master[[#This Row],[Avg stop time helper]]</f>
        <v>0</v>
      </c>
    </row>
    <row r="1178" spans="1:49" x14ac:dyDescent="0.3">
      <c r="A1178" s="66" t="s">
        <v>5182</v>
      </c>
      <c r="B1178" s="58">
        <v>56</v>
      </c>
      <c r="C1178" s="58" t="s">
        <v>15</v>
      </c>
      <c r="D1178" s="65">
        <v>533136</v>
      </c>
      <c r="E1178" s="65" t="s">
        <v>42</v>
      </c>
      <c r="F1178" s="65" t="s">
        <v>1123</v>
      </c>
      <c r="G1178" s="65" t="s">
        <v>1122</v>
      </c>
      <c r="H1178" s="65" t="s">
        <v>7</v>
      </c>
      <c r="I1178" s="65" t="s">
        <v>1116</v>
      </c>
      <c r="J1178" s="65" t="s">
        <v>5</v>
      </c>
      <c r="K1178" s="65" t="s">
        <v>1115</v>
      </c>
      <c r="L1178" s="64" t="s">
        <v>67</v>
      </c>
      <c r="M1178" s="58" t="s">
        <v>3</v>
      </c>
      <c r="N1178" s="58" t="s">
        <v>2</v>
      </c>
      <c r="O1178" s="58">
        <v>105</v>
      </c>
      <c r="P1178" s="58">
        <v>0</v>
      </c>
      <c r="Q1178" s="58">
        <v>0</v>
      </c>
      <c r="R1178" s="58">
        <v>0</v>
      </c>
      <c r="S1178" s="58">
        <v>0</v>
      </c>
      <c r="T1178" s="58">
        <v>105</v>
      </c>
      <c r="U1178" s="58">
        <v>52</v>
      </c>
      <c r="V1178" s="62">
        <v>68</v>
      </c>
      <c r="W1178" s="62">
        <v>26</v>
      </c>
      <c r="X1178" s="63">
        <f>IFERROR(1 -(Master[[#This Row],[Avg Garment Scans per Delivery]]/Master[[#This Row],[Garment Inventory]]), 0)</f>
        <v>0.61764705882352944</v>
      </c>
      <c r="Y1178" s="62">
        <v>3</v>
      </c>
      <c r="Z1178" s="62">
        <v>69</v>
      </c>
      <c r="AA1178" s="53">
        <v>59.880833333333314</v>
      </c>
      <c r="AB1178" s="53">
        <v>89.734166666666638</v>
      </c>
      <c r="AC1178" s="53">
        <v>53.769199372056512</v>
      </c>
      <c r="AD1178" s="53">
        <v>82.196954474097325</v>
      </c>
      <c r="AE1178" s="53" t="str">
        <f>_xlfn.XLOOKUP(Master[[#This Row],[cu_id]],'[1]Customer Revenue'!$Q:$Q,'[1]Customer Revenue'!$K:$K, "None")</f>
        <v>None</v>
      </c>
      <c r="AF1178" s="53" t="str">
        <f>_xlfn.XLOOKUP(Master[[#This Row],[cu_id]],'[1]Customer Revenue'!$Q:$Q,'[1]Customer Revenue'!$L:$L, "None")</f>
        <v>None</v>
      </c>
      <c r="AG1178" s="53">
        <v>56.714303577081338</v>
      </c>
      <c r="AH1178" s="53">
        <v>84.740311807534013</v>
      </c>
      <c r="AI1178" s="53">
        <v>74.807499999999976</v>
      </c>
      <c r="AJ1178" s="53">
        <v>67.983076923076922</v>
      </c>
      <c r="AK1178" s="53" t="str">
        <f>_xlfn.XLOOKUP(Master[[#This Row],[cu_id]],'[1]Customer Revenue'!$Q:$Q,'[1]Customer Revenue'!$I:$I, "None")</f>
        <v>None</v>
      </c>
      <c r="AL1178" s="53">
        <v>70.727307692307676</v>
      </c>
      <c r="AM1178" s="61">
        <v>0.375</v>
      </c>
      <c r="AN1178" s="60">
        <v>0.70833333333333337</v>
      </c>
      <c r="AO1178" s="60" t="s">
        <v>36</v>
      </c>
      <c r="AP1178" s="60" t="s">
        <v>36</v>
      </c>
      <c r="AQ1178" s="58" t="s">
        <v>1121</v>
      </c>
      <c r="AR1178" s="58"/>
      <c r="AS1178" s="58"/>
      <c r="AT1178" s="52">
        <v>0</v>
      </c>
      <c r="AU1178" s="52" t="e">
        <f>IF(Master[[#This Row],[RSP StopTime override]] &lt;&gt; "",Master[[#This Row],[RSP StopTime override]],IF(Master[[#This Row],[Avg stop time helper]] &lt;&gt; 0, Master[[#This Row],[Avg stop time helper]],Average_Stop_Time))</f>
        <v>#DIV/0!</v>
      </c>
      <c r="AV1178" s="21"/>
      <c r="AW1178" s="20">
        <f>Master[[#This Row],[RSP StopTime override]]-Master[[#This Row],[Avg stop time helper]]</f>
        <v>0</v>
      </c>
    </row>
    <row r="1179" spans="1:49" x14ac:dyDescent="0.3">
      <c r="A1179" s="66" t="s">
        <v>5183</v>
      </c>
      <c r="B1179" s="58">
        <v>56</v>
      </c>
      <c r="C1179" s="58" t="s">
        <v>15</v>
      </c>
      <c r="D1179" s="65">
        <v>533340</v>
      </c>
      <c r="E1179" s="65" t="s">
        <v>42</v>
      </c>
      <c r="F1179" s="65" t="s">
        <v>1120</v>
      </c>
      <c r="G1179" s="65" t="s">
        <v>1119</v>
      </c>
      <c r="H1179" s="65" t="s">
        <v>7</v>
      </c>
      <c r="I1179" s="65" t="s">
        <v>1116</v>
      </c>
      <c r="J1179" s="65" t="s">
        <v>5</v>
      </c>
      <c r="K1179" s="65" t="s">
        <v>1115</v>
      </c>
      <c r="L1179" s="64" t="s">
        <v>67</v>
      </c>
      <c r="M1179" s="58" t="s">
        <v>3</v>
      </c>
      <c r="N1179" s="58" t="s">
        <v>2</v>
      </c>
      <c r="O1179" s="58">
        <v>112</v>
      </c>
      <c r="P1179" s="58">
        <v>0</v>
      </c>
      <c r="Q1179" s="58">
        <v>0</v>
      </c>
      <c r="R1179" s="58">
        <v>0</v>
      </c>
      <c r="S1179" s="58">
        <v>0</v>
      </c>
      <c r="T1179" s="58">
        <v>112</v>
      </c>
      <c r="U1179" s="58">
        <v>52</v>
      </c>
      <c r="V1179" s="62">
        <v>72</v>
      </c>
      <c r="W1179" s="62">
        <v>11</v>
      </c>
      <c r="X1179" s="63">
        <f>IFERROR(1 -(Master[[#This Row],[Avg Garment Scans per Delivery]]/Master[[#This Row],[Garment Inventory]]), 0)</f>
        <v>0.84722222222222221</v>
      </c>
      <c r="Y1179" s="62">
        <v>5</v>
      </c>
      <c r="Z1179" s="62">
        <v>72</v>
      </c>
      <c r="AA1179" s="53">
        <v>542.68151380670611</v>
      </c>
      <c r="AB1179" s="53">
        <v>905.11015285996064</v>
      </c>
      <c r="AC1179" s="53">
        <v>677.64281789638972</v>
      </c>
      <c r="AD1179" s="53">
        <v>884.92179748822605</v>
      </c>
      <c r="AE1179" s="53" t="str">
        <f>_xlfn.XLOOKUP(Master[[#This Row],[cu_id]],'[1]Customer Revenue'!$Q:$Q,'[1]Customer Revenue'!$K:$K, "None")</f>
        <v>None</v>
      </c>
      <c r="AF1179" s="53" t="str">
        <f>_xlfn.XLOOKUP(Master[[#This Row],[cu_id]],'[1]Customer Revenue'!$Q:$Q,'[1]Customer Revenue'!$L:$L, "None")</f>
        <v>None</v>
      </c>
      <c r="AG1179" s="53">
        <v>553.85441437163684</v>
      </c>
      <c r="AH1179" s="53">
        <v>835.60173947451733</v>
      </c>
      <c r="AI1179" s="53">
        <v>723.89583333333337</v>
      </c>
      <c r="AJ1179" s="53">
        <v>781.28230769230788</v>
      </c>
      <c r="AK1179" s="53" t="str">
        <f>_xlfn.XLOOKUP(Master[[#This Row],[cu_id]],'[1]Customer Revenue'!$Q:$Q,'[1]Customer Revenue'!$I:$I, "None")</f>
        <v>None</v>
      </c>
      <c r="AL1179" s="53">
        <v>694.72807692307708</v>
      </c>
      <c r="AM1179" s="61">
        <v>0.375</v>
      </c>
      <c r="AN1179" s="60">
        <v>0.70833333333333337</v>
      </c>
      <c r="AO1179" s="60" t="s">
        <v>36</v>
      </c>
      <c r="AP1179" s="60" t="s">
        <v>36</v>
      </c>
      <c r="AQ1179" s="58" t="s">
        <v>0</v>
      </c>
      <c r="AR1179" s="58"/>
      <c r="AS1179" s="58"/>
      <c r="AT1179" s="52">
        <v>0</v>
      </c>
      <c r="AU1179" s="52" t="e">
        <f>IF(Master[[#This Row],[RSP StopTime override]] &lt;&gt; "",Master[[#This Row],[RSP StopTime override]],IF(Master[[#This Row],[Avg stop time helper]] &lt;&gt; 0, Master[[#This Row],[Avg stop time helper]],Average_Stop_Time))</f>
        <v>#DIV/0!</v>
      </c>
      <c r="AV1179" s="21"/>
      <c r="AW1179" s="20">
        <f>Master[[#This Row],[RSP StopTime override]]-Master[[#This Row],[Avg stop time helper]]</f>
        <v>0</v>
      </c>
    </row>
    <row r="1180" spans="1:49" x14ac:dyDescent="0.3">
      <c r="A1180" s="73" t="s">
        <v>5184</v>
      </c>
      <c r="B1180" s="64">
        <v>56</v>
      </c>
      <c r="C1180" s="64" t="s">
        <v>15</v>
      </c>
      <c r="D1180" s="65">
        <v>533590</v>
      </c>
      <c r="E1180" s="65" t="s">
        <v>42</v>
      </c>
      <c r="F1180" s="65" t="s">
        <v>1118</v>
      </c>
      <c r="G1180" s="65" t="s">
        <v>1117</v>
      </c>
      <c r="H1180" s="65" t="s">
        <v>7</v>
      </c>
      <c r="I1180" s="65" t="s">
        <v>1116</v>
      </c>
      <c r="J1180" s="65" t="s">
        <v>5</v>
      </c>
      <c r="K1180" s="65" t="s">
        <v>1115</v>
      </c>
      <c r="L1180" s="64" t="s">
        <v>67</v>
      </c>
      <c r="M1180" s="65" t="s">
        <v>3</v>
      </c>
      <c r="N1180" s="65" t="s">
        <v>2</v>
      </c>
      <c r="O1180" s="65">
        <v>102</v>
      </c>
      <c r="P1180" s="65">
        <v>0</v>
      </c>
      <c r="Q1180" s="65">
        <v>0</v>
      </c>
      <c r="R1180" s="65">
        <v>0</v>
      </c>
      <c r="S1180" s="65">
        <v>0</v>
      </c>
      <c r="T1180" s="65">
        <v>102</v>
      </c>
      <c r="U1180" s="65">
        <v>9</v>
      </c>
      <c r="V1180" s="65">
        <v>20</v>
      </c>
      <c r="W1180" s="65"/>
      <c r="X1180" s="72">
        <f>IFERROR(1 -(Master[[#This Row],[Avg Garment Scans per Delivery]]/Master[[#This Row],[Garment Inventory]]), 0)</f>
        <v>1</v>
      </c>
      <c r="Y1180" s="65"/>
      <c r="Z1180" s="65"/>
      <c r="AA1180" s="53"/>
      <c r="AB1180" s="53"/>
      <c r="AC1180" s="53">
        <v>57.575748393021129</v>
      </c>
      <c r="AD1180" s="53">
        <v>298.50202938475667</v>
      </c>
      <c r="AE1180" s="53" t="str">
        <f>_xlfn.XLOOKUP(Master[[#This Row],[cu_id]],'[1]Customer Revenue'!$Q:$Q,'[1]Customer Revenue'!$K:$K, "None")</f>
        <v>None</v>
      </c>
      <c r="AF1180" s="53" t="str">
        <f>_xlfn.XLOOKUP(Master[[#This Row],[cu_id]],'[1]Customer Revenue'!$Q:$Q,'[1]Customer Revenue'!$L:$L, "None")</f>
        <v>None</v>
      </c>
      <c r="AG1180" s="53"/>
      <c r="AH1180" s="53"/>
      <c r="AI1180" s="53"/>
      <c r="AJ1180" s="53">
        <v>178.03888888888889</v>
      </c>
      <c r="AK1180" s="53" t="str">
        <f>_xlfn.XLOOKUP(Master[[#This Row],[cu_id]],'[1]Customer Revenue'!$Q:$Q,'[1]Customer Revenue'!$I:$I, "None")</f>
        <v>None</v>
      </c>
      <c r="AL1180" s="53"/>
      <c r="AM1180" s="71" t="s">
        <v>1</v>
      </c>
      <c r="AN1180" s="71" t="s">
        <v>1</v>
      </c>
      <c r="AO1180" s="71" t="s">
        <v>36</v>
      </c>
      <c r="AP1180" s="71" t="s">
        <v>36</v>
      </c>
      <c r="AQ1180" s="64" t="s">
        <v>0</v>
      </c>
      <c r="AR1180" s="64"/>
      <c r="AS1180" s="65"/>
      <c r="AT1180" s="52">
        <v>0</v>
      </c>
      <c r="AU1180" s="52" t="e">
        <f>IF(Master[[#This Row],[RSP StopTime override]] &lt;&gt; "",Master[[#This Row],[RSP StopTime override]],IF(Master[[#This Row],[Avg stop time helper]] &lt;&gt; 0, Master[[#This Row],[Avg stop time helper]],Average_Stop_Time))</f>
        <v>#DIV/0!</v>
      </c>
      <c r="AV1180" s="21"/>
      <c r="AW1180" s="20">
        <f>Master[[#This Row],[RSP StopTime override]]-Master[[#This Row],[Avg stop time helper]]</f>
        <v>0</v>
      </c>
    </row>
    <row r="1181" spans="1:49" x14ac:dyDescent="0.3">
      <c r="A1181" s="66" t="s">
        <v>5185</v>
      </c>
      <c r="B1181" s="58">
        <v>56</v>
      </c>
      <c r="C1181" s="58" t="s">
        <v>15</v>
      </c>
      <c r="D1181" s="65">
        <v>806590</v>
      </c>
      <c r="E1181" s="65" t="s">
        <v>42</v>
      </c>
      <c r="F1181" s="65" t="s">
        <v>1114</v>
      </c>
      <c r="G1181" s="65" t="s">
        <v>1113</v>
      </c>
      <c r="H1181" s="65" t="s">
        <v>7</v>
      </c>
      <c r="I1181" s="65" t="s">
        <v>1084</v>
      </c>
      <c r="J1181" s="65" t="s">
        <v>5</v>
      </c>
      <c r="K1181" s="65" t="s">
        <v>1088</v>
      </c>
      <c r="L1181" s="64" t="s">
        <v>77</v>
      </c>
      <c r="M1181" s="58" t="s">
        <v>29</v>
      </c>
      <c r="N1181" s="58" t="s">
        <v>2</v>
      </c>
      <c r="O1181" s="58">
        <v>60</v>
      </c>
      <c r="P1181" s="58">
        <v>0</v>
      </c>
      <c r="Q1181" s="58">
        <v>0</v>
      </c>
      <c r="R1181" s="58">
        <v>0</v>
      </c>
      <c r="S1181" s="58">
        <v>0</v>
      </c>
      <c r="T1181" s="58">
        <v>60</v>
      </c>
      <c r="U1181" s="58">
        <v>36</v>
      </c>
      <c r="V1181" s="62"/>
      <c r="W1181" s="62"/>
      <c r="X1181" s="63">
        <f>IFERROR(1 -(Master[[#This Row],[Avg Garment Scans per Delivery]]/Master[[#This Row],[Garment Inventory]]), 0)</f>
        <v>0</v>
      </c>
      <c r="Y1181" s="62"/>
      <c r="Z1181" s="62"/>
      <c r="AA1181" s="53">
        <v>51.352800000000002</v>
      </c>
      <c r="AB1181" s="53">
        <v>67.671199999999999</v>
      </c>
      <c r="AC1181" s="53">
        <v>75.448888888888888</v>
      </c>
      <c r="AD1181" s="53">
        <v>76.817777777777764</v>
      </c>
      <c r="AE1181" s="53" t="str">
        <f>_xlfn.XLOOKUP(Master[[#This Row],[cu_id]],'[1]Customer Revenue'!$Q:$Q,'[1]Customer Revenue'!$K:$K, "None")</f>
        <v>None</v>
      </c>
      <c r="AF1181" s="53" t="str">
        <f>_xlfn.XLOOKUP(Master[[#This Row],[cu_id]],'[1]Customer Revenue'!$Q:$Q,'[1]Customer Revenue'!$L:$L, "None")</f>
        <v>None</v>
      </c>
      <c r="AG1181" s="53">
        <v>27.320025739130433</v>
      </c>
      <c r="AH1181" s="53">
        <v>66.213017739130436</v>
      </c>
      <c r="AI1181" s="53">
        <v>59.512</v>
      </c>
      <c r="AJ1181" s="53">
        <v>76.133333333333326</v>
      </c>
      <c r="AK1181" s="53" t="str">
        <f>_xlfn.XLOOKUP(Master[[#This Row],[cu_id]],'[1]Customer Revenue'!$Q:$Q,'[1]Customer Revenue'!$I:$I, "None")</f>
        <v>None</v>
      </c>
      <c r="AL1181" s="53">
        <v>46.766521739130432</v>
      </c>
      <c r="AM1181" s="61">
        <v>0.375</v>
      </c>
      <c r="AN1181" s="60">
        <v>0.70833333333333337</v>
      </c>
      <c r="AO1181" s="60" t="s">
        <v>36</v>
      </c>
      <c r="AP1181" s="60" t="s">
        <v>36</v>
      </c>
      <c r="AQ1181" s="58" t="s">
        <v>0</v>
      </c>
      <c r="AR1181" s="58"/>
      <c r="AS1181" s="58"/>
      <c r="AT1181" s="52">
        <v>0</v>
      </c>
      <c r="AU1181" s="52" t="e">
        <f>IF(Master[[#This Row],[RSP StopTime override]] &lt;&gt; "",Master[[#This Row],[RSP StopTime override]],IF(Master[[#This Row],[Avg stop time helper]] &lt;&gt; 0, Master[[#This Row],[Avg stop time helper]],Average_Stop_Time))</f>
        <v>#DIV/0!</v>
      </c>
      <c r="AV1181" s="21"/>
      <c r="AW1181" s="20">
        <f>Master[[#This Row],[RSP StopTime override]]-Master[[#This Row],[Avg stop time helper]]</f>
        <v>0</v>
      </c>
    </row>
    <row r="1182" spans="1:49" x14ac:dyDescent="0.3">
      <c r="A1182" s="66" t="s">
        <v>5186</v>
      </c>
      <c r="B1182" s="58">
        <v>56</v>
      </c>
      <c r="C1182" s="58" t="s">
        <v>15</v>
      </c>
      <c r="D1182" s="65">
        <v>806613</v>
      </c>
      <c r="E1182" s="65" t="s">
        <v>42</v>
      </c>
      <c r="F1182" s="65" t="s">
        <v>1112</v>
      </c>
      <c r="G1182" s="65" t="s">
        <v>1111</v>
      </c>
      <c r="H1182" s="65" t="s">
        <v>7</v>
      </c>
      <c r="I1182" s="65" t="s">
        <v>1084</v>
      </c>
      <c r="J1182" s="65" t="s">
        <v>5</v>
      </c>
      <c r="K1182" s="65" t="s">
        <v>1088</v>
      </c>
      <c r="L1182" s="64" t="s">
        <v>67</v>
      </c>
      <c r="M1182" s="58" t="s">
        <v>3</v>
      </c>
      <c r="N1182" s="58" t="s">
        <v>2</v>
      </c>
      <c r="O1182" s="58">
        <v>35</v>
      </c>
      <c r="P1182" s="58">
        <v>0</v>
      </c>
      <c r="Q1182" s="58">
        <v>0</v>
      </c>
      <c r="R1182" s="58">
        <v>0</v>
      </c>
      <c r="S1182" s="58">
        <v>0</v>
      </c>
      <c r="T1182" s="58">
        <v>35</v>
      </c>
      <c r="U1182" s="58">
        <v>39</v>
      </c>
      <c r="V1182" s="62"/>
      <c r="W1182" s="62"/>
      <c r="X1182" s="63">
        <f>IFERROR(1 -(Master[[#This Row],[Avg Garment Scans per Delivery]]/Master[[#This Row],[Garment Inventory]]), 0)</f>
        <v>0</v>
      </c>
      <c r="Y1182" s="62"/>
      <c r="Z1182" s="62"/>
      <c r="AA1182" s="53">
        <v>164.64875000000001</v>
      </c>
      <c r="AB1182" s="53">
        <v>201.44625000000002</v>
      </c>
      <c r="AC1182" s="53">
        <v>151.24810047095761</v>
      </c>
      <c r="AD1182" s="53">
        <v>231.18728414442697</v>
      </c>
      <c r="AE1182" s="53" t="str">
        <f>_xlfn.XLOOKUP(Master[[#This Row],[cu_id]],'[1]Customer Revenue'!$Q:$Q,'[1]Customer Revenue'!$K:$K, "None")</f>
        <v>None</v>
      </c>
      <c r="AF1182" s="53" t="str">
        <f>_xlfn.XLOOKUP(Master[[#This Row],[cu_id]],'[1]Customer Revenue'!$Q:$Q,'[1]Customer Revenue'!$L:$L, "None")</f>
        <v>None</v>
      </c>
      <c r="AG1182" s="53">
        <v>139.73087844254516</v>
      </c>
      <c r="AH1182" s="53">
        <v>234.56989078822411</v>
      </c>
      <c r="AI1182" s="53">
        <v>183.04750000000001</v>
      </c>
      <c r="AJ1182" s="53">
        <v>191.21769230769229</v>
      </c>
      <c r="AK1182" s="53" t="str">
        <f>_xlfn.XLOOKUP(Master[[#This Row],[cu_id]],'[1]Customer Revenue'!$Q:$Q,'[1]Customer Revenue'!$I:$I, "None")</f>
        <v>None</v>
      </c>
      <c r="AL1182" s="53">
        <v>187.15038461538464</v>
      </c>
      <c r="AM1182" s="61">
        <v>0.29166666666666669</v>
      </c>
      <c r="AN1182" s="60">
        <v>0.4375</v>
      </c>
      <c r="AO1182" s="60" t="s">
        <v>36</v>
      </c>
      <c r="AP1182" s="60" t="s">
        <v>36</v>
      </c>
      <c r="AQ1182" s="58" t="s">
        <v>0</v>
      </c>
      <c r="AR1182" s="58"/>
      <c r="AS1182" s="58"/>
      <c r="AT1182" s="52">
        <v>0</v>
      </c>
      <c r="AU1182" s="52" t="e">
        <f>IF(Master[[#This Row],[RSP StopTime override]] &lt;&gt; "",Master[[#This Row],[RSP StopTime override]],IF(Master[[#This Row],[Avg stop time helper]] &lt;&gt; 0, Master[[#This Row],[Avg stop time helper]],Average_Stop_Time))</f>
        <v>#DIV/0!</v>
      </c>
      <c r="AV1182" s="21"/>
      <c r="AW1182" s="20">
        <f>Master[[#This Row],[RSP StopTime override]]-Master[[#This Row],[Avg stop time helper]]</f>
        <v>0</v>
      </c>
    </row>
    <row r="1183" spans="1:49" x14ac:dyDescent="0.3">
      <c r="A1183" s="66" t="s">
        <v>5187</v>
      </c>
      <c r="B1183" s="58">
        <v>56</v>
      </c>
      <c r="C1183" s="58" t="s">
        <v>35</v>
      </c>
      <c r="D1183" s="65">
        <v>807521</v>
      </c>
      <c r="E1183" s="65" t="s">
        <v>42</v>
      </c>
      <c r="F1183" s="65" t="s">
        <v>1110</v>
      </c>
      <c r="G1183" s="65" t="s">
        <v>1109</v>
      </c>
      <c r="H1183" s="65" t="s">
        <v>7</v>
      </c>
      <c r="I1183" s="65" t="s">
        <v>1084</v>
      </c>
      <c r="J1183" s="65" t="s">
        <v>5</v>
      </c>
      <c r="K1183" s="65" t="s">
        <v>1088</v>
      </c>
      <c r="L1183" s="64" t="s">
        <v>67</v>
      </c>
      <c r="M1183" s="58" t="s">
        <v>3</v>
      </c>
      <c r="N1183" s="58" t="s">
        <v>2</v>
      </c>
      <c r="O1183" s="58">
        <v>57</v>
      </c>
      <c r="P1183" s="58">
        <v>0</v>
      </c>
      <c r="Q1183" s="58">
        <v>0</v>
      </c>
      <c r="R1183" s="58">
        <v>0</v>
      </c>
      <c r="S1183" s="58">
        <v>0</v>
      </c>
      <c r="T1183" s="58">
        <v>25</v>
      </c>
      <c r="U1183" s="58">
        <v>40</v>
      </c>
      <c r="V1183" s="62">
        <v>0</v>
      </c>
      <c r="W1183" s="62"/>
      <c r="X1183" s="63">
        <f>IFERROR(1 -(Master[[#This Row],[Avg Garment Scans per Delivery]]/Master[[#This Row],[Garment Inventory]]), 0)</f>
        <v>0</v>
      </c>
      <c r="Y1183" s="62">
        <v>1</v>
      </c>
      <c r="Z1183" s="62">
        <v>4</v>
      </c>
      <c r="AA1183" s="53">
        <v>20.056213017751478</v>
      </c>
      <c r="AB1183" s="53">
        <v>21.405325443786982</v>
      </c>
      <c r="AC1183" s="53">
        <v>18.737527472527475</v>
      </c>
      <c r="AD1183" s="53">
        <v>25.91324175824176</v>
      </c>
      <c r="AE1183" s="53" t="str">
        <f>_xlfn.XLOOKUP(Master[[#This Row],[cu_id]],'[1]Customer Revenue'!$Q:$Q,'[1]Customer Revenue'!$K:$K, "None")</f>
        <v>None</v>
      </c>
      <c r="AF1183" s="53" t="str">
        <f>_xlfn.XLOOKUP(Master[[#This Row],[cu_id]],'[1]Customer Revenue'!$Q:$Q,'[1]Customer Revenue'!$L:$L, "None")</f>
        <v>None</v>
      </c>
      <c r="AG1183" s="53">
        <v>19.301087369420703</v>
      </c>
      <c r="AH1183" s="53">
        <v>22.60429724596391</v>
      </c>
      <c r="AI1183" s="53">
        <v>20.73076923076923</v>
      </c>
      <c r="AJ1183" s="53">
        <v>22.325384615384618</v>
      </c>
      <c r="AK1183" s="53" t="str">
        <f>_xlfn.XLOOKUP(Master[[#This Row],[cu_id]],'[1]Customer Revenue'!$Q:$Q,'[1]Customer Revenue'!$I:$I, "None")</f>
        <v>None</v>
      </c>
      <c r="AL1183" s="53">
        <v>20.952692307692306</v>
      </c>
      <c r="AM1183" s="61">
        <v>0.375</v>
      </c>
      <c r="AN1183" s="60">
        <v>0.70833333333333337</v>
      </c>
      <c r="AO1183" s="60" t="s">
        <v>36</v>
      </c>
      <c r="AP1183" s="60" t="s">
        <v>36</v>
      </c>
      <c r="AQ1183" s="58" t="s">
        <v>0</v>
      </c>
      <c r="AR1183" s="58"/>
      <c r="AS1183" s="58"/>
      <c r="AT1183" s="52">
        <v>0</v>
      </c>
      <c r="AU1183" s="52" t="e">
        <f>IF(Master[[#This Row],[RSP StopTime override]] &lt;&gt; "",Master[[#This Row],[RSP StopTime override]],IF(Master[[#This Row],[Avg stop time helper]] &lt;&gt; 0, Master[[#This Row],[Avg stop time helper]],Average_Stop_Time))</f>
        <v>#DIV/0!</v>
      </c>
      <c r="AV1183" s="21"/>
      <c r="AW1183" s="20">
        <f>Master[[#This Row],[RSP StopTime override]]-Master[[#This Row],[Avg stop time helper]]</f>
        <v>0</v>
      </c>
    </row>
    <row r="1184" spans="1:49" x14ac:dyDescent="0.3">
      <c r="A1184" s="66" t="s">
        <v>5188</v>
      </c>
      <c r="B1184" s="58">
        <v>56</v>
      </c>
      <c r="C1184" s="58" t="s">
        <v>15</v>
      </c>
      <c r="D1184" s="65">
        <v>807616</v>
      </c>
      <c r="E1184" s="65" t="s">
        <v>42</v>
      </c>
      <c r="F1184" s="65" t="s">
        <v>1108</v>
      </c>
      <c r="G1184" s="65" t="s">
        <v>1107</v>
      </c>
      <c r="H1184" s="65" t="s">
        <v>7</v>
      </c>
      <c r="I1184" s="65" t="s">
        <v>1084</v>
      </c>
      <c r="J1184" s="65" t="s">
        <v>5</v>
      </c>
      <c r="K1184" s="65" t="s">
        <v>1088</v>
      </c>
      <c r="L1184" s="64" t="s">
        <v>67</v>
      </c>
      <c r="M1184" s="58" t="s">
        <v>3</v>
      </c>
      <c r="N1184" s="58" t="s">
        <v>2</v>
      </c>
      <c r="O1184" s="58">
        <v>75</v>
      </c>
      <c r="P1184" s="58">
        <v>0</v>
      </c>
      <c r="Q1184" s="58">
        <v>0</v>
      </c>
      <c r="R1184" s="58">
        <v>0</v>
      </c>
      <c r="S1184" s="58">
        <v>0</v>
      </c>
      <c r="T1184" s="58">
        <v>75</v>
      </c>
      <c r="U1184" s="58">
        <v>28</v>
      </c>
      <c r="V1184" s="62">
        <v>16</v>
      </c>
      <c r="W1184" s="62">
        <v>2</v>
      </c>
      <c r="X1184" s="63">
        <f>IFERROR(1 -(Master[[#This Row],[Avg Garment Scans per Delivery]]/Master[[#This Row],[Garment Inventory]]), 0)</f>
        <v>0.875</v>
      </c>
      <c r="Y1184" s="62">
        <v>1</v>
      </c>
      <c r="Z1184" s="62">
        <v>12</v>
      </c>
      <c r="AA1184" s="53">
        <v>20.970000000000006</v>
      </c>
      <c r="AB1184" s="53">
        <v>37.120000000000005</v>
      </c>
      <c r="AC1184" s="53">
        <v>24.501775147928992</v>
      </c>
      <c r="AD1184" s="53">
        <v>40.852071005917153</v>
      </c>
      <c r="AE1184" s="53" t="str">
        <f>_xlfn.XLOOKUP(Master[[#This Row],[cu_id]],'[1]Customer Revenue'!$Q:$Q,'[1]Customer Revenue'!$K:$K, "None")</f>
        <v>None</v>
      </c>
      <c r="AF1184" s="53" t="str">
        <f>_xlfn.XLOOKUP(Master[[#This Row],[cu_id]],'[1]Customer Revenue'!$Q:$Q,'[1]Customer Revenue'!$L:$L, "None")</f>
        <v>None</v>
      </c>
      <c r="AG1184" s="53">
        <v>22.809856000000011</v>
      </c>
      <c r="AH1184" s="53">
        <v>41.087744000000008</v>
      </c>
      <c r="AI1184" s="53">
        <v>29.045000000000005</v>
      </c>
      <c r="AJ1184" s="53">
        <v>32.676923076923075</v>
      </c>
      <c r="AK1184" s="53" t="str">
        <f>_xlfn.XLOOKUP(Master[[#This Row],[cu_id]],'[1]Customer Revenue'!$Q:$Q,'[1]Customer Revenue'!$I:$I, "None")</f>
        <v>None</v>
      </c>
      <c r="AL1184" s="53">
        <v>31.948800000000009</v>
      </c>
      <c r="AM1184" s="61">
        <v>0.33333333333333331</v>
      </c>
      <c r="AN1184" s="60">
        <v>0.70833333333333337</v>
      </c>
      <c r="AO1184" s="60" t="s">
        <v>36</v>
      </c>
      <c r="AP1184" s="60" t="s">
        <v>36</v>
      </c>
      <c r="AQ1184" s="58" t="s">
        <v>0</v>
      </c>
      <c r="AR1184" s="58"/>
      <c r="AS1184" s="58"/>
      <c r="AT1184" s="52">
        <v>0</v>
      </c>
      <c r="AU1184" s="52" t="e">
        <f>IF(Master[[#This Row],[RSP StopTime override]] &lt;&gt; "",Master[[#This Row],[RSP StopTime override]],IF(Master[[#This Row],[Avg stop time helper]] &lt;&gt; 0, Master[[#This Row],[Avg stop time helper]],Average_Stop_Time))</f>
        <v>#DIV/0!</v>
      </c>
      <c r="AV1184" s="21"/>
      <c r="AW1184" s="20">
        <f>Master[[#This Row],[RSP StopTime override]]-Master[[#This Row],[Avg stop time helper]]</f>
        <v>0</v>
      </c>
    </row>
    <row r="1185" spans="1:49" x14ac:dyDescent="0.3">
      <c r="A1185" s="66" t="s">
        <v>5189</v>
      </c>
      <c r="B1185" s="58">
        <v>56</v>
      </c>
      <c r="C1185" s="58" t="s">
        <v>15</v>
      </c>
      <c r="D1185" s="65">
        <v>807715</v>
      </c>
      <c r="E1185" s="65" t="s">
        <v>42</v>
      </c>
      <c r="F1185" s="65" t="s">
        <v>1106</v>
      </c>
      <c r="G1185" s="65" t="s">
        <v>1105</v>
      </c>
      <c r="H1185" s="65" t="s">
        <v>7</v>
      </c>
      <c r="I1185" s="65" t="s">
        <v>1084</v>
      </c>
      <c r="J1185" s="65" t="s">
        <v>5</v>
      </c>
      <c r="K1185" s="65" t="s">
        <v>1088</v>
      </c>
      <c r="L1185" s="64" t="s">
        <v>77</v>
      </c>
      <c r="M1185" s="58" t="s">
        <v>29</v>
      </c>
      <c r="N1185" s="58" t="s">
        <v>2</v>
      </c>
      <c r="O1185" s="58">
        <v>50</v>
      </c>
      <c r="P1185" s="58">
        <v>0</v>
      </c>
      <c r="Q1185" s="58">
        <v>0</v>
      </c>
      <c r="R1185" s="58">
        <v>0</v>
      </c>
      <c r="S1185" s="58">
        <v>0</v>
      </c>
      <c r="T1185" s="58">
        <v>50</v>
      </c>
      <c r="U1185" s="58">
        <v>20</v>
      </c>
      <c r="V1185" s="62"/>
      <c r="W1185" s="62"/>
      <c r="X1185" s="63">
        <f>IFERROR(1 -(Master[[#This Row],[Avg Garment Scans per Delivery]]/Master[[#This Row],[Garment Inventory]]), 0)</f>
        <v>0</v>
      </c>
      <c r="Y1185" s="62"/>
      <c r="Z1185" s="62"/>
      <c r="AA1185" s="53">
        <v>50.969791666666687</v>
      </c>
      <c r="AB1185" s="53">
        <v>112.13354166666667</v>
      </c>
      <c r="AC1185" s="53">
        <v>81.428888888888878</v>
      </c>
      <c r="AD1185" s="53">
        <v>82.797777777777782</v>
      </c>
      <c r="AE1185" s="53" t="str">
        <f>_xlfn.XLOOKUP(Master[[#This Row],[cu_id]],'[1]Customer Revenue'!$Q:$Q,'[1]Customer Revenue'!$K:$K, "None")</f>
        <v>None</v>
      </c>
      <c r="AF1185" s="53" t="str">
        <f>_xlfn.XLOOKUP(Master[[#This Row],[cu_id]],'[1]Customer Revenue'!$Q:$Q,'[1]Customer Revenue'!$L:$L, "None")</f>
        <v>None</v>
      </c>
      <c r="AG1185" s="53">
        <v>62.242307692307691</v>
      </c>
      <c r="AH1185" s="53">
        <v>121.1423076923077</v>
      </c>
      <c r="AI1185" s="53">
        <v>81.551666666666677</v>
      </c>
      <c r="AJ1185" s="53">
        <v>82.11333333333333</v>
      </c>
      <c r="AK1185" s="53" t="str">
        <f>_xlfn.XLOOKUP(Master[[#This Row],[cu_id]],'[1]Customer Revenue'!$Q:$Q,'[1]Customer Revenue'!$I:$I, "None")</f>
        <v>None</v>
      </c>
      <c r="AL1185" s="53">
        <v>91.692307692307693</v>
      </c>
      <c r="AM1185" s="61">
        <v>0.35416666666666669</v>
      </c>
      <c r="AN1185" s="60">
        <v>0.70833333333333337</v>
      </c>
      <c r="AO1185" s="60" t="s">
        <v>36</v>
      </c>
      <c r="AP1185" s="60" t="s">
        <v>36</v>
      </c>
      <c r="AQ1185" s="58" t="s">
        <v>0</v>
      </c>
      <c r="AR1185" s="58"/>
      <c r="AS1185" s="58"/>
      <c r="AT1185" s="52">
        <v>0</v>
      </c>
      <c r="AU1185" s="52" t="e">
        <f>IF(Master[[#This Row],[RSP StopTime override]] &lt;&gt; "",Master[[#This Row],[RSP StopTime override]],IF(Master[[#This Row],[Avg stop time helper]] &lt;&gt; 0, Master[[#This Row],[Avg stop time helper]],Average_Stop_Time))</f>
        <v>#DIV/0!</v>
      </c>
      <c r="AV1185" s="21"/>
      <c r="AW1185" s="20">
        <f>Master[[#This Row],[RSP StopTime override]]-Master[[#This Row],[Avg stop time helper]]</f>
        <v>0</v>
      </c>
    </row>
    <row r="1186" spans="1:49" x14ac:dyDescent="0.3">
      <c r="A1186" s="66" t="s">
        <v>5190</v>
      </c>
      <c r="B1186" s="58">
        <v>56</v>
      </c>
      <c r="C1186" s="58" t="s">
        <v>15</v>
      </c>
      <c r="D1186" s="65">
        <v>808004</v>
      </c>
      <c r="E1186" s="65" t="s">
        <v>42</v>
      </c>
      <c r="F1186" s="65" t="s">
        <v>1104</v>
      </c>
      <c r="G1186" s="65" t="s">
        <v>1103</v>
      </c>
      <c r="H1186" s="65" t="s">
        <v>7</v>
      </c>
      <c r="I1186" s="65" t="s">
        <v>1084</v>
      </c>
      <c r="J1186" s="65" t="s">
        <v>5</v>
      </c>
      <c r="K1186" s="65" t="s">
        <v>1088</v>
      </c>
      <c r="L1186" s="64" t="s">
        <v>67</v>
      </c>
      <c r="M1186" s="58" t="s">
        <v>3</v>
      </c>
      <c r="N1186" s="58" t="s">
        <v>2</v>
      </c>
      <c r="O1186" s="58">
        <v>85</v>
      </c>
      <c r="P1186" s="58">
        <v>0</v>
      </c>
      <c r="Q1186" s="58">
        <v>0</v>
      </c>
      <c r="R1186" s="58">
        <v>0</v>
      </c>
      <c r="S1186" s="58">
        <v>0</v>
      </c>
      <c r="T1186" s="58">
        <v>85</v>
      </c>
      <c r="U1186" s="58">
        <v>32</v>
      </c>
      <c r="V1186" s="62"/>
      <c r="W1186" s="62"/>
      <c r="X1186" s="63">
        <f>IFERROR(1 -(Master[[#This Row],[Avg Garment Scans per Delivery]]/Master[[#This Row],[Garment Inventory]]), 0)</f>
        <v>0</v>
      </c>
      <c r="Y1186" s="62"/>
      <c r="Z1186" s="62"/>
      <c r="AA1186" s="53">
        <v>23.483333333333334</v>
      </c>
      <c r="AB1186" s="53">
        <v>40.843333333333334</v>
      </c>
      <c r="AC1186" s="53">
        <v>23.136802721088433</v>
      </c>
      <c r="AD1186" s="53">
        <v>46.549863945578238</v>
      </c>
      <c r="AE1186" s="53" t="str">
        <f>_xlfn.XLOOKUP(Master[[#This Row],[cu_id]],'[1]Customer Revenue'!$Q:$Q,'[1]Customer Revenue'!$K:$K, "None")</f>
        <v>None</v>
      </c>
      <c r="AF1186" s="53" t="str">
        <f>_xlfn.XLOOKUP(Master[[#This Row],[cu_id]],'[1]Customer Revenue'!$Q:$Q,'[1]Customer Revenue'!$L:$L, "None")</f>
        <v>None</v>
      </c>
      <c r="AG1186" s="53">
        <v>22.903846153846153</v>
      </c>
      <c r="AH1186" s="53">
        <v>39.917692307692299</v>
      </c>
      <c r="AI1186" s="53">
        <v>32.163333333333334</v>
      </c>
      <c r="AJ1186" s="53">
        <v>34.843333333333334</v>
      </c>
      <c r="AK1186" s="53" t="str">
        <f>_xlfn.XLOOKUP(Master[[#This Row],[cu_id]],'[1]Customer Revenue'!$Q:$Q,'[1]Customer Revenue'!$I:$I, "None")</f>
        <v>None</v>
      </c>
      <c r="AL1186" s="53">
        <v>31.410769230769226</v>
      </c>
      <c r="AM1186" s="61">
        <v>0.33333333333333331</v>
      </c>
      <c r="AN1186" s="60">
        <v>0.70833333333333337</v>
      </c>
      <c r="AO1186" s="60" t="s">
        <v>36</v>
      </c>
      <c r="AP1186" s="60" t="s">
        <v>36</v>
      </c>
      <c r="AQ1186" s="58" t="s">
        <v>0</v>
      </c>
      <c r="AR1186" s="58"/>
      <c r="AS1186" s="58"/>
      <c r="AT1186" s="52">
        <v>0</v>
      </c>
      <c r="AU1186" s="52" t="e">
        <f>IF(Master[[#This Row],[RSP StopTime override]] &lt;&gt; "",Master[[#This Row],[RSP StopTime override]],IF(Master[[#This Row],[Avg stop time helper]] &lt;&gt; 0, Master[[#This Row],[Avg stop time helper]],Average_Stop_Time))</f>
        <v>#DIV/0!</v>
      </c>
      <c r="AV1186" s="21"/>
      <c r="AW1186" s="20">
        <f>Master[[#This Row],[RSP StopTime override]]-Master[[#This Row],[Avg stop time helper]]</f>
        <v>0</v>
      </c>
    </row>
    <row r="1187" spans="1:49" x14ac:dyDescent="0.3">
      <c r="A1187" s="66" t="s">
        <v>5191</v>
      </c>
      <c r="B1187" s="58">
        <v>56</v>
      </c>
      <c r="C1187" s="58" t="s">
        <v>15</v>
      </c>
      <c r="D1187" s="65">
        <v>808507</v>
      </c>
      <c r="E1187" s="65" t="s">
        <v>42</v>
      </c>
      <c r="F1187" s="65" t="s">
        <v>1102</v>
      </c>
      <c r="G1187" s="65" t="s">
        <v>1101</v>
      </c>
      <c r="H1187" s="65" t="s">
        <v>7</v>
      </c>
      <c r="I1187" s="65" t="s">
        <v>1084</v>
      </c>
      <c r="J1187" s="65" t="s">
        <v>5</v>
      </c>
      <c r="K1187" s="65" t="s">
        <v>1088</v>
      </c>
      <c r="L1187" s="64" t="s">
        <v>91</v>
      </c>
      <c r="M1187" s="58" t="s">
        <v>90</v>
      </c>
      <c r="N1187" s="58" t="s">
        <v>2</v>
      </c>
      <c r="O1187" s="58">
        <v>53</v>
      </c>
      <c r="P1187" s="58">
        <v>0</v>
      </c>
      <c r="Q1187" s="58">
        <v>0</v>
      </c>
      <c r="R1187" s="58">
        <v>0</v>
      </c>
      <c r="S1187" s="58">
        <v>0</v>
      </c>
      <c r="T1187" s="58">
        <v>53</v>
      </c>
      <c r="U1187" s="58">
        <v>15</v>
      </c>
      <c r="V1187" s="62"/>
      <c r="W1187" s="62"/>
      <c r="X1187" s="63">
        <f>IFERROR(1 -(Master[[#This Row],[Avg Garment Scans per Delivery]]/Master[[#This Row],[Garment Inventory]]), 0)</f>
        <v>0</v>
      </c>
      <c r="Y1187" s="62"/>
      <c r="Z1187" s="62"/>
      <c r="AA1187" s="53">
        <v>24.221755102040813</v>
      </c>
      <c r="AB1187" s="53">
        <v>67.446244897959176</v>
      </c>
      <c r="AC1187" s="53">
        <v>28.75</v>
      </c>
      <c r="AD1187" s="53">
        <v>68.509999999999991</v>
      </c>
      <c r="AE1187" s="53" t="str">
        <f>_xlfn.XLOOKUP(Master[[#This Row],[cu_id]],'[1]Customer Revenue'!$Q:$Q,'[1]Customer Revenue'!$K:$K, "None")</f>
        <v>None</v>
      </c>
      <c r="AF1187" s="53" t="str">
        <f>_xlfn.XLOOKUP(Master[[#This Row],[cu_id]],'[1]Customer Revenue'!$Q:$Q,'[1]Customer Revenue'!$L:$L, "None")</f>
        <v>None</v>
      </c>
      <c r="AG1187" s="53">
        <v>24.84174603174603</v>
      </c>
      <c r="AH1187" s="53">
        <v>70.156031746031758</v>
      </c>
      <c r="AI1187" s="53">
        <v>45.833999999999996</v>
      </c>
      <c r="AJ1187" s="53">
        <v>48.629999999999995</v>
      </c>
      <c r="AK1187" s="53" t="str">
        <f>_xlfn.XLOOKUP(Master[[#This Row],[cu_id]],'[1]Customer Revenue'!$Q:$Q,'[1]Customer Revenue'!$I:$I, "None")</f>
        <v>None</v>
      </c>
      <c r="AL1187" s="53">
        <v>47.498888888888892</v>
      </c>
      <c r="AM1187" s="61" t="s">
        <v>36</v>
      </c>
      <c r="AN1187" s="60" t="s">
        <v>36</v>
      </c>
      <c r="AO1187" s="60" t="s">
        <v>36</v>
      </c>
      <c r="AP1187" s="60" t="s">
        <v>36</v>
      </c>
      <c r="AQ1187" s="58" t="s">
        <v>0</v>
      </c>
      <c r="AR1187" s="58"/>
      <c r="AS1187" s="58"/>
      <c r="AT1187" s="52">
        <v>0</v>
      </c>
      <c r="AU1187" s="52" t="e">
        <f>IF(Master[[#This Row],[RSP StopTime override]] &lt;&gt; "",Master[[#This Row],[RSP StopTime override]],IF(Master[[#This Row],[Avg stop time helper]] &lt;&gt; 0, Master[[#This Row],[Avg stop time helper]],Average_Stop_Time))</f>
        <v>#DIV/0!</v>
      </c>
      <c r="AV1187" s="21"/>
      <c r="AW1187" s="20">
        <f>Master[[#This Row],[RSP StopTime override]]-Master[[#This Row],[Avg stop time helper]]</f>
        <v>0</v>
      </c>
    </row>
    <row r="1188" spans="1:49" x14ac:dyDescent="0.3">
      <c r="A1188" s="66" t="s">
        <v>5192</v>
      </c>
      <c r="B1188" s="58">
        <v>56</v>
      </c>
      <c r="C1188" s="58" t="s">
        <v>15</v>
      </c>
      <c r="D1188" s="65">
        <v>808536</v>
      </c>
      <c r="E1188" s="65" t="s">
        <v>42</v>
      </c>
      <c r="F1188" s="65" t="s">
        <v>1100</v>
      </c>
      <c r="G1188" s="65" t="s">
        <v>1099</v>
      </c>
      <c r="H1188" s="65" t="s">
        <v>7</v>
      </c>
      <c r="I1188" s="65" t="s">
        <v>1084</v>
      </c>
      <c r="J1188" s="65" t="s">
        <v>5</v>
      </c>
      <c r="K1188" s="65" t="s">
        <v>1088</v>
      </c>
      <c r="L1188" s="64" t="s">
        <v>206</v>
      </c>
      <c r="M1188" s="58" t="s">
        <v>205</v>
      </c>
      <c r="N1188" s="58" t="s">
        <v>2</v>
      </c>
      <c r="O1188" s="58">
        <v>40</v>
      </c>
      <c r="P1188" s="58">
        <v>0</v>
      </c>
      <c r="Q1188" s="58">
        <v>0</v>
      </c>
      <c r="R1188" s="58">
        <v>0</v>
      </c>
      <c r="S1188" s="58">
        <v>0</v>
      </c>
      <c r="T1188" s="58">
        <v>40</v>
      </c>
      <c r="U1188" s="58">
        <v>12</v>
      </c>
      <c r="V1188" s="62"/>
      <c r="W1188" s="62"/>
      <c r="X1188" s="63">
        <f>IFERROR(1 -(Master[[#This Row],[Avg Garment Scans per Delivery]]/Master[[#This Row],[Garment Inventory]]), 0)</f>
        <v>0</v>
      </c>
      <c r="Y1188" s="62"/>
      <c r="Z1188" s="62"/>
      <c r="AA1188" s="53">
        <v>57.56</v>
      </c>
      <c r="AB1188" s="53">
        <v>57.56</v>
      </c>
      <c r="AC1188" s="53">
        <v>37.233333333333327</v>
      </c>
      <c r="AD1188" s="53">
        <v>81.913333333333327</v>
      </c>
      <c r="AE1188" s="53" t="str">
        <f>_xlfn.XLOOKUP(Master[[#This Row],[cu_id]],'[1]Customer Revenue'!$Q:$Q,'[1]Customer Revenue'!$K:$K, "None")</f>
        <v>None</v>
      </c>
      <c r="AF1188" s="53" t="str">
        <f>_xlfn.XLOOKUP(Master[[#This Row],[cu_id]],'[1]Customer Revenue'!$Q:$Q,'[1]Customer Revenue'!$L:$L, "None")</f>
        <v>None</v>
      </c>
      <c r="AG1188" s="53">
        <v>45.942925170068023</v>
      </c>
      <c r="AH1188" s="53">
        <v>75.743741496598645</v>
      </c>
      <c r="AI1188" s="53">
        <v>57.56</v>
      </c>
      <c r="AJ1188" s="53">
        <v>59.573333333333331</v>
      </c>
      <c r="AK1188" s="53" t="str">
        <f>_xlfn.XLOOKUP(Master[[#This Row],[cu_id]],'[1]Customer Revenue'!$Q:$Q,'[1]Customer Revenue'!$I:$I, "None")</f>
        <v>None</v>
      </c>
      <c r="AL1188" s="53">
        <v>60.843333333333334</v>
      </c>
      <c r="AM1188" s="61">
        <v>0.375</v>
      </c>
      <c r="AN1188" s="60">
        <v>0.70833333333333337</v>
      </c>
      <c r="AO1188" s="60" t="s">
        <v>36</v>
      </c>
      <c r="AP1188" s="60" t="s">
        <v>36</v>
      </c>
      <c r="AQ1188" s="58" t="s">
        <v>0</v>
      </c>
      <c r="AR1188" s="58"/>
      <c r="AS1188" s="58"/>
      <c r="AT1188" s="52">
        <v>0</v>
      </c>
      <c r="AU1188" s="52" t="e">
        <f>IF(Master[[#This Row],[RSP StopTime override]] &lt;&gt; "",Master[[#This Row],[RSP StopTime override]],IF(Master[[#This Row],[Avg stop time helper]] &lt;&gt; 0, Master[[#This Row],[Avg stop time helper]],Average_Stop_Time))</f>
        <v>#DIV/0!</v>
      </c>
      <c r="AV1188" s="21"/>
      <c r="AW1188" s="20">
        <f>Master[[#This Row],[RSP StopTime override]]-Master[[#This Row],[Avg stop time helper]]</f>
        <v>0</v>
      </c>
    </row>
    <row r="1189" spans="1:49" x14ac:dyDescent="0.3">
      <c r="A1189" s="66" t="s">
        <v>5193</v>
      </c>
      <c r="B1189" s="58">
        <v>56</v>
      </c>
      <c r="C1189" s="58" t="s">
        <v>15</v>
      </c>
      <c r="D1189" s="65">
        <v>808537</v>
      </c>
      <c r="E1189" s="65" t="s">
        <v>42</v>
      </c>
      <c r="F1189" s="65" t="s">
        <v>1098</v>
      </c>
      <c r="G1189" s="65" t="s">
        <v>1097</v>
      </c>
      <c r="H1189" s="65" t="s">
        <v>7</v>
      </c>
      <c r="I1189" s="65" t="s">
        <v>1084</v>
      </c>
      <c r="J1189" s="65" t="s">
        <v>5</v>
      </c>
      <c r="K1189" s="65" t="s">
        <v>1088</v>
      </c>
      <c r="L1189" s="64" t="s">
        <v>206</v>
      </c>
      <c r="M1189" s="58" t="s">
        <v>205</v>
      </c>
      <c r="N1189" s="58" t="s">
        <v>2</v>
      </c>
      <c r="O1189" s="58">
        <v>40</v>
      </c>
      <c r="P1189" s="58">
        <v>0</v>
      </c>
      <c r="Q1189" s="58">
        <v>0</v>
      </c>
      <c r="R1189" s="58">
        <v>0</v>
      </c>
      <c r="S1189" s="58">
        <v>0</v>
      </c>
      <c r="T1189" s="58">
        <v>40</v>
      </c>
      <c r="U1189" s="58">
        <v>10</v>
      </c>
      <c r="V1189" s="62"/>
      <c r="W1189" s="62"/>
      <c r="X1189" s="63">
        <f>IFERROR(1 -(Master[[#This Row],[Avg Garment Scans per Delivery]]/Master[[#This Row],[Garment Inventory]]), 0)</f>
        <v>0</v>
      </c>
      <c r="Y1189" s="62"/>
      <c r="Z1189" s="62"/>
      <c r="AA1189" s="53">
        <v>23.44</v>
      </c>
      <c r="AB1189" s="53">
        <v>23.44</v>
      </c>
      <c r="AC1189" s="53">
        <v>15.908333333333331</v>
      </c>
      <c r="AD1189" s="53">
        <v>34.998333333333335</v>
      </c>
      <c r="AE1189" s="53" t="str">
        <f>_xlfn.XLOOKUP(Master[[#This Row],[cu_id]],'[1]Customer Revenue'!$Q:$Q,'[1]Customer Revenue'!$K:$K, "None")</f>
        <v>None</v>
      </c>
      <c r="AF1189" s="53" t="str">
        <f>_xlfn.XLOOKUP(Master[[#This Row],[cu_id]],'[1]Customer Revenue'!$Q:$Q,'[1]Customer Revenue'!$L:$L, "None")</f>
        <v>None</v>
      </c>
      <c r="AG1189" s="53">
        <v>23.44</v>
      </c>
      <c r="AH1189" s="53">
        <v>23.44</v>
      </c>
      <c r="AI1189" s="53">
        <v>23.44</v>
      </c>
      <c r="AJ1189" s="53">
        <v>25.453333333333333</v>
      </c>
      <c r="AK1189" s="53" t="str">
        <f>_xlfn.XLOOKUP(Master[[#This Row],[cu_id]],'[1]Customer Revenue'!$Q:$Q,'[1]Customer Revenue'!$I:$I, "None")</f>
        <v>None</v>
      </c>
      <c r="AL1189" s="53">
        <v>23.44</v>
      </c>
      <c r="AM1189" s="61">
        <v>0.375</v>
      </c>
      <c r="AN1189" s="60">
        <v>0.70833333333333337</v>
      </c>
      <c r="AO1189" s="60" t="s">
        <v>36</v>
      </c>
      <c r="AP1189" s="60" t="s">
        <v>36</v>
      </c>
      <c r="AQ1189" s="58" t="s">
        <v>0</v>
      </c>
      <c r="AR1189" s="58"/>
      <c r="AS1189" s="58"/>
      <c r="AT1189" s="52">
        <v>0</v>
      </c>
      <c r="AU1189" s="52" t="e">
        <f>IF(Master[[#This Row],[RSP StopTime override]] &lt;&gt; "",Master[[#This Row],[RSP StopTime override]],IF(Master[[#This Row],[Avg stop time helper]] &lt;&gt; 0, Master[[#This Row],[Avg stop time helper]],Average_Stop_Time))</f>
        <v>#DIV/0!</v>
      </c>
      <c r="AV1189" s="21"/>
      <c r="AW1189" s="20">
        <f>Master[[#This Row],[RSP StopTime override]]-Master[[#This Row],[Avg stop time helper]]</f>
        <v>0</v>
      </c>
    </row>
    <row r="1190" spans="1:49" x14ac:dyDescent="0.3">
      <c r="A1190" s="66" t="s">
        <v>5194</v>
      </c>
      <c r="B1190" s="58">
        <v>56</v>
      </c>
      <c r="C1190" s="58" t="s">
        <v>15</v>
      </c>
      <c r="D1190" s="65">
        <v>808552</v>
      </c>
      <c r="E1190" s="65" t="s">
        <v>42</v>
      </c>
      <c r="F1190" s="65" t="s">
        <v>1096</v>
      </c>
      <c r="G1190" s="65" t="s">
        <v>1095</v>
      </c>
      <c r="H1190" s="65" t="s">
        <v>7</v>
      </c>
      <c r="I1190" s="65" t="s">
        <v>1084</v>
      </c>
      <c r="J1190" s="65" t="s">
        <v>5</v>
      </c>
      <c r="K1190" s="65" t="s">
        <v>1088</v>
      </c>
      <c r="L1190" s="64" t="s">
        <v>141</v>
      </c>
      <c r="M1190" s="58" t="s">
        <v>140</v>
      </c>
      <c r="N1190" s="58" t="s">
        <v>2</v>
      </c>
      <c r="O1190" s="58">
        <v>80</v>
      </c>
      <c r="P1190" s="58">
        <v>0</v>
      </c>
      <c r="Q1190" s="58">
        <v>0</v>
      </c>
      <c r="R1190" s="58">
        <v>0</v>
      </c>
      <c r="S1190" s="58">
        <v>0</v>
      </c>
      <c r="T1190" s="58">
        <v>80</v>
      </c>
      <c r="U1190" s="58">
        <v>10</v>
      </c>
      <c r="V1190" s="62"/>
      <c r="W1190" s="62"/>
      <c r="X1190" s="63">
        <f>IFERROR(1 -(Master[[#This Row],[Avg Garment Scans per Delivery]]/Master[[#This Row],[Garment Inventory]]), 0)</f>
        <v>0</v>
      </c>
      <c r="Y1190" s="62"/>
      <c r="Z1190" s="62"/>
      <c r="AA1190" s="53">
        <v>11.9925</v>
      </c>
      <c r="AB1190" s="53">
        <v>13.1175</v>
      </c>
      <c r="AC1190" s="53">
        <v>13.508888888888889</v>
      </c>
      <c r="AD1190" s="53">
        <v>14.877777777777778</v>
      </c>
      <c r="AE1190" s="53" t="str">
        <f>_xlfn.XLOOKUP(Master[[#This Row],[cu_id]],'[1]Customer Revenue'!$Q:$Q,'[1]Customer Revenue'!$K:$K, "None")</f>
        <v>None</v>
      </c>
      <c r="AF1190" s="53" t="str">
        <f>_xlfn.XLOOKUP(Master[[#This Row],[cu_id]],'[1]Customer Revenue'!$Q:$Q,'[1]Customer Revenue'!$L:$L, "None")</f>
        <v>None</v>
      </c>
      <c r="AG1190" s="53">
        <v>9.6830357142857117</v>
      </c>
      <c r="AH1190" s="53">
        <v>15.105535714285715</v>
      </c>
      <c r="AI1190" s="53">
        <v>12.555</v>
      </c>
      <c r="AJ1190" s="53">
        <v>14.193333333333333</v>
      </c>
      <c r="AK1190" s="53" t="str">
        <f>_xlfn.XLOOKUP(Master[[#This Row],[cu_id]],'[1]Customer Revenue'!$Q:$Q,'[1]Customer Revenue'!$I:$I, "None")</f>
        <v>None</v>
      </c>
      <c r="AL1190" s="53">
        <v>12.394285714285713</v>
      </c>
      <c r="AM1190" s="61">
        <v>0.375</v>
      </c>
      <c r="AN1190" s="60">
        <v>0.625</v>
      </c>
      <c r="AO1190" s="60" t="s">
        <v>36</v>
      </c>
      <c r="AP1190" s="60" t="s">
        <v>36</v>
      </c>
      <c r="AQ1190" s="58" t="s">
        <v>0</v>
      </c>
      <c r="AR1190" s="58"/>
      <c r="AS1190" s="58"/>
      <c r="AT1190" s="52">
        <v>0</v>
      </c>
      <c r="AU1190" s="52" t="e">
        <f>IF(Master[[#This Row],[RSP StopTime override]] &lt;&gt; "",Master[[#This Row],[RSP StopTime override]],IF(Master[[#This Row],[Avg stop time helper]] &lt;&gt; 0, Master[[#This Row],[Avg stop time helper]],Average_Stop_Time))</f>
        <v>#DIV/0!</v>
      </c>
      <c r="AV1190" s="21"/>
      <c r="AW1190" s="20">
        <f>Master[[#This Row],[RSP StopTime override]]-Master[[#This Row],[Avg stop time helper]]</f>
        <v>0</v>
      </c>
    </row>
    <row r="1191" spans="1:49" x14ac:dyDescent="0.3">
      <c r="A1191" s="66" t="s">
        <v>5195</v>
      </c>
      <c r="B1191" s="58">
        <v>56</v>
      </c>
      <c r="C1191" s="58" t="s">
        <v>15</v>
      </c>
      <c r="D1191" s="65">
        <v>808623</v>
      </c>
      <c r="E1191" s="65" t="s">
        <v>42</v>
      </c>
      <c r="F1191" s="65" t="s">
        <v>1094</v>
      </c>
      <c r="G1191" s="65" t="s">
        <v>1093</v>
      </c>
      <c r="H1191" s="65" t="s">
        <v>7</v>
      </c>
      <c r="I1191" s="65" t="s">
        <v>1084</v>
      </c>
      <c r="J1191" s="65" t="s">
        <v>5</v>
      </c>
      <c r="K1191" s="65" t="s">
        <v>1088</v>
      </c>
      <c r="L1191" s="64" t="s">
        <v>67</v>
      </c>
      <c r="M1191" s="58" t="s">
        <v>3</v>
      </c>
      <c r="N1191" s="58" t="s">
        <v>2</v>
      </c>
      <c r="O1191" s="58">
        <v>28</v>
      </c>
      <c r="P1191" s="58">
        <v>0</v>
      </c>
      <c r="Q1191" s="58">
        <v>0</v>
      </c>
      <c r="R1191" s="58">
        <v>0</v>
      </c>
      <c r="S1191" s="58">
        <v>0</v>
      </c>
      <c r="T1191" s="58">
        <v>38</v>
      </c>
      <c r="U1191" s="58">
        <v>24</v>
      </c>
      <c r="V1191" s="62"/>
      <c r="W1191" s="62"/>
      <c r="X1191" s="63">
        <f>IFERROR(1 -(Master[[#This Row],[Avg Garment Scans per Delivery]]/Master[[#This Row],[Garment Inventory]]), 0)</f>
        <v>0</v>
      </c>
      <c r="Y1191" s="62"/>
      <c r="Z1191" s="62"/>
      <c r="AA1191" s="53">
        <v>13.352</v>
      </c>
      <c r="AB1191" s="53">
        <v>20.028000000000002</v>
      </c>
      <c r="AC1191" s="53">
        <v>27.527120315581858</v>
      </c>
      <c r="AD1191" s="53">
        <v>36.639546351084817</v>
      </c>
      <c r="AE1191" s="53" t="str">
        <f>_xlfn.XLOOKUP(Master[[#This Row],[cu_id]],'[1]Customer Revenue'!$Q:$Q,'[1]Customer Revenue'!$K:$K, "None")</f>
        <v>None</v>
      </c>
      <c r="AF1191" s="53" t="str">
        <f>_xlfn.XLOOKUP(Master[[#This Row],[cu_id]],'[1]Customer Revenue'!$Q:$Q,'[1]Customer Revenue'!$L:$L, "None")</f>
        <v>None</v>
      </c>
      <c r="AG1191" s="53">
        <v>10.769090909090909</v>
      </c>
      <c r="AH1191" s="53">
        <v>35.341818181818184</v>
      </c>
      <c r="AI1191" s="53">
        <v>16.690000000000001</v>
      </c>
      <c r="AJ1191" s="53">
        <v>32.083333333333336</v>
      </c>
      <c r="AK1191" s="53" t="str">
        <f>_xlfn.XLOOKUP(Master[[#This Row],[cu_id]],'[1]Customer Revenue'!$Q:$Q,'[1]Customer Revenue'!$I:$I, "None")</f>
        <v>None</v>
      </c>
      <c r="AL1191" s="53">
        <v>23.055454545454548</v>
      </c>
      <c r="AM1191" s="61">
        <v>0.41666666666666669</v>
      </c>
      <c r="AN1191" s="60">
        <v>0.70833333333333337</v>
      </c>
      <c r="AO1191" s="60" t="s">
        <v>36</v>
      </c>
      <c r="AP1191" s="60" t="s">
        <v>36</v>
      </c>
      <c r="AQ1191" s="58" t="s">
        <v>0</v>
      </c>
      <c r="AR1191" s="58"/>
      <c r="AS1191" s="58"/>
      <c r="AT1191" s="52">
        <v>0</v>
      </c>
      <c r="AU1191" s="52" t="e">
        <f>IF(Master[[#This Row],[RSP StopTime override]] &lt;&gt; "",Master[[#This Row],[RSP StopTime override]],IF(Master[[#This Row],[Avg stop time helper]] &lt;&gt; 0, Master[[#This Row],[Avg stop time helper]],Average_Stop_Time))</f>
        <v>#DIV/0!</v>
      </c>
      <c r="AV1191" s="21"/>
      <c r="AW1191" s="20">
        <f>Master[[#This Row],[RSP StopTime override]]-Master[[#This Row],[Avg stop time helper]]</f>
        <v>0</v>
      </c>
    </row>
    <row r="1192" spans="1:49" x14ac:dyDescent="0.3">
      <c r="A1192" s="66" t="s">
        <v>5196</v>
      </c>
      <c r="B1192" s="58">
        <v>56</v>
      </c>
      <c r="C1192" s="58" t="s">
        <v>15</v>
      </c>
      <c r="D1192" s="65">
        <v>808633</v>
      </c>
      <c r="E1192" s="65" t="s">
        <v>42</v>
      </c>
      <c r="F1192" s="65" t="s">
        <v>1092</v>
      </c>
      <c r="G1192" s="65" t="s">
        <v>1091</v>
      </c>
      <c r="H1192" s="65" t="s">
        <v>7</v>
      </c>
      <c r="I1192" s="65" t="s">
        <v>1084</v>
      </c>
      <c r="J1192" s="65" t="s">
        <v>5</v>
      </c>
      <c r="K1192" s="65" t="s">
        <v>1088</v>
      </c>
      <c r="L1192" s="64" t="s">
        <v>77</v>
      </c>
      <c r="M1192" s="58" t="s">
        <v>29</v>
      </c>
      <c r="N1192" s="58" t="s">
        <v>2</v>
      </c>
      <c r="O1192" s="58">
        <v>30</v>
      </c>
      <c r="P1192" s="58">
        <v>0</v>
      </c>
      <c r="Q1192" s="58">
        <v>0</v>
      </c>
      <c r="R1192" s="58">
        <v>0</v>
      </c>
      <c r="S1192" s="58">
        <v>0</v>
      </c>
      <c r="T1192" s="58">
        <v>30</v>
      </c>
      <c r="U1192" s="58">
        <v>18</v>
      </c>
      <c r="V1192" s="62"/>
      <c r="W1192" s="62"/>
      <c r="X1192" s="63">
        <f>IFERROR(1 -(Master[[#This Row],[Avg Garment Scans per Delivery]]/Master[[#This Row],[Garment Inventory]]), 0)</f>
        <v>0</v>
      </c>
      <c r="Y1192" s="62"/>
      <c r="Z1192" s="62"/>
      <c r="AA1192" s="53">
        <v>21.196938775510205</v>
      </c>
      <c r="AB1192" s="53">
        <v>21.931632653061222</v>
      </c>
      <c r="AC1192" s="53">
        <v>12.051020408163266</v>
      </c>
      <c r="AD1192" s="53">
        <v>35.188979591836734</v>
      </c>
      <c r="AE1192" s="53" t="str">
        <f>_xlfn.XLOOKUP(Master[[#This Row],[cu_id]],'[1]Customer Revenue'!$Q:$Q,'[1]Customer Revenue'!$K:$K, "None")</f>
        <v>None</v>
      </c>
      <c r="AF1192" s="53" t="str">
        <f>_xlfn.XLOOKUP(Master[[#This Row],[cu_id]],'[1]Customer Revenue'!$Q:$Q,'[1]Customer Revenue'!$L:$L, "None")</f>
        <v>None</v>
      </c>
      <c r="AG1192" s="53">
        <v>15.892280796126943</v>
      </c>
      <c r="AH1192" s="53">
        <v>27.080446476600326</v>
      </c>
      <c r="AI1192" s="53">
        <v>21.564285714285713</v>
      </c>
      <c r="AJ1192" s="53">
        <v>23.62</v>
      </c>
      <c r="AK1192" s="53" t="str">
        <f>_xlfn.XLOOKUP(Master[[#This Row],[cu_id]],'[1]Customer Revenue'!$Q:$Q,'[1]Customer Revenue'!$I:$I, "None")</f>
        <v>None</v>
      </c>
      <c r="AL1192" s="53">
        <v>21.486363636363635</v>
      </c>
      <c r="AM1192" s="61">
        <v>0.3125</v>
      </c>
      <c r="AN1192" s="60">
        <v>0</v>
      </c>
      <c r="AO1192" s="60">
        <v>0.58333333333333337</v>
      </c>
      <c r="AP1192" s="60">
        <v>0.70833333333333337</v>
      </c>
      <c r="AQ1192" s="58" t="s">
        <v>0</v>
      </c>
      <c r="AR1192" s="58"/>
      <c r="AS1192" s="58"/>
      <c r="AT1192" s="52">
        <v>0</v>
      </c>
      <c r="AU1192" s="52" t="e">
        <f>IF(Master[[#This Row],[RSP StopTime override]] &lt;&gt; "",Master[[#This Row],[RSP StopTime override]],IF(Master[[#This Row],[Avg stop time helper]] &lt;&gt; 0, Master[[#This Row],[Avg stop time helper]],Average_Stop_Time))</f>
        <v>#DIV/0!</v>
      </c>
      <c r="AV1192" s="21"/>
      <c r="AW1192" s="20">
        <f>Master[[#This Row],[RSP StopTime override]]-Master[[#This Row],[Avg stop time helper]]</f>
        <v>0</v>
      </c>
    </row>
    <row r="1193" spans="1:49" x14ac:dyDescent="0.3">
      <c r="A1193" s="66" t="s">
        <v>5197</v>
      </c>
      <c r="B1193" s="58">
        <v>56</v>
      </c>
      <c r="C1193" s="58" t="s">
        <v>15</v>
      </c>
      <c r="D1193" s="65">
        <v>808877</v>
      </c>
      <c r="E1193" s="65" t="s">
        <v>42</v>
      </c>
      <c r="F1193" s="65" t="s">
        <v>1090</v>
      </c>
      <c r="G1193" s="65" t="s">
        <v>1089</v>
      </c>
      <c r="H1193" s="65" t="s">
        <v>7</v>
      </c>
      <c r="I1193" s="65" t="s">
        <v>1084</v>
      </c>
      <c r="J1193" s="65" t="s">
        <v>5</v>
      </c>
      <c r="K1193" s="65" t="s">
        <v>1088</v>
      </c>
      <c r="L1193" s="64" t="s">
        <v>67</v>
      </c>
      <c r="M1193" s="58" t="s">
        <v>3</v>
      </c>
      <c r="N1193" s="58" t="s">
        <v>2</v>
      </c>
      <c r="O1193" s="58">
        <v>70</v>
      </c>
      <c r="P1193" s="58">
        <v>0</v>
      </c>
      <c r="Q1193" s="58">
        <v>0</v>
      </c>
      <c r="R1193" s="58">
        <v>0</v>
      </c>
      <c r="S1193" s="58">
        <v>0</v>
      </c>
      <c r="T1193" s="58">
        <v>70</v>
      </c>
      <c r="U1193" s="58">
        <v>39</v>
      </c>
      <c r="V1193" s="62">
        <v>89</v>
      </c>
      <c r="W1193" s="62">
        <v>12</v>
      </c>
      <c r="X1193" s="63">
        <f>IFERROR(1 -(Master[[#This Row],[Avg Garment Scans per Delivery]]/Master[[#This Row],[Garment Inventory]]), 0)</f>
        <v>0.8651685393258427</v>
      </c>
      <c r="Y1193" s="62">
        <v>7</v>
      </c>
      <c r="Z1193" s="62">
        <v>96</v>
      </c>
      <c r="AA1193" s="53">
        <v>79.743333333333325</v>
      </c>
      <c r="AB1193" s="53">
        <v>83.189999999999984</v>
      </c>
      <c r="AC1193" s="53">
        <v>73.528335949764511</v>
      </c>
      <c r="AD1193" s="53">
        <v>96.019356357927791</v>
      </c>
      <c r="AE1193" s="53" t="str">
        <f>_xlfn.XLOOKUP(Master[[#This Row],[cu_id]],'[1]Customer Revenue'!$Q:$Q,'[1]Customer Revenue'!$K:$K, "None")</f>
        <v>None</v>
      </c>
      <c r="AF1193" s="53" t="str">
        <f>_xlfn.XLOOKUP(Master[[#This Row],[cu_id]],'[1]Customer Revenue'!$Q:$Q,'[1]Customer Revenue'!$L:$L, "None")</f>
        <v>None</v>
      </c>
      <c r="AG1193" s="53">
        <v>67.953202511773966</v>
      </c>
      <c r="AH1193" s="53">
        <v>89.582182103610691</v>
      </c>
      <c r="AI1193" s="53">
        <v>81.466666666666654</v>
      </c>
      <c r="AJ1193" s="53">
        <v>84.773846153846151</v>
      </c>
      <c r="AK1193" s="53" t="str">
        <f>_xlfn.XLOOKUP(Master[[#This Row],[cu_id]],'[1]Customer Revenue'!$Q:$Q,'[1]Customer Revenue'!$I:$I, "None")</f>
        <v>None</v>
      </c>
      <c r="AL1193" s="53">
        <v>78.767692307692329</v>
      </c>
      <c r="AM1193" s="61">
        <v>0.33333333333333331</v>
      </c>
      <c r="AN1193" s="60">
        <v>0.70833333333333337</v>
      </c>
      <c r="AO1193" s="60" t="s">
        <v>36</v>
      </c>
      <c r="AP1193" s="60" t="s">
        <v>36</v>
      </c>
      <c r="AQ1193" s="58" t="s">
        <v>0</v>
      </c>
      <c r="AR1193" s="58"/>
      <c r="AS1193" s="58"/>
      <c r="AT1193" s="52">
        <v>0</v>
      </c>
      <c r="AU1193" s="52" t="e">
        <f>IF(Master[[#This Row],[RSP StopTime override]] &lt;&gt; "",Master[[#This Row],[RSP StopTime override]],IF(Master[[#This Row],[Avg stop time helper]] &lt;&gt; 0, Master[[#This Row],[Avg stop time helper]],Average_Stop_Time))</f>
        <v>#DIV/0!</v>
      </c>
      <c r="AV1193" s="21"/>
      <c r="AW1193" s="20">
        <f>Master[[#This Row],[RSP StopTime override]]-Master[[#This Row],[Avg stop time helper]]</f>
        <v>0</v>
      </c>
    </row>
    <row r="1194" spans="1:49" x14ac:dyDescent="0.3">
      <c r="A1194" s="66" t="s">
        <v>5198</v>
      </c>
      <c r="B1194" s="58">
        <v>56</v>
      </c>
      <c r="C1194" s="58" t="s">
        <v>15</v>
      </c>
      <c r="D1194" s="65">
        <v>887717</v>
      </c>
      <c r="E1194" s="65" t="s">
        <v>1087</v>
      </c>
      <c r="F1194" s="65" t="s">
        <v>1086</v>
      </c>
      <c r="G1194" s="65" t="s">
        <v>1085</v>
      </c>
      <c r="H1194" s="65" t="s">
        <v>7</v>
      </c>
      <c r="I1194" s="65" t="s">
        <v>1084</v>
      </c>
      <c r="J1194" s="65" t="s">
        <v>5</v>
      </c>
      <c r="K1194" s="65" t="s">
        <v>1083</v>
      </c>
      <c r="L1194" s="64" t="s">
        <v>67</v>
      </c>
      <c r="M1194" s="58" t="s">
        <v>3</v>
      </c>
      <c r="N1194" s="58" t="s">
        <v>2</v>
      </c>
      <c r="O1194" s="58">
        <v>65</v>
      </c>
      <c r="P1194" s="58">
        <v>0</v>
      </c>
      <c r="Q1194" s="58">
        <v>0</v>
      </c>
      <c r="R1194" s="58">
        <v>0</v>
      </c>
      <c r="S1194" s="58">
        <v>0</v>
      </c>
      <c r="T1194" s="58">
        <v>65</v>
      </c>
      <c r="U1194" s="58">
        <v>39</v>
      </c>
      <c r="V1194" s="62"/>
      <c r="W1194" s="62"/>
      <c r="X1194" s="63">
        <f>IFERROR(1 -(Master[[#This Row],[Avg Garment Scans per Delivery]]/Master[[#This Row],[Garment Inventory]]), 0)</f>
        <v>0</v>
      </c>
      <c r="Y1194" s="62"/>
      <c r="Z1194" s="62"/>
      <c r="AA1194" s="53">
        <v>68.073333333333323</v>
      </c>
      <c r="AB1194" s="53">
        <v>68.906666666666666</v>
      </c>
      <c r="AC1194" s="53">
        <v>60.276528599605498</v>
      </c>
      <c r="AD1194" s="53">
        <v>80.230138067061134</v>
      </c>
      <c r="AE1194" s="53" t="str">
        <f>_xlfn.XLOOKUP(Master[[#This Row],[cu_id]],'[1]Customer Revenue'!$Q:$Q,'[1]Customer Revenue'!$K:$K, "None")</f>
        <v>None</v>
      </c>
      <c r="AF1194" s="53" t="str">
        <f>_xlfn.XLOOKUP(Master[[#This Row],[cu_id]],'[1]Customer Revenue'!$Q:$Q,'[1]Customer Revenue'!$L:$L, "None")</f>
        <v>None</v>
      </c>
      <c r="AG1194" s="53">
        <v>67.896804733727819</v>
      </c>
      <c r="AH1194" s="53">
        <v>68.506272189349104</v>
      </c>
      <c r="AI1194" s="53">
        <v>68.489999999999995</v>
      </c>
      <c r="AJ1194" s="53">
        <v>70.253333333333316</v>
      </c>
      <c r="AK1194" s="53" t="str">
        <f>_xlfn.XLOOKUP(Master[[#This Row],[cu_id]],'[1]Customer Revenue'!$Q:$Q,'[1]Customer Revenue'!$I:$I, "None")</f>
        <v>None</v>
      </c>
      <c r="AL1194" s="53">
        <v>68.201538461538462</v>
      </c>
      <c r="AM1194" s="61" t="s">
        <v>36</v>
      </c>
      <c r="AN1194" s="60" t="s">
        <v>36</v>
      </c>
      <c r="AO1194" s="60" t="s">
        <v>36</v>
      </c>
      <c r="AP1194" s="60" t="s">
        <v>36</v>
      </c>
      <c r="AQ1194" s="58" t="s">
        <v>0</v>
      </c>
      <c r="AR1194" s="58"/>
      <c r="AS1194" s="58"/>
      <c r="AT1194" s="52">
        <v>0</v>
      </c>
      <c r="AU1194" s="52" t="e">
        <f>IF(Master[[#This Row],[RSP StopTime override]] &lt;&gt; "",Master[[#This Row],[RSP StopTime override]],IF(Master[[#This Row],[Avg stop time helper]] &lt;&gt; 0, Master[[#This Row],[Avg stop time helper]],Average_Stop_Time))</f>
        <v>#DIV/0!</v>
      </c>
      <c r="AV1194" s="21"/>
      <c r="AW1194" s="20">
        <f>Master[[#This Row],[RSP StopTime override]]-Master[[#This Row],[Avg stop time helper]]</f>
        <v>0</v>
      </c>
    </row>
    <row r="1195" spans="1:49" x14ac:dyDescent="0.3">
      <c r="A1195" s="66" t="s">
        <v>5199</v>
      </c>
      <c r="B1195" s="58">
        <v>8010</v>
      </c>
      <c r="C1195" s="58" t="s">
        <v>24</v>
      </c>
      <c r="D1195" s="65">
        <v>802313</v>
      </c>
      <c r="E1195" s="65" t="s">
        <v>42</v>
      </c>
      <c r="F1195" s="65" t="s">
        <v>1082</v>
      </c>
      <c r="G1195" s="65" t="s">
        <v>1081</v>
      </c>
      <c r="H1195" s="65" t="s">
        <v>7</v>
      </c>
      <c r="I1195" s="65" t="s">
        <v>6</v>
      </c>
      <c r="J1195" s="65" t="s">
        <v>5</v>
      </c>
      <c r="K1195" s="65" t="s">
        <v>115</v>
      </c>
      <c r="L1195" s="64" t="s">
        <v>77</v>
      </c>
      <c r="M1195" s="58" t="s">
        <v>29</v>
      </c>
      <c r="N1195" s="58" t="s">
        <v>2</v>
      </c>
      <c r="O1195" s="58">
        <v>75</v>
      </c>
      <c r="P1195" s="58">
        <v>110</v>
      </c>
      <c r="Q1195" s="58">
        <v>0</v>
      </c>
      <c r="R1195" s="58">
        <v>0</v>
      </c>
      <c r="S1195" s="58">
        <v>0</v>
      </c>
      <c r="T1195" s="58">
        <v>0</v>
      </c>
      <c r="U1195" s="58">
        <v>19</v>
      </c>
      <c r="V1195" s="62"/>
      <c r="W1195" s="62"/>
      <c r="X1195" s="63">
        <f>IFERROR(1 -(Master[[#This Row],[Avg Garment Scans per Delivery]]/Master[[#This Row],[Garment Inventory]]), 0)</f>
        <v>0</v>
      </c>
      <c r="Y1195" s="62"/>
      <c r="Z1195" s="62"/>
      <c r="AA1195" s="53">
        <v>32.781111111111109</v>
      </c>
      <c r="AB1195" s="53">
        <v>44.392222222222223</v>
      </c>
      <c r="AC1195" s="53">
        <v>42.07</v>
      </c>
      <c r="AD1195" s="53">
        <v>42.07</v>
      </c>
      <c r="AE1195" s="53" t="str">
        <f>_xlfn.XLOOKUP(Master[[#This Row],[cu_id]],'[1]Customer Revenue'!$Q:$Q,'[1]Customer Revenue'!$K:$K, "None")</f>
        <v>None</v>
      </c>
      <c r="AF1195" s="53" t="str">
        <f>_xlfn.XLOOKUP(Master[[#This Row],[cu_id]],'[1]Customer Revenue'!$Q:$Q,'[1]Customer Revenue'!$L:$L, "None")</f>
        <v>None</v>
      </c>
      <c r="AG1195" s="53">
        <v>38.392485207100584</v>
      </c>
      <c r="AH1195" s="53">
        <v>44.655207100591717</v>
      </c>
      <c r="AI1195" s="53">
        <v>38.586666666666666</v>
      </c>
      <c r="AJ1195" s="53">
        <v>42.07</v>
      </c>
      <c r="AK1195" s="53" t="str">
        <f>_xlfn.XLOOKUP(Master[[#This Row],[cu_id]],'[1]Customer Revenue'!$Q:$Q,'[1]Customer Revenue'!$I:$I, "None")</f>
        <v>None</v>
      </c>
      <c r="AL1195" s="53">
        <v>41.523846153846151</v>
      </c>
      <c r="AM1195" s="61">
        <v>0.33333333333333331</v>
      </c>
      <c r="AN1195" s="60">
        <v>0.79166666666666663</v>
      </c>
      <c r="AO1195" s="60" t="s">
        <v>36</v>
      </c>
      <c r="AP1195" s="60" t="s">
        <v>36</v>
      </c>
      <c r="AQ1195" s="58" t="s">
        <v>0</v>
      </c>
      <c r="AR1195" s="58"/>
      <c r="AS1195" s="58"/>
      <c r="AT1195" s="52">
        <v>0</v>
      </c>
      <c r="AU1195" s="52" t="e">
        <f>IF(Master[[#This Row],[RSP StopTime override]] &lt;&gt; "",Master[[#This Row],[RSP StopTime override]],IF(Master[[#This Row],[Avg stop time helper]] &lt;&gt; 0, Master[[#This Row],[Avg stop time helper]],Average_Stop_Time))</f>
        <v>#DIV/0!</v>
      </c>
      <c r="AV1195" s="21"/>
      <c r="AW1195" s="20">
        <f>Master[[#This Row],[RSP StopTime override]]-Master[[#This Row],[Avg stop time helper]]</f>
        <v>0</v>
      </c>
    </row>
    <row r="1196" spans="1:49" x14ac:dyDescent="0.3">
      <c r="A1196" s="66" t="s">
        <v>5200</v>
      </c>
      <c r="B1196" s="58">
        <v>8010</v>
      </c>
      <c r="C1196" s="58" t="s">
        <v>24</v>
      </c>
      <c r="D1196" s="65">
        <v>802452</v>
      </c>
      <c r="E1196" s="65" t="s">
        <v>42</v>
      </c>
      <c r="F1196" s="65" t="s">
        <v>1080</v>
      </c>
      <c r="G1196" s="65" t="s">
        <v>1079</v>
      </c>
      <c r="H1196" s="65" t="s">
        <v>7</v>
      </c>
      <c r="I1196" s="65" t="s">
        <v>6</v>
      </c>
      <c r="J1196" s="65" t="s">
        <v>5</v>
      </c>
      <c r="K1196" s="65" t="s">
        <v>115</v>
      </c>
      <c r="L1196" s="64" t="s">
        <v>91</v>
      </c>
      <c r="M1196" s="58" t="s">
        <v>90</v>
      </c>
      <c r="N1196" s="58" t="s">
        <v>2</v>
      </c>
      <c r="O1196" s="58">
        <v>105</v>
      </c>
      <c r="P1196" s="58">
        <v>105</v>
      </c>
      <c r="Q1196" s="58">
        <v>0</v>
      </c>
      <c r="R1196" s="58">
        <v>0</v>
      </c>
      <c r="S1196" s="58">
        <v>0</v>
      </c>
      <c r="T1196" s="58">
        <v>0</v>
      </c>
      <c r="U1196" s="58">
        <v>16</v>
      </c>
      <c r="V1196" s="62"/>
      <c r="W1196" s="62"/>
      <c r="X1196" s="63">
        <f>IFERROR(1 -(Master[[#This Row],[Avg Garment Scans per Delivery]]/Master[[#This Row],[Garment Inventory]]), 0)</f>
        <v>0</v>
      </c>
      <c r="Y1196" s="62"/>
      <c r="Z1196" s="62"/>
      <c r="AA1196" s="53">
        <v>20.9</v>
      </c>
      <c r="AB1196" s="53">
        <v>20.900000000000006</v>
      </c>
      <c r="AC1196" s="53">
        <v>12.542204081632653</v>
      </c>
      <c r="AD1196" s="53">
        <v>29.841795918367346</v>
      </c>
      <c r="AE1196" s="53" t="str">
        <f>_xlfn.XLOOKUP(Master[[#This Row],[cu_id]],'[1]Customer Revenue'!$Q:$Q,'[1]Customer Revenue'!$K:$K, "None")</f>
        <v>None</v>
      </c>
      <c r="AF1196" s="53" t="str">
        <f>_xlfn.XLOOKUP(Master[[#This Row],[cu_id]],'[1]Customer Revenue'!$Q:$Q,'[1]Customer Revenue'!$L:$L, "None")</f>
        <v>None</v>
      </c>
      <c r="AG1196" s="53">
        <v>20.9</v>
      </c>
      <c r="AH1196" s="53">
        <v>20.900000000000006</v>
      </c>
      <c r="AI1196" s="53">
        <v>20.900000000000002</v>
      </c>
      <c r="AJ1196" s="53">
        <v>21.192</v>
      </c>
      <c r="AK1196" s="53" t="str">
        <f>_xlfn.XLOOKUP(Master[[#This Row],[cu_id]],'[1]Customer Revenue'!$Q:$Q,'[1]Customer Revenue'!$I:$I, "None")</f>
        <v>None</v>
      </c>
      <c r="AL1196" s="53">
        <v>20.900000000000002</v>
      </c>
      <c r="AM1196" s="61">
        <v>0.375</v>
      </c>
      <c r="AN1196" s="60">
        <v>0</v>
      </c>
      <c r="AO1196" s="60">
        <v>0.58333333333333337</v>
      </c>
      <c r="AP1196" s="60">
        <v>0.70833333333333337</v>
      </c>
      <c r="AQ1196" s="58" t="s">
        <v>0</v>
      </c>
      <c r="AR1196" s="58"/>
      <c r="AS1196" s="58"/>
      <c r="AT1196" s="52">
        <v>0</v>
      </c>
      <c r="AU1196" s="52" t="e">
        <f>IF(Master[[#This Row],[RSP StopTime override]] &lt;&gt; "",Master[[#This Row],[RSP StopTime override]],IF(Master[[#This Row],[Avg stop time helper]] &lt;&gt; 0, Master[[#This Row],[Avg stop time helper]],Average_Stop_Time))</f>
        <v>#DIV/0!</v>
      </c>
      <c r="AV1196" s="21"/>
      <c r="AW1196" s="20">
        <f>Master[[#This Row],[RSP StopTime override]]-Master[[#This Row],[Avg stop time helper]]</f>
        <v>0</v>
      </c>
    </row>
    <row r="1197" spans="1:49" x14ac:dyDescent="0.3">
      <c r="A1197" s="66" t="s">
        <v>5201</v>
      </c>
      <c r="B1197" s="58">
        <v>8010</v>
      </c>
      <c r="C1197" s="58" t="s">
        <v>24</v>
      </c>
      <c r="D1197" s="65">
        <v>802453</v>
      </c>
      <c r="E1197" s="65" t="s">
        <v>42</v>
      </c>
      <c r="F1197" s="65" t="s">
        <v>1078</v>
      </c>
      <c r="G1197" s="65" t="s">
        <v>1077</v>
      </c>
      <c r="H1197" s="65" t="s">
        <v>7</v>
      </c>
      <c r="I1197" s="65" t="s">
        <v>6</v>
      </c>
      <c r="J1197" s="65" t="s">
        <v>5</v>
      </c>
      <c r="K1197" s="65" t="s">
        <v>115</v>
      </c>
      <c r="L1197" s="64" t="s">
        <v>91</v>
      </c>
      <c r="M1197" s="58" t="s">
        <v>90</v>
      </c>
      <c r="N1197" s="58" t="s">
        <v>2</v>
      </c>
      <c r="O1197" s="58">
        <v>41</v>
      </c>
      <c r="P1197" s="58">
        <v>30</v>
      </c>
      <c r="Q1197" s="58">
        <v>0</v>
      </c>
      <c r="R1197" s="58">
        <v>0</v>
      </c>
      <c r="S1197" s="58">
        <v>0</v>
      </c>
      <c r="T1197" s="58">
        <v>0</v>
      </c>
      <c r="U1197" s="58">
        <v>20</v>
      </c>
      <c r="V1197" s="62"/>
      <c r="W1197" s="62"/>
      <c r="X1197" s="63">
        <f>IFERROR(1 -(Master[[#This Row],[Avg Garment Scans per Delivery]]/Master[[#This Row],[Garment Inventory]]), 0)</f>
        <v>0</v>
      </c>
      <c r="Y1197" s="62"/>
      <c r="Z1197" s="62"/>
      <c r="AA1197" s="53">
        <v>40.74</v>
      </c>
      <c r="AB1197" s="53">
        <v>40.74</v>
      </c>
      <c r="AC1197" s="53">
        <v>40.608888888888892</v>
      </c>
      <c r="AD1197" s="53">
        <v>41.657777777777774</v>
      </c>
      <c r="AE1197" s="53" t="str">
        <f>_xlfn.XLOOKUP(Master[[#This Row],[cu_id]],'[1]Customer Revenue'!$Q:$Q,'[1]Customer Revenue'!$K:$K, "None")</f>
        <v>None</v>
      </c>
      <c r="AF1197" s="53" t="str">
        <f>_xlfn.XLOOKUP(Master[[#This Row],[cu_id]],'[1]Customer Revenue'!$Q:$Q,'[1]Customer Revenue'!$L:$L, "None")</f>
        <v>None</v>
      </c>
      <c r="AG1197" s="53">
        <v>40.74</v>
      </c>
      <c r="AH1197" s="53">
        <v>40.74</v>
      </c>
      <c r="AI1197" s="53">
        <v>40.74</v>
      </c>
      <c r="AJ1197" s="53">
        <v>41.133333333333333</v>
      </c>
      <c r="AK1197" s="53" t="str">
        <f>_xlfn.XLOOKUP(Master[[#This Row],[cu_id]],'[1]Customer Revenue'!$Q:$Q,'[1]Customer Revenue'!$I:$I, "None")</f>
        <v>None</v>
      </c>
      <c r="AL1197" s="53">
        <v>40.74</v>
      </c>
      <c r="AM1197" s="61">
        <v>0.33333333333333331</v>
      </c>
      <c r="AN1197" s="60">
        <v>0.70833333333333337</v>
      </c>
      <c r="AO1197" s="60" t="s">
        <v>36</v>
      </c>
      <c r="AP1197" s="60" t="s">
        <v>36</v>
      </c>
      <c r="AQ1197" s="58" t="s">
        <v>0</v>
      </c>
      <c r="AR1197" s="58"/>
      <c r="AS1197" s="58"/>
      <c r="AT1197" s="52">
        <v>0</v>
      </c>
      <c r="AU1197" s="52" t="e">
        <f>IF(Master[[#This Row],[RSP StopTime override]] &lt;&gt; "",Master[[#This Row],[RSP StopTime override]],IF(Master[[#This Row],[Avg stop time helper]] &lt;&gt; 0, Master[[#This Row],[Avg stop time helper]],Average_Stop_Time))</f>
        <v>#DIV/0!</v>
      </c>
      <c r="AV1197" s="21"/>
      <c r="AW1197" s="20">
        <f>Master[[#This Row],[RSP StopTime override]]-Master[[#This Row],[Avg stop time helper]]</f>
        <v>0</v>
      </c>
    </row>
    <row r="1198" spans="1:49" x14ac:dyDescent="0.3">
      <c r="A1198" s="66" t="s">
        <v>5202</v>
      </c>
      <c r="B1198" s="58">
        <v>8010</v>
      </c>
      <c r="C1198" s="58" t="s">
        <v>24</v>
      </c>
      <c r="D1198" s="65">
        <v>802522</v>
      </c>
      <c r="E1198" s="65" t="s">
        <v>42</v>
      </c>
      <c r="F1198" s="65" t="s">
        <v>1076</v>
      </c>
      <c r="G1198" s="65" t="s">
        <v>1075</v>
      </c>
      <c r="H1198" s="65" t="s">
        <v>7</v>
      </c>
      <c r="I1198" s="65" t="s">
        <v>6</v>
      </c>
      <c r="J1198" s="65" t="s">
        <v>5</v>
      </c>
      <c r="K1198" s="65" t="s">
        <v>151</v>
      </c>
      <c r="L1198" s="64" t="s">
        <v>77</v>
      </c>
      <c r="M1198" s="58" t="s">
        <v>29</v>
      </c>
      <c r="N1198" s="58" t="s">
        <v>2</v>
      </c>
      <c r="O1198" s="58">
        <v>160</v>
      </c>
      <c r="P1198" s="58">
        <v>150</v>
      </c>
      <c r="Q1198" s="58">
        <v>0</v>
      </c>
      <c r="R1198" s="58">
        <v>0</v>
      </c>
      <c r="S1198" s="58">
        <v>0</v>
      </c>
      <c r="T1198" s="58">
        <v>0</v>
      </c>
      <c r="U1198" s="58">
        <v>19</v>
      </c>
      <c r="V1198" s="62"/>
      <c r="W1198" s="62"/>
      <c r="X1198" s="63">
        <f>IFERROR(1 -(Master[[#This Row],[Avg Garment Scans per Delivery]]/Master[[#This Row],[Garment Inventory]]), 0)</f>
        <v>0</v>
      </c>
      <c r="Y1198" s="62"/>
      <c r="Z1198" s="62"/>
      <c r="AA1198" s="53">
        <v>35.32</v>
      </c>
      <c r="AB1198" s="53">
        <v>35.32</v>
      </c>
      <c r="AC1198" s="53">
        <v>35.175510204081633</v>
      </c>
      <c r="AD1198" s="53">
        <v>36.138775510204084</v>
      </c>
      <c r="AE1198" s="53" t="str">
        <f>_xlfn.XLOOKUP(Master[[#This Row],[cu_id]],'[1]Customer Revenue'!$Q:$Q,'[1]Customer Revenue'!$K:$K, "None")</f>
        <v>None</v>
      </c>
      <c r="AF1198" s="53" t="str">
        <f>_xlfn.XLOOKUP(Master[[#This Row],[cu_id]],'[1]Customer Revenue'!$Q:$Q,'[1]Customer Revenue'!$L:$L, "None")</f>
        <v>None</v>
      </c>
      <c r="AG1198" s="53">
        <v>34.475147928994083</v>
      </c>
      <c r="AH1198" s="53">
        <v>38.161775147928985</v>
      </c>
      <c r="AI1198" s="53">
        <v>35.32</v>
      </c>
      <c r="AJ1198" s="53">
        <v>35.657142857142858</v>
      </c>
      <c r="AK1198" s="53" t="str">
        <f>_xlfn.XLOOKUP(Master[[#This Row],[cu_id]],'[1]Customer Revenue'!$Q:$Q,'[1]Customer Revenue'!$I:$I, "None")</f>
        <v>None</v>
      </c>
      <c r="AL1198" s="53">
        <v>36.318461538461534</v>
      </c>
      <c r="AM1198" s="61">
        <v>0.33333333333333331</v>
      </c>
      <c r="AN1198" s="60">
        <v>0.66666666666666663</v>
      </c>
      <c r="AO1198" s="60" t="s">
        <v>36</v>
      </c>
      <c r="AP1198" s="60" t="s">
        <v>36</v>
      </c>
      <c r="AQ1198" s="58" t="s">
        <v>0</v>
      </c>
      <c r="AR1198" s="58"/>
      <c r="AS1198" s="58"/>
      <c r="AT1198" s="52">
        <v>0</v>
      </c>
      <c r="AU1198" s="52" t="e">
        <f>IF(Master[[#This Row],[RSP StopTime override]] &lt;&gt; "",Master[[#This Row],[RSP StopTime override]],IF(Master[[#This Row],[Avg stop time helper]] &lt;&gt; 0, Master[[#This Row],[Avg stop time helper]],Average_Stop_Time))</f>
        <v>#DIV/0!</v>
      </c>
      <c r="AV1198" s="21"/>
      <c r="AW1198" s="20">
        <f>Master[[#This Row],[RSP StopTime override]]-Master[[#This Row],[Avg stop time helper]]</f>
        <v>0</v>
      </c>
    </row>
    <row r="1199" spans="1:49" x14ac:dyDescent="0.3">
      <c r="A1199" s="66" t="s">
        <v>5203</v>
      </c>
      <c r="B1199" s="58">
        <v>8010</v>
      </c>
      <c r="C1199" s="58" t="s">
        <v>24</v>
      </c>
      <c r="D1199" s="65">
        <v>802605</v>
      </c>
      <c r="E1199" s="65" t="s">
        <v>42</v>
      </c>
      <c r="F1199" s="65" t="s">
        <v>1074</v>
      </c>
      <c r="G1199" s="65" t="s">
        <v>1073</v>
      </c>
      <c r="H1199" s="65" t="s">
        <v>7</v>
      </c>
      <c r="I1199" s="65" t="s">
        <v>6</v>
      </c>
      <c r="J1199" s="65" t="s">
        <v>5</v>
      </c>
      <c r="K1199" s="65" t="s">
        <v>115</v>
      </c>
      <c r="L1199" s="64" t="s">
        <v>91</v>
      </c>
      <c r="M1199" s="58" t="s">
        <v>90</v>
      </c>
      <c r="N1199" s="58" t="s">
        <v>2</v>
      </c>
      <c r="O1199" s="58">
        <v>130</v>
      </c>
      <c r="P1199" s="58">
        <v>130</v>
      </c>
      <c r="Q1199" s="58">
        <v>0</v>
      </c>
      <c r="R1199" s="58">
        <v>0</v>
      </c>
      <c r="S1199" s="58">
        <v>0</v>
      </c>
      <c r="T1199" s="58">
        <v>0</v>
      </c>
      <c r="U1199" s="58">
        <v>12</v>
      </c>
      <c r="V1199" s="62"/>
      <c r="W1199" s="62"/>
      <c r="X1199" s="63">
        <f>IFERROR(1 -(Master[[#This Row],[Avg Garment Scans per Delivery]]/Master[[#This Row],[Garment Inventory]]), 0)</f>
        <v>0</v>
      </c>
      <c r="Y1199" s="62"/>
      <c r="Z1199" s="62"/>
      <c r="AA1199" s="53">
        <v>19.93</v>
      </c>
      <c r="AB1199" s="53">
        <v>19.930000000000007</v>
      </c>
      <c r="AC1199" s="53">
        <v>2.7222222222222223</v>
      </c>
      <c r="AD1199" s="53">
        <v>7.0777777777777784</v>
      </c>
      <c r="AE1199" s="53" t="str">
        <f>_xlfn.XLOOKUP(Master[[#This Row],[cu_id]],'[1]Customer Revenue'!$Q:$Q,'[1]Customer Revenue'!$K:$K, "None")</f>
        <v>None</v>
      </c>
      <c r="AF1199" s="53" t="str">
        <f>_xlfn.XLOOKUP(Master[[#This Row],[cu_id]],'[1]Customer Revenue'!$Q:$Q,'[1]Customer Revenue'!$L:$L, "None")</f>
        <v>None</v>
      </c>
      <c r="AG1199" s="53">
        <v>17.099704142011841</v>
      </c>
      <c r="AH1199" s="53">
        <v>22.760295857988165</v>
      </c>
      <c r="AI1199" s="53">
        <v>19.930000000000003</v>
      </c>
      <c r="AJ1199" s="53">
        <v>4.9000000000000004</v>
      </c>
      <c r="AK1199" s="53" t="str">
        <f>_xlfn.XLOOKUP(Master[[#This Row],[cu_id]],'[1]Customer Revenue'!$Q:$Q,'[1]Customer Revenue'!$I:$I, "None")</f>
        <v>None</v>
      </c>
      <c r="AL1199" s="53">
        <v>19.930000000000003</v>
      </c>
      <c r="AM1199" s="61">
        <v>0.33333333333333331</v>
      </c>
      <c r="AN1199" s="60">
        <v>0.70833333333333337</v>
      </c>
      <c r="AO1199" s="60" t="s">
        <v>36</v>
      </c>
      <c r="AP1199" s="60" t="s">
        <v>36</v>
      </c>
      <c r="AQ1199" s="58" t="s">
        <v>308</v>
      </c>
      <c r="AR1199" s="58"/>
      <c r="AS1199" s="58"/>
      <c r="AT1199" s="52">
        <v>0</v>
      </c>
      <c r="AU1199" s="52" t="e">
        <f>IF(Master[[#This Row],[RSP StopTime override]] &lt;&gt; "",Master[[#This Row],[RSP StopTime override]],IF(Master[[#This Row],[Avg stop time helper]] &lt;&gt; 0, Master[[#This Row],[Avg stop time helper]],Average_Stop_Time))</f>
        <v>#DIV/0!</v>
      </c>
      <c r="AV1199" s="21"/>
      <c r="AW1199" s="20">
        <f>Master[[#This Row],[RSP StopTime override]]-Master[[#This Row],[Avg stop time helper]]</f>
        <v>0</v>
      </c>
    </row>
    <row r="1200" spans="1:49" x14ac:dyDescent="0.3">
      <c r="A1200" s="66" t="s">
        <v>5204</v>
      </c>
      <c r="B1200" s="58">
        <v>8010</v>
      </c>
      <c r="C1200" s="58" t="s">
        <v>24</v>
      </c>
      <c r="D1200" s="65">
        <v>802909</v>
      </c>
      <c r="E1200" s="65" t="s">
        <v>42</v>
      </c>
      <c r="F1200" s="65" t="s">
        <v>1072</v>
      </c>
      <c r="G1200" s="65" t="s">
        <v>1071</v>
      </c>
      <c r="H1200" s="65" t="s">
        <v>1070</v>
      </c>
      <c r="I1200" s="65" t="s">
        <v>6</v>
      </c>
      <c r="J1200" s="65" t="s">
        <v>5</v>
      </c>
      <c r="K1200" s="65" t="s">
        <v>115</v>
      </c>
      <c r="L1200" s="64" t="s">
        <v>67</v>
      </c>
      <c r="M1200" s="58" t="s">
        <v>3</v>
      </c>
      <c r="N1200" s="58" t="s">
        <v>2</v>
      </c>
      <c r="O1200" s="58">
        <v>130</v>
      </c>
      <c r="P1200" s="58">
        <v>130</v>
      </c>
      <c r="Q1200" s="58">
        <v>0</v>
      </c>
      <c r="R1200" s="58">
        <v>0</v>
      </c>
      <c r="S1200" s="58">
        <v>0</v>
      </c>
      <c r="T1200" s="58">
        <v>0</v>
      </c>
      <c r="U1200" s="58">
        <v>39</v>
      </c>
      <c r="V1200" s="62">
        <v>88</v>
      </c>
      <c r="W1200" s="62">
        <v>5</v>
      </c>
      <c r="X1200" s="63">
        <f>IFERROR(1 -(Master[[#This Row],[Avg Garment Scans per Delivery]]/Master[[#This Row],[Garment Inventory]]), 0)</f>
        <v>0.94318181818181823</v>
      </c>
      <c r="Y1200" s="62">
        <v>4</v>
      </c>
      <c r="Z1200" s="62">
        <v>73</v>
      </c>
      <c r="AA1200" s="53">
        <v>64.70674556213018</v>
      </c>
      <c r="AB1200" s="53">
        <v>68.044023668639056</v>
      </c>
      <c r="AC1200" s="53">
        <v>64.968698224852076</v>
      </c>
      <c r="AD1200" s="53">
        <v>70.377455621301792</v>
      </c>
      <c r="AE1200" s="53" t="str">
        <f>_xlfn.XLOOKUP(Master[[#This Row],[cu_id]],'[1]Customer Revenue'!$Q:$Q,'[1]Customer Revenue'!$K:$K, "None")</f>
        <v>None</v>
      </c>
      <c r="AF1200" s="53" t="str">
        <f>_xlfn.XLOOKUP(Master[[#This Row],[cu_id]],'[1]Customer Revenue'!$Q:$Q,'[1]Customer Revenue'!$L:$L, "None")</f>
        <v>None</v>
      </c>
      <c r="AG1200" s="53">
        <v>60.692899408284042</v>
      </c>
      <c r="AH1200" s="53">
        <v>68.19940828402369</v>
      </c>
      <c r="AI1200" s="53">
        <v>66.375384615384618</v>
      </c>
      <c r="AJ1200" s="53">
        <v>67.673076923076934</v>
      </c>
      <c r="AK1200" s="53" t="str">
        <f>_xlfn.XLOOKUP(Master[[#This Row],[cu_id]],'[1]Customer Revenue'!$Q:$Q,'[1]Customer Revenue'!$I:$I, "None")</f>
        <v>None</v>
      </c>
      <c r="AL1200" s="53">
        <v>64.446153846153862</v>
      </c>
      <c r="AM1200" s="61">
        <v>0.375</v>
      </c>
      <c r="AN1200" s="60">
        <v>0.70833333333333337</v>
      </c>
      <c r="AO1200" s="60" t="s">
        <v>36</v>
      </c>
      <c r="AP1200" s="60" t="s">
        <v>36</v>
      </c>
      <c r="AQ1200" s="58" t="s">
        <v>0</v>
      </c>
      <c r="AR1200" s="58"/>
      <c r="AS1200" s="58"/>
      <c r="AT1200" s="52">
        <v>0</v>
      </c>
      <c r="AU1200" s="52" t="e">
        <f>IF(Master[[#This Row],[RSP StopTime override]] &lt;&gt; "",Master[[#This Row],[RSP StopTime override]],IF(Master[[#This Row],[Avg stop time helper]] &lt;&gt; 0, Master[[#This Row],[Avg stop time helper]],Average_Stop_Time))</f>
        <v>#DIV/0!</v>
      </c>
      <c r="AV1200" s="21"/>
      <c r="AW1200" s="20">
        <f>Master[[#This Row],[RSP StopTime override]]-Master[[#This Row],[Avg stop time helper]]</f>
        <v>0</v>
      </c>
    </row>
    <row r="1201" spans="1:49" x14ac:dyDescent="0.3">
      <c r="A1201" s="66" t="s">
        <v>5205</v>
      </c>
      <c r="B1201" s="58">
        <v>8010</v>
      </c>
      <c r="C1201" s="58" t="s">
        <v>24</v>
      </c>
      <c r="D1201" s="65">
        <v>803700</v>
      </c>
      <c r="E1201" s="65" t="s">
        <v>42</v>
      </c>
      <c r="F1201" s="65" t="s">
        <v>1069</v>
      </c>
      <c r="G1201" s="65" t="s">
        <v>1068</v>
      </c>
      <c r="H1201" s="65" t="s">
        <v>7</v>
      </c>
      <c r="I1201" s="65" t="s">
        <v>6</v>
      </c>
      <c r="J1201" s="65" t="s">
        <v>5</v>
      </c>
      <c r="K1201" s="65" t="s">
        <v>115</v>
      </c>
      <c r="L1201" s="64" t="s">
        <v>91</v>
      </c>
      <c r="M1201" s="58" t="s">
        <v>90</v>
      </c>
      <c r="N1201" s="58" t="s">
        <v>2</v>
      </c>
      <c r="O1201" s="58">
        <v>90</v>
      </c>
      <c r="P1201" s="58">
        <v>90</v>
      </c>
      <c r="Q1201" s="58">
        <v>0</v>
      </c>
      <c r="R1201" s="58">
        <v>0</v>
      </c>
      <c r="S1201" s="58">
        <v>0</v>
      </c>
      <c r="T1201" s="58">
        <v>0</v>
      </c>
      <c r="U1201" s="58">
        <v>20</v>
      </c>
      <c r="V1201" s="62"/>
      <c r="W1201" s="62"/>
      <c r="X1201" s="63">
        <f>IFERROR(1 -(Master[[#This Row],[Avg Garment Scans per Delivery]]/Master[[#This Row],[Garment Inventory]]), 0)</f>
        <v>0</v>
      </c>
      <c r="Y1201" s="62"/>
      <c r="Z1201" s="62"/>
      <c r="AA1201" s="53">
        <v>64.930000000000007</v>
      </c>
      <c r="AB1201" s="53">
        <v>64.930000000000007</v>
      </c>
      <c r="AC1201" s="53">
        <v>57.942857142857136</v>
      </c>
      <c r="AD1201" s="53">
        <v>78.057142857142864</v>
      </c>
      <c r="AE1201" s="53" t="str">
        <f>_xlfn.XLOOKUP(Master[[#This Row],[cu_id]],'[1]Customer Revenue'!$Q:$Q,'[1]Customer Revenue'!$K:$K, "None")</f>
        <v>None</v>
      </c>
      <c r="AF1201" s="53" t="str">
        <f>_xlfn.XLOOKUP(Master[[#This Row],[cu_id]],'[1]Customer Revenue'!$Q:$Q,'[1]Customer Revenue'!$L:$L, "None")</f>
        <v>None</v>
      </c>
      <c r="AG1201" s="53">
        <v>64.853668639053282</v>
      </c>
      <c r="AH1201" s="53">
        <v>65.66786982248523</v>
      </c>
      <c r="AI1201" s="53">
        <v>64.930000000000007</v>
      </c>
      <c r="AJ1201" s="53">
        <v>68</v>
      </c>
      <c r="AK1201" s="53" t="str">
        <f>_xlfn.XLOOKUP(Master[[#This Row],[cu_id]],'[1]Customer Revenue'!$Q:$Q,'[1]Customer Revenue'!$I:$I, "None")</f>
        <v>None</v>
      </c>
      <c r="AL1201" s="53">
        <v>65.260769230769256</v>
      </c>
      <c r="AM1201" s="61">
        <v>0.39583333333333331</v>
      </c>
      <c r="AN1201" s="60">
        <v>0.79166666666666663</v>
      </c>
      <c r="AO1201" s="60" t="s">
        <v>36</v>
      </c>
      <c r="AP1201" s="60" t="s">
        <v>36</v>
      </c>
      <c r="AQ1201" s="58" t="s">
        <v>308</v>
      </c>
      <c r="AR1201" s="58"/>
      <c r="AS1201" s="58"/>
      <c r="AT1201" s="52">
        <v>0</v>
      </c>
      <c r="AU1201" s="52" t="e">
        <f>IF(Master[[#This Row],[RSP StopTime override]] &lt;&gt; "",Master[[#This Row],[RSP StopTime override]],IF(Master[[#This Row],[Avg stop time helper]] &lt;&gt; 0, Master[[#This Row],[Avg stop time helper]],Average_Stop_Time))</f>
        <v>#DIV/0!</v>
      </c>
      <c r="AV1201" s="21"/>
      <c r="AW1201" s="20">
        <f>Master[[#This Row],[RSP StopTime override]]-Master[[#This Row],[Avg stop time helper]]</f>
        <v>0</v>
      </c>
    </row>
    <row r="1202" spans="1:49" x14ac:dyDescent="0.3">
      <c r="A1202" s="66" t="s">
        <v>5206</v>
      </c>
      <c r="B1202" s="58">
        <v>8010</v>
      </c>
      <c r="C1202" s="58" t="s">
        <v>24</v>
      </c>
      <c r="D1202" s="65">
        <v>803704</v>
      </c>
      <c r="E1202" s="65" t="s">
        <v>42</v>
      </c>
      <c r="F1202" s="65" t="s">
        <v>1067</v>
      </c>
      <c r="G1202" s="65" t="s">
        <v>1066</v>
      </c>
      <c r="H1202" s="65" t="s">
        <v>7</v>
      </c>
      <c r="I1202" s="65" t="s">
        <v>6</v>
      </c>
      <c r="J1202" s="65" t="s">
        <v>5</v>
      </c>
      <c r="K1202" s="65" t="s">
        <v>115</v>
      </c>
      <c r="L1202" s="64" t="s">
        <v>67</v>
      </c>
      <c r="M1202" s="58" t="s">
        <v>3</v>
      </c>
      <c r="N1202" s="58" t="s">
        <v>2</v>
      </c>
      <c r="O1202" s="58">
        <v>85</v>
      </c>
      <c r="P1202" s="58">
        <v>85</v>
      </c>
      <c r="Q1202" s="58">
        <v>0</v>
      </c>
      <c r="R1202" s="58">
        <v>0</v>
      </c>
      <c r="S1202" s="58">
        <v>0</v>
      </c>
      <c r="T1202" s="58">
        <v>0</v>
      </c>
      <c r="U1202" s="58">
        <v>39</v>
      </c>
      <c r="V1202" s="62"/>
      <c r="W1202" s="62"/>
      <c r="X1202" s="63">
        <f>IFERROR(1 -(Master[[#This Row],[Avg Garment Scans per Delivery]]/Master[[#This Row],[Garment Inventory]]), 0)</f>
        <v>0</v>
      </c>
      <c r="Y1202" s="62"/>
      <c r="Z1202" s="62"/>
      <c r="AA1202" s="53">
        <v>19.698047337278108</v>
      </c>
      <c r="AB1202" s="53">
        <v>21.423491124260355</v>
      </c>
      <c r="AC1202" s="53">
        <v>19.649171597633138</v>
      </c>
      <c r="AD1202" s="53">
        <v>21.653905325443791</v>
      </c>
      <c r="AE1202" s="53" t="str">
        <f>_xlfn.XLOOKUP(Master[[#This Row],[cu_id]],'[1]Customer Revenue'!$Q:$Q,'[1]Customer Revenue'!$K:$K, "None")</f>
        <v>None</v>
      </c>
      <c r="AF1202" s="53" t="str">
        <f>_xlfn.XLOOKUP(Master[[#This Row],[cu_id]],'[1]Customer Revenue'!$Q:$Q,'[1]Customer Revenue'!$L:$L, "None")</f>
        <v>None</v>
      </c>
      <c r="AG1202" s="53">
        <v>19.698047337278105</v>
      </c>
      <c r="AH1202" s="53">
        <v>21.610414201183431</v>
      </c>
      <c r="AI1202" s="53">
        <v>20.560769230769232</v>
      </c>
      <c r="AJ1202" s="53">
        <v>20.651538461538465</v>
      </c>
      <c r="AK1202" s="53" t="str">
        <f>_xlfn.XLOOKUP(Master[[#This Row],[cu_id]],'[1]Customer Revenue'!$Q:$Q,'[1]Customer Revenue'!$I:$I, "None")</f>
        <v>None</v>
      </c>
      <c r="AL1202" s="53">
        <v>20.654230769230768</v>
      </c>
      <c r="AM1202" s="61">
        <v>0.33333333333333331</v>
      </c>
      <c r="AN1202" s="60">
        <v>0.79166666666666663</v>
      </c>
      <c r="AO1202" s="60" t="s">
        <v>36</v>
      </c>
      <c r="AP1202" s="60" t="s">
        <v>36</v>
      </c>
      <c r="AQ1202" s="58" t="s">
        <v>308</v>
      </c>
      <c r="AR1202" s="58"/>
      <c r="AS1202" s="58"/>
      <c r="AT1202" s="52">
        <v>0</v>
      </c>
      <c r="AU1202" s="52" t="e">
        <f>IF(Master[[#This Row],[RSP StopTime override]] &lt;&gt; "",Master[[#This Row],[RSP StopTime override]],IF(Master[[#This Row],[Avg stop time helper]] &lt;&gt; 0, Master[[#This Row],[Avg stop time helper]],Average_Stop_Time))</f>
        <v>#DIV/0!</v>
      </c>
      <c r="AV1202" s="21"/>
      <c r="AW1202" s="20">
        <f>Master[[#This Row],[RSP StopTime override]]-Master[[#This Row],[Avg stop time helper]]</f>
        <v>0</v>
      </c>
    </row>
    <row r="1203" spans="1:49" x14ac:dyDescent="0.3">
      <c r="A1203" s="66" t="s">
        <v>5207</v>
      </c>
      <c r="B1203" s="58">
        <v>8010</v>
      </c>
      <c r="C1203" s="58" t="s">
        <v>24</v>
      </c>
      <c r="D1203" s="65">
        <v>803711</v>
      </c>
      <c r="E1203" s="65" t="s">
        <v>42</v>
      </c>
      <c r="F1203" s="65" t="s">
        <v>1065</v>
      </c>
      <c r="G1203" s="65" t="s">
        <v>1064</v>
      </c>
      <c r="H1203" s="65" t="s">
        <v>7</v>
      </c>
      <c r="I1203" s="65" t="s">
        <v>6</v>
      </c>
      <c r="J1203" s="65" t="s">
        <v>5</v>
      </c>
      <c r="K1203" s="65" t="s">
        <v>115</v>
      </c>
      <c r="L1203" s="64" t="s">
        <v>77</v>
      </c>
      <c r="M1203" s="58" t="s">
        <v>29</v>
      </c>
      <c r="N1203" s="58" t="s">
        <v>2</v>
      </c>
      <c r="O1203" s="58">
        <v>32</v>
      </c>
      <c r="P1203" s="58">
        <v>75</v>
      </c>
      <c r="Q1203" s="58">
        <v>0</v>
      </c>
      <c r="R1203" s="58">
        <v>0</v>
      </c>
      <c r="S1203" s="58">
        <v>0</v>
      </c>
      <c r="T1203" s="58">
        <v>0</v>
      </c>
      <c r="U1203" s="58">
        <v>19</v>
      </c>
      <c r="V1203" s="62"/>
      <c r="W1203" s="62"/>
      <c r="X1203" s="63">
        <f>IFERROR(1 -(Master[[#This Row],[Avg Garment Scans per Delivery]]/Master[[#This Row],[Garment Inventory]]), 0)</f>
        <v>0</v>
      </c>
      <c r="Y1203" s="62"/>
      <c r="Z1203" s="62"/>
      <c r="AA1203" s="53">
        <v>53.35</v>
      </c>
      <c r="AB1203" s="53">
        <v>53.35</v>
      </c>
      <c r="AC1203" s="53">
        <v>44.775510204081641</v>
      </c>
      <c r="AD1203" s="53">
        <v>45.738775510204093</v>
      </c>
      <c r="AE1203" s="53" t="str">
        <f>_xlfn.XLOOKUP(Master[[#This Row],[cu_id]],'[1]Customer Revenue'!$Q:$Q,'[1]Customer Revenue'!$K:$K, "None")</f>
        <v>None</v>
      </c>
      <c r="AF1203" s="53" t="str">
        <f>_xlfn.XLOOKUP(Master[[#This Row],[cu_id]],'[1]Customer Revenue'!$Q:$Q,'[1]Customer Revenue'!$L:$L, "None")</f>
        <v>None</v>
      </c>
      <c r="AG1203" s="53">
        <v>50.253431952662744</v>
      </c>
      <c r="AH1203" s="53">
        <v>54.434260355029586</v>
      </c>
      <c r="AI1203" s="53">
        <v>53.35</v>
      </c>
      <c r="AJ1203" s="53">
        <v>45.257142857142867</v>
      </c>
      <c r="AK1203" s="53" t="str">
        <f>_xlfn.XLOOKUP(Master[[#This Row],[cu_id]],'[1]Customer Revenue'!$Q:$Q,'[1]Customer Revenue'!$I:$I, "None")</f>
        <v>None</v>
      </c>
      <c r="AL1203" s="53">
        <v>52.343846153846165</v>
      </c>
      <c r="AM1203" s="61">
        <v>0.3125</v>
      </c>
      <c r="AN1203" s="60">
        <v>0.79166666666666663</v>
      </c>
      <c r="AO1203" s="60" t="s">
        <v>36</v>
      </c>
      <c r="AP1203" s="60" t="s">
        <v>36</v>
      </c>
      <c r="AQ1203" s="58" t="s">
        <v>308</v>
      </c>
      <c r="AR1203" s="58"/>
      <c r="AS1203" s="58"/>
      <c r="AT1203" s="52">
        <v>0</v>
      </c>
      <c r="AU1203" s="52">
        <f>IF(Master[[#This Row],[RSP StopTime override]] &lt;&gt; "",Master[[#This Row],[RSP StopTime override]],IF(Master[[#This Row],[Avg stop time helper]] &lt;&gt; 0, Master[[#This Row],[Avg stop time helper]],Average_Stop_Time))</f>
        <v>15</v>
      </c>
      <c r="AV1203" s="21">
        <v>15</v>
      </c>
      <c r="AW1203" s="20">
        <f>Master[[#This Row],[RSP StopTime override]]-Master[[#This Row],[Avg stop time helper]]</f>
        <v>15</v>
      </c>
    </row>
    <row r="1204" spans="1:49" x14ac:dyDescent="0.3">
      <c r="A1204" s="66" t="s">
        <v>5208</v>
      </c>
      <c r="B1204" s="58">
        <v>8010</v>
      </c>
      <c r="C1204" s="58" t="s">
        <v>24</v>
      </c>
      <c r="D1204" s="65">
        <v>803714</v>
      </c>
      <c r="E1204" s="65" t="s">
        <v>42</v>
      </c>
      <c r="F1204" s="65" t="s">
        <v>1063</v>
      </c>
      <c r="G1204" s="65" t="s">
        <v>1062</v>
      </c>
      <c r="H1204" s="65" t="s">
        <v>7</v>
      </c>
      <c r="I1204" s="65" t="s">
        <v>6</v>
      </c>
      <c r="J1204" s="65" t="s">
        <v>5</v>
      </c>
      <c r="K1204" s="65" t="s">
        <v>115</v>
      </c>
      <c r="L1204" s="64" t="s">
        <v>67</v>
      </c>
      <c r="M1204" s="58" t="s">
        <v>3</v>
      </c>
      <c r="N1204" s="58" t="s">
        <v>2</v>
      </c>
      <c r="O1204" s="58">
        <v>80</v>
      </c>
      <c r="P1204" s="58">
        <v>80</v>
      </c>
      <c r="Q1204" s="58">
        <v>0</v>
      </c>
      <c r="R1204" s="58">
        <v>0</v>
      </c>
      <c r="S1204" s="58">
        <v>0</v>
      </c>
      <c r="T1204" s="58">
        <v>0</v>
      </c>
      <c r="U1204" s="58">
        <v>38</v>
      </c>
      <c r="V1204" s="62"/>
      <c r="W1204" s="62"/>
      <c r="X1204" s="63">
        <f>IFERROR(1 -(Master[[#This Row],[Avg Garment Scans per Delivery]]/Master[[#This Row],[Garment Inventory]]), 0)</f>
        <v>0</v>
      </c>
      <c r="Y1204" s="62"/>
      <c r="Z1204" s="62"/>
      <c r="AA1204" s="53">
        <v>33.37710059171598</v>
      </c>
      <c r="AB1204" s="53">
        <v>34.655207100591731</v>
      </c>
      <c r="AC1204" s="53">
        <v>32.952130177514803</v>
      </c>
      <c r="AD1204" s="53">
        <v>38.037100591715998</v>
      </c>
      <c r="AE1204" s="53" t="str">
        <f>_xlfn.XLOOKUP(Master[[#This Row],[cu_id]],'[1]Customer Revenue'!$Q:$Q,'[1]Customer Revenue'!$K:$K, "None")</f>
        <v>None</v>
      </c>
      <c r="AF1204" s="53" t="str">
        <f>_xlfn.XLOOKUP(Master[[#This Row],[cu_id]],'[1]Customer Revenue'!$Q:$Q,'[1]Customer Revenue'!$L:$L, "None")</f>
        <v>None</v>
      </c>
      <c r="AG1204" s="53">
        <v>30.384054437869796</v>
      </c>
      <c r="AH1204" s="53">
        <v>36.757545562130169</v>
      </c>
      <c r="AI1204" s="53">
        <v>34.016153846153856</v>
      </c>
      <c r="AJ1204" s="53">
        <v>35.4946153846154</v>
      </c>
      <c r="AK1204" s="53" t="str">
        <f>_xlfn.XLOOKUP(Master[[#This Row],[cu_id]],'[1]Customer Revenue'!$Q:$Q,'[1]Customer Revenue'!$I:$I, "None")</f>
        <v>None</v>
      </c>
      <c r="AL1204" s="53">
        <v>33.570799999999984</v>
      </c>
      <c r="AM1204" s="61">
        <v>0.3125</v>
      </c>
      <c r="AN1204" s="60">
        <v>0.79166666666666663</v>
      </c>
      <c r="AO1204" s="60" t="s">
        <v>36</v>
      </c>
      <c r="AP1204" s="60" t="s">
        <v>36</v>
      </c>
      <c r="AQ1204" s="58" t="s">
        <v>308</v>
      </c>
      <c r="AR1204" s="58"/>
      <c r="AS1204" s="58"/>
      <c r="AT1204" s="52">
        <v>0</v>
      </c>
      <c r="AU1204" s="52" t="e">
        <f>IF(Master[[#This Row],[RSP StopTime override]] &lt;&gt; "",Master[[#This Row],[RSP StopTime override]],IF(Master[[#This Row],[Avg stop time helper]] &lt;&gt; 0, Master[[#This Row],[Avg stop time helper]],Average_Stop_Time))</f>
        <v>#DIV/0!</v>
      </c>
      <c r="AV1204" s="21"/>
      <c r="AW1204" s="20">
        <f>Master[[#This Row],[RSP StopTime override]]-Master[[#This Row],[Avg stop time helper]]</f>
        <v>0</v>
      </c>
    </row>
    <row r="1205" spans="1:49" x14ac:dyDescent="0.3">
      <c r="A1205" s="66" t="s">
        <v>5209</v>
      </c>
      <c r="B1205" s="58">
        <v>8010</v>
      </c>
      <c r="C1205" s="58" t="s">
        <v>24</v>
      </c>
      <c r="D1205" s="65">
        <v>803717</v>
      </c>
      <c r="E1205" s="65" t="s">
        <v>42</v>
      </c>
      <c r="F1205" s="65" t="s">
        <v>1061</v>
      </c>
      <c r="G1205" s="65" t="s">
        <v>1060</v>
      </c>
      <c r="H1205" s="65" t="s">
        <v>7</v>
      </c>
      <c r="I1205" s="65" t="s">
        <v>6</v>
      </c>
      <c r="J1205" s="65" t="s">
        <v>5</v>
      </c>
      <c r="K1205" s="65" t="s">
        <v>115</v>
      </c>
      <c r="L1205" s="64" t="s">
        <v>67</v>
      </c>
      <c r="M1205" s="58" t="s">
        <v>3</v>
      </c>
      <c r="N1205" s="58" t="s">
        <v>2</v>
      </c>
      <c r="O1205" s="58">
        <v>15</v>
      </c>
      <c r="P1205" s="58">
        <v>15</v>
      </c>
      <c r="Q1205" s="58">
        <v>0</v>
      </c>
      <c r="R1205" s="58">
        <v>0</v>
      </c>
      <c r="S1205" s="58">
        <v>0</v>
      </c>
      <c r="T1205" s="58">
        <v>0</v>
      </c>
      <c r="U1205" s="58">
        <v>37</v>
      </c>
      <c r="V1205" s="62"/>
      <c r="W1205" s="62"/>
      <c r="X1205" s="63">
        <f>IFERROR(1 -(Master[[#This Row],[Avg Garment Scans per Delivery]]/Master[[#This Row],[Garment Inventory]]), 0)</f>
        <v>0</v>
      </c>
      <c r="Y1205" s="62"/>
      <c r="Z1205" s="62"/>
      <c r="AA1205" s="53">
        <v>48.82062623274161</v>
      </c>
      <c r="AB1205" s="53">
        <v>92.791040433925048</v>
      </c>
      <c r="AC1205" s="53">
        <v>54.69372781065087</v>
      </c>
      <c r="AD1205" s="53">
        <v>95.743195266272181</v>
      </c>
      <c r="AE1205" s="53" t="str">
        <f>_xlfn.XLOOKUP(Master[[#This Row],[cu_id]],'[1]Customer Revenue'!$Q:$Q,'[1]Customer Revenue'!$K:$K, "None")</f>
        <v>None</v>
      </c>
      <c r="AF1205" s="53" t="str">
        <f>_xlfn.XLOOKUP(Master[[#This Row],[cu_id]],'[1]Customer Revenue'!$Q:$Q,'[1]Customer Revenue'!$L:$L, "None")</f>
        <v>None</v>
      </c>
      <c r="AG1205" s="53">
        <v>50.078796159122071</v>
      </c>
      <c r="AH1205" s="53">
        <v>97.932403840877896</v>
      </c>
      <c r="AI1205" s="53">
        <v>70.805833333333325</v>
      </c>
      <c r="AJ1205" s="53">
        <v>75.218461538461526</v>
      </c>
      <c r="AK1205" s="53" t="str">
        <f>_xlfn.XLOOKUP(Master[[#This Row],[cu_id]],'[1]Customer Revenue'!$Q:$Q,'[1]Customer Revenue'!$I:$I, "None")</f>
        <v>None</v>
      </c>
      <c r="AL1205" s="53">
        <v>74.005599999999987</v>
      </c>
      <c r="AM1205" s="61" t="s">
        <v>36</v>
      </c>
      <c r="AN1205" s="60" t="s">
        <v>36</v>
      </c>
      <c r="AO1205" s="60" t="s">
        <v>36</v>
      </c>
      <c r="AP1205" s="60" t="s">
        <v>36</v>
      </c>
      <c r="AQ1205" s="58" t="s">
        <v>0</v>
      </c>
      <c r="AR1205" s="58"/>
      <c r="AS1205" s="58"/>
      <c r="AT1205" s="52">
        <v>0</v>
      </c>
      <c r="AU1205" s="52">
        <f>IF(Master[[#This Row],[RSP StopTime override]] &lt;&gt; "",Master[[#This Row],[RSP StopTime override]],IF(Master[[#This Row],[Avg stop time helper]] &lt;&gt; 0, Master[[#This Row],[Avg stop time helper]],Average_Stop_Time))</f>
        <v>15</v>
      </c>
      <c r="AV1205" s="21">
        <v>15</v>
      </c>
      <c r="AW1205" s="20">
        <f>Master[[#This Row],[RSP StopTime override]]-Master[[#This Row],[Avg stop time helper]]</f>
        <v>15</v>
      </c>
    </row>
    <row r="1206" spans="1:49" x14ac:dyDescent="0.3">
      <c r="A1206" s="66" t="s">
        <v>5210</v>
      </c>
      <c r="B1206" s="58">
        <v>8010</v>
      </c>
      <c r="C1206" s="58" t="s">
        <v>24</v>
      </c>
      <c r="D1206" s="65">
        <v>803719</v>
      </c>
      <c r="E1206" s="65" t="s">
        <v>42</v>
      </c>
      <c r="F1206" s="65" t="s">
        <v>1059</v>
      </c>
      <c r="G1206" s="65" t="s">
        <v>1058</v>
      </c>
      <c r="H1206" s="65" t="s">
        <v>7</v>
      </c>
      <c r="I1206" s="65" t="s">
        <v>6</v>
      </c>
      <c r="J1206" s="65" t="s">
        <v>5</v>
      </c>
      <c r="K1206" s="65" t="s">
        <v>115</v>
      </c>
      <c r="L1206" s="64" t="s">
        <v>206</v>
      </c>
      <c r="M1206" s="58" t="s">
        <v>205</v>
      </c>
      <c r="N1206" s="58" t="s">
        <v>2</v>
      </c>
      <c r="O1206" s="58">
        <v>10</v>
      </c>
      <c r="P1206" s="58">
        <v>25</v>
      </c>
      <c r="Q1206" s="58">
        <v>0</v>
      </c>
      <c r="R1206" s="58">
        <v>0</v>
      </c>
      <c r="S1206" s="58">
        <v>0</v>
      </c>
      <c r="T1206" s="58">
        <v>0</v>
      </c>
      <c r="U1206" s="58">
        <v>9</v>
      </c>
      <c r="V1206" s="62"/>
      <c r="W1206" s="62"/>
      <c r="X1206" s="63">
        <f>IFERROR(1 -(Master[[#This Row],[Avg Garment Scans per Delivery]]/Master[[#This Row],[Garment Inventory]]), 0)</f>
        <v>0</v>
      </c>
      <c r="Y1206" s="62"/>
      <c r="Z1206" s="62"/>
      <c r="AA1206" s="53">
        <v>42.08</v>
      </c>
      <c r="AB1206" s="53">
        <v>42.08</v>
      </c>
      <c r="AC1206" s="53">
        <v>42.08</v>
      </c>
      <c r="AD1206" s="53">
        <v>42.08</v>
      </c>
      <c r="AE1206" s="53" t="str">
        <f>_xlfn.XLOOKUP(Master[[#This Row],[cu_id]],'[1]Customer Revenue'!$Q:$Q,'[1]Customer Revenue'!$K:$K, "None")</f>
        <v>None</v>
      </c>
      <c r="AF1206" s="53" t="str">
        <f>_xlfn.XLOOKUP(Master[[#This Row],[cu_id]],'[1]Customer Revenue'!$Q:$Q,'[1]Customer Revenue'!$L:$L, "None")</f>
        <v>None</v>
      </c>
      <c r="AG1206" s="53">
        <v>31.774693877551009</v>
      </c>
      <c r="AH1206" s="53">
        <v>52.385306122448974</v>
      </c>
      <c r="AI1206" s="53">
        <v>42.08</v>
      </c>
      <c r="AJ1206" s="53">
        <v>42.08</v>
      </c>
      <c r="AK1206" s="53" t="str">
        <f>_xlfn.XLOOKUP(Master[[#This Row],[cu_id]],'[1]Customer Revenue'!$Q:$Q,'[1]Customer Revenue'!$I:$I, "None")</f>
        <v>None</v>
      </c>
      <c r="AL1206" s="53">
        <v>42.079999999999991</v>
      </c>
      <c r="AM1206" s="61" t="s">
        <v>36</v>
      </c>
      <c r="AN1206" s="60" t="s">
        <v>36</v>
      </c>
      <c r="AO1206" s="60" t="s">
        <v>36</v>
      </c>
      <c r="AP1206" s="60" t="s">
        <v>36</v>
      </c>
      <c r="AQ1206" s="58" t="s">
        <v>0</v>
      </c>
      <c r="AR1206" s="58"/>
      <c r="AS1206" s="58"/>
      <c r="AT1206" s="52">
        <v>0</v>
      </c>
      <c r="AU1206" s="52">
        <f>IF(Master[[#This Row],[RSP StopTime override]] &lt;&gt; "",Master[[#This Row],[RSP StopTime override]],IF(Master[[#This Row],[Avg stop time helper]] &lt;&gt; 0, Master[[#This Row],[Avg stop time helper]],Average_Stop_Time))</f>
        <v>20</v>
      </c>
      <c r="AV1206" s="21">
        <v>20</v>
      </c>
      <c r="AW1206" s="20">
        <f>Master[[#This Row],[RSP StopTime override]]-Master[[#This Row],[Avg stop time helper]]</f>
        <v>20</v>
      </c>
    </row>
    <row r="1207" spans="1:49" x14ac:dyDescent="0.3">
      <c r="A1207" s="66" t="s">
        <v>5211</v>
      </c>
      <c r="B1207" s="58">
        <v>8010</v>
      </c>
      <c r="C1207" s="58" t="s">
        <v>24</v>
      </c>
      <c r="D1207" s="65">
        <v>803781</v>
      </c>
      <c r="E1207" s="65" t="s">
        <v>42</v>
      </c>
      <c r="F1207" s="65" t="s">
        <v>1057</v>
      </c>
      <c r="G1207" s="65" t="s">
        <v>1056</v>
      </c>
      <c r="H1207" s="65" t="s">
        <v>7</v>
      </c>
      <c r="I1207" s="65" t="s">
        <v>6</v>
      </c>
      <c r="J1207" s="65" t="s">
        <v>5</v>
      </c>
      <c r="K1207" s="65" t="s">
        <v>115</v>
      </c>
      <c r="L1207" s="64" t="s">
        <v>91</v>
      </c>
      <c r="M1207" s="58" t="s">
        <v>90</v>
      </c>
      <c r="N1207" s="58" t="s">
        <v>2</v>
      </c>
      <c r="O1207" s="58">
        <v>125</v>
      </c>
      <c r="P1207" s="58">
        <v>125</v>
      </c>
      <c r="Q1207" s="58">
        <v>0</v>
      </c>
      <c r="R1207" s="58">
        <v>0</v>
      </c>
      <c r="S1207" s="58">
        <v>0</v>
      </c>
      <c r="T1207" s="58">
        <v>0</v>
      </c>
      <c r="U1207" s="58">
        <v>16</v>
      </c>
      <c r="V1207" s="62"/>
      <c r="W1207" s="62"/>
      <c r="X1207" s="63">
        <f>IFERROR(1 -(Master[[#This Row],[Avg Garment Scans per Delivery]]/Master[[#This Row],[Garment Inventory]]), 0)</f>
        <v>0</v>
      </c>
      <c r="Y1207" s="62"/>
      <c r="Z1207" s="62"/>
      <c r="AA1207" s="53">
        <v>29.099999999999994</v>
      </c>
      <c r="AB1207" s="53">
        <v>29.1</v>
      </c>
      <c r="AC1207" s="53">
        <v>28.968888888888891</v>
      </c>
      <c r="AD1207" s="53">
        <v>30.017777777777781</v>
      </c>
      <c r="AE1207" s="53" t="str">
        <f>_xlfn.XLOOKUP(Master[[#This Row],[cu_id]],'[1]Customer Revenue'!$Q:$Q,'[1]Customer Revenue'!$K:$K, "None")</f>
        <v>None</v>
      </c>
      <c r="AF1207" s="53" t="str">
        <f>_xlfn.XLOOKUP(Master[[#This Row],[cu_id]],'[1]Customer Revenue'!$Q:$Q,'[1]Customer Revenue'!$L:$L, "None")</f>
        <v>None</v>
      </c>
      <c r="AG1207" s="53">
        <v>21.247982786444332</v>
      </c>
      <c r="AH1207" s="53">
        <v>36.206562668101135</v>
      </c>
      <c r="AI1207" s="53">
        <v>29.099999999999998</v>
      </c>
      <c r="AJ1207" s="53">
        <v>29.493333333333336</v>
      </c>
      <c r="AK1207" s="53" t="str">
        <f>_xlfn.XLOOKUP(Master[[#This Row],[cu_id]],'[1]Customer Revenue'!$Q:$Q,'[1]Customer Revenue'!$I:$I, "None")</f>
        <v>None</v>
      </c>
      <c r="AL1207" s="53">
        <v>28.727272727272734</v>
      </c>
      <c r="AM1207" s="61">
        <v>0.33333333333333331</v>
      </c>
      <c r="AN1207" s="60">
        <v>0.6875</v>
      </c>
      <c r="AO1207" s="60" t="s">
        <v>36</v>
      </c>
      <c r="AP1207" s="60" t="s">
        <v>36</v>
      </c>
      <c r="AQ1207" s="58" t="s">
        <v>133</v>
      </c>
      <c r="AR1207" s="58"/>
      <c r="AS1207" s="58"/>
      <c r="AT1207" s="52">
        <v>0</v>
      </c>
      <c r="AU1207" s="52">
        <f>IF(Master[[#This Row],[RSP StopTime override]] &lt;&gt; "",Master[[#This Row],[RSP StopTime override]],IF(Master[[#This Row],[Avg stop time helper]] &lt;&gt; 0, Master[[#This Row],[Avg stop time helper]],Average_Stop_Time))</f>
        <v>10</v>
      </c>
      <c r="AV1207" s="21">
        <v>10</v>
      </c>
      <c r="AW1207" s="20">
        <f>Master[[#This Row],[RSP StopTime override]]-Master[[#This Row],[Avg stop time helper]]</f>
        <v>10</v>
      </c>
    </row>
    <row r="1208" spans="1:49" x14ac:dyDescent="0.3">
      <c r="A1208" s="66" t="s">
        <v>5212</v>
      </c>
      <c r="B1208" s="58">
        <v>8010</v>
      </c>
      <c r="C1208" s="58" t="s">
        <v>24</v>
      </c>
      <c r="D1208" s="65">
        <v>803808</v>
      </c>
      <c r="E1208" s="65" t="s">
        <v>42</v>
      </c>
      <c r="F1208" s="65" t="s">
        <v>1055</v>
      </c>
      <c r="G1208" s="65" t="s">
        <v>1054</v>
      </c>
      <c r="H1208" s="65" t="s">
        <v>7</v>
      </c>
      <c r="I1208" s="65" t="s">
        <v>6</v>
      </c>
      <c r="J1208" s="65" t="s">
        <v>5</v>
      </c>
      <c r="K1208" s="65" t="s">
        <v>115</v>
      </c>
      <c r="L1208" s="64" t="s">
        <v>194</v>
      </c>
      <c r="M1208" s="58" t="s">
        <v>193</v>
      </c>
      <c r="N1208" s="58" t="s">
        <v>2</v>
      </c>
      <c r="O1208" s="58">
        <v>94</v>
      </c>
      <c r="P1208" s="58">
        <v>95</v>
      </c>
      <c r="Q1208" s="58">
        <v>0</v>
      </c>
      <c r="R1208" s="58">
        <v>0</v>
      </c>
      <c r="S1208" s="58">
        <v>0</v>
      </c>
      <c r="T1208" s="58">
        <v>0</v>
      </c>
      <c r="U1208" s="58">
        <v>7</v>
      </c>
      <c r="V1208" s="62"/>
      <c r="W1208" s="62"/>
      <c r="X1208" s="63">
        <f>IFERROR(1 -(Master[[#This Row],[Avg Garment Scans per Delivery]]/Master[[#This Row],[Garment Inventory]]), 0)</f>
        <v>0</v>
      </c>
      <c r="Y1208" s="62"/>
      <c r="Z1208" s="62"/>
      <c r="AA1208" s="53">
        <v>31.17</v>
      </c>
      <c r="AB1208" s="53">
        <v>31.17</v>
      </c>
      <c r="AC1208" s="53">
        <v>12.5</v>
      </c>
      <c r="AD1208" s="53">
        <v>27.5</v>
      </c>
      <c r="AE1208" s="53" t="str">
        <f>_xlfn.XLOOKUP(Master[[#This Row],[cu_id]],'[1]Customer Revenue'!$Q:$Q,'[1]Customer Revenue'!$K:$K, "None")</f>
        <v>None</v>
      </c>
      <c r="AF1208" s="53" t="str">
        <f>_xlfn.XLOOKUP(Master[[#This Row],[cu_id]],'[1]Customer Revenue'!$Q:$Q,'[1]Customer Revenue'!$L:$L, "None")</f>
        <v>None</v>
      </c>
      <c r="AG1208" s="53">
        <v>31.17</v>
      </c>
      <c r="AH1208" s="53">
        <v>31.17</v>
      </c>
      <c r="AI1208" s="53">
        <v>31.17</v>
      </c>
      <c r="AJ1208" s="53">
        <v>20</v>
      </c>
      <c r="AK1208" s="53" t="str">
        <f>_xlfn.XLOOKUP(Master[[#This Row],[cu_id]],'[1]Customer Revenue'!$Q:$Q,'[1]Customer Revenue'!$I:$I, "None")</f>
        <v>None</v>
      </c>
      <c r="AL1208" s="53">
        <v>31.17</v>
      </c>
      <c r="AM1208" s="61">
        <v>0.375</v>
      </c>
      <c r="AN1208" s="60">
        <v>0.6875</v>
      </c>
      <c r="AO1208" s="60" t="s">
        <v>36</v>
      </c>
      <c r="AP1208" s="60" t="s">
        <v>36</v>
      </c>
      <c r="AQ1208" s="58" t="s">
        <v>308</v>
      </c>
      <c r="AR1208" s="58"/>
      <c r="AS1208" s="58"/>
      <c r="AT1208" s="52">
        <v>0</v>
      </c>
      <c r="AU1208" s="52">
        <f>IF(Master[[#This Row],[RSP StopTime override]] &lt;&gt; "",Master[[#This Row],[RSP StopTime override]],IF(Master[[#This Row],[Avg stop time helper]] &lt;&gt; 0, Master[[#This Row],[Avg stop time helper]],Average_Stop_Time))</f>
        <v>10</v>
      </c>
      <c r="AV1208" s="21">
        <v>10</v>
      </c>
      <c r="AW1208" s="20">
        <f>Master[[#This Row],[RSP StopTime override]]-Master[[#This Row],[Avg stop time helper]]</f>
        <v>10</v>
      </c>
    </row>
    <row r="1209" spans="1:49" x14ac:dyDescent="0.3">
      <c r="A1209" s="66" t="s">
        <v>5213</v>
      </c>
      <c r="B1209" s="58">
        <v>8010</v>
      </c>
      <c r="C1209" s="58" t="s">
        <v>24</v>
      </c>
      <c r="D1209" s="65">
        <v>803832</v>
      </c>
      <c r="E1209" s="65" t="s">
        <v>42</v>
      </c>
      <c r="F1209" s="65" t="s">
        <v>1053</v>
      </c>
      <c r="G1209" s="65" t="s">
        <v>1052</v>
      </c>
      <c r="H1209" s="65" t="s">
        <v>7</v>
      </c>
      <c r="I1209" s="65" t="s">
        <v>6</v>
      </c>
      <c r="J1209" s="65" t="s">
        <v>5</v>
      </c>
      <c r="K1209" s="65" t="s">
        <v>151</v>
      </c>
      <c r="L1209" s="64" t="s">
        <v>77</v>
      </c>
      <c r="M1209" s="58" t="s">
        <v>29</v>
      </c>
      <c r="N1209" s="58" t="s">
        <v>2</v>
      </c>
      <c r="O1209" s="58">
        <v>165</v>
      </c>
      <c r="P1209" s="58">
        <v>170</v>
      </c>
      <c r="Q1209" s="58">
        <v>0</v>
      </c>
      <c r="R1209" s="58">
        <v>0</v>
      </c>
      <c r="S1209" s="58">
        <v>0</v>
      </c>
      <c r="T1209" s="58">
        <v>0</v>
      </c>
      <c r="U1209" s="58">
        <v>15</v>
      </c>
      <c r="V1209" s="62"/>
      <c r="W1209" s="62"/>
      <c r="X1209" s="63">
        <f>IFERROR(1 -(Master[[#This Row],[Avg Garment Scans per Delivery]]/Master[[#This Row],[Garment Inventory]]), 0)</f>
        <v>0</v>
      </c>
      <c r="Y1209" s="62"/>
      <c r="Z1209" s="62"/>
      <c r="AA1209" s="53">
        <v>42.3</v>
      </c>
      <c r="AB1209" s="53">
        <v>42.300000000000011</v>
      </c>
      <c r="AC1209" s="53">
        <v>32.237823129251694</v>
      </c>
      <c r="AD1209" s="53">
        <v>53.148843537414962</v>
      </c>
      <c r="AE1209" s="53" t="str">
        <f>_xlfn.XLOOKUP(Master[[#This Row],[cu_id]],'[1]Customer Revenue'!$Q:$Q,'[1]Customer Revenue'!$K:$K, "None")</f>
        <v>None</v>
      </c>
      <c r="AF1209" s="53" t="str">
        <f>_xlfn.XLOOKUP(Master[[#This Row],[cu_id]],'[1]Customer Revenue'!$Q:$Q,'[1]Customer Revenue'!$L:$L, "None")</f>
        <v>None</v>
      </c>
      <c r="AG1209" s="53">
        <v>42.3</v>
      </c>
      <c r="AH1209" s="53">
        <v>42.300000000000011</v>
      </c>
      <c r="AI1209" s="53">
        <v>42.300000000000004</v>
      </c>
      <c r="AJ1209" s="53">
        <v>42.693333333333328</v>
      </c>
      <c r="AK1209" s="53" t="str">
        <f>_xlfn.XLOOKUP(Master[[#This Row],[cu_id]],'[1]Customer Revenue'!$Q:$Q,'[1]Customer Revenue'!$I:$I, "None")</f>
        <v>None</v>
      </c>
      <c r="AL1209" s="53">
        <v>42.300000000000004</v>
      </c>
      <c r="AM1209" s="61" t="s">
        <v>36</v>
      </c>
      <c r="AN1209" s="60" t="s">
        <v>36</v>
      </c>
      <c r="AO1209" s="60" t="s">
        <v>36</v>
      </c>
      <c r="AP1209" s="60" t="s">
        <v>36</v>
      </c>
      <c r="AQ1209" s="58" t="s">
        <v>0</v>
      </c>
      <c r="AR1209" s="58"/>
      <c r="AS1209" s="58"/>
      <c r="AT1209" s="52">
        <v>0</v>
      </c>
      <c r="AU1209" s="52">
        <f>IF(Master[[#This Row],[RSP StopTime override]] &lt;&gt; "",Master[[#This Row],[RSP StopTime override]],IF(Master[[#This Row],[Avg stop time helper]] &lt;&gt; 0, Master[[#This Row],[Avg stop time helper]],Average_Stop_Time))</f>
        <v>15</v>
      </c>
      <c r="AV1209" s="21">
        <v>15</v>
      </c>
      <c r="AW1209" s="20">
        <f>Master[[#This Row],[RSP StopTime override]]-Master[[#This Row],[Avg stop time helper]]</f>
        <v>15</v>
      </c>
    </row>
    <row r="1210" spans="1:49" x14ac:dyDescent="0.3">
      <c r="A1210" s="66" t="s">
        <v>5214</v>
      </c>
      <c r="B1210" s="58">
        <v>8010</v>
      </c>
      <c r="C1210" s="58" t="s">
        <v>24</v>
      </c>
      <c r="D1210" s="65">
        <v>803840</v>
      </c>
      <c r="E1210" s="65" t="s">
        <v>42</v>
      </c>
      <c r="F1210" s="65" t="s">
        <v>1051</v>
      </c>
      <c r="G1210" s="65" t="s">
        <v>1050</v>
      </c>
      <c r="H1210" s="65" t="s">
        <v>7</v>
      </c>
      <c r="I1210" s="65" t="s">
        <v>6</v>
      </c>
      <c r="J1210" s="65" t="s">
        <v>5</v>
      </c>
      <c r="K1210" s="65" t="s">
        <v>115</v>
      </c>
      <c r="L1210" s="64" t="s">
        <v>67</v>
      </c>
      <c r="M1210" s="58" t="s">
        <v>3</v>
      </c>
      <c r="N1210" s="58" t="s">
        <v>2</v>
      </c>
      <c r="O1210" s="58">
        <v>28</v>
      </c>
      <c r="P1210" s="58">
        <v>40</v>
      </c>
      <c r="Q1210" s="58">
        <v>0</v>
      </c>
      <c r="R1210" s="58">
        <v>0</v>
      </c>
      <c r="S1210" s="58">
        <v>0</v>
      </c>
      <c r="T1210" s="58">
        <v>0</v>
      </c>
      <c r="U1210" s="58">
        <v>37</v>
      </c>
      <c r="V1210" s="62"/>
      <c r="W1210" s="62"/>
      <c r="X1210" s="63">
        <f>IFERROR(1 -(Master[[#This Row],[Avg Garment Scans per Delivery]]/Master[[#This Row],[Garment Inventory]]), 0)</f>
        <v>0</v>
      </c>
      <c r="Y1210" s="62"/>
      <c r="Z1210" s="62"/>
      <c r="AA1210" s="53">
        <v>20.22</v>
      </c>
      <c r="AB1210" s="53">
        <v>20.22</v>
      </c>
      <c r="AC1210" s="53">
        <v>20.112307692307692</v>
      </c>
      <c r="AD1210" s="53">
        <v>20.887692307692308</v>
      </c>
      <c r="AE1210" s="53" t="str">
        <f>_xlfn.XLOOKUP(Master[[#This Row],[cu_id]],'[1]Customer Revenue'!$Q:$Q,'[1]Customer Revenue'!$K:$K, "None")</f>
        <v>None</v>
      </c>
      <c r="AF1210" s="53" t="str">
        <f>_xlfn.XLOOKUP(Master[[#This Row],[cu_id]],'[1]Customer Revenue'!$Q:$Q,'[1]Customer Revenue'!$L:$L, "None")</f>
        <v>None</v>
      </c>
      <c r="AG1210" s="53">
        <v>20.22</v>
      </c>
      <c r="AH1210" s="53">
        <v>20.220000000000027</v>
      </c>
      <c r="AI1210" s="53">
        <v>20.22</v>
      </c>
      <c r="AJ1210" s="53">
        <v>20.5</v>
      </c>
      <c r="AK1210" s="53" t="str">
        <f>_xlfn.XLOOKUP(Master[[#This Row],[cu_id]],'[1]Customer Revenue'!$Q:$Q,'[1]Customer Revenue'!$I:$I, "None")</f>
        <v>None</v>
      </c>
      <c r="AL1210" s="53">
        <v>20.220000000000013</v>
      </c>
      <c r="AM1210" s="61">
        <v>0.29166666666666669</v>
      </c>
      <c r="AN1210" s="60">
        <v>0.70833333333333337</v>
      </c>
      <c r="AO1210" s="60" t="s">
        <v>36</v>
      </c>
      <c r="AP1210" s="60" t="s">
        <v>36</v>
      </c>
      <c r="AQ1210" s="58" t="s">
        <v>0</v>
      </c>
      <c r="AR1210" s="58"/>
      <c r="AS1210" s="58"/>
      <c r="AT1210" s="52">
        <v>0</v>
      </c>
      <c r="AU1210" s="52" t="e">
        <f>IF(Master[[#This Row],[RSP StopTime override]] &lt;&gt; "",Master[[#This Row],[RSP StopTime override]],IF(Master[[#This Row],[Avg stop time helper]] &lt;&gt; 0, Master[[#This Row],[Avg stop time helper]],Average_Stop_Time))</f>
        <v>#DIV/0!</v>
      </c>
      <c r="AV1210" s="21"/>
      <c r="AW1210" s="20">
        <f>Master[[#This Row],[RSP StopTime override]]-Master[[#This Row],[Avg stop time helper]]</f>
        <v>0</v>
      </c>
    </row>
    <row r="1211" spans="1:49" x14ac:dyDescent="0.3">
      <c r="A1211" s="66" t="s">
        <v>5215</v>
      </c>
      <c r="B1211" s="58">
        <v>8010</v>
      </c>
      <c r="C1211" s="58" t="s">
        <v>24</v>
      </c>
      <c r="D1211" s="65">
        <v>803841</v>
      </c>
      <c r="E1211" s="65" t="s">
        <v>42</v>
      </c>
      <c r="F1211" s="65" t="s">
        <v>1049</v>
      </c>
      <c r="G1211" s="65" t="s">
        <v>982</v>
      </c>
      <c r="H1211" s="65" t="s">
        <v>1048</v>
      </c>
      <c r="I1211" s="65" t="s">
        <v>6</v>
      </c>
      <c r="J1211" s="65" t="s">
        <v>5</v>
      </c>
      <c r="K1211" s="65" t="s">
        <v>115</v>
      </c>
      <c r="L1211" s="64" t="s">
        <v>67</v>
      </c>
      <c r="M1211" s="58" t="s">
        <v>3</v>
      </c>
      <c r="N1211" s="58" t="s">
        <v>2</v>
      </c>
      <c r="O1211" s="58">
        <v>27</v>
      </c>
      <c r="P1211" s="58">
        <v>45</v>
      </c>
      <c r="Q1211" s="58">
        <v>0</v>
      </c>
      <c r="R1211" s="58">
        <v>0</v>
      </c>
      <c r="S1211" s="58">
        <v>0</v>
      </c>
      <c r="T1211" s="58">
        <v>0</v>
      </c>
      <c r="U1211" s="58">
        <v>39</v>
      </c>
      <c r="V1211" s="62"/>
      <c r="W1211" s="62"/>
      <c r="X1211" s="63">
        <f>IFERROR(1 -(Master[[#This Row],[Avg Garment Scans per Delivery]]/Master[[#This Row],[Garment Inventory]]), 0)</f>
        <v>0</v>
      </c>
      <c r="Y1211" s="62"/>
      <c r="Z1211" s="62"/>
      <c r="AA1211" s="53">
        <v>20.49</v>
      </c>
      <c r="AB1211" s="53">
        <v>20.490000000000006</v>
      </c>
      <c r="AC1211" s="53">
        <v>20.413076923076922</v>
      </c>
      <c r="AD1211" s="53">
        <v>20.966923076923074</v>
      </c>
      <c r="AE1211" s="53" t="str">
        <f>_xlfn.XLOOKUP(Master[[#This Row],[cu_id]],'[1]Customer Revenue'!$Q:$Q,'[1]Customer Revenue'!$K:$K, "None")</f>
        <v>None</v>
      </c>
      <c r="AF1211" s="53" t="str">
        <f>_xlfn.XLOOKUP(Master[[#This Row],[cu_id]],'[1]Customer Revenue'!$Q:$Q,'[1]Customer Revenue'!$L:$L, "None")</f>
        <v>None</v>
      </c>
      <c r="AG1211" s="53">
        <v>20.49</v>
      </c>
      <c r="AH1211" s="53">
        <v>20.490000000000013</v>
      </c>
      <c r="AI1211" s="53">
        <v>20.490000000000002</v>
      </c>
      <c r="AJ1211" s="53">
        <v>20.689999999999998</v>
      </c>
      <c r="AK1211" s="53" t="str">
        <f>_xlfn.XLOOKUP(Master[[#This Row],[cu_id]],'[1]Customer Revenue'!$Q:$Q,'[1]Customer Revenue'!$I:$I, "None")</f>
        <v>None</v>
      </c>
      <c r="AL1211" s="53">
        <v>20.490000000000006</v>
      </c>
      <c r="AM1211" s="61">
        <v>0.29166666666666669</v>
      </c>
      <c r="AN1211" s="60">
        <v>0.70833333333333337</v>
      </c>
      <c r="AO1211" s="60" t="s">
        <v>36</v>
      </c>
      <c r="AP1211" s="60" t="s">
        <v>36</v>
      </c>
      <c r="AQ1211" s="58" t="s">
        <v>0</v>
      </c>
      <c r="AR1211" s="58"/>
      <c r="AS1211" s="58"/>
      <c r="AT1211" s="52">
        <v>0</v>
      </c>
      <c r="AU1211" s="52" t="e">
        <f>IF(Master[[#This Row],[RSP StopTime override]] &lt;&gt; "",Master[[#This Row],[RSP StopTime override]],IF(Master[[#This Row],[Avg stop time helper]] &lt;&gt; 0, Master[[#This Row],[Avg stop time helper]],Average_Stop_Time))</f>
        <v>#DIV/0!</v>
      </c>
      <c r="AV1211" s="21"/>
      <c r="AW1211" s="20">
        <f>Master[[#This Row],[RSP StopTime override]]-Master[[#This Row],[Avg stop time helper]]</f>
        <v>0</v>
      </c>
    </row>
    <row r="1212" spans="1:49" x14ac:dyDescent="0.3">
      <c r="A1212" s="66" t="s">
        <v>5216</v>
      </c>
      <c r="B1212" s="58">
        <v>8010</v>
      </c>
      <c r="C1212" s="58" t="s">
        <v>24</v>
      </c>
      <c r="D1212" s="65">
        <v>803856</v>
      </c>
      <c r="E1212" s="65" t="s">
        <v>42</v>
      </c>
      <c r="F1212" s="65" t="s">
        <v>1047</v>
      </c>
      <c r="G1212" s="65" t="s">
        <v>1046</v>
      </c>
      <c r="H1212" s="65" t="s">
        <v>7</v>
      </c>
      <c r="I1212" s="65" t="s">
        <v>6</v>
      </c>
      <c r="J1212" s="65" t="s">
        <v>5</v>
      </c>
      <c r="K1212" s="65" t="s">
        <v>115</v>
      </c>
      <c r="L1212" s="64" t="s">
        <v>67</v>
      </c>
      <c r="M1212" s="58" t="s">
        <v>3</v>
      </c>
      <c r="N1212" s="58" t="s">
        <v>2</v>
      </c>
      <c r="O1212" s="58">
        <v>42</v>
      </c>
      <c r="P1212" s="58">
        <v>60</v>
      </c>
      <c r="Q1212" s="58">
        <v>0</v>
      </c>
      <c r="R1212" s="58">
        <v>0</v>
      </c>
      <c r="S1212" s="58">
        <v>0</v>
      </c>
      <c r="T1212" s="58">
        <v>0</v>
      </c>
      <c r="U1212" s="58">
        <v>39</v>
      </c>
      <c r="V1212" s="62"/>
      <c r="W1212" s="62"/>
      <c r="X1212" s="63">
        <f>IFERROR(1 -(Master[[#This Row],[Avg Garment Scans per Delivery]]/Master[[#This Row],[Garment Inventory]]), 0)</f>
        <v>0</v>
      </c>
      <c r="Y1212" s="62"/>
      <c r="Z1212" s="62"/>
      <c r="AA1212" s="53">
        <v>33.519289940828415</v>
      </c>
      <c r="AB1212" s="53">
        <v>56.837633136094681</v>
      </c>
      <c r="AC1212" s="53">
        <v>32.662755102040819</v>
      </c>
      <c r="AD1212" s="53">
        <v>60.324387755102052</v>
      </c>
      <c r="AE1212" s="53" t="str">
        <f>_xlfn.XLOOKUP(Master[[#This Row],[cu_id]],'[1]Customer Revenue'!$Q:$Q,'[1]Customer Revenue'!$K:$K, "None")</f>
        <v>None</v>
      </c>
      <c r="AF1212" s="53" t="str">
        <f>_xlfn.XLOOKUP(Master[[#This Row],[cu_id]],'[1]Customer Revenue'!$Q:$Q,'[1]Customer Revenue'!$L:$L, "None")</f>
        <v>None</v>
      </c>
      <c r="AG1212" s="53">
        <v>35.33</v>
      </c>
      <c r="AH1212" s="53">
        <v>58.489999999999995</v>
      </c>
      <c r="AI1212" s="53">
        <v>45.178461538461548</v>
      </c>
      <c r="AJ1212" s="53">
        <v>46.493571428571435</v>
      </c>
      <c r="AK1212" s="53" t="str">
        <f>_xlfn.XLOOKUP(Master[[#This Row],[cu_id]],'[1]Customer Revenue'!$Q:$Q,'[1]Customer Revenue'!$I:$I, "None")</f>
        <v>None</v>
      </c>
      <c r="AL1212" s="53">
        <v>46.91</v>
      </c>
      <c r="AM1212" s="61">
        <v>0.35416666666666669</v>
      </c>
      <c r="AN1212" s="60">
        <v>0.79166666666666663</v>
      </c>
      <c r="AO1212" s="60" t="s">
        <v>36</v>
      </c>
      <c r="AP1212" s="60" t="s">
        <v>36</v>
      </c>
      <c r="AQ1212" s="58" t="s">
        <v>308</v>
      </c>
      <c r="AR1212" s="58"/>
      <c r="AS1212" s="58"/>
      <c r="AT1212" s="52">
        <v>0</v>
      </c>
      <c r="AU1212" s="52">
        <f>IF(Master[[#This Row],[RSP StopTime override]] &lt;&gt; "",Master[[#This Row],[RSP StopTime override]],IF(Master[[#This Row],[Avg stop time helper]] &lt;&gt; 0, Master[[#This Row],[Avg stop time helper]],Average_Stop_Time))</f>
        <v>15</v>
      </c>
      <c r="AV1212" s="21">
        <v>15</v>
      </c>
      <c r="AW1212" s="20">
        <f>Master[[#This Row],[RSP StopTime override]]-Master[[#This Row],[Avg stop time helper]]</f>
        <v>15</v>
      </c>
    </row>
    <row r="1213" spans="1:49" x14ac:dyDescent="0.3">
      <c r="A1213" s="66" t="s">
        <v>5217</v>
      </c>
      <c r="B1213" s="58">
        <v>8010</v>
      </c>
      <c r="C1213" s="58" t="s">
        <v>24</v>
      </c>
      <c r="D1213" s="65">
        <v>803870</v>
      </c>
      <c r="E1213" s="65" t="s">
        <v>42</v>
      </c>
      <c r="F1213" s="65" t="s">
        <v>1045</v>
      </c>
      <c r="G1213" s="65" t="s">
        <v>1044</v>
      </c>
      <c r="H1213" s="65" t="s">
        <v>7</v>
      </c>
      <c r="I1213" s="65" t="s">
        <v>6</v>
      </c>
      <c r="J1213" s="65" t="s">
        <v>5</v>
      </c>
      <c r="K1213" s="65" t="s">
        <v>115</v>
      </c>
      <c r="L1213" s="64" t="s">
        <v>67</v>
      </c>
      <c r="M1213" s="58" t="s">
        <v>3</v>
      </c>
      <c r="N1213" s="58" t="s">
        <v>2</v>
      </c>
      <c r="O1213" s="58">
        <v>30</v>
      </c>
      <c r="P1213" s="58">
        <v>50</v>
      </c>
      <c r="Q1213" s="58">
        <v>0</v>
      </c>
      <c r="R1213" s="58">
        <v>0</v>
      </c>
      <c r="S1213" s="58">
        <v>0</v>
      </c>
      <c r="T1213" s="58">
        <v>0</v>
      </c>
      <c r="U1213" s="58">
        <v>40</v>
      </c>
      <c r="V1213" s="62"/>
      <c r="W1213" s="62"/>
      <c r="X1213" s="63">
        <f>IFERROR(1 -(Master[[#This Row],[Avg Garment Scans per Delivery]]/Master[[#This Row],[Garment Inventory]]), 0)</f>
        <v>0</v>
      </c>
      <c r="Y1213" s="62"/>
      <c r="Z1213" s="62"/>
      <c r="AA1213" s="53">
        <v>61.151834319526628</v>
      </c>
      <c r="AB1213" s="53">
        <v>95.020473372781069</v>
      </c>
      <c r="AC1213" s="53">
        <v>59.743431952662746</v>
      </c>
      <c r="AD1213" s="53">
        <v>97.770414201183428</v>
      </c>
      <c r="AE1213" s="53" t="str">
        <f>_xlfn.XLOOKUP(Master[[#This Row],[cu_id]],'[1]Customer Revenue'!$Q:$Q,'[1]Customer Revenue'!$K:$K, "None")</f>
        <v>None</v>
      </c>
      <c r="AF1213" s="53" t="str">
        <f>_xlfn.XLOOKUP(Master[[#This Row],[cu_id]],'[1]Customer Revenue'!$Q:$Q,'[1]Customer Revenue'!$L:$L, "None")</f>
        <v>None</v>
      </c>
      <c r="AG1213" s="53">
        <v>59.575059171597637</v>
      </c>
      <c r="AH1213" s="53">
        <v>92.493402366863904</v>
      </c>
      <c r="AI1213" s="53">
        <v>78.086153846153849</v>
      </c>
      <c r="AJ1213" s="53">
        <v>78.756923076923087</v>
      </c>
      <c r="AK1213" s="53" t="str">
        <f>_xlfn.XLOOKUP(Master[[#This Row],[cu_id]],'[1]Customer Revenue'!$Q:$Q,'[1]Customer Revenue'!$I:$I, "None")</f>
        <v>None</v>
      </c>
      <c r="AL1213" s="53">
        <v>76.034230769230774</v>
      </c>
      <c r="AM1213" s="61">
        <v>0.3125</v>
      </c>
      <c r="AN1213" s="60">
        <v>0.8125</v>
      </c>
      <c r="AO1213" s="60" t="s">
        <v>36</v>
      </c>
      <c r="AP1213" s="60" t="s">
        <v>36</v>
      </c>
      <c r="AQ1213" s="58" t="s">
        <v>308</v>
      </c>
      <c r="AR1213" s="58"/>
      <c r="AS1213" s="58"/>
      <c r="AT1213" s="52">
        <v>0</v>
      </c>
      <c r="AU1213" s="52" t="e">
        <f>IF(Master[[#This Row],[RSP StopTime override]] &lt;&gt; "",Master[[#This Row],[RSP StopTime override]],IF(Master[[#This Row],[Avg stop time helper]] &lt;&gt; 0, Master[[#This Row],[Avg stop time helper]],Average_Stop_Time))</f>
        <v>#DIV/0!</v>
      </c>
      <c r="AV1213" s="21"/>
      <c r="AW1213" s="20">
        <f>Master[[#This Row],[RSP StopTime override]]-Master[[#This Row],[Avg stop time helper]]</f>
        <v>0</v>
      </c>
    </row>
    <row r="1214" spans="1:49" x14ac:dyDescent="0.3">
      <c r="A1214" s="66" t="s">
        <v>5218</v>
      </c>
      <c r="B1214" s="58">
        <v>8010</v>
      </c>
      <c r="C1214" s="58" t="s">
        <v>24</v>
      </c>
      <c r="D1214" s="65">
        <v>803874</v>
      </c>
      <c r="E1214" s="65" t="s">
        <v>42</v>
      </c>
      <c r="F1214" s="65" t="s">
        <v>1043</v>
      </c>
      <c r="G1214" s="65" t="s">
        <v>1042</v>
      </c>
      <c r="H1214" s="65" t="s">
        <v>7</v>
      </c>
      <c r="I1214" s="65" t="s">
        <v>6</v>
      </c>
      <c r="J1214" s="65" t="s">
        <v>5</v>
      </c>
      <c r="K1214" s="65" t="s">
        <v>115</v>
      </c>
      <c r="L1214" s="64" t="s">
        <v>194</v>
      </c>
      <c r="M1214" s="58" t="s">
        <v>193</v>
      </c>
      <c r="N1214" s="58" t="s">
        <v>2</v>
      </c>
      <c r="O1214" s="58">
        <v>112</v>
      </c>
      <c r="P1214" s="58">
        <v>85</v>
      </c>
      <c r="Q1214" s="58">
        <v>0</v>
      </c>
      <c r="R1214" s="58">
        <v>0</v>
      </c>
      <c r="S1214" s="58">
        <v>0</v>
      </c>
      <c r="T1214" s="58">
        <v>0</v>
      </c>
      <c r="U1214" s="58">
        <v>9</v>
      </c>
      <c r="V1214" s="62"/>
      <c r="W1214" s="62"/>
      <c r="X1214" s="63">
        <f>IFERROR(1 -(Master[[#This Row],[Avg Garment Scans per Delivery]]/Master[[#This Row],[Garment Inventory]]), 0)</f>
        <v>0</v>
      </c>
      <c r="Y1214" s="62"/>
      <c r="Z1214" s="62"/>
      <c r="AA1214" s="53">
        <v>55.164999999999999</v>
      </c>
      <c r="AB1214" s="53">
        <v>165.495</v>
      </c>
      <c r="AC1214" s="53">
        <v>37.691111111111113</v>
      </c>
      <c r="AD1214" s="53">
        <v>95.802222222222227</v>
      </c>
      <c r="AE1214" s="53" t="str">
        <f>_xlfn.XLOOKUP(Master[[#This Row],[cu_id]],'[1]Customer Revenue'!$Q:$Q,'[1]Customer Revenue'!$K:$K, "None")</f>
        <v>None</v>
      </c>
      <c r="AF1214" s="53" t="str">
        <f>_xlfn.XLOOKUP(Master[[#This Row],[cu_id]],'[1]Customer Revenue'!$Q:$Q,'[1]Customer Revenue'!$L:$L, "None")</f>
        <v>None</v>
      </c>
      <c r="AG1214" s="53">
        <v>26.879591836734697</v>
      </c>
      <c r="AH1214" s="53">
        <v>100.84040816326529</v>
      </c>
      <c r="AI1214" s="53">
        <v>110.33</v>
      </c>
      <c r="AJ1214" s="53">
        <v>66.74666666666667</v>
      </c>
      <c r="AK1214" s="53" t="str">
        <f>_xlfn.XLOOKUP(Master[[#This Row],[cu_id]],'[1]Customer Revenue'!$Q:$Q,'[1]Customer Revenue'!$I:$I, "None")</f>
        <v>None</v>
      </c>
      <c r="AL1214" s="53">
        <v>63.86</v>
      </c>
      <c r="AM1214" s="61">
        <v>0.39583333333333331</v>
      </c>
      <c r="AN1214" s="60">
        <v>0.70833333333333337</v>
      </c>
      <c r="AO1214" s="60" t="s">
        <v>36</v>
      </c>
      <c r="AP1214" s="60" t="s">
        <v>36</v>
      </c>
      <c r="AQ1214" s="58" t="s">
        <v>308</v>
      </c>
      <c r="AR1214" s="58"/>
      <c r="AS1214" s="58"/>
      <c r="AT1214" s="52">
        <v>0</v>
      </c>
      <c r="AU1214" s="52" t="e">
        <f>IF(Master[[#This Row],[RSP StopTime override]] &lt;&gt; "",Master[[#This Row],[RSP StopTime override]],IF(Master[[#This Row],[Avg stop time helper]] &lt;&gt; 0, Master[[#This Row],[Avg stop time helper]],Average_Stop_Time))</f>
        <v>#DIV/0!</v>
      </c>
      <c r="AV1214" s="21"/>
      <c r="AW1214" s="20">
        <f>Master[[#This Row],[RSP StopTime override]]-Master[[#This Row],[Avg stop time helper]]</f>
        <v>0</v>
      </c>
    </row>
    <row r="1215" spans="1:49" x14ac:dyDescent="0.3">
      <c r="A1215" s="66" t="s">
        <v>5219</v>
      </c>
      <c r="B1215" s="58">
        <v>8010</v>
      </c>
      <c r="C1215" s="58" t="s">
        <v>24</v>
      </c>
      <c r="D1215" s="65">
        <v>803875</v>
      </c>
      <c r="E1215" s="65" t="s">
        <v>42</v>
      </c>
      <c r="F1215" s="65" t="s">
        <v>1041</v>
      </c>
      <c r="G1215" s="65" t="s">
        <v>1040</v>
      </c>
      <c r="H1215" s="65" t="s">
        <v>7</v>
      </c>
      <c r="I1215" s="65" t="s">
        <v>6</v>
      </c>
      <c r="J1215" s="65" t="s">
        <v>5</v>
      </c>
      <c r="K1215" s="65" t="s">
        <v>115</v>
      </c>
      <c r="L1215" s="64" t="s">
        <v>91</v>
      </c>
      <c r="M1215" s="58" t="s">
        <v>90</v>
      </c>
      <c r="N1215" s="58" t="s">
        <v>2</v>
      </c>
      <c r="O1215" s="58">
        <v>31</v>
      </c>
      <c r="P1215" s="58">
        <v>55</v>
      </c>
      <c r="Q1215" s="58">
        <v>0</v>
      </c>
      <c r="R1215" s="58">
        <v>0</v>
      </c>
      <c r="S1215" s="58">
        <v>0</v>
      </c>
      <c r="T1215" s="58">
        <v>0</v>
      </c>
      <c r="U1215" s="58">
        <v>19</v>
      </c>
      <c r="V1215" s="62"/>
      <c r="W1215" s="62"/>
      <c r="X1215" s="63">
        <f>IFERROR(1 -(Master[[#This Row],[Avg Garment Scans per Delivery]]/Master[[#This Row],[Garment Inventory]]), 0)</f>
        <v>0</v>
      </c>
      <c r="Y1215" s="62"/>
      <c r="Z1215" s="62"/>
      <c r="AA1215" s="53">
        <v>23.699999999999992</v>
      </c>
      <c r="AB1215" s="53">
        <v>23.7</v>
      </c>
      <c r="AC1215" s="53">
        <v>23.568888888888889</v>
      </c>
      <c r="AD1215" s="53">
        <v>24.617777777777778</v>
      </c>
      <c r="AE1215" s="53" t="str">
        <f>_xlfn.XLOOKUP(Master[[#This Row],[cu_id]],'[1]Customer Revenue'!$Q:$Q,'[1]Customer Revenue'!$K:$K, "None")</f>
        <v>None</v>
      </c>
      <c r="AF1215" s="53" t="str">
        <f>_xlfn.XLOOKUP(Master[[#This Row],[cu_id]],'[1]Customer Revenue'!$Q:$Q,'[1]Customer Revenue'!$L:$L, "None")</f>
        <v>None</v>
      </c>
      <c r="AG1215" s="53">
        <v>22.028846153846143</v>
      </c>
      <c r="AH1215" s="53">
        <v>29.321153846153845</v>
      </c>
      <c r="AI1215" s="53">
        <v>23.699999999999996</v>
      </c>
      <c r="AJ1215" s="53">
        <v>24.093333333333334</v>
      </c>
      <c r="AK1215" s="53" t="str">
        <f>_xlfn.XLOOKUP(Master[[#This Row],[cu_id]],'[1]Customer Revenue'!$Q:$Q,'[1]Customer Revenue'!$I:$I, "None")</f>
        <v>None</v>
      </c>
      <c r="AL1215" s="53">
        <v>25.674999999999994</v>
      </c>
      <c r="AM1215" s="61">
        <v>0.33333333333333331</v>
      </c>
      <c r="AN1215" s="60">
        <v>0.70833333333333337</v>
      </c>
      <c r="AO1215" s="60" t="s">
        <v>36</v>
      </c>
      <c r="AP1215" s="60" t="s">
        <v>36</v>
      </c>
      <c r="AQ1215" s="58" t="s">
        <v>0</v>
      </c>
      <c r="AR1215" s="58"/>
      <c r="AS1215" s="58"/>
      <c r="AT1215" s="52">
        <v>0</v>
      </c>
      <c r="AU1215" s="52">
        <f>IF(Master[[#This Row],[RSP StopTime override]] &lt;&gt; "",Master[[#This Row],[RSP StopTime override]],IF(Master[[#This Row],[Avg stop time helper]] &lt;&gt; 0, Master[[#This Row],[Avg stop time helper]],Average_Stop_Time))</f>
        <v>8</v>
      </c>
      <c r="AV1215" s="21">
        <v>8</v>
      </c>
      <c r="AW1215" s="20">
        <f>Master[[#This Row],[RSP StopTime override]]-Master[[#This Row],[Avg stop time helper]]</f>
        <v>8</v>
      </c>
    </row>
    <row r="1216" spans="1:49" x14ac:dyDescent="0.3">
      <c r="A1216" s="66" t="s">
        <v>5220</v>
      </c>
      <c r="B1216" s="58">
        <v>8010</v>
      </c>
      <c r="C1216" s="58" t="s">
        <v>24</v>
      </c>
      <c r="D1216" s="65">
        <v>803917</v>
      </c>
      <c r="E1216" s="65" t="s">
        <v>42</v>
      </c>
      <c r="F1216" s="65" t="s">
        <v>1039</v>
      </c>
      <c r="G1216" s="65" t="s">
        <v>1038</v>
      </c>
      <c r="H1216" s="65" t="s">
        <v>7</v>
      </c>
      <c r="I1216" s="65" t="s">
        <v>6</v>
      </c>
      <c r="J1216" s="65" t="s">
        <v>5</v>
      </c>
      <c r="K1216" s="65" t="s">
        <v>115</v>
      </c>
      <c r="L1216" s="64" t="s">
        <v>67</v>
      </c>
      <c r="M1216" s="58" t="s">
        <v>3</v>
      </c>
      <c r="N1216" s="58" t="s">
        <v>2</v>
      </c>
      <c r="O1216" s="58">
        <v>7</v>
      </c>
      <c r="P1216" s="58">
        <v>10</v>
      </c>
      <c r="Q1216" s="58">
        <v>0</v>
      </c>
      <c r="R1216" s="58">
        <v>0</v>
      </c>
      <c r="S1216" s="58">
        <v>0</v>
      </c>
      <c r="T1216" s="58">
        <v>0</v>
      </c>
      <c r="U1216" s="58">
        <v>39</v>
      </c>
      <c r="V1216" s="62"/>
      <c r="W1216" s="62"/>
      <c r="X1216" s="63">
        <f>IFERROR(1 -(Master[[#This Row],[Avg Garment Scans per Delivery]]/Master[[#This Row],[Garment Inventory]]), 0)</f>
        <v>0</v>
      </c>
      <c r="Y1216" s="62"/>
      <c r="Z1216" s="62"/>
      <c r="AA1216" s="53">
        <v>162.66758241758234</v>
      </c>
      <c r="AB1216" s="53">
        <v>212.42472527472526</v>
      </c>
      <c r="AC1216" s="53">
        <v>174.85224852071005</v>
      </c>
      <c r="AD1216" s="53">
        <v>181.15236686390531</v>
      </c>
      <c r="AE1216" s="53" t="str">
        <f>_xlfn.XLOOKUP(Master[[#This Row],[cu_id]],'[1]Customer Revenue'!$Q:$Q,'[1]Customer Revenue'!$K:$K, "None")</f>
        <v>None</v>
      </c>
      <c r="AF1216" s="53" t="str">
        <f>_xlfn.XLOOKUP(Master[[#This Row],[cu_id]],'[1]Customer Revenue'!$Q:$Q,'[1]Customer Revenue'!$L:$L, "None")</f>
        <v>None</v>
      </c>
      <c r="AG1216" s="53">
        <v>171.82553181386501</v>
      </c>
      <c r="AH1216" s="53">
        <v>200.79985280151945</v>
      </c>
      <c r="AI1216" s="53">
        <v>187.5461538461538</v>
      </c>
      <c r="AJ1216" s="53">
        <v>178.00230769230768</v>
      </c>
      <c r="AK1216" s="53" t="str">
        <f>_xlfn.XLOOKUP(Master[[#This Row],[cu_id]],'[1]Customer Revenue'!$Q:$Q,'[1]Customer Revenue'!$I:$I, "None")</f>
        <v>None</v>
      </c>
      <c r="AL1216" s="53">
        <v>186.31269230769223</v>
      </c>
      <c r="AM1216" s="61">
        <v>0.375</v>
      </c>
      <c r="AN1216" s="60">
        <v>0.5625</v>
      </c>
      <c r="AO1216" s="60" t="s">
        <v>36</v>
      </c>
      <c r="AP1216" s="60" t="s">
        <v>36</v>
      </c>
      <c r="AQ1216" s="58" t="s">
        <v>589</v>
      </c>
      <c r="AR1216" s="58"/>
      <c r="AS1216" s="58"/>
      <c r="AT1216" s="52">
        <v>0</v>
      </c>
      <c r="AU1216" s="52">
        <f>IF(Master[[#This Row],[RSP StopTime override]] &lt;&gt; "",Master[[#This Row],[RSP StopTime override]],IF(Master[[#This Row],[Avg stop time helper]] &lt;&gt; 0, Master[[#This Row],[Avg stop time helper]],Average_Stop_Time))</f>
        <v>25</v>
      </c>
      <c r="AV1216" s="21">
        <v>25</v>
      </c>
      <c r="AW1216" s="20">
        <f>Master[[#This Row],[RSP StopTime override]]-Master[[#This Row],[Avg stop time helper]]</f>
        <v>25</v>
      </c>
    </row>
    <row r="1217" spans="1:49" x14ac:dyDescent="0.3">
      <c r="A1217" s="66" t="s">
        <v>5221</v>
      </c>
      <c r="B1217" s="58">
        <v>8010</v>
      </c>
      <c r="C1217" s="58" t="s">
        <v>24</v>
      </c>
      <c r="D1217" s="65">
        <v>803977</v>
      </c>
      <c r="E1217" s="65" t="s">
        <v>42</v>
      </c>
      <c r="F1217" s="65" t="s">
        <v>1037</v>
      </c>
      <c r="G1217" s="65" t="s">
        <v>1036</v>
      </c>
      <c r="H1217" s="65" t="s">
        <v>7</v>
      </c>
      <c r="I1217" s="65" t="s">
        <v>6</v>
      </c>
      <c r="J1217" s="65" t="s">
        <v>5</v>
      </c>
      <c r="K1217" s="65" t="s">
        <v>68</v>
      </c>
      <c r="L1217" s="64" t="s">
        <v>206</v>
      </c>
      <c r="M1217" s="58" t="s">
        <v>205</v>
      </c>
      <c r="N1217" s="58" t="s">
        <v>2</v>
      </c>
      <c r="O1217" s="58">
        <v>190</v>
      </c>
      <c r="P1217" s="58">
        <v>190</v>
      </c>
      <c r="Q1217" s="58">
        <v>0</v>
      </c>
      <c r="R1217" s="58">
        <v>0</v>
      </c>
      <c r="S1217" s="58">
        <v>0</v>
      </c>
      <c r="T1217" s="58">
        <v>0</v>
      </c>
      <c r="U1217" s="58">
        <v>9</v>
      </c>
      <c r="V1217" s="62"/>
      <c r="W1217" s="62"/>
      <c r="X1217" s="63">
        <f>IFERROR(1 -(Master[[#This Row],[Avg Garment Scans per Delivery]]/Master[[#This Row],[Garment Inventory]]), 0)</f>
        <v>0</v>
      </c>
      <c r="Y1217" s="62"/>
      <c r="Z1217" s="62"/>
      <c r="AA1217" s="53">
        <v>43.19</v>
      </c>
      <c r="AB1217" s="53">
        <v>43.19</v>
      </c>
      <c r="AC1217" s="53">
        <v>43.042499999999997</v>
      </c>
      <c r="AD1217" s="53">
        <v>43.927500000000002</v>
      </c>
      <c r="AE1217" s="53" t="str">
        <f>_xlfn.XLOOKUP(Master[[#This Row],[cu_id]],'[1]Customer Revenue'!$Q:$Q,'[1]Customer Revenue'!$K:$K, "None")</f>
        <v>None</v>
      </c>
      <c r="AF1217" s="53" t="str">
        <f>_xlfn.XLOOKUP(Master[[#This Row],[cu_id]],'[1]Customer Revenue'!$Q:$Q,'[1]Customer Revenue'!$L:$L, "None")</f>
        <v>None</v>
      </c>
      <c r="AG1217" s="53">
        <v>43.19</v>
      </c>
      <c r="AH1217" s="53">
        <v>43.19</v>
      </c>
      <c r="AI1217" s="53">
        <v>43.19</v>
      </c>
      <c r="AJ1217" s="53">
        <v>43.484999999999999</v>
      </c>
      <c r="AK1217" s="53" t="str">
        <f>_xlfn.XLOOKUP(Master[[#This Row],[cu_id]],'[1]Customer Revenue'!$Q:$Q,'[1]Customer Revenue'!$I:$I, "None")</f>
        <v>None</v>
      </c>
      <c r="AL1217" s="53">
        <v>43.19</v>
      </c>
      <c r="AM1217" s="61">
        <v>0.29166666666666669</v>
      </c>
      <c r="AN1217" s="60">
        <v>0.6875</v>
      </c>
      <c r="AO1217" s="60" t="s">
        <v>36</v>
      </c>
      <c r="AP1217" s="60" t="s">
        <v>36</v>
      </c>
      <c r="AQ1217" s="58" t="s">
        <v>0</v>
      </c>
      <c r="AR1217" s="58"/>
      <c r="AS1217" s="58"/>
      <c r="AT1217" s="52">
        <v>0</v>
      </c>
      <c r="AU1217" s="52">
        <f>IF(Master[[#This Row],[RSP StopTime override]] &lt;&gt; "",Master[[#This Row],[RSP StopTime override]],IF(Master[[#This Row],[Avg stop time helper]] &lt;&gt; 0, Master[[#This Row],[Avg stop time helper]],Average_Stop_Time))</f>
        <v>10</v>
      </c>
      <c r="AV1217" s="21">
        <v>10</v>
      </c>
      <c r="AW1217" s="20">
        <f>Master[[#This Row],[RSP StopTime override]]-Master[[#This Row],[Avg stop time helper]]</f>
        <v>10</v>
      </c>
    </row>
    <row r="1218" spans="1:49" x14ac:dyDescent="0.3">
      <c r="A1218" s="66" t="s">
        <v>5222</v>
      </c>
      <c r="B1218" s="58">
        <v>8010</v>
      </c>
      <c r="C1218" s="58" t="s">
        <v>24</v>
      </c>
      <c r="D1218" s="65">
        <v>803997</v>
      </c>
      <c r="E1218" s="65" t="s">
        <v>42</v>
      </c>
      <c r="F1218" s="65" t="s">
        <v>1035</v>
      </c>
      <c r="G1218" s="65" t="s">
        <v>1034</v>
      </c>
      <c r="H1218" s="65" t="s">
        <v>7</v>
      </c>
      <c r="I1218" s="65" t="s">
        <v>6</v>
      </c>
      <c r="J1218" s="65" t="s">
        <v>5</v>
      </c>
      <c r="K1218" s="65" t="s">
        <v>146</v>
      </c>
      <c r="L1218" s="64" t="s">
        <v>67</v>
      </c>
      <c r="M1218" s="58" t="s">
        <v>3</v>
      </c>
      <c r="N1218" s="58" t="s">
        <v>2</v>
      </c>
      <c r="O1218" s="58">
        <v>5</v>
      </c>
      <c r="P1218" s="58">
        <v>5</v>
      </c>
      <c r="Q1218" s="58">
        <v>0</v>
      </c>
      <c r="R1218" s="58">
        <v>0</v>
      </c>
      <c r="S1218" s="58">
        <v>0</v>
      </c>
      <c r="T1218" s="58">
        <v>0</v>
      </c>
      <c r="U1218" s="58">
        <v>41</v>
      </c>
      <c r="V1218" s="62"/>
      <c r="W1218" s="62"/>
      <c r="X1218" s="63">
        <f>IFERROR(1 -(Master[[#This Row],[Avg Garment Scans per Delivery]]/Master[[#This Row],[Garment Inventory]]), 0)</f>
        <v>0</v>
      </c>
      <c r="Y1218" s="62"/>
      <c r="Z1218" s="62"/>
      <c r="AA1218" s="53">
        <v>12.745955555555568</v>
      </c>
      <c r="AB1218" s="53">
        <v>171.08515555555556</v>
      </c>
      <c r="AC1218" s="53">
        <v>47.167550000000006</v>
      </c>
      <c r="AD1218" s="53">
        <v>193.78344999999996</v>
      </c>
      <c r="AE1218" s="53" t="str">
        <f>_xlfn.XLOOKUP(Master[[#This Row],[cu_id]],'[1]Customer Revenue'!$Q:$Q,'[1]Customer Revenue'!$K:$K, "None")</f>
        <v>None</v>
      </c>
      <c r="AF1218" s="53" t="str">
        <f>_xlfn.XLOOKUP(Master[[#This Row],[cu_id]],'[1]Customer Revenue'!$Q:$Q,'[1]Customer Revenue'!$L:$L, "None")</f>
        <v>None</v>
      </c>
      <c r="AG1218" s="53">
        <v>88.886115311909322</v>
      </c>
      <c r="AH1218" s="53">
        <v>266.62388468809081</v>
      </c>
      <c r="AI1218" s="53">
        <v>91.915555555555571</v>
      </c>
      <c r="AJ1218" s="53">
        <v>120.47549999999998</v>
      </c>
      <c r="AK1218" s="53" t="str">
        <f>_xlfn.XLOOKUP(Master[[#This Row],[cu_id]],'[1]Customer Revenue'!$Q:$Q,'[1]Customer Revenue'!$I:$I, "None")</f>
        <v>None</v>
      </c>
      <c r="AL1218" s="53">
        <v>177.75500000000005</v>
      </c>
      <c r="AM1218" s="61" t="s">
        <v>36</v>
      </c>
      <c r="AN1218" s="60" t="s">
        <v>36</v>
      </c>
      <c r="AO1218" s="60" t="s">
        <v>36</v>
      </c>
      <c r="AP1218" s="60" t="s">
        <v>36</v>
      </c>
      <c r="AQ1218" s="58" t="s">
        <v>308</v>
      </c>
      <c r="AR1218" s="58"/>
      <c r="AS1218" s="58"/>
      <c r="AT1218" s="52">
        <v>0</v>
      </c>
      <c r="AU1218" s="52">
        <f>IF(Master[[#This Row],[RSP StopTime override]] &lt;&gt; "",Master[[#This Row],[RSP StopTime override]],IF(Master[[#This Row],[Avg stop time helper]] &lt;&gt; 0, Master[[#This Row],[Avg stop time helper]],Average_Stop_Time))</f>
        <v>20</v>
      </c>
      <c r="AV1218" s="21">
        <v>20</v>
      </c>
      <c r="AW1218" s="20">
        <f>Master[[#This Row],[RSP StopTime override]]-Master[[#This Row],[Avg stop time helper]]</f>
        <v>20</v>
      </c>
    </row>
    <row r="1219" spans="1:49" x14ac:dyDescent="0.3">
      <c r="A1219" s="66" t="s">
        <v>5223</v>
      </c>
      <c r="B1219" s="58">
        <v>8010</v>
      </c>
      <c r="C1219" s="58" t="s">
        <v>24</v>
      </c>
      <c r="D1219" s="65">
        <v>804000</v>
      </c>
      <c r="E1219" s="65" t="s">
        <v>42</v>
      </c>
      <c r="F1219" s="65" t="s">
        <v>1033</v>
      </c>
      <c r="G1219" s="65" t="s">
        <v>1032</v>
      </c>
      <c r="H1219" s="65" t="s">
        <v>7</v>
      </c>
      <c r="I1219" s="65" t="s">
        <v>6</v>
      </c>
      <c r="J1219" s="65" t="s">
        <v>5</v>
      </c>
      <c r="K1219" s="65" t="s">
        <v>1031</v>
      </c>
      <c r="L1219" s="64" t="s">
        <v>124</v>
      </c>
      <c r="M1219" s="58" t="s">
        <v>123</v>
      </c>
      <c r="N1219" s="58" t="s">
        <v>2</v>
      </c>
      <c r="O1219" s="58">
        <v>175</v>
      </c>
      <c r="P1219" s="58">
        <v>175</v>
      </c>
      <c r="Q1219" s="58">
        <v>0</v>
      </c>
      <c r="R1219" s="58">
        <v>0</v>
      </c>
      <c r="S1219" s="58">
        <v>0</v>
      </c>
      <c r="T1219" s="58">
        <v>0</v>
      </c>
      <c r="U1219" s="58">
        <v>19</v>
      </c>
      <c r="V1219" s="62"/>
      <c r="W1219" s="62"/>
      <c r="X1219" s="63">
        <f>IFERROR(1 -(Master[[#This Row],[Avg Garment Scans per Delivery]]/Master[[#This Row],[Garment Inventory]]), 0)</f>
        <v>0</v>
      </c>
      <c r="Y1219" s="62"/>
      <c r="Z1219" s="62"/>
      <c r="AA1219" s="53">
        <v>29.74</v>
      </c>
      <c r="AB1219" s="53">
        <v>29.740000000000006</v>
      </c>
      <c r="AC1219" s="53">
        <v>21.831400000000006</v>
      </c>
      <c r="AD1219" s="53">
        <v>42.378600000000006</v>
      </c>
      <c r="AE1219" s="53" t="str">
        <f>_xlfn.XLOOKUP(Master[[#This Row],[cu_id]],'[1]Customer Revenue'!$Q:$Q,'[1]Customer Revenue'!$K:$K, "None")</f>
        <v>None</v>
      </c>
      <c r="AF1219" s="53" t="str">
        <f>_xlfn.XLOOKUP(Master[[#This Row],[cu_id]],'[1]Customer Revenue'!$Q:$Q,'[1]Customer Revenue'!$L:$L, "None")</f>
        <v>None</v>
      </c>
      <c r="AG1219" s="53">
        <v>29.74</v>
      </c>
      <c r="AH1219" s="53">
        <v>29.740000000000013</v>
      </c>
      <c r="AI1219" s="53">
        <v>29.740000000000002</v>
      </c>
      <c r="AJ1219" s="53">
        <v>32.105000000000004</v>
      </c>
      <c r="AK1219" s="53" t="str">
        <f>_xlfn.XLOOKUP(Master[[#This Row],[cu_id]],'[1]Customer Revenue'!$Q:$Q,'[1]Customer Revenue'!$I:$I, "None")</f>
        <v>None</v>
      </c>
      <c r="AL1219" s="53">
        <v>29.740000000000006</v>
      </c>
      <c r="AM1219" s="61">
        <v>0.33333333333333331</v>
      </c>
      <c r="AN1219" s="60">
        <v>0.6875</v>
      </c>
      <c r="AO1219" s="60" t="s">
        <v>36</v>
      </c>
      <c r="AP1219" s="60" t="s">
        <v>36</v>
      </c>
      <c r="AQ1219" s="58" t="s">
        <v>0</v>
      </c>
      <c r="AR1219" s="58"/>
      <c r="AS1219" s="58"/>
      <c r="AT1219" s="52">
        <v>0</v>
      </c>
      <c r="AU1219" s="52">
        <f>IF(Master[[#This Row],[RSP StopTime override]] &lt;&gt; "",Master[[#This Row],[RSP StopTime override]],IF(Master[[#This Row],[Avg stop time helper]] &lt;&gt; 0, Master[[#This Row],[Avg stop time helper]],Average_Stop_Time))</f>
        <v>10</v>
      </c>
      <c r="AV1219" s="21">
        <v>10</v>
      </c>
      <c r="AW1219" s="20">
        <f>Master[[#This Row],[RSP StopTime override]]-Master[[#This Row],[Avg stop time helper]]</f>
        <v>10</v>
      </c>
    </row>
    <row r="1220" spans="1:49" x14ac:dyDescent="0.3">
      <c r="A1220" s="66" t="s">
        <v>5224</v>
      </c>
      <c r="B1220" s="58">
        <v>8010</v>
      </c>
      <c r="C1220" s="58" t="s">
        <v>24</v>
      </c>
      <c r="D1220" s="65">
        <v>804221</v>
      </c>
      <c r="E1220" s="65" t="s">
        <v>42</v>
      </c>
      <c r="F1220" s="65" t="s">
        <v>1030</v>
      </c>
      <c r="G1220" s="65" t="s">
        <v>1029</v>
      </c>
      <c r="H1220" s="65" t="s">
        <v>7</v>
      </c>
      <c r="I1220" s="65" t="s">
        <v>6</v>
      </c>
      <c r="J1220" s="65" t="s">
        <v>5</v>
      </c>
      <c r="K1220" s="65" t="s">
        <v>115</v>
      </c>
      <c r="L1220" s="64" t="s">
        <v>91</v>
      </c>
      <c r="M1220" s="58" t="s">
        <v>90</v>
      </c>
      <c r="N1220" s="58" t="s">
        <v>2</v>
      </c>
      <c r="O1220" s="58">
        <v>75</v>
      </c>
      <c r="P1220" s="58">
        <v>75</v>
      </c>
      <c r="Q1220" s="58">
        <v>0</v>
      </c>
      <c r="R1220" s="58">
        <v>0</v>
      </c>
      <c r="S1220" s="58">
        <v>0</v>
      </c>
      <c r="T1220" s="58">
        <v>0</v>
      </c>
      <c r="U1220" s="58">
        <v>33</v>
      </c>
      <c r="V1220" s="62"/>
      <c r="W1220" s="62"/>
      <c r="X1220" s="63">
        <f>IFERROR(1 -(Master[[#This Row],[Avg Garment Scans per Delivery]]/Master[[#This Row],[Garment Inventory]]), 0)</f>
        <v>0</v>
      </c>
      <c r="Y1220" s="62"/>
      <c r="Z1220" s="62"/>
      <c r="AA1220" s="53">
        <v>36.24510204081632</v>
      </c>
      <c r="AB1220" s="53">
        <v>42.323469387755097</v>
      </c>
      <c r="AC1220" s="53">
        <v>43.338888888888881</v>
      </c>
      <c r="AD1220" s="53">
        <v>45.374444444444443</v>
      </c>
      <c r="AE1220" s="53" t="str">
        <f>_xlfn.XLOOKUP(Master[[#This Row],[cu_id]],'[1]Customer Revenue'!$Q:$Q,'[1]Customer Revenue'!$K:$K, "None")</f>
        <v>None</v>
      </c>
      <c r="AF1220" s="53" t="str">
        <f>_xlfn.XLOOKUP(Master[[#This Row],[cu_id]],'[1]Customer Revenue'!$Q:$Q,'[1]Customer Revenue'!$L:$L, "None")</f>
        <v>None</v>
      </c>
      <c r="AG1220" s="53">
        <v>19.796250000000008</v>
      </c>
      <c r="AH1220" s="53">
        <v>38.378750000000004</v>
      </c>
      <c r="AI1220" s="53">
        <v>39.284285714285708</v>
      </c>
      <c r="AJ1220" s="53">
        <v>44.356666666666662</v>
      </c>
      <c r="AK1220" s="53" t="str">
        <f>_xlfn.XLOOKUP(Master[[#This Row],[cu_id]],'[1]Customer Revenue'!$Q:$Q,'[1]Customer Revenue'!$I:$I, "None")</f>
        <v>None</v>
      </c>
      <c r="AL1220" s="53">
        <v>29.087500000000006</v>
      </c>
      <c r="AM1220" s="61">
        <v>0.35416666666666669</v>
      </c>
      <c r="AN1220" s="60">
        <v>0.79166666666666663</v>
      </c>
      <c r="AO1220" s="60" t="s">
        <v>36</v>
      </c>
      <c r="AP1220" s="60" t="s">
        <v>36</v>
      </c>
      <c r="AQ1220" s="58" t="s">
        <v>0</v>
      </c>
      <c r="AR1220" s="58"/>
      <c r="AS1220" s="58"/>
      <c r="AT1220" s="52">
        <v>0</v>
      </c>
      <c r="AU1220" s="52">
        <f>IF(Master[[#This Row],[RSP StopTime override]] &lt;&gt; "",Master[[#This Row],[RSP StopTime override]],IF(Master[[#This Row],[Avg stop time helper]] &lt;&gt; 0, Master[[#This Row],[Avg stop time helper]],Average_Stop_Time))</f>
        <v>15</v>
      </c>
      <c r="AV1220" s="21">
        <v>15</v>
      </c>
      <c r="AW1220" s="20">
        <f>Master[[#This Row],[RSP StopTime override]]-Master[[#This Row],[Avg stop time helper]]</f>
        <v>15</v>
      </c>
    </row>
    <row r="1221" spans="1:49" x14ac:dyDescent="0.3">
      <c r="A1221" s="66" t="s">
        <v>5225</v>
      </c>
      <c r="B1221" s="58">
        <v>8010</v>
      </c>
      <c r="C1221" s="58" t="s">
        <v>24</v>
      </c>
      <c r="D1221" s="65">
        <v>804371</v>
      </c>
      <c r="E1221" s="65" t="s">
        <v>42</v>
      </c>
      <c r="F1221" s="65" t="s">
        <v>1028</v>
      </c>
      <c r="G1221" s="65" t="s">
        <v>1027</v>
      </c>
      <c r="H1221" s="65" t="s">
        <v>7</v>
      </c>
      <c r="I1221" s="65" t="s">
        <v>6</v>
      </c>
      <c r="J1221" s="65" t="s">
        <v>5</v>
      </c>
      <c r="K1221" s="65" t="s">
        <v>115</v>
      </c>
      <c r="L1221" s="64" t="s">
        <v>77</v>
      </c>
      <c r="M1221" s="58" t="s">
        <v>29</v>
      </c>
      <c r="N1221" s="58" t="s">
        <v>2</v>
      </c>
      <c r="O1221" s="58">
        <v>145</v>
      </c>
      <c r="P1221" s="58">
        <v>155</v>
      </c>
      <c r="Q1221" s="58">
        <v>0</v>
      </c>
      <c r="R1221" s="58">
        <v>0</v>
      </c>
      <c r="S1221" s="58">
        <v>0</v>
      </c>
      <c r="T1221" s="58">
        <v>0</v>
      </c>
      <c r="U1221" s="58">
        <v>19</v>
      </c>
      <c r="V1221" s="62"/>
      <c r="W1221" s="62"/>
      <c r="X1221" s="63">
        <f>IFERROR(1 -(Master[[#This Row],[Avg Garment Scans per Delivery]]/Master[[#This Row],[Garment Inventory]]), 0)</f>
        <v>0</v>
      </c>
      <c r="Y1221" s="62"/>
      <c r="Z1221" s="62"/>
      <c r="AA1221" s="53">
        <v>108.42</v>
      </c>
      <c r="AB1221" s="53">
        <v>108.42</v>
      </c>
      <c r="AC1221" s="53">
        <v>108.27551020408164</v>
      </c>
      <c r="AD1221" s="53">
        <v>109.23877551020409</v>
      </c>
      <c r="AE1221" s="53" t="str">
        <f>_xlfn.XLOOKUP(Master[[#This Row],[cu_id]],'[1]Customer Revenue'!$Q:$Q,'[1]Customer Revenue'!$K:$K, "None")</f>
        <v>None</v>
      </c>
      <c r="AF1221" s="53" t="str">
        <f>_xlfn.XLOOKUP(Master[[#This Row],[cu_id]],'[1]Customer Revenue'!$Q:$Q,'[1]Customer Revenue'!$L:$L, "None")</f>
        <v>None</v>
      </c>
      <c r="AG1221" s="53">
        <v>101.72650887573965</v>
      </c>
      <c r="AH1221" s="53">
        <v>110.14118343195267</v>
      </c>
      <c r="AI1221" s="53">
        <v>108.42</v>
      </c>
      <c r="AJ1221" s="53">
        <v>108.75714285714287</v>
      </c>
      <c r="AK1221" s="53" t="str">
        <f>_xlfn.XLOOKUP(Master[[#This Row],[cu_id]],'[1]Customer Revenue'!$Q:$Q,'[1]Customer Revenue'!$I:$I, "None")</f>
        <v>None</v>
      </c>
      <c r="AL1221" s="53">
        <v>105.93384615384616</v>
      </c>
      <c r="AM1221" s="61" t="s">
        <v>36</v>
      </c>
      <c r="AN1221" s="60" t="s">
        <v>36</v>
      </c>
      <c r="AO1221" s="60" t="s">
        <v>36</v>
      </c>
      <c r="AP1221" s="60" t="s">
        <v>36</v>
      </c>
      <c r="AQ1221" s="58" t="s">
        <v>308</v>
      </c>
      <c r="AR1221" s="58"/>
      <c r="AS1221" s="58"/>
      <c r="AT1221" s="52">
        <v>0</v>
      </c>
      <c r="AU1221" s="52">
        <f>IF(Master[[#This Row],[RSP StopTime override]] &lt;&gt; "",Master[[#This Row],[RSP StopTime override]],IF(Master[[#This Row],[Avg stop time helper]] &lt;&gt; 0, Master[[#This Row],[Avg stop time helper]],Average_Stop_Time))</f>
        <v>25</v>
      </c>
      <c r="AV1221" s="21">
        <v>25</v>
      </c>
      <c r="AW1221" s="20">
        <f>Master[[#This Row],[RSP StopTime override]]-Master[[#This Row],[Avg stop time helper]]</f>
        <v>25</v>
      </c>
    </row>
    <row r="1222" spans="1:49" x14ac:dyDescent="0.3">
      <c r="A1222" s="66" t="s">
        <v>5226</v>
      </c>
      <c r="B1222" s="58">
        <v>8010</v>
      </c>
      <c r="C1222" s="58" t="s">
        <v>24</v>
      </c>
      <c r="D1222" s="65">
        <v>804518</v>
      </c>
      <c r="E1222" s="65" t="s">
        <v>42</v>
      </c>
      <c r="F1222" s="65" t="s">
        <v>1026</v>
      </c>
      <c r="G1222" s="65" t="s">
        <v>1025</v>
      </c>
      <c r="H1222" s="65" t="s">
        <v>7</v>
      </c>
      <c r="I1222" s="65" t="s">
        <v>6</v>
      </c>
      <c r="J1222" s="65" t="s">
        <v>5</v>
      </c>
      <c r="K1222" s="65" t="s">
        <v>151</v>
      </c>
      <c r="L1222" s="64" t="s">
        <v>206</v>
      </c>
      <c r="M1222" s="58" t="s">
        <v>205</v>
      </c>
      <c r="N1222" s="58" t="s">
        <v>2</v>
      </c>
      <c r="O1222" s="58">
        <v>210</v>
      </c>
      <c r="P1222" s="58">
        <v>210</v>
      </c>
      <c r="Q1222" s="58">
        <v>0</v>
      </c>
      <c r="R1222" s="58">
        <v>0</v>
      </c>
      <c r="S1222" s="58">
        <v>0</v>
      </c>
      <c r="T1222" s="58">
        <v>0</v>
      </c>
      <c r="U1222" s="58">
        <v>9</v>
      </c>
      <c r="V1222" s="62"/>
      <c r="W1222" s="62"/>
      <c r="X1222" s="63">
        <f>IFERROR(1 -(Master[[#This Row],[Avg Garment Scans per Delivery]]/Master[[#This Row],[Garment Inventory]]), 0)</f>
        <v>0</v>
      </c>
      <c r="Y1222" s="62"/>
      <c r="Z1222" s="62"/>
      <c r="AA1222" s="53">
        <v>65.69</v>
      </c>
      <c r="AB1222" s="53">
        <v>65.69</v>
      </c>
      <c r="AC1222" s="53">
        <v>36.814999999999998</v>
      </c>
      <c r="AD1222" s="53">
        <v>56.064999999999998</v>
      </c>
      <c r="AE1222" s="53" t="str">
        <f>_xlfn.XLOOKUP(Master[[#This Row],[cu_id]],'[1]Customer Revenue'!$Q:$Q,'[1]Customer Revenue'!$K:$K, "None")</f>
        <v>None</v>
      </c>
      <c r="AF1222" s="53" t="str">
        <f>_xlfn.XLOOKUP(Master[[#This Row],[cu_id]],'[1]Customer Revenue'!$Q:$Q,'[1]Customer Revenue'!$L:$L, "None")</f>
        <v>None</v>
      </c>
      <c r="AG1222" s="53">
        <v>54.107777777777777</v>
      </c>
      <c r="AH1222" s="53">
        <v>68.585555555555558</v>
      </c>
      <c r="AI1222" s="53">
        <v>65.69</v>
      </c>
      <c r="AJ1222" s="53">
        <v>46.44</v>
      </c>
      <c r="AK1222" s="53" t="str">
        <f>_xlfn.XLOOKUP(Master[[#This Row],[cu_id]],'[1]Customer Revenue'!$Q:$Q,'[1]Customer Revenue'!$I:$I, "None")</f>
        <v>None</v>
      </c>
      <c r="AL1222" s="53">
        <v>61.346666666666664</v>
      </c>
      <c r="AM1222" s="61">
        <v>0.35416666666666669</v>
      </c>
      <c r="AN1222" s="60">
        <v>0.66666666666666663</v>
      </c>
      <c r="AO1222" s="60" t="s">
        <v>36</v>
      </c>
      <c r="AP1222" s="60" t="s">
        <v>36</v>
      </c>
      <c r="AQ1222" s="58" t="s">
        <v>308</v>
      </c>
      <c r="AR1222" s="58"/>
      <c r="AS1222" s="58"/>
      <c r="AT1222" s="52">
        <v>0</v>
      </c>
      <c r="AU1222" s="52">
        <f>IF(Master[[#This Row],[RSP StopTime override]] &lt;&gt; "",Master[[#This Row],[RSP StopTime override]],IF(Master[[#This Row],[Avg stop time helper]] &lt;&gt; 0, Master[[#This Row],[Avg stop time helper]],Average_Stop_Time))</f>
        <v>10</v>
      </c>
      <c r="AV1222" s="21">
        <v>10</v>
      </c>
      <c r="AW1222" s="20">
        <f>Master[[#This Row],[RSP StopTime override]]-Master[[#This Row],[Avg stop time helper]]</f>
        <v>10</v>
      </c>
    </row>
    <row r="1223" spans="1:49" x14ac:dyDescent="0.3">
      <c r="A1223" s="66" t="s">
        <v>5227</v>
      </c>
      <c r="B1223" s="58">
        <v>8010</v>
      </c>
      <c r="C1223" s="58" t="s">
        <v>24</v>
      </c>
      <c r="D1223" s="65">
        <v>804578</v>
      </c>
      <c r="E1223" s="65" t="s">
        <v>42</v>
      </c>
      <c r="F1223" s="65" t="s">
        <v>1024</v>
      </c>
      <c r="G1223" s="65" t="s">
        <v>1023</v>
      </c>
      <c r="H1223" s="65" t="s">
        <v>7</v>
      </c>
      <c r="I1223" s="65" t="s">
        <v>6</v>
      </c>
      <c r="J1223" s="65" t="s">
        <v>5</v>
      </c>
      <c r="K1223" s="65" t="s">
        <v>115</v>
      </c>
      <c r="L1223" s="64" t="s">
        <v>67</v>
      </c>
      <c r="M1223" s="58" t="s">
        <v>3</v>
      </c>
      <c r="N1223" s="58" t="s">
        <v>2</v>
      </c>
      <c r="O1223" s="58">
        <v>1</v>
      </c>
      <c r="P1223" s="58">
        <v>3</v>
      </c>
      <c r="Q1223" s="58">
        <v>0</v>
      </c>
      <c r="R1223" s="58">
        <v>0</v>
      </c>
      <c r="S1223" s="58">
        <v>0</v>
      </c>
      <c r="T1223" s="58">
        <v>0</v>
      </c>
      <c r="U1223" s="58">
        <v>39</v>
      </c>
      <c r="V1223" s="62"/>
      <c r="W1223" s="62"/>
      <c r="X1223" s="63">
        <f>IFERROR(1 -(Master[[#This Row],[Avg Garment Scans per Delivery]]/Master[[#This Row],[Garment Inventory]]), 0)</f>
        <v>0</v>
      </c>
      <c r="Y1223" s="62"/>
      <c r="Z1223" s="62"/>
      <c r="AA1223" s="53">
        <v>96.062009419152275</v>
      </c>
      <c r="AB1223" s="53">
        <v>125.44568288854003</v>
      </c>
      <c r="AC1223" s="53">
        <v>106.99791993720571</v>
      </c>
      <c r="AD1223" s="53">
        <v>139.72669544740972</v>
      </c>
      <c r="AE1223" s="53" t="str">
        <f>_xlfn.XLOOKUP(Master[[#This Row],[cu_id]],'[1]Customer Revenue'!$Q:$Q,'[1]Customer Revenue'!$K:$K, "None")</f>
        <v>None</v>
      </c>
      <c r="AF1223" s="53" t="str">
        <f>_xlfn.XLOOKUP(Master[[#This Row],[cu_id]],'[1]Customer Revenue'!$Q:$Q,'[1]Customer Revenue'!$L:$L, "None")</f>
        <v>None</v>
      </c>
      <c r="AG1223" s="53">
        <v>100.04385776089474</v>
      </c>
      <c r="AH1223" s="53">
        <v>120.98075762372055</v>
      </c>
      <c r="AI1223" s="53">
        <v>110.75384615384615</v>
      </c>
      <c r="AJ1223" s="53">
        <v>123.36230769230772</v>
      </c>
      <c r="AK1223" s="53" t="str">
        <f>_xlfn.XLOOKUP(Master[[#This Row],[cu_id]],'[1]Customer Revenue'!$Q:$Q,'[1]Customer Revenue'!$I:$I, "None")</f>
        <v>None</v>
      </c>
      <c r="AL1223" s="53">
        <v>110.51230769230764</v>
      </c>
      <c r="AM1223" s="61">
        <v>0.22916666666666666</v>
      </c>
      <c r="AN1223" s="60">
        <v>0.77083333333333337</v>
      </c>
      <c r="AO1223" s="60" t="s">
        <v>36</v>
      </c>
      <c r="AP1223" s="60" t="s">
        <v>36</v>
      </c>
      <c r="AQ1223" s="58" t="s">
        <v>589</v>
      </c>
      <c r="AR1223" s="58"/>
      <c r="AS1223" s="58"/>
      <c r="AT1223" s="52">
        <v>0</v>
      </c>
      <c r="AU1223" s="52" t="e">
        <f>IF(Master[[#This Row],[RSP StopTime override]] &lt;&gt; "",Master[[#This Row],[RSP StopTime override]],IF(Master[[#This Row],[Avg stop time helper]] &lt;&gt; 0, Master[[#This Row],[Avg stop time helper]],Average_Stop_Time))</f>
        <v>#DIV/0!</v>
      </c>
      <c r="AV1223" s="21"/>
      <c r="AW1223" s="20">
        <f>Master[[#This Row],[RSP StopTime override]]-Master[[#This Row],[Avg stop time helper]]</f>
        <v>0</v>
      </c>
    </row>
    <row r="1224" spans="1:49" x14ac:dyDescent="0.3">
      <c r="A1224" s="66" t="s">
        <v>5228</v>
      </c>
      <c r="B1224" s="58">
        <v>8010</v>
      </c>
      <c r="C1224" s="58" t="s">
        <v>24</v>
      </c>
      <c r="D1224" s="65">
        <v>804626</v>
      </c>
      <c r="E1224" s="65" t="s">
        <v>42</v>
      </c>
      <c r="F1224" s="65" t="s">
        <v>1022</v>
      </c>
      <c r="G1224" s="65" t="s">
        <v>1021</v>
      </c>
      <c r="H1224" s="65" t="s">
        <v>7</v>
      </c>
      <c r="I1224" s="65" t="s">
        <v>6</v>
      </c>
      <c r="J1224" s="65" t="s">
        <v>5</v>
      </c>
      <c r="K1224" s="65" t="s">
        <v>115</v>
      </c>
      <c r="L1224" s="64" t="s">
        <v>91</v>
      </c>
      <c r="M1224" s="58" t="s">
        <v>90</v>
      </c>
      <c r="N1224" s="58" t="s">
        <v>2</v>
      </c>
      <c r="O1224" s="58">
        <v>40</v>
      </c>
      <c r="P1224" s="58">
        <v>35</v>
      </c>
      <c r="Q1224" s="58">
        <v>0</v>
      </c>
      <c r="R1224" s="58">
        <v>0</v>
      </c>
      <c r="S1224" s="58">
        <v>0</v>
      </c>
      <c r="T1224" s="58">
        <v>0</v>
      </c>
      <c r="U1224" s="58">
        <v>20</v>
      </c>
      <c r="V1224" s="62"/>
      <c r="W1224" s="62"/>
      <c r="X1224" s="63">
        <f>IFERROR(1 -(Master[[#This Row],[Avg Garment Scans per Delivery]]/Master[[#This Row],[Garment Inventory]]), 0)</f>
        <v>0</v>
      </c>
      <c r="Y1224" s="62"/>
      <c r="Z1224" s="62"/>
      <c r="AA1224" s="53">
        <v>51.149999999999984</v>
      </c>
      <c r="AB1224" s="53">
        <v>51.15</v>
      </c>
      <c r="AC1224" s="53">
        <v>25.415000000000003</v>
      </c>
      <c r="AD1224" s="53">
        <v>70.454999999999998</v>
      </c>
      <c r="AE1224" s="53" t="str">
        <f>_xlfn.XLOOKUP(Master[[#This Row],[cu_id]],'[1]Customer Revenue'!$Q:$Q,'[1]Customer Revenue'!$K:$K, "None")</f>
        <v>None</v>
      </c>
      <c r="AF1224" s="53" t="str">
        <f>_xlfn.XLOOKUP(Master[[#This Row],[cu_id]],'[1]Customer Revenue'!$Q:$Q,'[1]Customer Revenue'!$L:$L, "None")</f>
        <v>None</v>
      </c>
      <c r="AG1224" s="53">
        <v>46.683727810650872</v>
      </c>
      <c r="AH1224" s="53">
        <v>52.477810650887569</v>
      </c>
      <c r="AI1224" s="53">
        <v>51.149999999999991</v>
      </c>
      <c r="AJ1224" s="53">
        <v>47.935000000000002</v>
      </c>
      <c r="AK1224" s="53" t="str">
        <f>_xlfn.XLOOKUP(Master[[#This Row],[cu_id]],'[1]Customer Revenue'!$Q:$Q,'[1]Customer Revenue'!$I:$I, "None")</f>
        <v>None</v>
      </c>
      <c r="AL1224" s="53">
        <v>49.580769230769221</v>
      </c>
      <c r="AM1224" s="61">
        <v>0.33333333333333331</v>
      </c>
      <c r="AN1224" s="60">
        <v>0.6875</v>
      </c>
      <c r="AO1224" s="60" t="s">
        <v>36</v>
      </c>
      <c r="AP1224" s="60" t="s">
        <v>36</v>
      </c>
      <c r="AQ1224" s="58" t="s">
        <v>0</v>
      </c>
      <c r="AR1224" s="58"/>
      <c r="AS1224" s="58"/>
      <c r="AT1224" s="52">
        <v>0</v>
      </c>
      <c r="AU1224" s="52">
        <f>IF(Master[[#This Row],[RSP StopTime override]] &lt;&gt; "",Master[[#This Row],[RSP StopTime override]],IF(Master[[#This Row],[Avg stop time helper]] &lt;&gt; 0, Master[[#This Row],[Avg stop time helper]],Average_Stop_Time))</f>
        <v>10</v>
      </c>
      <c r="AV1224" s="21">
        <v>10</v>
      </c>
      <c r="AW1224" s="20">
        <f>Master[[#This Row],[RSP StopTime override]]-Master[[#This Row],[Avg stop time helper]]</f>
        <v>10</v>
      </c>
    </row>
    <row r="1225" spans="1:49" x14ac:dyDescent="0.3">
      <c r="A1225" s="66" t="s">
        <v>5229</v>
      </c>
      <c r="B1225" s="58">
        <v>8010</v>
      </c>
      <c r="C1225" s="58" t="s">
        <v>24</v>
      </c>
      <c r="D1225" s="65">
        <v>804797</v>
      </c>
      <c r="E1225" s="65" t="s">
        <v>42</v>
      </c>
      <c r="F1225" s="65" t="s">
        <v>1020</v>
      </c>
      <c r="G1225" s="65" t="s">
        <v>1019</v>
      </c>
      <c r="H1225" s="65" t="s">
        <v>7</v>
      </c>
      <c r="I1225" s="65" t="s">
        <v>6</v>
      </c>
      <c r="J1225" s="65" t="s">
        <v>5</v>
      </c>
      <c r="K1225" s="65" t="s">
        <v>115</v>
      </c>
      <c r="L1225" s="64" t="s">
        <v>67</v>
      </c>
      <c r="M1225" s="58" t="s">
        <v>3</v>
      </c>
      <c r="N1225" s="58" t="s">
        <v>2</v>
      </c>
      <c r="O1225" s="58">
        <v>43</v>
      </c>
      <c r="P1225" s="58">
        <v>65</v>
      </c>
      <c r="Q1225" s="58">
        <v>0</v>
      </c>
      <c r="R1225" s="58">
        <v>0</v>
      </c>
      <c r="S1225" s="58">
        <v>0</v>
      </c>
      <c r="T1225" s="58">
        <v>0</v>
      </c>
      <c r="U1225" s="58">
        <v>39</v>
      </c>
      <c r="V1225" s="62"/>
      <c r="W1225" s="62"/>
      <c r="X1225" s="63">
        <f>IFERROR(1 -(Master[[#This Row],[Avg Garment Scans per Delivery]]/Master[[#This Row],[Garment Inventory]]), 0)</f>
        <v>0</v>
      </c>
      <c r="Y1225" s="62"/>
      <c r="Z1225" s="62"/>
      <c r="AA1225" s="53">
        <v>16.04272189349112</v>
      </c>
      <c r="AB1225" s="53">
        <v>54.471124260355026</v>
      </c>
      <c r="AC1225" s="53">
        <v>23.217751479289934</v>
      </c>
      <c r="AD1225" s="53">
        <v>64.723786982248527</v>
      </c>
      <c r="AE1225" s="53" t="str">
        <f>_xlfn.XLOOKUP(Master[[#This Row],[cu_id]],'[1]Customer Revenue'!$Q:$Q,'[1]Customer Revenue'!$K:$K, "None")</f>
        <v>None</v>
      </c>
      <c r="AF1225" s="53" t="str">
        <f>_xlfn.XLOOKUP(Master[[#This Row],[cu_id]],'[1]Customer Revenue'!$Q:$Q,'[1]Customer Revenue'!$L:$L, "None")</f>
        <v>None</v>
      </c>
      <c r="AG1225" s="53">
        <v>16.298816568047336</v>
      </c>
      <c r="AH1225" s="53">
        <v>46.139644970414196</v>
      </c>
      <c r="AI1225" s="53">
        <v>35.256923076923073</v>
      </c>
      <c r="AJ1225" s="53">
        <v>43.970769230769228</v>
      </c>
      <c r="AK1225" s="53" t="str">
        <f>_xlfn.XLOOKUP(Master[[#This Row],[cu_id]],'[1]Customer Revenue'!$Q:$Q,'[1]Customer Revenue'!$I:$I, "None")</f>
        <v>None</v>
      </c>
      <c r="AL1225" s="53">
        <v>31.219230769230766</v>
      </c>
      <c r="AM1225" s="61">
        <v>0.35416666666666669</v>
      </c>
      <c r="AN1225" s="60">
        <v>0.79166666666666663</v>
      </c>
      <c r="AO1225" s="60" t="s">
        <v>36</v>
      </c>
      <c r="AP1225" s="60" t="s">
        <v>36</v>
      </c>
      <c r="AQ1225" s="58" t="s">
        <v>308</v>
      </c>
      <c r="AR1225" s="58"/>
      <c r="AS1225" s="58"/>
      <c r="AT1225" s="52">
        <v>0</v>
      </c>
      <c r="AU1225" s="52">
        <f>IF(Master[[#This Row],[RSP StopTime override]] &lt;&gt; "",Master[[#This Row],[RSP StopTime override]],IF(Master[[#This Row],[Avg stop time helper]] &lt;&gt; 0, Master[[#This Row],[Avg stop time helper]],Average_Stop_Time))</f>
        <v>10</v>
      </c>
      <c r="AV1225" s="21">
        <v>10</v>
      </c>
      <c r="AW1225" s="20">
        <f>Master[[#This Row],[RSP StopTime override]]-Master[[#This Row],[Avg stop time helper]]</f>
        <v>10</v>
      </c>
    </row>
    <row r="1226" spans="1:49" x14ac:dyDescent="0.3">
      <c r="A1226" s="66" t="s">
        <v>5230</v>
      </c>
      <c r="B1226" s="58">
        <v>8010</v>
      </c>
      <c r="C1226" s="58" t="s">
        <v>24</v>
      </c>
      <c r="D1226" s="65">
        <v>804829</v>
      </c>
      <c r="E1226" s="65" t="s">
        <v>42</v>
      </c>
      <c r="F1226" s="65" t="s">
        <v>1018</v>
      </c>
      <c r="G1226" s="65" t="s">
        <v>1017</v>
      </c>
      <c r="H1226" s="65" t="s">
        <v>7</v>
      </c>
      <c r="I1226" s="65" t="s">
        <v>6</v>
      </c>
      <c r="J1226" s="65" t="s">
        <v>5</v>
      </c>
      <c r="K1226" s="65" t="s">
        <v>151</v>
      </c>
      <c r="L1226" s="64" t="s">
        <v>77</v>
      </c>
      <c r="M1226" s="58" t="s">
        <v>29</v>
      </c>
      <c r="N1226" s="58" t="s">
        <v>2</v>
      </c>
      <c r="O1226" s="58">
        <v>170</v>
      </c>
      <c r="P1226" s="58">
        <v>195</v>
      </c>
      <c r="Q1226" s="58">
        <v>0</v>
      </c>
      <c r="R1226" s="58">
        <v>0</v>
      </c>
      <c r="S1226" s="58">
        <v>0</v>
      </c>
      <c r="T1226" s="58">
        <v>0</v>
      </c>
      <c r="U1226" s="58">
        <v>19</v>
      </c>
      <c r="V1226" s="62"/>
      <c r="W1226" s="62"/>
      <c r="X1226" s="63">
        <f>IFERROR(1 -(Master[[#This Row],[Avg Garment Scans per Delivery]]/Master[[#This Row],[Garment Inventory]]), 0)</f>
        <v>0</v>
      </c>
      <c r="Y1226" s="62"/>
      <c r="Z1226" s="62"/>
      <c r="AA1226" s="53">
        <v>21.12</v>
      </c>
      <c r="AB1226" s="53">
        <v>21.12</v>
      </c>
      <c r="AC1226" s="53">
        <v>20.975510204081633</v>
      </c>
      <c r="AD1226" s="53">
        <v>21.938775510204085</v>
      </c>
      <c r="AE1226" s="53" t="str">
        <f>_xlfn.XLOOKUP(Master[[#This Row],[cu_id]],'[1]Customer Revenue'!$Q:$Q,'[1]Customer Revenue'!$K:$K, "None")</f>
        <v>None</v>
      </c>
      <c r="AF1226" s="53" t="str">
        <f>_xlfn.XLOOKUP(Master[[#This Row],[cu_id]],'[1]Customer Revenue'!$Q:$Q,'[1]Customer Revenue'!$L:$L, "None")</f>
        <v>None</v>
      </c>
      <c r="AG1226" s="53">
        <v>21.12</v>
      </c>
      <c r="AH1226" s="53">
        <v>21.12</v>
      </c>
      <c r="AI1226" s="53">
        <v>21.12</v>
      </c>
      <c r="AJ1226" s="53">
        <v>21.457142857142859</v>
      </c>
      <c r="AK1226" s="53" t="str">
        <f>_xlfn.XLOOKUP(Master[[#This Row],[cu_id]],'[1]Customer Revenue'!$Q:$Q,'[1]Customer Revenue'!$I:$I, "None")</f>
        <v>None</v>
      </c>
      <c r="AL1226" s="53">
        <v>21.12</v>
      </c>
      <c r="AM1226" s="61">
        <v>0.33333333333333331</v>
      </c>
      <c r="AN1226" s="60">
        <v>0.70833333333333337</v>
      </c>
      <c r="AO1226" s="60" t="s">
        <v>36</v>
      </c>
      <c r="AP1226" s="60" t="s">
        <v>36</v>
      </c>
      <c r="AQ1226" s="58" t="s">
        <v>0</v>
      </c>
      <c r="AR1226" s="58"/>
      <c r="AS1226" s="58"/>
      <c r="AT1226" s="52">
        <v>0</v>
      </c>
      <c r="AU1226" s="52">
        <f>IF(Master[[#This Row],[RSP StopTime override]] &lt;&gt; "",Master[[#This Row],[RSP StopTime override]],IF(Master[[#This Row],[Avg stop time helper]] &lt;&gt; 0, Master[[#This Row],[Avg stop time helper]],Average_Stop_Time))</f>
        <v>8</v>
      </c>
      <c r="AV1226" s="21">
        <v>8</v>
      </c>
      <c r="AW1226" s="20">
        <f>Master[[#This Row],[RSP StopTime override]]-Master[[#This Row],[Avg stop time helper]]</f>
        <v>8</v>
      </c>
    </row>
    <row r="1227" spans="1:49" x14ac:dyDescent="0.3">
      <c r="A1227" s="66" t="s">
        <v>5231</v>
      </c>
      <c r="B1227" s="58">
        <v>8010</v>
      </c>
      <c r="C1227" s="58" t="s">
        <v>24</v>
      </c>
      <c r="D1227" s="65">
        <v>804888</v>
      </c>
      <c r="E1227" s="65" t="s">
        <v>42</v>
      </c>
      <c r="F1227" s="65" t="s">
        <v>1016</v>
      </c>
      <c r="G1227" s="65" t="s">
        <v>1015</v>
      </c>
      <c r="H1227" s="65" t="s">
        <v>7</v>
      </c>
      <c r="I1227" s="65" t="s">
        <v>6</v>
      </c>
      <c r="J1227" s="65" t="s">
        <v>5</v>
      </c>
      <c r="K1227" s="65" t="s">
        <v>68</v>
      </c>
      <c r="L1227" s="64" t="s">
        <v>77</v>
      </c>
      <c r="M1227" s="58" t="s">
        <v>29</v>
      </c>
      <c r="N1227" s="58" t="s">
        <v>2</v>
      </c>
      <c r="O1227" s="58">
        <v>180</v>
      </c>
      <c r="P1227" s="58">
        <v>180</v>
      </c>
      <c r="Q1227" s="58">
        <v>0</v>
      </c>
      <c r="R1227" s="58">
        <v>0</v>
      </c>
      <c r="S1227" s="58">
        <v>0</v>
      </c>
      <c r="T1227" s="58">
        <v>0</v>
      </c>
      <c r="U1227" s="58">
        <v>19</v>
      </c>
      <c r="V1227" s="62"/>
      <c r="W1227" s="62"/>
      <c r="X1227" s="63">
        <f>IFERROR(1 -(Master[[#This Row],[Avg Garment Scans per Delivery]]/Master[[#This Row],[Garment Inventory]]), 0)</f>
        <v>0</v>
      </c>
      <c r="Y1227" s="62"/>
      <c r="Z1227" s="62"/>
      <c r="AA1227" s="53">
        <v>22.15</v>
      </c>
      <c r="AB1227" s="53">
        <v>22.150000000000006</v>
      </c>
      <c r="AC1227" s="53">
        <v>22.005510204081631</v>
      </c>
      <c r="AD1227" s="53">
        <v>22.968775510204075</v>
      </c>
      <c r="AE1227" s="53" t="str">
        <f>_xlfn.XLOOKUP(Master[[#This Row],[cu_id]],'[1]Customer Revenue'!$Q:$Q,'[1]Customer Revenue'!$K:$K, "None")</f>
        <v>None</v>
      </c>
      <c r="AF1227" s="53" t="str">
        <f>_xlfn.XLOOKUP(Master[[#This Row],[cu_id]],'[1]Customer Revenue'!$Q:$Q,'[1]Customer Revenue'!$L:$L, "None")</f>
        <v>None</v>
      </c>
      <c r="AG1227" s="53">
        <v>22.15</v>
      </c>
      <c r="AH1227" s="53">
        <v>22.15</v>
      </c>
      <c r="AI1227" s="53">
        <v>22.150000000000002</v>
      </c>
      <c r="AJ1227" s="53">
        <v>22.487142857142853</v>
      </c>
      <c r="AK1227" s="53" t="str">
        <f>_xlfn.XLOOKUP(Master[[#This Row],[cu_id]],'[1]Customer Revenue'!$Q:$Q,'[1]Customer Revenue'!$I:$I, "None")</f>
        <v>None</v>
      </c>
      <c r="AL1227" s="53">
        <v>22.15</v>
      </c>
      <c r="AM1227" s="61">
        <v>0.33333333333333331</v>
      </c>
      <c r="AN1227" s="60">
        <v>0.6875</v>
      </c>
      <c r="AO1227" s="60" t="s">
        <v>36</v>
      </c>
      <c r="AP1227" s="60" t="s">
        <v>36</v>
      </c>
      <c r="AQ1227" s="58" t="s">
        <v>0</v>
      </c>
      <c r="AR1227" s="58"/>
      <c r="AS1227" s="58"/>
      <c r="AT1227" s="52">
        <v>0</v>
      </c>
      <c r="AU1227" s="52">
        <f>IF(Master[[#This Row],[RSP StopTime override]] &lt;&gt; "",Master[[#This Row],[RSP StopTime override]],IF(Master[[#This Row],[Avg stop time helper]] &lt;&gt; 0, Master[[#This Row],[Avg stop time helper]],Average_Stop_Time))</f>
        <v>8</v>
      </c>
      <c r="AV1227" s="21">
        <v>8</v>
      </c>
      <c r="AW1227" s="20">
        <f>Master[[#This Row],[RSP StopTime override]]-Master[[#This Row],[Avg stop time helper]]</f>
        <v>8</v>
      </c>
    </row>
    <row r="1228" spans="1:49" x14ac:dyDescent="0.3">
      <c r="A1228" s="66" t="s">
        <v>5232</v>
      </c>
      <c r="B1228" s="58">
        <v>8010</v>
      </c>
      <c r="C1228" s="58" t="s">
        <v>24</v>
      </c>
      <c r="D1228" s="65">
        <v>805168</v>
      </c>
      <c r="E1228" s="65" t="s">
        <v>42</v>
      </c>
      <c r="F1228" s="65" t="s">
        <v>1014</v>
      </c>
      <c r="G1228" s="65" t="s">
        <v>1013</v>
      </c>
      <c r="H1228" s="65" t="s">
        <v>1012</v>
      </c>
      <c r="I1228" s="65" t="s">
        <v>6</v>
      </c>
      <c r="J1228" s="65" t="s">
        <v>5</v>
      </c>
      <c r="K1228" s="65" t="s">
        <v>151</v>
      </c>
      <c r="L1228" s="64" t="s">
        <v>141</v>
      </c>
      <c r="M1228" s="58" t="s">
        <v>140</v>
      </c>
      <c r="N1228" s="58" t="s">
        <v>2</v>
      </c>
      <c r="O1228" s="58">
        <v>155</v>
      </c>
      <c r="P1228" s="58">
        <v>225</v>
      </c>
      <c r="Q1228" s="58">
        <v>0</v>
      </c>
      <c r="R1228" s="58">
        <v>0</v>
      </c>
      <c r="S1228" s="58">
        <v>0</v>
      </c>
      <c r="T1228" s="58">
        <v>0</v>
      </c>
      <c r="U1228" s="58">
        <v>10</v>
      </c>
      <c r="V1228" s="62"/>
      <c r="W1228" s="62"/>
      <c r="X1228" s="63">
        <f>IFERROR(1 -(Master[[#This Row],[Avg Garment Scans per Delivery]]/Master[[#This Row],[Garment Inventory]]), 0)</f>
        <v>0</v>
      </c>
      <c r="Y1228" s="62"/>
      <c r="Z1228" s="62"/>
      <c r="AA1228" s="53">
        <v>93.56</v>
      </c>
      <c r="AB1228" s="53">
        <v>93.56</v>
      </c>
      <c r="AC1228" s="53">
        <v>93.428888888888892</v>
      </c>
      <c r="AD1228" s="53">
        <v>94.477777777777774</v>
      </c>
      <c r="AE1228" s="53" t="str">
        <f>_xlfn.XLOOKUP(Master[[#This Row],[cu_id]],'[1]Customer Revenue'!$Q:$Q,'[1]Customer Revenue'!$K:$K, "None")</f>
        <v>None</v>
      </c>
      <c r="AF1228" s="53" t="str">
        <f>_xlfn.XLOOKUP(Master[[#This Row],[cu_id]],'[1]Customer Revenue'!$Q:$Q,'[1]Customer Revenue'!$L:$L, "None")</f>
        <v>None</v>
      </c>
      <c r="AG1228" s="53">
        <v>73.093750000000028</v>
      </c>
      <c r="AH1228" s="53">
        <v>114.02625</v>
      </c>
      <c r="AI1228" s="53">
        <v>93.56</v>
      </c>
      <c r="AJ1228" s="53">
        <v>93.953333333333333</v>
      </c>
      <c r="AK1228" s="53" t="str">
        <f>_xlfn.XLOOKUP(Master[[#This Row],[cu_id]],'[1]Customer Revenue'!$Q:$Q,'[1]Customer Revenue'!$I:$I, "None")</f>
        <v>None</v>
      </c>
      <c r="AL1228" s="53">
        <v>93.560000000000016</v>
      </c>
      <c r="AM1228" s="61">
        <v>0.29166666666666669</v>
      </c>
      <c r="AN1228" s="60">
        <v>0.58333333333333337</v>
      </c>
      <c r="AO1228" s="60" t="s">
        <v>36</v>
      </c>
      <c r="AP1228" s="60" t="s">
        <v>36</v>
      </c>
      <c r="AQ1228" s="58" t="s">
        <v>133</v>
      </c>
      <c r="AR1228" s="58"/>
      <c r="AS1228" s="58"/>
      <c r="AT1228" s="52">
        <v>0</v>
      </c>
      <c r="AU1228" s="52">
        <f>IF(Master[[#This Row],[RSP StopTime override]] &lt;&gt; "",Master[[#This Row],[RSP StopTime override]],IF(Master[[#This Row],[Avg stop time helper]] &lt;&gt; 0, Master[[#This Row],[Avg stop time helper]],Average_Stop_Time))</f>
        <v>20</v>
      </c>
      <c r="AV1228" s="21">
        <v>20</v>
      </c>
      <c r="AW1228" s="20">
        <f>Master[[#This Row],[RSP StopTime override]]-Master[[#This Row],[Avg stop time helper]]</f>
        <v>20</v>
      </c>
    </row>
    <row r="1229" spans="1:49" x14ac:dyDescent="0.3">
      <c r="A1229" s="66" t="s">
        <v>5233</v>
      </c>
      <c r="B1229" s="58">
        <v>8010</v>
      </c>
      <c r="C1229" s="58" t="s">
        <v>24</v>
      </c>
      <c r="D1229" s="65">
        <v>805974</v>
      </c>
      <c r="E1229" s="65" t="s">
        <v>42</v>
      </c>
      <c r="F1229" s="65" t="s">
        <v>1011</v>
      </c>
      <c r="G1229" s="65" t="s">
        <v>1010</v>
      </c>
      <c r="H1229" s="65" t="s">
        <v>7</v>
      </c>
      <c r="I1229" s="65" t="s">
        <v>6</v>
      </c>
      <c r="J1229" s="65" t="s">
        <v>5</v>
      </c>
      <c r="K1229" s="65" t="s">
        <v>115</v>
      </c>
      <c r="L1229" s="64" t="s">
        <v>77</v>
      </c>
      <c r="M1229" s="58" t="s">
        <v>29</v>
      </c>
      <c r="N1229" s="58" t="s">
        <v>2</v>
      </c>
      <c r="O1229" s="58">
        <v>90</v>
      </c>
      <c r="P1229" s="58">
        <v>90</v>
      </c>
      <c r="Q1229" s="58">
        <v>0</v>
      </c>
      <c r="R1229" s="58">
        <v>0</v>
      </c>
      <c r="S1229" s="58">
        <v>0</v>
      </c>
      <c r="T1229" s="58">
        <v>0</v>
      </c>
      <c r="U1229" s="58">
        <v>19</v>
      </c>
      <c r="V1229" s="62"/>
      <c r="W1229" s="62"/>
      <c r="X1229" s="63">
        <f>IFERROR(1 -(Master[[#This Row],[Avg Garment Scans per Delivery]]/Master[[#This Row],[Garment Inventory]]), 0)</f>
        <v>0</v>
      </c>
      <c r="Y1229" s="62"/>
      <c r="Z1229" s="62"/>
      <c r="AA1229" s="53">
        <v>30.76</v>
      </c>
      <c r="AB1229" s="53">
        <v>42.88</v>
      </c>
      <c r="AC1229" s="53">
        <v>30.306938775510201</v>
      </c>
      <c r="AD1229" s="53">
        <v>42.275918367346939</v>
      </c>
      <c r="AE1229" s="53" t="str">
        <f>_xlfn.XLOOKUP(Master[[#This Row],[cu_id]],'[1]Customer Revenue'!$Q:$Q,'[1]Customer Revenue'!$K:$K, "None")</f>
        <v>None</v>
      </c>
      <c r="AF1229" s="53" t="str">
        <f>_xlfn.XLOOKUP(Master[[#This Row],[cu_id]],'[1]Customer Revenue'!$Q:$Q,'[1]Customer Revenue'!$L:$L, "None")</f>
        <v>None</v>
      </c>
      <c r="AG1229" s="53">
        <v>31.331420118343186</v>
      </c>
      <c r="AH1229" s="53">
        <v>45.045502958579874</v>
      </c>
      <c r="AI1229" s="53">
        <v>36.82</v>
      </c>
      <c r="AJ1229" s="53">
        <v>36.291428571428568</v>
      </c>
      <c r="AK1229" s="53" t="str">
        <f>_xlfn.XLOOKUP(Master[[#This Row],[cu_id]],'[1]Customer Revenue'!$Q:$Q,'[1]Customer Revenue'!$I:$I, "None")</f>
        <v>None</v>
      </c>
      <c r="AL1229" s="53">
        <v>38.188461538461532</v>
      </c>
      <c r="AM1229" s="61">
        <v>0.35416666666666669</v>
      </c>
      <c r="AN1229" s="60">
        <v>0.83333333333333337</v>
      </c>
      <c r="AO1229" s="60" t="s">
        <v>36</v>
      </c>
      <c r="AP1229" s="60" t="s">
        <v>36</v>
      </c>
      <c r="AQ1229" s="58" t="s">
        <v>308</v>
      </c>
      <c r="AR1229" s="58"/>
      <c r="AS1229" s="58"/>
      <c r="AT1229" s="52">
        <v>0</v>
      </c>
      <c r="AU1229" s="52">
        <f>IF(Master[[#This Row],[RSP StopTime override]] &lt;&gt; "",Master[[#This Row],[RSP StopTime override]],IF(Master[[#This Row],[Avg stop time helper]] &lt;&gt; 0, Master[[#This Row],[Avg stop time helper]],Average_Stop_Time))</f>
        <v>10</v>
      </c>
      <c r="AV1229" s="21">
        <v>10</v>
      </c>
      <c r="AW1229" s="20">
        <f>Master[[#This Row],[RSP StopTime override]]-Master[[#This Row],[Avg stop time helper]]</f>
        <v>10</v>
      </c>
    </row>
    <row r="1230" spans="1:49" x14ac:dyDescent="0.3">
      <c r="A1230" s="66" t="s">
        <v>5234</v>
      </c>
      <c r="B1230" s="58">
        <v>8010</v>
      </c>
      <c r="C1230" s="58" t="s">
        <v>24</v>
      </c>
      <c r="D1230" s="65">
        <v>806061</v>
      </c>
      <c r="E1230" s="65" t="s">
        <v>42</v>
      </c>
      <c r="F1230" s="65" t="s">
        <v>1009</v>
      </c>
      <c r="G1230" s="65" t="s">
        <v>1008</v>
      </c>
      <c r="H1230" s="65" t="s">
        <v>7</v>
      </c>
      <c r="I1230" s="65" t="s">
        <v>6</v>
      </c>
      <c r="J1230" s="65" t="s">
        <v>5</v>
      </c>
      <c r="K1230" s="65" t="s">
        <v>115</v>
      </c>
      <c r="L1230" s="64" t="s">
        <v>91</v>
      </c>
      <c r="M1230" s="58" t="s">
        <v>90</v>
      </c>
      <c r="N1230" s="58" t="s">
        <v>2</v>
      </c>
      <c r="O1230" s="58">
        <v>135</v>
      </c>
      <c r="P1230" s="58">
        <v>135</v>
      </c>
      <c r="Q1230" s="58">
        <v>0</v>
      </c>
      <c r="R1230" s="58">
        <v>0</v>
      </c>
      <c r="S1230" s="58">
        <v>0</v>
      </c>
      <c r="T1230" s="58">
        <v>0</v>
      </c>
      <c r="U1230" s="58">
        <v>16</v>
      </c>
      <c r="V1230" s="62"/>
      <c r="W1230" s="62"/>
      <c r="X1230" s="63">
        <f>IFERROR(1 -(Master[[#This Row],[Avg Garment Scans per Delivery]]/Master[[#This Row],[Garment Inventory]]), 0)</f>
        <v>0</v>
      </c>
      <c r="Y1230" s="62"/>
      <c r="Z1230" s="62"/>
      <c r="AA1230" s="53">
        <v>23.263469387755102</v>
      </c>
      <c r="AB1230" s="53">
        <v>29.573673469387757</v>
      </c>
      <c r="AC1230" s="53">
        <v>17.038799999999998</v>
      </c>
      <c r="AD1230" s="53">
        <v>34.901200000000003</v>
      </c>
      <c r="AE1230" s="53" t="str">
        <f>_xlfn.XLOOKUP(Master[[#This Row],[cu_id]],'[1]Customer Revenue'!$Q:$Q,'[1]Customer Revenue'!$K:$K, "None")</f>
        <v>None</v>
      </c>
      <c r="AF1230" s="53" t="str">
        <f>_xlfn.XLOOKUP(Master[[#This Row],[cu_id]],'[1]Customer Revenue'!$Q:$Q,'[1]Customer Revenue'!$L:$L, "None")</f>
        <v>None</v>
      </c>
      <c r="AG1230" s="53">
        <v>23.386686390532546</v>
      </c>
      <c r="AH1230" s="53">
        <v>27.411775147928999</v>
      </c>
      <c r="AI1230" s="53">
        <v>26.418571428571429</v>
      </c>
      <c r="AJ1230" s="53">
        <v>25.97</v>
      </c>
      <c r="AK1230" s="53" t="str">
        <f>_xlfn.XLOOKUP(Master[[#This Row],[cu_id]],'[1]Customer Revenue'!$Q:$Q,'[1]Customer Revenue'!$I:$I, "None")</f>
        <v>None</v>
      </c>
      <c r="AL1230" s="53">
        <v>25.399230769230773</v>
      </c>
      <c r="AM1230" s="61">
        <v>0.25</v>
      </c>
      <c r="AN1230" s="60">
        <v>0.6875</v>
      </c>
      <c r="AO1230" s="60" t="s">
        <v>36</v>
      </c>
      <c r="AP1230" s="60" t="s">
        <v>36</v>
      </c>
      <c r="AQ1230" s="58" t="s">
        <v>0</v>
      </c>
      <c r="AR1230" s="58"/>
      <c r="AS1230" s="58"/>
      <c r="AT1230" s="52">
        <v>0</v>
      </c>
      <c r="AU1230" s="52" t="e">
        <f>IF(Master[[#This Row],[RSP StopTime override]] &lt;&gt; "",Master[[#This Row],[RSP StopTime override]],IF(Master[[#This Row],[Avg stop time helper]] &lt;&gt; 0, Master[[#This Row],[Avg stop time helper]],Average_Stop_Time))</f>
        <v>#DIV/0!</v>
      </c>
      <c r="AV1230" s="21"/>
      <c r="AW1230" s="20">
        <f>Master[[#This Row],[RSP StopTime override]]-Master[[#This Row],[Avg stop time helper]]</f>
        <v>0</v>
      </c>
    </row>
    <row r="1231" spans="1:49" x14ac:dyDescent="0.3">
      <c r="A1231" s="66" t="s">
        <v>5235</v>
      </c>
      <c r="B1231" s="58">
        <v>8010</v>
      </c>
      <c r="C1231" s="58" t="s">
        <v>24</v>
      </c>
      <c r="D1231" s="65">
        <v>807774</v>
      </c>
      <c r="E1231" s="65" t="s">
        <v>42</v>
      </c>
      <c r="F1231" s="65" t="s">
        <v>1007</v>
      </c>
      <c r="G1231" s="65" t="s">
        <v>1006</v>
      </c>
      <c r="H1231" s="65" t="s">
        <v>7</v>
      </c>
      <c r="I1231" s="65" t="s">
        <v>6</v>
      </c>
      <c r="J1231" s="65" t="s">
        <v>5</v>
      </c>
      <c r="K1231" s="65" t="s">
        <v>115</v>
      </c>
      <c r="L1231" s="64" t="s">
        <v>77</v>
      </c>
      <c r="M1231" s="58" t="s">
        <v>29</v>
      </c>
      <c r="N1231" s="58" t="s">
        <v>2</v>
      </c>
      <c r="O1231" s="58">
        <v>35</v>
      </c>
      <c r="P1231" s="58">
        <v>65</v>
      </c>
      <c r="Q1231" s="58">
        <v>0</v>
      </c>
      <c r="R1231" s="58">
        <v>0</v>
      </c>
      <c r="S1231" s="58">
        <v>0</v>
      </c>
      <c r="T1231" s="58">
        <v>0</v>
      </c>
      <c r="U1231" s="58">
        <v>28</v>
      </c>
      <c r="V1231" s="62"/>
      <c r="W1231" s="62"/>
      <c r="X1231" s="63">
        <f>IFERROR(1 -(Master[[#This Row],[Avg Garment Scans per Delivery]]/Master[[#This Row],[Garment Inventory]]), 0)</f>
        <v>0</v>
      </c>
      <c r="Y1231" s="62"/>
      <c r="Z1231" s="62"/>
      <c r="AA1231" s="53">
        <v>57.217959183673472</v>
      </c>
      <c r="AB1231" s="53">
        <v>70.233469387755108</v>
      </c>
      <c r="AC1231" s="53">
        <v>54.006734693877547</v>
      </c>
      <c r="AD1231" s="53">
        <v>94.390408163265306</v>
      </c>
      <c r="AE1231" s="53" t="str">
        <f>_xlfn.XLOOKUP(Master[[#This Row],[cu_id]],'[1]Customer Revenue'!$Q:$Q,'[1]Customer Revenue'!$K:$K, "None")</f>
        <v>None</v>
      </c>
      <c r="AF1231" s="53" t="str">
        <f>_xlfn.XLOOKUP(Master[[#This Row],[cu_id]],'[1]Customer Revenue'!$Q:$Q,'[1]Customer Revenue'!$L:$L, "None")</f>
        <v>None</v>
      </c>
      <c r="AG1231" s="53">
        <v>46.679286458333337</v>
      </c>
      <c r="AH1231" s="53">
        <v>68.85538020833333</v>
      </c>
      <c r="AI1231" s="53">
        <v>63.72571428571429</v>
      </c>
      <c r="AJ1231" s="53">
        <v>74.198571428571427</v>
      </c>
      <c r="AK1231" s="53" t="str">
        <f>_xlfn.XLOOKUP(Master[[#This Row],[cu_id]],'[1]Customer Revenue'!$Q:$Q,'[1]Customer Revenue'!$I:$I, "None")</f>
        <v>None</v>
      </c>
      <c r="AL1231" s="53">
        <v>57.767333333333333</v>
      </c>
      <c r="AM1231" s="61">
        <v>0.3125</v>
      </c>
      <c r="AN1231" s="60">
        <v>0.79166666666666663</v>
      </c>
      <c r="AO1231" s="60" t="s">
        <v>36</v>
      </c>
      <c r="AP1231" s="60" t="s">
        <v>36</v>
      </c>
      <c r="AQ1231" s="58" t="s">
        <v>308</v>
      </c>
      <c r="AR1231" s="58"/>
      <c r="AS1231" s="58"/>
      <c r="AT1231" s="52">
        <v>0</v>
      </c>
      <c r="AU1231" s="52" t="e">
        <f>IF(Master[[#This Row],[RSP StopTime override]] &lt;&gt; "",Master[[#This Row],[RSP StopTime override]],IF(Master[[#This Row],[Avg stop time helper]] &lt;&gt; 0, Master[[#This Row],[Avg stop time helper]],Average_Stop_Time))</f>
        <v>#DIV/0!</v>
      </c>
      <c r="AV1231" s="21"/>
      <c r="AW1231" s="20">
        <f>Master[[#This Row],[RSP StopTime override]]-Master[[#This Row],[Avg stop time helper]]</f>
        <v>0</v>
      </c>
    </row>
    <row r="1232" spans="1:49" x14ac:dyDescent="0.3">
      <c r="A1232" s="66" t="s">
        <v>5236</v>
      </c>
      <c r="B1232" s="58">
        <v>8010</v>
      </c>
      <c r="C1232" s="58" t="s">
        <v>24</v>
      </c>
      <c r="D1232" s="65">
        <v>808051</v>
      </c>
      <c r="E1232" s="65" t="s">
        <v>42</v>
      </c>
      <c r="F1232" s="65" t="s">
        <v>1005</v>
      </c>
      <c r="G1232" s="65" t="s">
        <v>1004</v>
      </c>
      <c r="H1232" s="65" t="s">
        <v>7</v>
      </c>
      <c r="I1232" s="65" t="s">
        <v>6</v>
      </c>
      <c r="J1232" s="65" t="s">
        <v>5</v>
      </c>
      <c r="K1232" s="65" t="s">
        <v>115</v>
      </c>
      <c r="L1232" s="64" t="s">
        <v>91</v>
      </c>
      <c r="M1232" s="58" t="s">
        <v>90</v>
      </c>
      <c r="N1232" s="58" t="s">
        <v>2</v>
      </c>
      <c r="O1232" s="58">
        <v>95</v>
      </c>
      <c r="P1232" s="58">
        <v>110</v>
      </c>
      <c r="Q1232" s="58">
        <v>0</v>
      </c>
      <c r="R1232" s="58">
        <v>0</v>
      </c>
      <c r="S1232" s="58">
        <v>0</v>
      </c>
      <c r="T1232" s="58">
        <v>0</v>
      </c>
      <c r="U1232" s="58">
        <v>20</v>
      </c>
      <c r="V1232" s="62"/>
      <c r="W1232" s="62"/>
      <c r="X1232" s="63">
        <f>IFERROR(1 -(Master[[#This Row],[Avg Garment Scans per Delivery]]/Master[[#This Row],[Garment Inventory]]), 0)</f>
        <v>0</v>
      </c>
      <c r="Y1232" s="62"/>
      <c r="Z1232" s="62"/>
      <c r="AA1232" s="53">
        <v>26.17877551020408</v>
      </c>
      <c r="AB1232" s="53">
        <v>53.1869387755102</v>
      </c>
      <c r="AC1232" s="53">
        <v>27.015555555555558</v>
      </c>
      <c r="AD1232" s="53">
        <v>56.971111111111107</v>
      </c>
      <c r="AE1232" s="53" t="str">
        <f>_xlfn.XLOOKUP(Master[[#This Row],[cu_id]],'[1]Customer Revenue'!$Q:$Q,'[1]Customer Revenue'!$K:$K, "None")</f>
        <v>None</v>
      </c>
      <c r="AF1232" s="53" t="str">
        <f>_xlfn.XLOOKUP(Master[[#This Row],[cu_id]],'[1]Customer Revenue'!$Q:$Q,'[1]Customer Revenue'!$L:$L, "None")</f>
        <v>None</v>
      </c>
      <c r="AG1232" s="53">
        <v>30.535088757396451</v>
      </c>
      <c r="AH1232" s="53">
        <v>51.220295857988162</v>
      </c>
      <c r="AI1232" s="53">
        <v>39.682857142857138</v>
      </c>
      <c r="AJ1232" s="53">
        <v>41.993333333333332</v>
      </c>
      <c r="AK1232" s="53" t="str">
        <f>_xlfn.XLOOKUP(Master[[#This Row],[cu_id]],'[1]Customer Revenue'!$Q:$Q,'[1]Customer Revenue'!$I:$I, "None")</f>
        <v>None</v>
      </c>
      <c r="AL1232" s="53">
        <v>40.877692307692307</v>
      </c>
      <c r="AM1232" s="61">
        <v>0.39583333333333331</v>
      </c>
      <c r="AN1232" s="60">
        <v>0.83333333333333337</v>
      </c>
      <c r="AO1232" s="60" t="s">
        <v>36</v>
      </c>
      <c r="AP1232" s="60" t="s">
        <v>36</v>
      </c>
      <c r="AQ1232" s="58" t="s">
        <v>308</v>
      </c>
      <c r="AR1232" s="58"/>
      <c r="AS1232" s="58"/>
      <c r="AT1232" s="52">
        <v>0</v>
      </c>
      <c r="AU1232" s="52" t="e">
        <f>IF(Master[[#This Row],[RSP StopTime override]] &lt;&gt; "",Master[[#This Row],[RSP StopTime override]],IF(Master[[#This Row],[Avg stop time helper]] &lt;&gt; 0, Master[[#This Row],[Avg stop time helper]],Average_Stop_Time))</f>
        <v>#DIV/0!</v>
      </c>
      <c r="AV1232" s="21"/>
      <c r="AW1232" s="20">
        <f>Master[[#This Row],[RSP StopTime override]]-Master[[#This Row],[Avg stop time helper]]</f>
        <v>0</v>
      </c>
    </row>
    <row r="1233" spans="1:49" x14ac:dyDescent="0.3">
      <c r="A1233" s="66" t="s">
        <v>5237</v>
      </c>
      <c r="B1233" s="58">
        <v>8010</v>
      </c>
      <c r="C1233" s="58" t="s">
        <v>43</v>
      </c>
      <c r="D1233" s="65">
        <v>808320</v>
      </c>
      <c r="E1233" s="65" t="s">
        <v>42</v>
      </c>
      <c r="F1233" s="65" t="s">
        <v>1003</v>
      </c>
      <c r="G1233" s="65" t="s">
        <v>1002</v>
      </c>
      <c r="H1233" s="65" t="s">
        <v>7</v>
      </c>
      <c r="I1233" s="65" t="s">
        <v>152</v>
      </c>
      <c r="J1233" s="65" t="s">
        <v>5</v>
      </c>
      <c r="K1233" s="65" t="s">
        <v>4</v>
      </c>
      <c r="L1233" s="64">
        <v>1</v>
      </c>
      <c r="M1233" s="58" t="s">
        <v>123</v>
      </c>
      <c r="N1233" s="58" t="s">
        <v>144</v>
      </c>
      <c r="O1233" s="58">
        <v>275</v>
      </c>
      <c r="P1233" s="58">
        <v>275</v>
      </c>
      <c r="Q1233" s="58">
        <v>0</v>
      </c>
      <c r="R1233" s="58">
        <v>0</v>
      </c>
      <c r="S1233" s="58">
        <v>0</v>
      </c>
      <c r="T1233" s="58">
        <v>0</v>
      </c>
      <c r="U1233" s="58">
        <v>4</v>
      </c>
      <c r="V1233" s="62"/>
      <c r="W1233" s="62"/>
      <c r="X1233" s="63">
        <f>IFERROR(1 -(Master[[#This Row],[Avg Garment Scans per Delivery]]/Master[[#This Row],[Garment Inventory]]), 0)</f>
        <v>0</v>
      </c>
      <c r="Y1233" s="62"/>
      <c r="Z1233" s="62"/>
      <c r="AA1233" s="53"/>
      <c r="AB1233" s="53"/>
      <c r="AC1233" s="53"/>
      <c r="AD1233" s="53"/>
      <c r="AE1233" s="53" t="str">
        <f>_xlfn.XLOOKUP(Master[[#This Row],[cu_id]],'[1]Customer Revenue'!$Q:$Q,'[1]Customer Revenue'!$K:$K, "None")</f>
        <v>None</v>
      </c>
      <c r="AF1233" s="53" t="str">
        <f>_xlfn.XLOOKUP(Master[[#This Row],[cu_id]],'[1]Customer Revenue'!$Q:$Q,'[1]Customer Revenue'!$L:$L, "None")</f>
        <v>None</v>
      </c>
      <c r="AG1233" s="53">
        <v>30.23</v>
      </c>
      <c r="AH1233" s="53">
        <v>30.23</v>
      </c>
      <c r="AI1233" s="53"/>
      <c r="AJ1233" s="53"/>
      <c r="AK1233" s="53" t="str">
        <f>_xlfn.XLOOKUP(Master[[#This Row],[cu_id]],'[1]Customer Revenue'!$Q:$Q,'[1]Customer Revenue'!$I:$I, "None")</f>
        <v>None</v>
      </c>
      <c r="AL1233" s="53">
        <v>30.23</v>
      </c>
      <c r="AM1233" s="83">
        <v>0.45833333333333331</v>
      </c>
      <c r="AN1233" s="82">
        <v>0.66666666666666663</v>
      </c>
      <c r="AO1233" s="60" t="s">
        <v>36</v>
      </c>
      <c r="AP1233" s="60" t="s">
        <v>36</v>
      </c>
      <c r="AQ1233" s="58" t="s">
        <v>0</v>
      </c>
      <c r="AR1233" s="58"/>
      <c r="AS1233" s="58"/>
      <c r="AT1233" s="52">
        <v>0</v>
      </c>
      <c r="AU1233" s="52" t="e">
        <f>IF(Master[[#This Row],[RSP StopTime override]] &lt;&gt; "",Master[[#This Row],[RSP StopTime override]],IF(Master[[#This Row],[Avg stop time helper]] &lt;&gt; 0, Master[[#This Row],[Avg stop time helper]],Average_Stop_Time))</f>
        <v>#DIV/0!</v>
      </c>
      <c r="AV1233" s="21"/>
      <c r="AW1233" s="20">
        <f>Master[[#This Row],[RSP StopTime override]]-Master[[#This Row],[Avg stop time helper]]</f>
        <v>0</v>
      </c>
    </row>
    <row r="1234" spans="1:49" x14ac:dyDescent="0.3">
      <c r="A1234" s="66" t="s">
        <v>5238</v>
      </c>
      <c r="B1234" s="58">
        <v>8010</v>
      </c>
      <c r="C1234" s="58" t="s">
        <v>24</v>
      </c>
      <c r="D1234" s="65">
        <v>808548</v>
      </c>
      <c r="E1234" s="65" t="s">
        <v>42</v>
      </c>
      <c r="F1234" s="65" t="s">
        <v>1001</v>
      </c>
      <c r="G1234" s="65" t="s">
        <v>1000</v>
      </c>
      <c r="H1234" s="65" t="s">
        <v>7</v>
      </c>
      <c r="I1234" s="65" t="s">
        <v>6</v>
      </c>
      <c r="J1234" s="65" t="s">
        <v>5</v>
      </c>
      <c r="K1234" s="65" t="s">
        <v>999</v>
      </c>
      <c r="L1234" s="64" t="s">
        <v>67</v>
      </c>
      <c r="M1234" s="58" t="s">
        <v>3</v>
      </c>
      <c r="N1234" s="58" t="s">
        <v>2</v>
      </c>
      <c r="O1234" s="58">
        <v>172</v>
      </c>
      <c r="P1234" s="58">
        <v>172</v>
      </c>
      <c r="Q1234" s="58">
        <v>0</v>
      </c>
      <c r="R1234" s="58">
        <v>0</v>
      </c>
      <c r="S1234" s="58">
        <v>0</v>
      </c>
      <c r="T1234" s="58">
        <v>0</v>
      </c>
      <c r="U1234" s="58">
        <v>38</v>
      </c>
      <c r="V1234" s="62"/>
      <c r="W1234" s="62"/>
      <c r="X1234" s="63">
        <f>IFERROR(1 -(Master[[#This Row],[Avg Garment Scans per Delivery]]/Master[[#This Row],[Garment Inventory]]), 0)</f>
        <v>0</v>
      </c>
      <c r="Y1234" s="62"/>
      <c r="Z1234" s="62"/>
      <c r="AA1234" s="53">
        <v>56.529980276134125</v>
      </c>
      <c r="AB1234" s="53">
        <v>75.243353057199215</v>
      </c>
      <c r="AC1234" s="53">
        <v>58.140972222222217</v>
      </c>
      <c r="AD1234" s="53">
        <v>73.39736111111111</v>
      </c>
      <c r="AE1234" s="53" t="str">
        <f>_xlfn.XLOOKUP(Master[[#This Row],[cu_id]],'[1]Customer Revenue'!$Q:$Q,'[1]Customer Revenue'!$K:$K, "None")</f>
        <v>None</v>
      </c>
      <c r="AF1234" s="53" t="str">
        <f>_xlfn.XLOOKUP(Master[[#This Row],[cu_id]],'[1]Customer Revenue'!$Q:$Q,'[1]Customer Revenue'!$L:$L, "None")</f>
        <v>None</v>
      </c>
      <c r="AG1234" s="53">
        <v>60.03821538461537</v>
      </c>
      <c r="AH1234" s="53">
        <v>69.62898461538461</v>
      </c>
      <c r="AI1234" s="53">
        <v>65.88666666666667</v>
      </c>
      <c r="AJ1234" s="53">
        <v>65.769166666666663</v>
      </c>
      <c r="AK1234" s="53" t="str">
        <f>_xlfn.XLOOKUP(Master[[#This Row],[cu_id]],'[1]Customer Revenue'!$Q:$Q,'[1]Customer Revenue'!$I:$I, "None")</f>
        <v>None</v>
      </c>
      <c r="AL1234" s="53">
        <v>64.83359999999999</v>
      </c>
      <c r="AM1234" s="61">
        <v>0.33333333333333331</v>
      </c>
      <c r="AN1234" s="60">
        <v>0.72916666666666663</v>
      </c>
      <c r="AO1234" s="60" t="s">
        <v>36</v>
      </c>
      <c r="AP1234" s="60" t="s">
        <v>36</v>
      </c>
      <c r="AQ1234" s="58" t="s">
        <v>0</v>
      </c>
      <c r="AR1234" s="58"/>
      <c r="AS1234" s="58"/>
      <c r="AT1234" s="52">
        <v>0</v>
      </c>
      <c r="AU1234" s="52">
        <f>IF(Master[[#This Row],[RSP StopTime override]] &lt;&gt; "",Master[[#This Row],[RSP StopTime override]],IF(Master[[#This Row],[Avg stop time helper]] &lt;&gt; 0, Master[[#This Row],[Avg stop time helper]],Average_Stop_Time))</f>
        <v>25</v>
      </c>
      <c r="AV1234" s="21">
        <v>25</v>
      </c>
      <c r="AW1234" s="20">
        <f>Master[[#This Row],[RSP StopTime override]]-Master[[#This Row],[Avg stop time helper]]</f>
        <v>25</v>
      </c>
    </row>
    <row r="1235" spans="1:49" x14ac:dyDescent="0.3">
      <c r="A1235" s="66" t="s">
        <v>5239</v>
      </c>
      <c r="B1235" s="58">
        <v>8010</v>
      </c>
      <c r="C1235" s="58" t="s">
        <v>24</v>
      </c>
      <c r="D1235" s="65">
        <v>843712</v>
      </c>
      <c r="E1235" s="65" t="s">
        <v>42</v>
      </c>
      <c r="F1235" s="65" t="s">
        <v>998</v>
      </c>
      <c r="G1235" s="65" t="s">
        <v>997</v>
      </c>
      <c r="H1235" s="65" t="s">
        <v>7</v>
      </c>
      <c r="I1235" s="65" t="s">
        <v>6</v>
      </c>
      <c r="J1235" s="65" t="s">
        <v>5</v>
      </c>
      <c r="K1235" s="65" t="s">
        <v>115</v>
      </c>
      <c r="L1235" s="64" t="s">
        <v>206</v>
      </c>
      <c r="M1235" s="58" t="s">
        <v>205</v>
      </c>
      <c r="N1235" s="58" t="s">
        <v>2</v>
      </c>
      <c r="O1235" s="58">
        <v>160</v>
      </c>
      <c r="P1235" s="58">
        <v>160</v>
      </c>
      <c r="Q1235" s="58">
        <v>0</v>
      </c>
      <c r="R1235" s="58">
        <v>0</v>
      </c>
      <c r="S1235" s="58">
        <v>0</v>
      </c>
      <c r="T1235" s="58">
        <v>0</v>
      </c>
      <c r="U1235" s="58">
        <v>9</v>
      </c>
      <c r="V1235" s="62"/>
      <c r="W1235" s="62"/>
      <c r="X1235" s="63">
        <f>IFERROR(1 -(Master[[#This Row],[Avg Garment Scans per Delivery]]/Master[[#This Row],[Garment Inventory]]), 0)</f>
        <v>0</v>
      </c>
      <c r="Y1235" s="62"/>
      <c r="Z1235" s="62"/>
      <c r="AA1235" s="53">
        <v>19.12</v>
      </c>
      <c r="AB1235" s="53">
        <v>19.12</v>
      </c>
      <c r="AC1235" s="53">
        <v>18.9725</v>
      </c>
      <c r="AD1235" s="53">
        <v>19.857499999999998</v>
      </c>
      <c r="AE1235" s="53" t="str">
        <f>_xlfn.XLOOKUP(Master[[#This Row],[cu_id]],'[1]Customer Revenue'!$Q:$Q,'[1]Customer Revenue'!$K:$K, "None")</f>
        <v>None</v>
      </c>
      <c r="AF1235" s="53" t="str">
        <f>_xlfn.XLOOKUP(Master[[#This Row],[cu_id]],'[1]Customer Revenue'!$Q:$Q,'[1]Customer Revenue'!$L:$L, "None")</f>
        <v>None</v>
      </c>
      <c r="AG1235" s="53">
        <v>19.120000000000005</v>
      </c>
      <c r="AH1235" s="53">
        <v>42.82</v>
      </c>
      <c r="AI1235" s="53">
        <v>19.12</v>
      </c>
      <c r="AJ1235" s="53">
        <v>19.414999999999999</v>
      </c>
      <c r="AK1235" s="53" t="str">
        <f>_xlfn.XLOOKUP(Master[[#This Row],[cu_id]],'[1]Customer Revenue'!$Q:$Q,'[1]Customer Revenue'!$I:$I, "None")</f>
        <v>None</v>
      </c>
      <c r="AL1235" s="53">
        <v>30.970000000000002</v>
      </c>
      <c r="AM1235" s="61" t="s">
        <v>36</v>
      </c>
      <c r="AN1235" s="60" t="s">
        <v>36</v>
      </c>
      <c r="AO1235" s="60" t="s">
        <v>36</v>
      </c>
      <c r="AP1235" s="60" t="s">
        <v>36</v>
      </c>
      <c r="AQ1235" s="58" t="s">
        <v>308</v>
      </c>
      <c r="AR1235" s="58"/>
      <c r="AS1235" s="58"/>
      <c r="AT1235" s="52">
        <v>0</v>
      </c>
      <c r="AU1235" s="52">
        <f>IF(Master[[#This Row],[RSP StopTime override]] &lt;&gt; "",Master[[#This Row],[RSP StopTime override]],IF(Master[[#This Row],[Avg stop time helper]] &lt;&gt; 0, Master[[#This Row],[Avg stop time helper]],Average_Stop_Time))</f>
        <v>20</v>
      </c>
      <c r="AV1235" s="21">
        <v>20</v>
      </c>
      <c r="AW1235" s="20">
        <f>Master[[#This Row],[RSP StopTime override]]-Master[[#This Row],[Avg stop time helper]]</f>
        <v>20</v>
      </c>
    </row>
    <row r="1236" spans="1:49" x14ac:dyDescent="0.3">
      <c r="A1236" s="66" t="s">
        <v>5240</v>
      </c>
      <c r="B1236" s="58">
        <v>8010</v>
      </c>
      <c r="C1236" s="58" t="s">
        <v>24</v>
      </c>
      <c r="D1236" s="65">
        <v>843713</v>
      </c>
      <c r="E1236" s="65" t="s">
        <v>42</v>
      </c>
      <c r="F1236" s="65" t="s">
        <v>996</v>
      </c>
      <c r="G1236" s="65" t="s">
        <v>995</v>
      </c>
      <c r="H1236" s="65" t="s">
        <v>7</v>
      </c>
      <c r="I1236" s="65" t="s">
        <v>6</v>
      </c>
      <c r="J1236" s="65" t="s">
        <v>5</v>
      </c>
      <c r="K1236" s="65" t="s">
        <v>115</v>
      </c>
      <c r="L1236" s="64" t="s">
        <v>77</v>
      </c>
      <c r="M1236" s="58" t="s">
        <v>29</v>
      </c>
      <c r="N1236" s="58" t="s">
        <v>2</v>
      </c>
      <c r="O1236" s="58">
        <v>150</v>
      </c>
      <c r="P1236" s="58">
        <v>165</v>
      </c>
      <c r="Q1236" s="58">
        <v>0</v>
      </c>
      <c r="R1236" s="58">
        <v>0</v>
      </c>
      <c r="S1236" s="58">
        <v>0</v>
      </c>
      <c r="T1236" s="58">
        <v>0</v>
      </c>
      <c r="U1236" s="58">
        <v>19</v>
      </c>
      <c r="V1236" s="62"/>
      <c r="W1236" s="62"/>
      <c r="X1236" s="63">
        <f>IFERROR(1 -(Master[[#This Row],[Avg Garment Scans per Delivery]]/Master[[#This Row],[Garment Inventory]]), 0)</f>
        <v>0</v>
      </c>
      <c r="Y1236" s="62"/>
      <c r="Z1236" s="62"/>
      <c r="AA1236" s="53">
        <v>41.42</v>
      </c>
      <c r="AB1236" s="53">
        <v>41.420000000000016</v>
      </c>
      <c r="AC1236" s="53">
        <v>41.42</v>
      </c>
      <c r="AD1236" s="53">
        <v>41.420000000000016</v>
      </c>
      <c r="AE1236" s="53" t="str">
        <f>_xlfn.XLOOKUP(Master[[#This Row],[cu_id]],'[1]Customer Revenue'!$Q:$Q,'[1]Customer Revenue'!$K:$K, "None")</f>
        <v>None</v>
      </c>
      <c r="AF1236" s="53" t="str">
        <f>_xlfn.XLOOKUP(Master[[#This Row],[cu_id]],'[1]Customer Revenue'!$Q:$Q,'[1]Customer Revenue'!$L:$L, "None")</f>
        <v>None</v>
      </c>
      <c r="AG1236" s="53">
        <v>41.42</v>
      </c>
      <c r="AH1236" s="53">
        <v>41.420000000000016</v>
      </c>
      <c r="AI1236" s="53">
        <v>41.420000000000009</v>
      </c>
      <c r="AJ1236" s="53">
        <v>41.420000000000009</v>
      </c>
      <c r="AK1236" s="53" t="str">
        <f>_xlfn.XLOOKUP(Master[[#This Row],[cu_id]],'[1]Customer Revenue'!$Q:$Q,'[1]Customer Revenue'!$I:$I, "None")</f>
        <v>None</v>
      </c>
      <c r="AL1236" s="53">
        <v>41.420000000000009</v>
      </c>
      <c r="AM1236" s="61" t="s">
        <v>36</v>
      </c>
      <c r="AN1236" s="60" t="s">
        <v>36</v>
      </c>
      <c r="AO1236" s="60" t="s">
        <v>36</v>
      </c>
      <c r="AP1236" s="60" t="s">
        <v>36</v>
      </c>
      <c r="AQ1236" s="58" t="s">
        <v>308</v>
      </c>
      <c r="AR1236" s="58"/>
      <c r="AS1236" s="58"/>
      <c r="AT1236" s="52">
        <v>0</v>
      </c>
      <c r="AU1236" s="52">
        <f>IF(Master[[#This Row],[RSP StopTime override]] &lt;&gt; "",Master[[#This Row],[RSP StopTime override]],IF(Master[[#This Row],[Avg stop time helper]] &lt;&gt; 0, Master[[#This Row],[Avg stop time helper]],Average_Stop_Time))</f>
        <v>12</v>
      </c>
      <c r="AV1236" s="21">
        <v>12</v>
      </c>
      <c r="AW1236" s="20">
        <f>Master[[#This Row],[RSP StopTime override]]-Master[[#This Row],[Avg stop time helper]]</f>
        <v>12</v>
      </c>
    </row>
    <row r="1237" spans="1:49" x14ac:dyDescent="0.3">
      <c r="A1237" s="66" t="s">
        <v>5241</v>
      </c>
      <c r="B1237" s="58">
        <v>8010</v>
      </c>
      <c r="C1237" s="58" t="s">
        <v>24</v>
      </c>
      <c r="D1237" s="65">
        <v>882664</v>
      </c>
      <c r="E1237" s="65" t="s">
        <v>994</v>
      </c>
      <c r="F1237" s="65" t="s">
        <v>993</v>
      </c>
      <c r="G1237" s="65" t="s">
        <v>992</v>
      </c>
      <c r="H1237" s="65" t="s">
        <v>7</v>
      </c>
      <c r="I1237" s="65" t="s">
        <v>6</v>
      </c>
      <c r="J1237" s="65" t="s">
        <v>5</v>
      </c>
      <c r="K1237" s="65" t="s">
        <v>991</v>
      </c>
      <c r="L1237" s="64" t="s">
        <v>91</v>
      </c>
      <c r="M1237" s="58" t="s">
        <v>90</v>
      </c>
      <c r="N1237" s="58" t="s">
        <v>2</v>
      </c>
      <c r="O1237" s="58">
        <v>100</v>
      </c>
      <c r="P1237" s="58">
        <v>100</v>
      </c>
      <c r="Q1237" s="58">
        <v>0</v>
      </c>
      <c r="R1237" s="58">
        <v>0</v>
      </c>
      <c r="S1237" s="58">
        <v>0</v>
      </c>
      <c r="T1237" s="58">
        <v>0</v>
      </c>
      <c r="U1237" s="58">
        <v>20</v>
      </c>
      <c r="V1237" s="62"/>
      <c r="W1237" s="62"/>
      <c r="X1237" s="63">
        <f>IFERROR(1 -(Master[[#This Row],[Avg Garment Scans per Delivery]]/Master[[#This Row],[Garment Inventory]]), 0)</f>
        <v>0</v>
      </c>
      <c r="Y1237" s="62"/>
      <c r="Z1237" s="62"/>
      <c r="AA1237" s="53">
        <v>17.054687500000004</v>
      </c>
      <c r="AB1237" s="53">
        <v>26.6053125</v>
      </c>
      <c r="AC1237" s="53">
        <v>21.698888888888888</v>
      </c>
      <c r="AD1237" s="53">
        <v>22.747777777777777</v>
      </c>
      <c r="AE1237" s="53" t="str">
        <f>_xlfn.XLOOKUP(Master[[#This Row],[cu_id]],'[1]Customer Revenue'!$Q:$Q,'[1]Customer Revenue'!$K:$K, "None")</f>
        <v>None</v>
      </c>
      <c r="AF1237" s="53" t="str">
        <f>_xlfn.XLOOKUP(Master[[#This Row],[cu_id]],'[1]Customer Revenue'!$Q:$Q,'[1]Customer Revenue'!$L:$L, "None")</f>
        <v>None</v>
      </c>
      <c r="AG1237" s="53">
        <v>18.934183673469374</v>
      </c>
      <c r="AH1237" s="53">
        <v>24.725816326530609</v>
      </c>
      <c r="AI1237" s="53">
        <v>21.830000000000002</v>
      </c>
      <c r="AJ1237" s="53">
        <v>22.223333333333333</v>
      </c>
      <c r="AK1237" s="53" t="str">
        <f>_xlfn.XLOOKUP(Master[[#This Row],[cu_id]],'[1]Customer Revenue'!$Q:$Q,'[1]Customer Revenue'!$I:$I, "None")</f>
        <v>None</v>
      </c>
      <c r="AL1237" s="53">
        <v>21.829999999999991</v>
      </c>
      <c r="AM1237" s="61">
        <v>0.35416666666666669</v>
      </c>
      <c r="AN1237" s="60">
        <v>0.6875</v>
      </c>
      <c r="AO1237" s="60" t="s">
        <v>36</v>
      </c>
      <c r="AP1237" s="60" t="s">
        <v>36</v>
      </c>
      <c r="AQ1237" s="58" t="s">
        <v>308</v>
      </c>
      <c r="AR1237" s="58"/>
      <c r="AS1237" s="58"/>
      <c r="AT1237" s="52">
        <v>0</v>
      </c>
      <c r="AU1237" s="52">
        <f>IF(Master[[#This Row],[RSP StopTime override]] &lt;&gt; "",Master[[#This Row],[RSP StopTime override]],IF(Master[[#This Row],[Avg stop time helper]] &lt;&gt; 0, Master[[#This Row],[Avg stop time helper]],Average_Stop_Time))</f>
        <v>10</v>
      </c>
      <c r="AV1237" s="21">
        <v>10</v>
      </c>
      <c r="AW1237" s="20">
        <f>Master[[#This Row],[RSP StopTime override]]-Master[[#This Row],[Avg stop time helper]]</f>
        <v>10</v>
      </c>
    </row>
    <row r="1238" spans="1:49" x14ac:dyDescent="0.3">
      <c r="A1238" s="66" t="s">
        <v>5242</v>
      </c>
      <c r="B1238" s="58">
        <v>8010</v>
      </c>
      <c r="C1238" s="58" t="s">
        <v>24</v>
      </c>
      <c r="D1238" s="65">
        <v>883712</v>
      </c>
      <c r="E1238" s="65" t="s">
        <v>990</v>
      </c>
      <c r="F1238" s="65" t="s">
        <v>989</v>
      </c>
      <c r="G1238" s="65" t="s">
        <v>988</v>
      </c>
      <c r="H1238" s="65" t="s">
        <v>7</v>
      </c>
      <c r="I1238" s="65" t="s">
        <v>6</v>
      </c>
      <c r="J1238" s="65" t="s">
        <v>5</v>
      </c>
      <c r="K1238" s="65" t="s">
        <v>115</v>
      </c>
      <c r="L1238" s="64" t="s">
        <v>67</v>
      </c>
      <c r="M1238" s="58" t="s">
        <v>3</v>
      </c>
      <c r="N1238" s="58" t="s">
        <v>2</v>
      </c>
      <c r="O1238" s="58">
        <v>115</v>
      </c>
      <c r="P1238" s="58">
        <v>115</v>
      </c>
      <c r="Q1238" s="58">
        <v>0</v>
      </c>
      <c r="R1238" s="58">
        <v>0</v>
      </c>
      <c r="S1238" s="58">
        <v>0</v>
      </c>
      <c r="T1238" s="58">
        <v>0</v>
      </c>
      <c r="U1238" s="58">
        <v>39</v>
      </c>
      <c r="V1238" s="62"/>
      <c r="W1238" s="62"/>
      <c r="X1238" s="63">
        <f>IFERROR(1 -(Master[[#This Row],[Avg Garment Scans per Delivery]]/Master[[#This Row],[Garment Inventory]]), 0)</f>
        <v>0</v>
      </c>
      <c r="Y1238" s="62"/>
      <c r="Z1238" s="62"/>
      <c r="AA1238" s="53">
        <v>15.762958579881653</v>
      </c>
      <c r="AB1238" s="53">
        <v>31.360118343195261</v>
      </c>
      <c r="AC1238" s="53">
        <v>16.034970414201183</v>
      </c>
      <c r="AD1238" s="53">
        <v>32.794260355029586</v>
      </c>
      <c r="AE1238" s="53" t="str">
        <f>_xlfn.XLOOKUP(Master[[#This Row],[cu_id]],'[1]Customer Revenue'!$Q:$Q,'[1]Customer Revenue'!$K:$K, "None")</f>
        <v>None</v>
      </c>
      <c r="AF1238" s="53" t="str">
        <f>_xlfn.XLOOKUP(Master[[#This Row],[cu_id]],'[1]Customer Revenue'!$Q:$Q,'[1]Customer Revenue'!$L:$L, "None")</f>
        <v>None</v>
      </c>
      <c r="AG1238" s="53">
        <v>18.10846153846154</v>
      </c>
      <c r="AH1238" s="53">
        <v>31.029230769230765</v>
      </c>
      <c r="AI1238" s="53">
        <v>23.561538461538458</v>
      </c>
      <c r="AJ1238" s="53">
        <v>24.414615384615384</v>
      </c>
      <c r="AK1238" s="53" t="str">
        <f>_xlfn.XLOOKUP(Master[[#This Row],[cu_id]],'[1]Customer Revenue'!$Q:$Q,'[1]Customer Revenue'!$I:$I, "None")</f>
        <v>None</v>
      </c>
      <c r="AL1238" s="53">
        <v>24.568846153846152</v>
      </c>
      <c r="AM1238" s="61">
        <v>0.41666666666666669</v>
      </c>
      <c r="AN1238" s="60">
        <v>0.875</v>
      </c>
      <c r="AO1238" s="60" t="s">
        <v>36</v>
      </c>
      <c r="AP1238" s="60" t="s">
        <v>36</v>
      </c>
      <c r="AQ1238" s="58" t="s">
        <v>308</v>
      </c>
      <c r="AR1238" s="58"/>
      <c r="AS1238" s="58"/>
      <c r="AT1238" s="52">
        <v>0</v>
      </c>
      <c r="AU1238" s="52">
        <f>IF(Master[[#This Row],[RSP StopTime override]] &lt;&gt; "",Master[[#This Row],[RSP StopTime override]],IF(Master[[#This Row],[Avg stop time helper]] &lt;&gt; 0, Master[[#This Row],[Avg stop time helper]],Average_Stop_Time))</f>
        <v>15</v>
      </c>
      <c r="AV1238" s="21">
        <v>15</v>
      </c>
      <c r="AW1238" s="20">
        <f>Master[[#This Row],[RSP StopTime override]]-Master[[#This Row],[Avg stop time helper]]</f>
        <v>15</v>
      </c>
    </row>
    <row r="1239" spans="1:49" x14ac:dyDescent="0.3">
      <c r="A1239" s="66" t="s">
        <v>5243</v>
      </c>
      <c r="B1239" s="58">
        <v>8010</v>
      </c>
      <c r="C1239" s="58" t="s">
        <v>24</v>
      </c>
      <c r="D1239" s="65">
        <v>884502</v>
      </c>
      <c r="E1239" s="65" t="s">
        <v>987</v>
      </c>
      <c r="F1239" s="65" t="s">
        <v>722</v>
      </c>
      <c r="G1239" s="65" t="s">
        <v>986</v>
      </c>
      <c r="H1239" s="65" t="s">
        <v>7</v>
      </c>
      <c r="I1239" s="65" t="s">
        <v>6</v>
      </c>
      <c r="J1239" s="65" t="s">
        <v>5</v>
      </c>
      <c r="K1239" s="65" t="s">
        <v>115</v>
      </c>
      <c r="L1239" s="64" t="s">
        <v>124</v>
      </c>
      <c r="M1239" s="58" t="s">
        <v>123</v>
      </c>
      <c r="N1239" s="58" t="s">
        <v>2</v>
      </c>
      <c r="O1239" s="58">
        <v>65</v>
      </c>
      <c r="P1239" s="58">
        <v>60</v>
      </c>
      <c r="Q1239" s="58">
        <v>0</v>
      </c>
      <c r="R1239" s="58">
        <v>0</v>
      </c>
      <c r="S1239" s="58">
        <v>0</v>
      </c>
      <c r="T1239" s="58">
        <v>0</v>
      </c>
      <c r="U1239" s="58">
        <v>10</v>
      </c>
      <c r="V1239" s="62"/>
      <c r="W1239" s="62"/>
      <c r="X1239" s="63">
        <f>IFERROR(1 -(Master[[#This Row],[Avg Garment Scans per Delivery]]/Master[[#This Row],[Garment Inventory]]), 0)</f>
        <v>0</v>
      </c>
      <c r="Y1239" s="62"/>
      <c r="Z1239" s="62"/>
      <c r="AA1239" s="53">
        <v>36.909999999999997</v>
      </c>
      <c r="AB1239" s="53">
        <v>36.909999999999997</v>
      </c>
      <c r="AC1239" s="53">
        <v>36.778888888888886</v>
      </c>
      <c r="AD1239" s="53">
        <v>37.827777777777783</v>
      </c>
      <c r="AE1239" s="53" t="str">
        <f>_xlfn.XLOOKUP(Master[[#This Row],[cu_id]],'[1]Customer Revenue'!$Q:$Q,'[1]Customer Revenue'!$K:$K, "None")</f>
        <v>None</v>
      </c>
      <c r="AF1239" s="53" t="str">
        <f>_xlfn.XLOOKUP(Master[[#This Row],[cu_id]],'[1]Customer Revenue'!$Q:$Q,'[1]Customer Revenue'!$L:$L, "None")</f>
        <v>None</v>
      </c>
      <c r="AG1239" s="53">
        <v>36.909999999999997</v>
      </c>
      <c r="AH1239" s="53">
        <v>36.909999999999997</v>
      </c>
      <c r="AI1239" s="53">
        <v>36.909999999999997</v>
      </c>
      <c r="AJ1239" s="53">
        <v>37.303333333333335</v>
      </c>
      <c r="AK1239" s="53" t="str">
        <f>_xlfn.XLOOKUP(Master[[#This Row],[cu_id]],'[1]Customer Revenue'!$Q:$Q,'[1]Customer Revenue'!$I:$I, "None")</f>
        <v>None</v>
      </c>
      <c r="AL1239" s="53">
        <v>36.909999999999997</v>
      </c>
      <c r="AM1239" s="61">
        <v>0.375</v>
      </c>
      <c r="AN1239" s="60">
        <v>0.72916666666666663</v>
      </c>
      <c r="AO1239" s="60" t="s">
        <v>36</v>
      </c>
      <c r="AP1239" s="60" t="s">
        <v>36</v>
      </c>
      <c r="AQ1239" s="58" t="s">
        <v>308</v>
      </c>
      <c r="AR1239" s="58"/>
      <c r="AS1239" s="58"/>
      <c r="AT1239" s="52">
        <v>0</v>
      </c>
      <c r="AU1239" s="52">
        <f>IF(Master[[#This Row],[RSP StopTime override]] &lt;&gt; "",Master[[#This Row],[RSP StopTime override]],IF(Master[[#This Row],[Avg stop time helper]] &lt;&gt; 0, Master[[#This Row],[Avg stop time helper]],Average_Stop_Time))</f>
        <v>15</v>
      </c>
      <c r="AV1239" s="21">
        <v>15</v>
      </c>
      <c r="AW1239" s="20">
        <f>Master[[#This Row],[RSP StopTime override]]-Master[[#This Row],[Avg stop time helper]]</f>
        <v>15</v>
      </c>
    </row>
    <row r="1240" spans="1:49" x14ac:dyDescent="0.3">
      <c r="A1240" s="66" t="s">
        <v>5244</v>
      </c>
      <c r="B1240" s="58">
        <v>8010</v>
      </c>
      <c r="C1240" s="58" t="s">
        <v>24</v>
      </c>
      <c r="D1240" s="65">
        <v>885970</v>
      </c>
      <c r="E1240" s="65" t="s">
        <v>985</v>
      </c>
      <c r="F1240" s="65" t="s">
        <v>438</v>
      </c>
      <c r="G1240" s="65" t="s">
        <v>984</v>
      </c>
      <c r="H1240" s="65" t="s">
        <v>7</v>
      </c>
      <c r="I1240" s="65" t="s">
        <v>6</v>
      </c>
      <c r="J1240" s="65" t="s">
        <v>5</v>
      </c>
      <c r="K1240" s="65" t="s">
        <v>115</v>
      </c>
      <c r="L1240" s="64" t="s">
        <v>194</v>
      </c>
      <c r="M1240" s="58" t="s">
        <v>193</v>
      </c>
      <c r="N1240" s="58" t="s">
        <v>2</v>
      </c>
      <c r="O1240" s="58">
        <v>32</v>
      </c>
      <c r="P1240" s="58">
        <v>195</v>
      </c>
      <c r="Q1240" s="58">
        <v>0</v>
      </c>
      <c r="R1240" s="58">
        <v>0</v>
      </c>
      <c r="S1240" s="58">
        <v>0</v>
      </c>
      <c r="T1240" s="58">
        <v>0</v>
      </c>
      <c r="U1240" s="58">
        <v>9</v>
      </c>
      <c r="V1240" s="62"/>
      <c r="W1240" s="62"/>
      <c r="X1240" s="63">
        <f>IFERROR(1 -(Master[[#This Row],[Avg Garment Scans per Delivery]]/Master[[#This Row],[Garment Inventory]]), 0)</f>
        <v>0</v>
      </c>
      <c r="Y1240" s="62"/>
      <c r="Z1240" s="62"/>
      <c r="AA1240" s="53">
        <v>28.61</v>
      </c>
      <c r="AB1240" s="53">
        <v>28.61</v>
      </c>
      <c r="AC1240" s="53">
        <v>28.494444444444444</v>
      </c>
      <c r="AD1240" s="53">
        <v>29.41888888888889</v>
      </c>
      <c r="AE1240" s="53" t="str">
        <f>_xlfn.XLOOKUP(Master[[#This Row],[cu_id]],'[1]Customer Revenue'!$Q:$Q,'[1]Customer Revenue'!$K:$K, "None")</f>
        <v>None</v>
      </c>
      <c r="AF1240" s="53" t="str">
        <f>_xlfn.XLOOKUP(Master[[#This Row],[cu_id]],'[1]Customer Revenue'!$Q:$Q,'[1]Customer Revenue'!$L:$L, "None")</f>
        <v>None</v>
      </c>
      <c r="AG1240" s="53">
        <v>21.603469387755108</v>
      </c>
      <c r="AH1240" s="53">
        <v>35.616530612244894</v>
      </c>
      <c r="AI1240" s="53">
        <v>28.61</v>
      </c>
      <c r="AJ1240" s="53">
        <v>28.956666666666667</v>
      </c>
      <c r="AK1240" s="53" t="str">
        <f>_xlfn.XLOOKUP(Master[[#This Row],[cu_id]],'[1]Customer Revenue'!$Q:$Q,'[1]Customer Revenue'!$I:$I, "None")</f>
        <v>None</v>
      </c>
      <c r="AL1240" s="53">
        <v>28.610000000000003</v>
      </c>
      <c r="AM1240" s="61">
        <v>0.33333333333333331</v>
      </c>
      <c r="AN1240" s="60">
        <v>0.85416666666666663</v>
      </c>
      <c r="AO1240" s="60" t="s">
        <v>36</v>
      </c>
      <c r="AP1240" s="60" t="s">
        <v>36</v>
      </c>
      <c r="AQ1240" s="58" t="s">
        <v>308</v>
      </c>
      <c r="AR1240" s="58"/>
      <c r="AS1240" s="58"/>
      <c r="AT1240" s="52">
        <v>0</v>
      </c>
      <c r="AU1240" s="52" t="e">
        <f>IF(Master[[#This Row],[RSP StopTime override]] &lt;&gt; "",Master[[#This Row],[RSP StopTime override]],IF(Master[[#This Row],[Avg stop time helper]] &lt;&gt; 0, Master[[#This Row],[Avg stop time helper]],Average_Stop_Time))</f>
        <v>#DIV/0!</v>
      </c>
      <c r="AV1240" s="21"/>
      <c r="AW1240" s="20">
        <f>Master[[#This Row],[RSP StopTime override]]-Master[[#This Row],[Avg stop time helper]]</f>
        <v>0</v>
      </c>
    </row>
    <row r="1241" spans="1:49" x14ac:dyDescent="0.3">
      <c r="A1241" s="66" t="s">
        <v>5245</v>
      </c>
      <c r="B1241" s="58">
        <v>8010</v>
      </c>
      <c r="C1241" s="58" t="s">
        <v>24</v>
      </c>
      <c r="D1241" s="65">
        <v>886085</v>
      </c>
      <c r="E1241" s="65" t="s">
        <v>983</v>
      </c>
      <c r="F1241" s="65" t="s">
        <v>3759</v>
      </c>
      <c r="G1241" s="65" t="s">
        <v>982</v>
      </c>
      <c r="H1241" s="65" t="s">
        <v>981</v>
      </c>
      <c r="I1241" s="65" t="s">
        <v>6</v>
      </c>
      <c r="J1241" s="65" t="s">
        <v>5</v>
      </c>
      <c r="K1241" s="65" t="s">
        <v>115</v>
      </c>
      <c r="L1241" s="64" t="s">
        <v>91</v>
      </c>
      <c r="M1241" s="58" t="s">
        <v>90</v>
      </c>
      <c r="N1241" s="58" t="s">
        <v>2</v>
      </c>
      <c r="O1241" s="58">
        <v>120</v>
      </c>
      <c r="P1241" s="58">
        <v>120</v>
      </c>
      <c r="Q1241" s="58">
        <v>0</v>
      </c>
      <c r="R1241" s="58">
        <v>0</v>
      </c>
      <c r="S1241" s="58">
        <v>0</v>
      </c>
      <c r="T1241" s="58">
        <v>0</v>
      </c>
      <c r="U1241" s="58">
        <v>32</v>
      </c>
      <c r="V1241" s="62"/>
      <c r="W1241" s="62"/>
      <c r="X1241" s="63">
        <f>IFERROR(1 -(Master[[#This Row],[Avg Garment Scans per Delivery]]/Master[[#This Row],[Garment Inventory]]), 0)</f>
        <v>0</v>
      </c>
      <c r="Y1241" s="62"/>
      <c r="Z1241" s="62"/>
      <c r="AA1241" s="53">
        <v>19.45</v>
      </c>
      <c r="AB1241" s="53">
        <v>24.849999999999998</v>
      </c>
      <c r="AC1241" s="53">
        <v>9.5833950617283925</v>
      </c>
      <c r="AD1241" s="53">
        <v>26.553271604938271</v>
      </c>
      <c r="AE1241" s="53" t="str">
        <f>_xlfn.XLOOKUP(Master[[#This Row],[cu_id]],'[1]Customer Revenue'!$Q:$Q,'[1]Customer Revenue'!$K:$K, "None")</f>
        <v>None</v>
      </c>
      <c r="AF1241" s="53" t="str">
        <f>_xlfn.XLOOKUP(Master[[#This Row],[cu_id]],'[1]Customer Revenue'!$Q:$Q,'[1]Customer Revenue'!$L:$L, "None")</f>
        <v>None</v>
      </c>
      <c r="AG1241" s="53">
        <v>19.436159999999997</v>
      </c>
      <c r="AH1241" s="53">
        <v>27.099839999999997</v>
      </c>
      <c r="AI1241" s="53">
        <v>22.15</v>
      </c>
      <c r="AJ1241" s="53">
        <v>18.068333333333332</v>
      </c>
      <c r="AK1241" s="53" t="str">
        <f>_xlfn.XLOOKUP(Master[[#This Row],[cu_id]],'[1]Customer Revenue'!$Q:$Q,'[1]Customer Revenue'!$I:$I, "None")</f>
        <v>None</v>
      </c>
      <c r="AL1241" s="53">
        <v>23.267999999999997</v>
      </c>
      <c r="AM1241" s="61">
        <v>0.35416666666666669</v>
      </c>
      <c r="AN1241" s="60">
        <v>0.8125</v>
      </c>
      <c r="AO1241" s="60" t="s">
        <v>36</v>
      </c>
      <c r="AP1241" s="60" t="s">
        <v>36</v>
      </c>
      <c r="AQ1241" s="58" t="s">
        <v>308</v>
      </c>
      <c r="AR1241" s="58"/>
      <c r="AS1241" s="58"/>
      <c r="AT1241" s="52">
        <v>0</v>
      </c>
      <c r="AU1241" s="52" t="e">
        <f>IF(Master[[#This Row],[RSP StopTime override]] &lt;&gt; "",Master[[#This Row],[RSP StopTime override]],IF(Master[[#This Row],[Avg stop time helper]] &lt;&gt; 0, Master[[#This Row],[Avg stop time helper]],Average_Stop_Time))</f>
        <v>#DIV/0!</v>
      </c>
      <c r="AV1241" s="21"/>
      <c r="AW1241" s="20">
        <f>Master[[#This Row],[RSP StopTime override]]-Master[[#This Row],[Avg stop time helper]]</f>
        <v>0</v>
      </c>
    </row>
    <row r="1242" spans="1:49" x14ac:dyDescent="0.3">
      <c r="A1242" s="66" t="s">
        <v>5246</v>
      </c>
      <c r="B1242" s="58">
        <v>8010</v>
      </c>
      <c r="C1242" s="58" t="s">
        <v>24</v>
      </c>
      <c r="D1242" s="65">
        <v>886176</v>
      </c>
      <c r="E1242" s="65" t="s">
        <v>980</v>
      </c>
      <c r="F1242" s="65" t="s">
        <v>979</v>
      </c>
      <c r="G1242" s="65" t="s">
        <v>978</v>
      </c>
      <c r="H1242" s="65" t="s">
        <v>7</v>
      </c>
      <c r="I1242" s="65" t="s">
        <v>6</v>
      </c>
      <c r="J1242" s="65" t="s">
        <v>5</v>
      </c>
      <c r="K1242" s="65" t="s">
        <v>151</v>
      </c>
      <c r="L1242" s="64" t="s">
        <v>77</v>
      </c>
      <c r="M1242" s="58" t="s">
        <v>29</v>
      </c>
      <c r="N1242" s="58" t="s">
        <v>2</v>
      </c>
      <c r="O1242" s="58">
        <v>175</v>
      </c>
      <c r="P1242" s="58">
        <v>145</v>
      </c>
      <c r="Q1242" s="58">
        <v>0</v>
      </c>
      <c r="R1242" s="58">
        <v>0</v>
      </c>
      <c r="S1242" s="58">
        <v>0</v>
      </c>
      <c r="T1242" s="58">
        <v>0</v>
      </c>
      <c r="U1242" s="58">
        <v>14</v>
      </c>
      <c r="V1242" s="62"/>
      <c r="W1242" s="62"/>
      <c r="X1242" s="63">
        <f>IFERROR(1 -(Master[[#This Row],[Avg Garment Scans per Delivery]]/Master[[#This Row],[Garment Inventory]]), 0)</f>
        <v>0</v>
      </c>
      <c r="Y1242" s="62"/>
      <c r="Z1242" s="62"/>
      <c r="AA1242" s="53">
        <v>44.23</v>
      </c>
      <c r="AB1242" s="53">
        <v>44.23</v>
      </c>
      <c r="AC1242" s="53">
        <v>31.707551020408172</v>
      </c>
      <c r="AD1242" s="53">
        <v>43.266734693877559</v>
      </c>
      <c r="AE1242" s="53" t="str">
        <f>_xlfn.XLOOKUP(Master[[#This Row],[cu_id]],'[1]Customer Revenue'!$Q:$Q,'[1]Customer Revenue'!$K:$K, "None")</f>
        <v>None</v>
      </c>
      <c r="AF1242" s="53" t="str">
        <f>_xlfn.XLOOKUP(Master[[#This Row],[cu_id]],'[1]Customer Revenue'!$Q:$Q,'[1]Customer Revenue'!$L:$L, "None")</f>
        <v>None</v>
      </c>
      <c r="AG1242" s="53">
        <v>41.872</v>
      </c>
      <c r="AH1242" s="53">
        <v>54.448000000000022</v>
      </c>
      <c r="AI1242" s="53">
        <v>44.23</v>
      </c>
      <c r="AJ1242" s="53">
        <v>37.487142857142864</v>
      </c>
      <c r="AK1242" s="53" t="str">
        <f>_xlfn.XLOOKUP(Master[[#This Row],[cu_id]],'[1]Customer Revenue'!$Q:$Q,'[1]Customer Revenue'!$I:$I, "None")</f>
        <v>None</v>
      </c>
      <c r="AL1242" s="53">
        <v>48.160000000000011</v>
      </c>
      <c r="AM1242" s="61">
        <v>0.39583333333333331</v>
      </c>
      <c r="AN1242" s="60">
        <v>0.6875</v>
      </c>
      <c r="AO1242" s="60" t="s">
        <v>36</v>
      </c>
      <c r="AP1242" s="60" t="s">
        <v>36</v>
      </c>
      <c r="AQ1242" s="58" t="s">
        <v>308</v>
      </c>
      <c r="AR1242" s="58"/>
      <c r="AS1242" s="58"/>
      <c r="AT1242" s="52">
        <v>0</v>
      </c>
      <c r="AU1242" s="52">
        <f>IF(Master[[#This Row],[RSP StopTime override]] &lt;&gt; "",Master[[#This Row],[RSP StopTime override]],IF(Master[[#This Row],[Avg stop time helper]] &lt;&gt; 0, Master[[#This Row],[Avg stop time helper]],Average_Stop_Time))</f>
        <v>10</v>
      </c>
      <c r="AV1242" s="21">
        <v>10</v>
      </c>
      <c r="AW1242" s="20">
        <f>Master[[#This Row],[RSP StopTime override]]-Master[[#This Row],[Avg stop time helper]]</f>
        <v>10</v>
      </c>
    </row>
    <row r="1243" spans="1:49" x14ac:dyDescent="0.3">
      <c r="A1243" s="66" t="s">
        <v>5247</v>
      </c>
      <c r="B1243" s="58">
        <v>8010</v>
      </c>
      <c r="C1243" s="58" t="s">
        <v>24</v>
      </c>
      <c r="D1243" s="65">
        <v>886208</v>
      </c>
      <c r="E1243" s="65" t="s">
        <v>977</v>
      </c>
      <c r="F1243" s="65" t="s">
        <v>249</v>
      </c>
      <c r="G1243" s="65" t="s">
        <v>976</v>
      </c>
      <c r="H1243" s="65" t="s">
        <v>7</v>
      </c>
      <c r="I1243" s="65" t="s">
        <v>6</v>
      </c>
      <c r="J1243" s="65" t="s">
        <v>5</v>
      </c>
      <c r="K1243" s="65" t="s">
        <v>115</v>
      </c>
      <c r="L1243" s="64" t="s">
        <v>67</v>
      </c>
      <c r="M1243" s="58" t="s">
        <v>3</v>
      </c>
      <c r="N1243" s="58" t="s">
        <v>2</v>
      </c>
      <c r="O1243" s="58">
        <v>70</v>
      </c>
      <c r="P1243" s="58">
        <v>80</v>
      </c>
      <c r="Q1243" s="58">
        <v>0</v>
      </c>
      <c r="R1243" s="58">
        <v>0</v>
      </c>
      <c r="S1243" s="58">
        <v>0</v>
      </c>
      <c r="T1243" s="58">
        <v>0</v>
      </c>
      <c r="U1243" s="58">
        <v>29</v>
      </c>
      <c r="V1243" s="62"/>
      <c r="W1243" s="62"/>
      <c r="X1243" s="63">
        <f>IFERROR(1 -(Master[[#This Row],[Avg Garment Scans per Delivery]]/Master[[#This Row],[Garment Inventory]]), 0)</f>
        <v>0</v>
      </c>
      <c r="Y1243" s="62"/>
      <c r="Z1243" s="62"/>
      <c r="AA1243" s="53">
        <v>38.293313609467447</v>
      </c>
      <c r="AB1243" s="53">
        <v>53.520532544378696</v>
      </c>
      <c r="AC1243" s="53">
        <v>38.532603550295846</v>
      </c>
      <c r="AD1243" s="53">
        <v>51.099704142011831</v>
      </c>
      <c r="AE1243" s="53" t="str">
        <f>_xlfn.XLOOKUP(Master[[#This Row],[cu_id]],'[1]Customer Revenue'!$Q:$Q,'[1]Customer Revenue'!$K:$K, "None")</f>
        <v>None</v>
      </c>
      <c r="AF1243" s="53" t="str">
        <f>_xlfn.XLOOKUP(Master[[#This Row],[cu_id]],'[1]Customer Revenue'!$Q:$Q,'[1]Customer Revenue'!$L:$L, "None")</f>
        <v>None</v>
      </c>
      <c r="AG1243" s="53">
        <v>34.949603174603176</v>
      </c>
      <c r="AH1243" s="53">
        <v>59.848492063492067</v>
      </c>
      <c r="AI1243" s="53">
        <v>45.906923076923071</v>
      </c>
      <c r="AJ1243" s="53">
        <v>44.816153846153838</v>
      </c>
      <c r="AK1243" s="53" t="str">
        <f>_xlfn.XLOOKUP(Master[[#This Row],[cu_id]],'[1]Customer Revenue'!$Q:$Q,'[1]Customer Revenue'!$I:$I, "None")</f>
        <v>None</v>
      </c>
      <c r="AL1243" s="53">
        <v>47.399047619047622</v>
      </c>
      <c r="AM1243" s="61">
        <v>0.35416666666666669</v>
      </c>
      <c r="AN1243" s="60">
        <v>0.77083333333333337</v>
      </c>
      <c r="AO1243" s="60" t="s">
        <v>36</v>
      </c>
      <c r="AP1243" s="60" t="s">
        <v>36</v>
      </c>
      <c r="AQ1243" s="58" t="s">
        <v>308</v>
      </c>
      <c r="AR1243" s="58"/>
      <c r="AS1243" s="58"/>
      <c r="AT1243" s="52">
        <v>0</v>
      </c>
      <c r="AU1243" s="52">
        <f>IF(Master[[#This Row],[RSP StopTime override]] &lt;&gt; "",Master[[#This Row],[RSP StopTime override]],IF(Master[[#This Row],[Avg stop time helper]] &lt;&gt; 0, Master[[#This Row],[Avg stop time helper]],Average_Stop_Time))</f>
        <v>15</v>
      </c>
      <c r="AV1243" s="21">
        <v>15</v>
      </c>
      <c r="AW1243" s="20">
        <f>Master[[#This Row],[RSP StopTime override]]-Master[[#This Row],[Avg stop time helper]]</f>
        <v>15</v>
      </c>
    </row>
    <row r="1244" spans="1:49" x14ac:dyDescent="0.3">
      <c r="A1244" s="66" t="s">
        <v>5248</v>
      </c>
      <c r="B1244" s="58">
        <v>8010</v>
      </c>
      <c r="C1244" s="58" t="s">
        <v>24</v>
      </c>
      <c r="D1244" s="65">
        <v>887717</v>
      </c>
      <c r="E1244" s="65" t="s">
        <v>975</v>
      </c>
      <c r="F1244" s="65" t="s">
        <v>3760</v>
      </c>
      <c r="G1244" s="65" t="s">
        <v>974</v>
      </c>
      <c r="H1244" s="65" t="s">
        <v>7</v>
      </c>
      <c r="I1244" s="65" t="s">
        <v>6</v>
      </c>
      <c r="J1244" s="65" t="s">
        <v>5</v>
      </c>
      <c r="K1244" s="65" t="s">
        <v>973</v>
      </c>
      <c r="L1244" s="64" t="s">
        <v>67</v>
      </c>
      <c r="M1244" s="58" t="s">
        <v>3</v>
      </c>
      <c r="N1244" s="58" t="s">
        <v>2</v>
      </c>
      <c r="O1244" s="58">
        <v>3</v>
      </c>
      <c r="P1244" s="58">
        <v>1</v>
      </c>
      <c r="Q1244" s="58">
        <v>0</v>
      </c>
      <c r="R1244" s="58">
        <v>0</v>
      </c>
      <c r="S1244" s="58">
        <v>0</v>
      </c>
      <c r="T1244" s="58">
        <v>0</v>
      </c>
      <c r="U1244" s="58">
        <v>39</v>
      </c>
      <c r="V1244" s="62"/>
      <c r="W1244" s="62"/>
      <c r="X1244" s="63">
        <f>IFERROR(1 -(Master[[#This Row],[Avg Garment Scans per Delivery]]/Master[[#This Row],[Garment Inventory]]), 0)</f>
        <v>0</v>
      </c>
      <c r="Y1244" s="62"/>
      <c r="Z1244" s="62"/>
      <c r="AA1244" s="53">
        <v>72.61</v>
      </c>
      <c r="AB1244" s="53">
        <v>72.61</v>
      </c>
      <c r="AC1244" s="53">
        <v>72.470355029585789</v>
      </c>
      <c r="AD1244" s="53">
        <v>73.475798816568044</v>
      </c>
      <c r="AE1244" s="53" t="str">
        <f>_xlfn.XLOOKUP(Master[[#This Row],[cu_id]],'[1]Customer Revenue'!$Q:$Q,'[1]Customer Revenue'!$K:$K, "None")</f>
        <v>None</v>
      </c>
      <c r="AF1244" s="53" t="str">
        <f>_xlfn.XLOOKUP(Master[[#This Row],[cu_id]],'[1]Customer Revenue'!$Q:$Q,'[1]Customer Revenue'!$L:$L, "None")</f>
        <v>None</v>
      </c>
      <c r="AG1244" s="53">
        <v>72.379053254437835</v>
      </c>
      <c r="AH1244" s="53">
        <v>74.842485207100523</v>
      </c>
      <c r="AI1244" s="53">
        <v>72.61</v>
      </c>
      <c r="AJ1244" s="53">
        <v>72.973076923076917</v>
      </c>
      <c r="AK1244" s="53" t="str">
        <f>_xlfn.XLOOKUP(Master[[#This Row],[cu_id]],'[1]Customer Revenue'!$Q:$Q,'[1]Customer Revenue'!$I:$I, "None")</f>
        <v>None</v>
      </c>
      <c r="AL1244" s="53">
        <v>73.610769230769179</v>
      </c>
      <c r="AM1244" s="61" t="s">
        <v>36</v>
      </c>
      <c r="AN1244" s="60" t="s">
        <v>36</v>
      </c>
      <c r="AO1244" s="60" t="s">
        <v>36</v>
      </c>
      <c r="AP1244" s="60" t="s">
        <v>36</v>
      </c>
      <c r="AQ1244" s="58" t="s">
        <v>308</v>
      </c>
      <c r="AR1244" s="58"/>
      <c r="AS1244" s="58"/>
      <c r="AT1244" s="52">
        <v>0</v>
      </c>
      <c r="AU1244" s="52" t="e">
        <f>IF(Master[[#This Row],[RSP StopTime override]] &lt;&gt; "",Master[[#This Row],[RSP StopTime override]],IF(Master[[#This Row],[Avg stop time helper]] &lt;&gt; 0, Master[[#This Row],[Avg stop time helper]],Average_Stop_Time))</f>
        <v>#DIV/0!</v>
      </c>
      <c r="AV1244" s="21"/>
      <c r="AW1244" s="20">
        <f>Master[[#This Row],[RSP StopTime override]]-Master[[#This Row],[Avg stop time helper]]</f>
        <v>0</v>
      </c>
    </row>
    <row r="1245" spans="1:49" x14ac:dyDescent="0.3">
      <c r="A1245" s="66" t="s">
        <v>5249</v>
      </c>
      <c r="B1245" s="58">
        <v>8010</v>
      </c>
      <c r="C1245" s="58" t="s">
        <v>24</v>
      </c>
      <c r="D1245" s="65">
        <v>888998</v>
      </c>
      <c r="E1245" s="65" t="s">
        <v>972</v>
      </c>
      <c r="F1245" s="65" t="s">
        <v>971</v>
      </c>
      <c r="G1245" s="65" t="s">
        <v>968</v>
      </c>
      <c r="H1245" s="65" t="s">
        <v>7</v>
      </c>
      <c r="I1245" s="65" t="s">
        <v>6</v>
      </c>
      <c r="J1245" s="65" t="s">
        <v>5</v>
      </c>
      <c r="K1245" s="65" t="s">
        <v>115</v>
      </c>
      <c r="L1245" s="64" t="s">
        <v>67</v>
      </c>
      <c r="M1245" s="58" t="s">
        <v>3</v>
      </c>
      <c r="N1245" s="58" t="s">
        <v>2</v>
      </c>
      <c r="O1245" s="58">
        <v>25</v>
      </c>
      <c r="P1245" s="58">
        <v>25</v>
      </c>
      <c r="Q1245" s="58">
        <v>0</v>
      </c>
      <c r="R1245" s="58">
        <v>0</v>
      </c>
      <c r="S1245" s="58">
        <v>0</v>
      </c>
      <c r="T1245" s="58">
        <v>0</v>
      </c>
      <c r="U1245" s="58">
        <v>39</v>
      </c>
      <c r="V1245" s="62">
        <v>0</v>
      </c>
      <c r="W1245" s="62"/>
      <c r="X1245" s="63">
        <f>IFERROR(1 -(Master[[#This Row],[Avg Garment Scans per Delivery]]/Master[[#This Row],[Garment Inventory]]), 0)</f>
        <v>0</v>
      </c>
      <c r="Y1245" s="62">
        <v>1</v>
      </c>
      <c r="Z1245" s="62">
        <v>8</v>
      </c>
      <c r="AA1245" s="53">
        <v>37.75615384615385</v>
      </c>
      <c r="AB1245" s="53">
        <v>44.663846153846151</v>
      </c>
      <c r="AC1245" s="53">
        <v>37.114852071005913</v>
      </c>
      <c r="AD1245" s="53">
        <v>61.692840236686393</v>
      </c>
      <c r="AE1245" s="53" t="str">
        <f>_xlfn.XLOOKUP(Master[[#This Row],[cu_id]],'[1]Customer Revenue'!$Q:$Q,'[1]Customer Revenue'!$K:$K, "None")</f>
        <v>None</v>
      </c>
      <c r="AF1245" s="53" t="str">
        <f>_xlfn.XLOOKUP(Master[[#This Row],[cu_id]],'[1]Customer Revenue'!$Q:$Q,'[1]Customer Revenue'!$L:$L, "None")</f>
        <v>None</v>
      </c>
      <c r="AG1245" s="53">
        <v>37.600828402366858</v>
      </c>
      <c r="AH1245" s="53">
        <v>57.983786982248532</v>
      </c>
      <c r="AI1245" s="53">
        <v>41.21</v>
      </c>
      <c r="AJ1245" s="53">
        <v>49.403846153846153</v>
      </c>
      <c r="AK1245" s="53" t="str">
        <f>_xlfn.XLOOKUP(Master[[#This Row],[cu_id]],'[1]Customer Revenue'!$Q:$Q,'[1]Customer Revenue'!$I:$I, "None")</f>
        <v>None</v>
      </c>
      <c r="AL1245" s="53">
        <v>47.792307692307695</v>
      </c>
      <c r="AM1245" s="61">
        <v>0.29166666666666669</v>
      </c>
      <c r="AN1245" s="60">
        <v>0.6875</v>
      </c>
      <c r="AO1245" s="60" t="s">
        <v>36</v>
      </c>
      <c r="AP1245" s="60" t="s">
        <v>36</v>
      </c>
      <c r="AQ1245" s="58" t="s">
        <v>308</v>
      </c>
      <c r="AR1245" s="58"/>
      <c r="AS1245" s="58"/>
      <c r="AT1245" s="52">
        <v>0</v>
      </c>
      <c r="AU1245" s="52">
        <f>IF(Master[[#This Row],[RSP StopTime override]] &lt;&gt; "",Master[[#This Row],[RSP StopTime override]],IF(Master[[#This Row],[Avg stop time helper]] &lt;&gt; 0, Master[[#This Row],[Avg stop time helper]],Average_Stop_Time))</f>
        <v>10</v>
      </c>
      <c r="AV1245" s="21">
        <v>10</v>
      </c>
      <c r="AW1245" s="20">
        <f>Master[[#This Row],[RSP StopTime override]]-Master[[#This Row],[Avg stop time helper]]</f>
        <v>10</v>
      </c>
    </row>
    <row r="1246" spans="1:49" x14ac:dyDescent="0.3">
      <c r="A1246" s="66" t="s">
        <v>5250</v>
      </c>
      <c r="B1246" s="58">
        <v>8010</v>
      </c>
      <c r="C1246" s="58" t="s">
        <v>24</v>
      </c>
      <c r="D1246" s="65">
        <v>888998</v>
      </c>
      <c r="E1246" s="65" t="s">
        <v>970</v>
      </c>
      <c r="F1246" s="65" t="s">
        <v>969</v>
      </c>
      <c r="G1246" s="65" t="s">
        <v>968</v>
      </c>
      <c r="H1246" s="65" t="s">
        <v>7</v>
      </c>
      <c r="I1246" s="65" t="s">
        <v>6</v>
      </c>
      <c r="J1246" s="65" t="s">
        <v>5</v>
      </c>
      <c r="K1246" s="65" t="s">
        <v>115</v>
      </c>
      <c r="L1246" s="64" t="s">
        <v>77</v>
      </c>
      <c r="M1246" s="58" t="s">
        <v>29</v>
      </c>
      <c r="N1246" s="58" t="s">
        <v>2</v>
      </c>
      <c r="O1246" s="58">
        <v>25</v>
      </c>
      <c r="P1246" s="58">
        <v>40</v>
      </c>
      <c r="Q1246" s="58">
        <v>0</v>
      </c>
      <c r="R1246" s="58">
        <v>0</v>
      </c>
      <c r="S1246" s="58">
        <v>0</v>
      </c>
      <c r="T1246" s="58">
        <v>0</v>
      </c>
      <c r="U1246" s="58">
        <v>19</v>
      </c>
      <c r="V1246" s="62"/>
      <c r="W1246" s="62"/>
      <c r="X1246" s="63">
        <f>IFERROR(1 -(Master[[#This Row],[Avg Garment Scans per Delivery]]/Master[[#This Row],[Garment Inventory]]), 0)</f>
        <v>0</v>
      </c>
      <c r="Y1246" s="62"/>
      <c r="Z1246" s="62"/>
      <c r="AA1246" s="53">
        <v>31.329999999999991</v>
      </c>
      <c r="AB1246" s="53">
        <v>31.33</v>
      </c>
      <c r="AC1246" s="53">
        <v>31.329999999999984</v>
      </c>
      <c r="AD1246" s="53">
        <v>31.33</v>
      </c>
      <c r="AE1246" s="53" t="str">
        <f>_xlfn.XLOOKUP(Master[[#This Row],[cu_id]],'[1]Customer Revenue'!$Q:$Q,'[1]Customer Revenue'!$K:$K, "None")</f>
        <v>None</v>
      </c>
      <c r="AF1246" s="53" t="str">
        <f>_xlfn.XLOOKUP(Master[[#This Row],[cu_id]],'[1]Customer Revenue'!$Q:$Q,'[1]Customer Revenue'!$L:$L, "None")</f>
        <v>None</v>
      </c>
      <c r="AG1246" s="53">
        <v>31.329999999999977</v>
      </c>
      <c r="AH1246" s="53">
        <v>31.33</v>
      </c>
      <c r="AI1246" s="53">
        <v>31.329999999999995</v>
      </c>
      <c r="AJ1246" s="53">
        <v>31.329999999999991</v>
      </c>
      <c r="AK1246" s="53" t="str">
        <f>_xlfn.XLOOKUP(Master[[#This Row],[cu_id]],'[1]Customer Revenue'!$Q:$Q,'[1]Customer Revenue'!$I:$I, "None")</f>
        <v>None</v>
      </c>
      <c r="AL1246" s="53">
        <v>31.329999999999988</v>
      </c>
      <c r="AM1246" s="61">
        <v>0.29166666666666669</v>
      </c>
      <c r="AN1246" s="60">
        <v>0.6875</v>
      </c>
      <c r="AO1246" s="60" t="s">
        <v>36</v>
      </c>
      <c r="AP1246" s="60" t="s">
        <v>36</v>
      </c>
      <c r="AQ1246" s="58" t="s">
        <v>308</v>
      </c>
      <c r="AR1246" s="58"/>
      <c r="AS1246" s="58"/>
      <c r="AT1246" s="52">
        <v>0</v>
      </c>
      <c r="AU1246" s="52">
        <f>IF(Master[[#This Row],[RSP StopTime override]] &lt;&gt; "",Master[[#This Row],[RSP StopTime override]],IF(Master[[#This Row],[Avg stop time helper]] &lt;&gt; 0, Master[[#This Row],[Avg stop time helper]],Average_Stop_Time))</f>
        <v>15</v>
      </c>
      <c r="AV1246" s="21">
        <v>15</v>
      </c>
      <c r="AW1246" s="20">
        <f>Master[[#This Row],[RSP StopTime override]]-Master[[#This Row],[Avg stop time helper]]</f>
        <v>15</v>
      </c>
    </row>
    <row r="1247" spans="1:49" x14ac:dyDescent="0.3">
      <c r="A1247" s="73" t="s">
        <v>5251</v>
      </c>
      <c r="B1247" s="64">
        <v>8010</v>
      </c>
      <c r="C1247" s="64" t="s">
        <v>35</v>
      </c>
      <c r="D1247" s="65">
        <v>99033</v>
      </c>
      <c r="E1247" s="65" t="s">
        <v>967</v>
      </c>
      <c r="F1247" s="65" t="s">
        <v>966</v>
      </c>
      <c r="G1247" s="65" t="s">
        <v>965</v>
      </c>
      <c r="H1247" s="65" t="s">
        <v>32</v>
      </c>
      <c r="I1247" s="65" t="s">
        <v>6</v>
      </c>
      <c r="J1247" s="65" t="s">
        <v>5</v>
      </c>
      <c r="K1247" s="65" t="s">
        <v>115</v>
      </c>
      <c r="L1247" s="64" t="s">
        <v>91</v>
      </c>
      <c r="M1247" s="65" t="s">
        <v>90</v>
      </c>
      <c r="N1247" s="65" t="s">
        <v>2</v>
      </c>
      <c r="O1247" s="65">
        <v>90</v>
      </c>
      <c r="P1247" s="65">
        <v>0</v>
      </c>
      <c r="Q1247" s="65">
        <v>90</v>
      </c>
      <c r="R1247" s="65">
        <v>0</v>
      </c>
      <c r="S1247" s="65">
        <v>0</v>
      </c>
      <c r="T1247" s="65">
        <v>0</v>
      </c>
      <c r="U1247" s="65">
        <v>4</v>
      </c>
      <c r="V1247" s="65"/>
      <c r="W1247" s="65"/>
      <c r="X1247" s="72">
        <f>IFERROR(1 -(Master[[#This Row],[Avg Garment Scans per Delivery]]/Master[[#This Row],[Garment Inventory]]), 0)</f>
        <v>0</v>
      </c>
      <c r="Y1247" s="65"/>
      <c r="Z1247" s="65"/>
      <c r="AA1247" s="53"/>
      <c r="AB1247" s="53"/>
      <c r="AC1247" s="53">
        <v>32.450000000000003</v>
      </c>
      <c r="AD1247" s="53">
        <v>38.06</v>
      </c>
      <c r="AE1247" s="53" t="str">
        <f>_xlfn.XLOOKUP(Master[[#This Row],[cu_id]],'[1]Customer Revenue'!$Q:$Q,'[1]Customer Revenue'!$K:$K, "None")</f>
        <v>None</v>
      </c>
      <c r="AF1247" s="53" t="str">
        <f>_xlfn.XLOOKUP(Master[[#This Row],[cu_id]],'[1]Customer Revenue'!$Q:$Q,'[1]Customer Revenue'!$L:$L, "None")</f>
        <v>None</v>
      </c>
      <c r="AG1247" s="53"/>
      <c r="AH1247" s="53"/>
      <c r="AI1247" s="53"/>
      <c r="AJ1247" s="53">
        <v>35.255000000000003</v>
      </c>
      <c r="AK1247" s="53" t="str">
        <f>_xlfn.XLOOKUP(Master[[#This Row],[cu_id]],'[1]Customer Revenue'!$Q:$Q,'[1]Customer Revenue'!$I:$I, "None")</f>
        <v>None</v>
      </c>
      <c r="AL1247" s="53"/>
      <c r="AM1247" s="71" t="s">
        <v>1</v>
      </c>
      <c r="AN1247" s="71" t="s">
        <v>1</v>
      </c>
      <c r="AO1247" s="71" t="s">
        <v>36</v>
      </c>
      <c r="AP1247" s="71" t="s">
        <v>36</v>
      </c>
      <c r="AQ1247" s="64" t="s">
        <v>0</v>
      </c>
      <c r="AR1247" s="64"/>
      <c r="AS1247" s="65"/>
      <c r="AT1247" s="52">
        <v>0</v>
      </c>
      <c r="AU1247" s="52" t="e">
        <f>IF(Master[[#This Row],[RSP StopTime override]] &lt;&gt; "",Master[[#This Row],[RSP StopTime override]],IF(Master[[#This Row],[Avg stop time helper]] &lt;&gt; 0, Master[[#This Row],[Avg stop time helper]],Average_Stop_Time))</f>
        <v>#DIV/0!</v>
      </c>
      <c r="AV1247" s="21"/>
      <c r="AW1247" s="20">
        <f>Master[[#This Row],[RSP StopTime override]]-Master[[#This Row],[Avg stop time helper]]</f>
        <v>0</v>
      </c>
    </row>
    <row r="1248" spans="1:49" x14ac:dyDescent="0.3">
      <c r="A1248" s="66" t="s">
        <v>5252</v>
      </c>
      <c r="B1248" s="58">
        <v>8010</v>
      </c>
      <c r="C1248" s="58" t="s">
        <v>35</v>
      </c>
      <c r="D1248" s="65">
        <v>802658</v>
      </c>
      <c r="E1248" s="65" t="s">
        <v>42</v>
      </c>
      <c r="F1248" s="65" t="s">
        <v>964</v>
      </c>
      <c r="G1248" s="65" t="s">
        <v>963</v>
      </c>
      <c r="H1248" s="65" t="s">
        <v>7</v>
      </c>
      <c r="I1248" s="65" t="s">
        <v>6</v>
      </c>
      <c r="J1248" s="65" t="s">
        <v>5</v>
      </c>
      <c r="K1248" s="65" t="s">
        <v>68</v>
      </c>
      <c r="L1248" s="64" t="s">
        <v>77</v>
      </c>
      <c r="M1248" s="58" t="s">
        <v>29</v>
      </c>
      <c r="N1248" s="58" t="s">
        <v>2</v>
      </c>
      <c r="O1248" s="58">
        <v>112</v>
      </c>
      <c r="P1248" s="58">
        <v>0</v>
      </c>
      <c r="Q1248" s="58">
        <v>180</v>
      </c>
      <c r="R1248" s="58">
        <v>0</v>
      </c>
      <c r="S1248" s="58">
        <v>0</v>
      </c>
      <c r="T1248" s="58">
        <v>0</v>
      </c>
      <c r="U1248" s="58">
        <v>16</v>
      </c>
      <c r="V1248" s="62"/>
      <c r="W1248" s="62"/>
      <c r="X1248" s="63">
        <f>IFERROR(1 -(Master[[#This Row],[Avg Garment Scans per Delivery]]/Master[[#This Row],[Garment Inventory]]), 0)</f>
        <v>0</v>
      </c>
      <c r="Y1248" s="62"/>
      <c r="Z1248" s="62"/>
      <c r="AA1248" s="53">
        <v>27.400000000000002</v>
      </c>
      <c r="AB1248" s="53">
        <v>29.650000000000002</v>
      </c>
      <c r="AC1248" s="53">
        <v>25.265918367346938</v>
      </c>
      <c r="AD1248" s="53">
        <v>28.456938775510199</v>
      </c>
      <c r="AE1248" s="53" t="str">
        <f>_xlfn.XLOOKUP(Master[[#This Row],[cu_id]],'[1]Customer Revenue'!$Q:$Q,'[1]Customer Revenue'!$K:$K, "None")</f>
        <v>None</v>
      </c>
      <c r="AF1248" s="53" t="str">
        <f>_xlfn.XLOOKUP(Master[[#This Row],[cu_id]],'[1]Customer Revenue'!$Q:$Q,'[1]Customer Revenue'!$L:$L, "None")</f>
        <v>None</v>
      </c>
      <c r="AG1248" s="53">
        <v>21.550694444444446</v>
      </c>
      <c r="AH1248" s="53">
        <v>52.687638888888856</v>
      </c>
      <c r="AI1248" s="53">
        <v>28.525000000000002</v>
      </c>
      <c r="AJ1248" s="53">
        <v>26.861428571428569</v>
      </c>
      <c r="AK1248" s="53" t="str">
        <f>_xlfn.XLOOKUP(Master[[#This Row],[cu_id]],'[1]Customer Revenue'!$Q:$Q,'[1]Customer Revenue'!$I:$I, "None")</f>
        <v>None</v>
      </c>
      <c r="AL1248" s="53">
        <v>37.119166666666651</v>
      </c>
      <c r="AM1248" s="61">
        <v>0.33333333333333331</v>
      </c>
      <c r="AN1248" s="60">
        <v>0.6875</v>
      </c>
      <c r="AO1248" s="60" t="s">
        <v>36</v>
      </c>
      <c r="AP1248" s="60" t="s">
        <v>36</v>
      </c>
      <c r="AQ1248" s="58" t="s">
        <v>0</v>
      </c>
      <c r="AR1248" s="58"/>
      <c r="AS1248" s="58"/>
      <c r="AT1248" s="52">
        <v>0</v>
      </c>
      <c r="AU1248" s="52">
        <f>IF(Master[[#This Row],[RSP StopTime override]] &lt;&gt; "",Master[[#This Row],[RSP StopTime override]],IF(Master[[#This Row],[Avg stop time helper]] &lt;&gt; 0, Master[[#This Row],[Avg stop time helper]],Average_Stop_Time))</f>
        <v>15</v>
      </c>
      <c r="AV1248" s="21">
        <v>15</v>
      </c>
      <c r="AW1248" s="20">
        <f>Master[[#This Row],[RSP StopTime override]]-Master[[#This Row],[Avg stop time helper]]</f>
        <v>15</v>
      </c>
    </row>
    <row r="1249" spans="1:49" x14ac:dyDescent="0.3">
      <c r="A1249" s="66" t="s">
        <v>5253</v>
      </c>
      <c r="B1249" s="58">
        <v>8010</v>
      </c>
      <c r="C1249" s="58" t="s">
        <v>35</v>
      </c>
      <c r="D1249" s="65">
        <v>802685</v>
      </c>
      <c r="E1249" s="65" t="s">
        <v>42</v>
      </c>
      <c r="F1249" s="65" t="s">
        <v>962</v>
      </c>
      <c r="G1249" s="65" t="s">
        <v>961</v>
      </c>
      <c r="H1249" s="65" t="s">
        <v>7</v>
      </c>
      <c r="I1249" s="65" t="s">
        <v>6</v>
      </c>
      <c r="J1249" s="65" t="s">
        <v>5</v>
      </c>
      <c r="K1249" s="65" t="s">
        <v>68</v>
      </c>
      <c r="L1249" s="64" t="s">
        <v>77</v>
      </c>
      <c r="M1249" s="58" t="s">
        <v>29</v>
      </c>
      <c r="N1249" s="58" t="s">
        <v>2</v>
      </c>
      <c r="O1249" s="58">
        <v>110</v>
      </c>
      <c r="P1249" s="58">
        <v>0</v>
      </c>
      <c r="Q1249" s="58">
        <v>110</v>
      </c>
      <c r="R1249" s="58">
        <v>0</v>
      </c>
      <c r="S1249" s="58">
        <v>0</v>
      </c>
      <c r="T1249" s="58">
        <v>0</v>
      </c>
      <c r="U1249" s="58">
        <v>19</v>
      </c>
      <c r="V1249" s="62"/>
      <c r="W1249" s="62"/>
      <c r="X1249" s="63">
        <f>IFERROR(1 -(Master[[#This Row],[Avg Garment Scans per Delivery]]/Master[[#This Row],[Garment Inventory]]), 0)</f>
        <v>0</v>
      </c>
      <c r="Y1249" s="62"/>
      <c r="Z1249" s="62"/>
      <c r="AA1249" s="53">
        <v>21.81</v>
      </c>
      <c r="AB1249" s="53">
        <v>21.81</v>
      </c>
      <c r="AC1249" s="53">
        <v>21.665510204081631</v>
      </c>
      <c r="AD1249" s="53">
        <v>22.628775510204083</v>
      </c>
      <c r="AE1249" s="53" t="str">
        <f>_xlfn.XLOOKUP(Master[[#This Row],[cu_id]],'[1]Customer Revenue'!$Q:$Q,'[1]Customer Revenue'!$K:$K, "None")</f>
        <v>None</v>
      </c>
      <c r="AF1249" s="53" t="str">
        <f>_xlfn.XLOOKUP(Master[[#This Row],[cu_id]],'[1]Customer Revenue'!$Q:$Q,'[1]Customer Revenue'!$L:$L, "None")</f>
        <v>None</v>
      </c>
      <c r="AG1249" s="53">
        <v>21.81</v>
      </c>
      <c r="AH1249" s="53">
        <v>21.81</v>
      </c>
      <c r="AI1249" s="53">
        <v>21.81</v>
      </c>
      <c r="AJ1249" s="53">
        <v>22.147142857142857</v>
      </c>
      <c r="AK1249" s="53" t="str">
        <f>_xlfn.XLOOKUP(Master[[#This Row],[cu_id]],'[1]Customer Revenue'!$Q:$Q,'[1]Customer Revenue'!$I:$I, "None")</f>
        <v>None</v>
      </c>
      <c r="AL1249" s="53">
        <v>21.81</v>
      </c>
      <c r="AM1249" s="61">
        <v>0.375</v>
      </c>
      <c r="AN1249" s="60">
        <v>0.6875</v>
      </c>
      <c r="AO1249" s="60" t="s">
        <v>36</v>
      </c>
      <c r="AP1249" s="60" t="s">
        <v>36</v>
      </c>
      <c r="AQ1249" s="58" t="s">
        <v>0</v>
      </c>
      <c r="AR1249" s="58"/>
      <c r="AS1249" s="58"/>
      <c r="AT1249" s="52">
        <v>0</v>
      </c>
      <c r="AU1249" s="52">
        <f>IF(Master[[#This Row],[RSP StopTime override]] &lt;&gt; "",Master[[#This Row],[RSP StopTime override]],IF(Master[[#This Row],[Avg stop time helper]] &lt;&gt; 0, Master[[#This Row],[Avg stop time helper]],Average_Stop_Time))</f>
        <v>10</v>
      </c>
      <c r="AV1249" s="21">
        <v>10</v>
      </c>
      <c r="AW1249" s="20">
        <f>Master[[#This Row],[RSP StopTime override]]-Master[[#This Row],[Avg stop time helper]]</f>
        <v>10</v>
      </c>
    </row>
    <row r="1250" spans="1:49" x14ac:dyDescent="0.3">
      <c r="A1250" s="66" t="s">
        <v>5254</v>
      </c>
      <c r="B1250" s="58">
        <v>8010</v>
      </c>
      <c r="C1250" s="58" t="s">
        <v>35</v>
      </c>
      <c r="D1250" s="65">
        <v>803513</v>
      </c>
      <c r="E1250" s="65" t="s">
        <v>42</v>
      </c>
      <c r="F1250" s="65" t="s">
        <v>960</v>
      </c>
      <c r="G1250" s="65" t="s">
        <v>959</v>
      </c>
      <c r="H1250" s="65" t="s">
        <v>7</v>
      </c>
      <c r="I1250" s="65" t="s">
        <v>161</v>
      </c>
      <c r="J1250" s="65" t="s">
        <v>5</v>
      </c>
      <c r="K1250" s="65" t="s">
        <v>146</v>
      </c>
      <c r="L1250" s="64" t="s">
        <v>77</v>
      </c>
      <c r="M1250" s="58" t="s">
        <v>29</v>
      </c>
      <c r="N1250" s="58" t="s">
        <v>2</v>
      </c>
      <c r="O1250" s="58">
        <v>125</v>
      </c>
      <c r="P1250" s="58">
        <v>0</v>
      </c>
      <c r="Q1250" s="58">
        <v>115</v>
      </c>
      <c r="R1250" s="58">
        <v>0</v>
      </c>
      <c r="S1250" s="58">
        <v>0</v>
      </c>
      <c r="T1250" s="58">
        <v>0</v>
      </c>
      <c r="U1250" s="58">
        <v>20</v>
      </c>
      <c r="V1250" s="62"/>
      <c r="W1250" s="62"/>
      <c r="X1250" s="63">
        <f>IFERROR(1 -(Master[[#This Row],[Avg Garment Scans per Delivery]]/Master[[#This Row],[Garment Inventory]]), 0)</f>
        <v>0</v>
      </c>
      <c r="Y1250" s="62"/>
      <c r="Z1250" s="62"/>
      <c r="AA1250" s="53">
        <v>31.17</v>
      </c>
      <c r="AB1250" s="53">
        <v>31.170000000000009</v>
      </c>
      <c r="AC1250" s="53">
        <v>13.515510204081634</v>
      </c>
      <c r="AD1250" s="53">
        <v>14.478775510204082</v>
      </c>
      <c r="AE1250" s="53" t="str">
        <f>_xlfn.XLOOKUP(Master[[#This Row],[cu_id]],'[1]Customer Revenue'!$Q:$Q,'[1]Customer Revenue'!$K:$K, "None")</f>
        <v>None</v>
      </c>
      <c r="AF1250" s="53" t="str">
        <f>_xlfn.XLOOKUP(Master[[#This Row],[cu_id]],'[1]Customer Revenue'!$Q:$Q,'[1]Customer Revenue'!$L:$L, "None")</f>
        <v>None</v>
      </c>
      <c r="AG1250" s="53">
        <v>18.322426035502964</v>
      </c>
      <c r="AH1250" s="53">
        <v>33.242189349112429</v>
      </c>
      <c r="AI1250" s="53">
        <v>31.170000000000005</v>
      </c>
      <c r="AJ1250" s="53">
        <v>13.997142857142858</v>
      </c>
      <c r="AK1250" s="53" t="str">
        <f>_xlfn.XLOOKUP(Master[[#This Row],[cu_id]],'[1]Customer Revenue'!$Q:$Q,'[1]Customer Revenue'!$I:$I, "None")</f>
        <v>None</v>
      </c>
      <c r="AL1250" s="53">
        <v>25.782307692307697</v>
      </c>
      <c r="AM1250" s="61">
        <v>0.375</v>
      </c>
      <c r="AN1250" s="60">
        <v>0.70833333333333337</v>
      </c>
      <c r="AO1250" s="60" t="s">
        <v>36</v>
      </c>
      <c r="AP1250" s="60" t="s">
        <v>36</v>
      </c>
      <c r="AQ1250" s="58" t="s">
        <v>0</v>
      </c>
      <c r="AR1250" s="58"/>
      <c r="AS1250" s="58"/>
      <c r="AT1250" s="52">
        <v>0</v>
      </c>
      <c r="AU1250" s="52">
        <f>IF(Master[[#This Row],[RSP StopTime override]] &lt;&gt; "",Master[[#This Row],[RSP StopTime override]],IF(Master[[#This Row],[Avg stop time helper]] &lt;&gt; 0, Master[[#This Row],[Avg stop time helper]],Average_Stop_Time))</f>
        <v>10</v>
      </c>
      <c r="AV1250" s="21">
        <v>10</v>
      </c>
      <c r="AW1250" s="20">
        <f>Master[[#This Row],[RSP StopTime override]]-Master[[#This Row],[Avg stop time helper]]</f>
        <v>10</v>
      </c>
    </row>
    <row r="1251" spans="1:49" x14ac:dyDescent="0.3">
      <c r="A1251" s="66" t="s">
        <v>5255</v>
      </c>
      <c r="B1251" s="58">
        <v>8010</v>
      </c>
      <c r="C1251" s="58" t="s">
        <v>35</v>
      </c>
      <c r="D1251" s="65">
        <v>803570</v>
      </c>
      <c r="E1251" s="65" t="s">
        <v>42</v>
      </c>
      <c r="F1251" s="65" t="s">
        <v>958</v>
      </c>
      <c r="G1251" s="65" t="s">
        <v>957</v>
      </c>
      <c r="H1251" s="65" t="s">
        <v>7</v>
      </c>
      <c r="I1251" s="65" t="s">
        <v>956</v>
      </c>
      <c r="J1251" s="65" t="s">
        <v>5</v>
      </c>
      <c r="K1251" s="65" t="s">
        <v>146</v>
      </c>
      <c r="L1251" s="64" t="s">
        <v>91</v>
      </c>
      <c r="M1251" s="58" t="s">
        <v>90</v>
      </c>
      <c r="N1251" s="58" t="s">
        <v>2</v>
      </c>
      <c r="O1251" s="58">
        <v>30</v>
      </c>
      <c r="P1251" s="58">
        <v>0</v>
      </c>
      <c r="Q1251" s="58">
        <v>30</v>
      </c>
      <c r="R1251" s="58">
        <v>0</v>
      </c>
      <c r="S1251" s="58">
        <v>0</v>
      </c>
      <c r="T1251" s="58">
        <v>0</v>
      </c>
      <c r="U1251" s="58">
        <v>20</v>
      </c>
      <c r="V1251" s="62"/>
      <c r="W1251" s="62"/>
      <c r="X1251" s="63">
        <f>IFERROR(1 -(Master[[#This Row],[Avg Garment Scans per Delivery]]/Master[[#This Row],[Garment Inventory]]), 0)</f>
        <v>0</v>
      </c>
      <c r="Y1251" s="62"/>
      <c r="Z1251" s="62"/>
      <c r="AA1251" s="53">
        <v>19.539999999999992</v>
      </c>
      <c r="AB1251" s="53">
        <v>19.54</v>
      </c>
      <c r="AC1251" s="53">
        <v>19.408888888888889</v>
      </c>
      <c r="AD1251" s="53">
        <v>20.457777777777778</v>
      </c>
      <c r="AE1251" s="53" t="str">
        <f>_xlfn.XLOOKUP(Master[[#This Row],[cu_id]],'[1]Customer Revenue'!$Q:$Q,'[1]Customer Revenue'!$K:$K, "None")</f>
        <v>None</v>
      </c>
      <c r="AF1251" s="53" t="str">
        <f>_xlfn.XLOOKUP(Master[[#This Row],[cu_id]],'[1]Customer Revenue'!$Q:$Q,'[1]Customer Revenue'!$L:$L, "None")</f>
        <v>None</v>
      </c>
      <c r="AG1251" s="53">
        <v>18.467218934911234</v>
      </c>
      <c r="AH1251" s="53">
        <v>19.858934911242603</v>
      </c>
      <c r="AI1251" s="53">
        <v>19.539999999999996</v>
      </c>
      <c r="AJ1251" s="53">
        <v>19.933333333333334</v>
      </c>
      <c r="AK1251" s="53" t="str">
        <f>_xlfn.XLOOKUP(Master[[#This Row],[cu_id]],'[1]Customer Revenue'!$Q:$Q,'[1]Customer Revenue'!$I:$I, "None")</f>
        <v>None</v>
      </c>
      <c r="AL1251" s="53">
        <v>19.163076923076918</v>
      </c>
      <c r="AM1251" s="61">
        <v>0.3125</v>
      </c>
      <c r="AN1251" s="60">
        <v>0.6875</v>
      </c>
      <c r="AO1251" s="60" t="s">
        <v>36</v>
      </c>
      <c r="AP1251" s="60" t="s">
        <v>36</v>
      </c>
      <c r="AQ1251" s="58" t="s">
        <v>0</v>
      </c>
      <c r="AR1251" s="58"/>
      <c r="AS1251" s="58"/>
      <c r="AT1251" s="52">
        <v>0</v>
      </c>
      <c r="AU1251" s="52">
        <f>IF(Master[[#This Row],[RSP StopTime override]] &lt;&gt; "",Master[[#This Row],[RSP StopTime override]],IF(Master[[#This Row],[Avg stop time helper]] &lt;&gt; 0, Master[[#This Row],[Avg stop time helper]],Average_Stop_Time))</f>
        <v>10</v>
      </c>
      <c r="AV1251" s="21">
        <v>10</v>
      </c>
      <c r="AW1251" s="20">
        <f>Master[[#This Row],[RSP StopTime override]]-Master[[#This Row],[Avg stop time helper]]</f>
        <v>10</v>
      </c>
    </row>
    <row r="1252" spans="1:49" x14ac:dyDescent="0.3">
      <c r="A1252" s="66" t="s">
        <v>5256</v>
      </c>
      <c r="B1252" s="58">
        <v>8010</v>
      </c>
      <c r="C1252" s="58" t="s">
        <v>35</v>
      </c>
      <c r="D1252" s="65">
        <v>803580</v>
      </c>
      <c r="E1252" s="65" t="s">
        <v>42</v>
      </c>
      <c r="F1252" s="65" t="s">
        <v>955</v>
      </c>
      <c r="G1252" s="65" t="s">
        <v>954</v>
      </c>
      <c r="H1252" s="65" t="s">
        <v>7</v>
      </c>
      <c r="I1252" s="65" t="s">
        <v>6</v>
      </c>
      <c r="J1252" s="65" t="s">
        <v>5</v>
      </c>
      <c r="K1252" s="65" t="s">
        <v>146</v>
      </c>
      <c r="L1252" s="64" t="s">
        <v>91</v>
      </c>
      <c r="M1252" s="58" t="s">
        <v>90</v>
      </c>
      <c r="N1252" s="58" t="s">
        <v>2</v>
      </c>
      <c r="O1252" s="58">
        <v>25</v>
      </c>
      <c r="P1252" s="58">
        <v>0</v>
      </c>
      <c r="Q1252" s="58">
        <v>25</v>
      </c>
      <c r="R1252" s="58">
        <v>0</v>
      </c>
      <c r="S1252" s="58">
        <v>0</v>
      </c>
      <c r="T1252" s="58">
        <v>0</v>
      </c>
      <c r="U1252" s="58">
        <v>17</v>
      </c>
      <c r="V1252" s="62"/>
      <c r="W1252" s="62"/>
      <c r="X1252" s="63">
        <f>IFERROR(1 -(Master[[#This Row],[Avg Garment Scans per Delivery]]/Master[[#This Row],[Garment Inventory]]), 0)</f>
        <v>0</v>
      </c>
      <c r="Y1252" s="62"/>
      <c r="Z1252" s="62"/>
      <c r="AA1252" s="53">
        <v>51.149999999999984</v>
      </c>
      <c r="AB1252" s="53">
        <v>51.15</v>
      </c>
      <c r="AC1252" s="53">
        <v>53.218888888888891</v>
      </c>
      <c r="AD1252" s="53">
        <v>54.267777777777788</v>
      </c>
      <c r="AE1252" s="53" t="str">
        <f>_xlfn.XLOOKUP(Master[[#This Row],[cu_id]],'[1]Customer Revenue'!$Q:$Q,'[1]Customer Revenue'!$K:$K, "None")</f>
        <v>None</v>
      </c>
      <c r="AF1252" s="53" t="str">
        <f>_xlfn.XLOOKUP(Master[[#This Row],[cu_id]],'[1]Customer Revenue'!$Q:$Q,'[1]Customer Revenue'!$L:$L, "None")</f>
        <v>None</v>
      </c>
      <c r="AG1252" s="53">
        <v>34.981285714285697</v>
      </c>
      <c r="AH1252" s="53">
        <v>63.997285714285702</v>
      </c>
      <c r="AI1252" s="53">
        <v>51.149999999999991</v>
      </c>
      <c r="AJ1252" s="53">
        <v>53.743333333333339</v>
      </c>
      <c r="AK1252" s="53" t="str">
        <f>_xlfn.XLOOKUP(Master[[#This Row],[cu_id]],'[1]Customer Revenue'!$Q:$Q,'[1]Customer Revenue'!$I:$I, "None")</f>
        <v>None</v>
      </c>
      <c r="AL1252" s="53">
        <v>49.4892857142857</v>
      </c>
      <c r="AM1252" s="61">
        <v>0.33333333333333331</v>
      </c>
      <c r="AN1252" s="60">
        <v>0.85416666666666663</v>
      </c>
      <c r="AO1252" s="60" t="s">
        <v>36</v>
      </c>
      <c r="AP1252" s="60" t="s">
        <v>36</v>
      </c>
      <c r="AQ1252" s="58" t="s">
        <v>308</v>
      </c>
      <c r="AR1252" s="58"/>
      <c r="AS1252" s="58"/>
      <c r="AT1252" s="52">
        <v>0</v>
      </c>
      <c r="AU1252" s="52">
        <f>IF(Master[[#This Row],[RSP StopTime override]] &lt;&gt; "",Master[[#This Row],[RSP StopTime override]],IF(Master[[#This Row],[Avg stop time helper]] &lt;&gt; 0, Master[[#This Row],[Avg stop time helper]],Average_Stop_Time))</f>
        <v>10</v>
      </c>
      <c r="AV1252" s="21">
        <v>10</v>
      </c>
      <c r="AW1252" s="20">
        <f>Master[[#This Row],[RSP StopTime override]]-Master[[#This Row],[Avg stop time helper]]</f>
        <v>10</v>
      </c>
    </row>
    <row r="1253" spans="1:49" x14ac:dyDescent="0.3">
      <c r="A1253" s="66" t="s">
        <v>5257</v>
      </c>
      <c r="B1253" s="58">
        <v>8010</v>
      </c>
      <c r="C1253" s="58" t="s">
        <v>35</v>
      </c>
      <c r="D1253" s="65">
        <v>803718</v>
      </c>
      <c r="E1253" s="65" t="s">
        <v>42</v>
      </c>
      <c r="F1253" s="65" t="s">
        <v>953</v>
      </c>
      <c r="G1253" s="65" t="s">
        <v>952</v>
      </c>
      <c r="H1253" s="65" t="s">
        <v>7</v>
      </c>
      <c r="I1253" s="65" t="s">
        <v>6</v>
      </c>
      <c r="J1253" s="65" t="s">
        <v>5</v>
      </c>
      <c r="K1253" s="65" t="s">
        <v>115</v>
      </c>
      <c r="L1253" s="64" t="s">
        <v>67</v>
      </c>
      <c r="M1253" s="58" t="s">
        <v>3</v>
      </c>
      <c r="N1253" s="58" t="s">
        <v>2</v>
      </c>
      <c r="O1253" s="58">
        <v>15</v>
      </c>
      <c r="P1253" s="58">
        <v>0</v>
      </c>
      <c r="Q1253" s="58">
        <v>15</v>
      </c>
      <c r="R1253" s="58">
        <v>0</v>
      </c>
      <c r="S1253" s="58">
        <v>0</v>
      </c>
      <c r="T1253" s="58">
        <v>0</v>
      </c>
      <c r="U1253" s="58">
        <v>39</v>
      </c>
      <c r="V1253" s="62"/>
      <c r="W1253" s="62"/>
      <c r="X1253" s="63">
        <f>IFERROR(1 -(Master[[#This Row],[Avg Garment Scans per Delivery]]/Master[[#This Row],[Garment Inventory]]), 0)</f>
        <v>0</v>
      </c>
      <c r="Y1253" s="62"/>
      <c r="Z1253" s="62"/>
      <c r="AA1253" s="53">
        <v>23.594378698224851</v>
      </c>
      <c r="AB1253" s="53">
        <v>62.921005917159768</v>
      </c>
      <c r="AC1253" s="53">
        <v>20.135196232339084</v>
      </c>
      <c r="AD1253" s="53">
        <v>75.601726844584007</v>
      </c>
      <c r="AE1253" s="53" t="str">
        <f>_xlfn.XLOOKUP(Master[[#This Row],[cu_id]],'[1]Customer Revenue'!$Q:$Q,'[1]Customer Revenue'!$K:$K, "None")</f>
        <v>None</v>
      </c>
      <c r="AF1253" s="53" t="str">
        <f>_xlfn.XLOOKUP(Master[[#This Row],[cu_id]],'[1]Customer Revenue'!$Q:$Q,'[1]Customer Revenue'!$L:$L, "None")</f>
        <v>None</v>
      </c>
      <c r="AG1253" s="53">
        <v>23.123836129576869</v>
      </c>
      <c r="AH1253" s="53">
        <v>62.949240793500053</v>
      </c>
      <c r="AI1253" s="53">
        <v>43.257692307692309</v>
      </c>
      <c r="AJ1253" s="53">
        <v>47.868461538461546</v>
      </c>
      <c r="AK1253" s="53" t="str">
        <f>_xlfn.XLOOKUP(Master[[#This Row],[cu_id]],'[1]Customer Revenue'!$Q:$Q,'[1]Customer Revenue'!$I:$I, "None")</f>
        <v>None</v>
      </c>
      <c r="AL1253" s="53">
        <v>43.036538461538463</v>
      </c>
      <c r="AM1253" s="61">
        <v>0.3125</v>
      </c>
      <c r="AN1253" s="60">
        <v>0.875</v>
      </c>
      <c r="AO1253" s="60" t="s">
        <v>36</v>
      </c>
      <c r="AP1253" s="60" t="s">
        <v>36</v>
      </c>
      <c r="AQ1253" s="58" t="s">
        <v>308</v>
      </c>
      <c r="AR1253" s="58"/>
      <c r="AS1253" s="58"/>
      <c r="AT1253" s="52">
        <v>0</v>
      </c>
      <c r="AU1253" s="52" t="e">
        <f>IF(Master[[#This Row],[RSP StopTime override]] &lt;&gt; "",Master[[#This Row],[RSP StopTime override]],IF(Master[[#This Row],[Avg stop time helper]] &lt;&gt; 0, Master[[#This Row],[Avg stop time helper]],Average_Stop_Time))</f>
        <v>#DIV/0!</v>
      </c>
      <c r="AV1253" s="21"/>
      <c r="AW1253" s="20">
        <f>Master[[#This Row],[RSP StopTime override]]-Master[[#This Row],[Avg stop time helper]]</f>
        <v>0</v>
      </c>
    </row>
    <row r="1254" spans="1:49" x14ac:dyDescent="0.3">
      <c r="A1254" s="66" t="s">
        <v>5258</v>
      </c>
      <c r="B1254" s="58">
        <v>8010</v>
      </c>
      <c r="C1254" s="58" t="s">
        <v>35</v>
      </c>
      <c r="D1254" s="65">
        <v>803761</v>
      </c>
      <c r="E1254" s="65" t="s">
        <v>42</v>
      </c>
      <c r="F1254" s="65" t="s">
        <v>951</v>
      </c>
      <c r="G1254" s="65" t="s">
        <v>950</v>
      </c>
      <c r="H1254" s="65" t="s">
        <v>7</v>
      </c>
      <c r="I1254" s="65" t="s">
        <v>6</v>
      </c>
      <c r="J1254" s="65" t="s">
        <v>5</v>
      </c>
      <c r="K1254" s="65" t="s">
        <v>68</v>
      </c>
      <c r="L1254" s="64" t="s">
        <v>124</v>
      </c>
      <c r="M1254" s="58" t="s">
        <v>123</v>
      </c>
      <c r="N1254" s="58" t="s">
        <v>2</v>
      </c>
      <c r="O1254" s="58">
        <v>155</v>
      </c>
      <c r="P1254" s="58">
        <v>0</v>
      </c>
      <c r="Q1254" s="58">
        <v>155</v>
      </c>
      <c r="R1254" s="58">
        <v>0</v>
      </c>
      <c r="S1254" s="58">
        <v>0</v>
      </c>
      <c r="T1254" s="58">
        <v>0</v>
      </c>
      <c r="U1254" s="58">
        <v>8</v>
      </c>
      <c r="V1254" s="62"/>
      <c r="W1254" s="62"/>
      <c r="X1254" s="63">
        <f>IFERROR(1 -(Master[[#This Row],[Avg Garment Scans per Delivery]]/Master[[#This Row],[Garment Inventory]]), 0)</f>
        <v>0</v>
      </c>
      <c r="Y1254" s="62"/>
      <c r="Z1254" s="62"/>
      <c r="AA1254" s="53">
        <v>60.52</v>
      </c>
      <c r="AB1254" s="53">
        <v>60.52</v>
      </c>
      <c r="AC1254" s="53">
        <v>60.388888888888893</v>
      </c>
      <c r="AD1254" s="53">
        <v>61.437777777777775</v>
      </c>
      <c r="AE1254" s="53" t="str">
        <f>_xlfn.XLOOKUP(Master[[#This Row],[cu_id]],'[1]Customer Revenue'!$Q:$Q,'[1]Customer Revenue'!$K:$K, "None")</f>
        <v>None</v>
      </c>
      <c r="AF1254" s="53" t="str">
        <f>_xlfn.XLOOKUP(Master[[#This Row],[cu_id]],'[1]Customer Revenue'!$Q:$Q,'[1]Customer Revenue'!$L:$L, "None")</f>
        <v>None</v>
      </c>
      <c r="AG1254" s="53">
        <v>31.994897959183678</v>
      </c>
      <c r="AH1254" s="53">
        <v>93.425102040816341</v>
      </c>
      <c r="AI1254" s="53">
        <v>60.52</v>
      </c>
      <c r="AJ1254" s="53">
        <v>60.913333333333334</v>
      </c>
      <c r="AK1254" s="53" t="str">
        <f>_xlfn.XLOOKUP(Master[[#This Row],[cu_id]],'[1]Customer Revenue'!$Q:$Q,'[1]Customer Revenue'!$I:$I, "None")</f>
        <v>None</v>
      </c>
      <c r="AL1254" s="53">
        <v>62.710000000000008</v>
      </c>
      <c r="AM1254" s="61">
        <v>0</v>
      </c>
      <c r="AN1254" s="60">
        <v>0.70833333333333337</v>
      </c>
      <c r="AO1254" s="60" t="s">
        <v>36</v>
      </c>
      <c r="AP1254" s="60" t="s">
        <v>36</v>
      </c>
      <c r="AQ1254" s="58" t="s">
        <v>0</v>
      </c>
      <c r="AR1254" s="58"/>
      <c r="AS1254" s="58"/>
      <c r="AT1254" s="52">
        <v>0</v>
      </c>
      <c r="AU1254" s="52" t="e">
        <f>IF(Master[[#This Row],[RSP StopTime override]] &lt;&gt; "",Master[[#This Row],[RSP StopTime override]],IF(Master[[#This Row],[Avg stop time helper]] &lt;&gt; 0, Master[[#This Row],[Avg stop time helper]],Average_Stop_Time))</f>
        <v>#DIV/0!</v>
      </c>
      <c r="AV1254" s="21"/>
      <c r="AW1254" s="20">
        <f>Master[[#This Row],[RSP StopTime override]]-Master[[#This Row],[Avg stop time helper]]</f>
        <v>0</v>
      </c>
    </row>
    <row r="1255" spans="1:49" x14ac:dyDescent="0.3">
      <c r="A1255" s="66" t="s">
        <v>5259</v>
      </c>
      <c r="B1255" s="58">
        <v>8010</v>
      </c>
      <c r="C1255" s="58" t="s">
        <v>35</v>
      </c>
      <c r="D1255" s="65">
        <v>803782</v>
      </c>
      <c r="E1255" s="65" t="s">
        <v>42</v>
      </c>
      <c r="F1255" s="65" t="s">
        <v>949</v>
      </c>
      <c r="G1255" s="65" t="s">
        <v>948</v>
      </c>
      <c r="H1255" s="65" t="s">
        <v>7</v>
      </c>
      <c r="I1255" s="65" t="s">
        <v>6</v>
      </c>
      <c r="J1255" s="65" t="s">
        <v>5</v>
      </c>
      <c r="K1255" s="65" t="s">
        <v>146</v>
      </c>
      <c r="L1255" s="64" t="s">
        <v>91</v>
      </c>
      <c r="M1255" s="58" t="s">
        <v>90</v>
      </c>
      <c r="N1255" s="58" t="s">
        <v>2</v>
      </c>
      <c r="O1255" s="58">
        <v>70</v>
      </c>
      <c r="P1255" s="58">
        <v>0</v>
      </c>
      <c r="Q1255" s="58">
        <v>70</v>
      </c>
      <c r="R1255" s="58">
        <v>0</v>
      </c>
      <c r="S1255" s="58">
        <v>0</v>
      </c>
      <c r="T1255" s="58">
        <v>0</v>
      </c>
      <c r="U1255" s="58">
        <v>20</v>
      </c>
      <c r="V1255" s="62"/>
      <c r="W1255" s="62"/>
      <c r="X1255" s="63">
        <f>IFERROR(1 -(Master[[#This Row],[Avg Garment Scans per Delivery]]/Master[[#This Row],[Garment Inventory]]), 0)</f>
        <v>0</v>
      </c>
      <c r="Y1255" s="62"/>
      <c r="Z1255" s="62"/>
      <c r="AA1255" s="53">
        <v>23.646938775510204</v>
      </c>
      <c r="AB1255" s="53">
        <v>25.238775510204082</v>
      </c>
      <c r="AC1255" s="53">
        <v>24.945555555555554</v>
      </c>
      <c r="AD1255" s="53">
        <v>25.381111111111107</v>
      </c>
      <c r="AE1255" s="53" t="str">
        <f>_xlfn.XLOOKUP(Master[[#This Row],[cu_id]],'[1]Customer Revenue'!$Q:$Q,'[1]Customer Revenue'!$K:$K, "None")</f>
        <v>None</v>
      </c>
      <c r="AF1255" s="53" t="str">
        <f>_xlfn.XLOOKUP(Master[[#This Row],[cu_id]],'[1]Customer Revenue'!$Q:$Q,'[1]Customer Revenue'!$L:$L, "None")</f>
        <v>None</v>
      </c>
      <c r="AG1255" s="53">
        <v>23.857692307692314</v>
      </c>
      <c r="AH1255" s="53">
        <v>25.242307692307694</v>
      </c>
      <c r="AI1255" s="53">
        <v>24.442857142857143</v>
      </c>
      <c r="AJ1255" s="53">
        <v>25.16333333333333</v>
      </c>
      <c r="AK1255" s="53" t="str">
        <f>_xlfn.XLOOKUP(Master[[#This Row],[cu_id]],'[1]Customer Revenue'!$Q:$Q,'[1]Customer Revenue'!$I:$I, "None")</f>
        <v>None</v>
      </c>
      <c r="AL1255" s="53">
        <v>24.550000000000004</v>
      </c>
      <c r="AM1255" s="61">
        <v>0.41666666666666669</v>
      </c>
      <c r="AN1255" s="60">
        <v>0.8125</v>
      </c>
      <c r="AO1255" s="60" t="s">
        <v>36</v>
      </c>
      <c r="AP1255" s="60" t="s">
        <v>36</v>
      </c>
      <c r="AQ1255" s="58" t="s">
        <v>308</v>
      </c>
      <c r="AR1255" s="58"/>
      <c r="AS1255" s="58"/>
      <c r="AT1255" s="52">
        <v>0</v>
      </c>
      <c r="AU1255" s="52">
        <f>IF(Master[[#This Row],[RSP StopTime override]] &lt;&gt; "",Master[[#This Row],[RSP StopTime override]],IF(Master[[#This Row],[Avg stop time helper]] &lt;&gt; 0, Master[[#This Row],[Avg stop time helper]],Average_Stop_Time))</f>
        <v>10</v>
      </c>
      <c r="AV1255" s="21">
        <v>10</v>
      </c>
      <c r="AW1255" s="20">
        <f>Master[[#This Row],[RSP StopTime override]]-Master[[#This Row],[Avg stop time helper]]</f>
        <v>10</v>
      </c>
    </row>
    <row r="1256" spans="1:49" x14ac:dyDescent="0.3">
      <c r="A1256" s="66" t="s">
        <v>5260</v>
      </c>
      <c r="B1256" s="58">
        <v>8010</v>
      </c>
      <c r="C1256" s="58" t="s">
        <v>35</v>
      </c>
      <c r="D1256" s="65">
        <v>803800</v>
      </c>
      <c r="E1256" s="65" t="s">
        <v>42</v>
      </c>
      <c r="F1256" s="65" t="s">
        <v>947</v>
      </c>
      <c r="G1256" s="65" t="s">
        <v>946</v>
      </c>
      <c r="H1256" s="65" t="s">
        <v>7</v>
      </c>
      <c r="I1256" s="65" t="s">
        <v>169</v>
      </c>
      <c r="J1256" s="65" t="s">
        <v>5</v>
      </c>
      <c r="K1256" s="65" t="s">
        <v>146</v>
      </c>
      <c r="L1256" s="64" t="s">
        <v>91</v>
      </c>
      <c r="M1256" s="58" t="s">
        <v>90</v>
      </c>
      <c r="N1256" s="58" t="s">
        <v>2</v>
      </c>
      <c r="O1256" s="58">
        <v>45</v>
      </c>
      <c r="P1256" s="58">
        <v>0</v>
      </c>
      <c r="Q1256" s="58">
        <v>45</v>
      </c>
      <c r="R1256" s="58">
        <v>0</v>
      </c>
      <c r="S1256" s="58">
        <v>0</v>
      </c>
      <c r="T1256" s="58">
        <v>0</v>
      </c>
      <c r="U1256" s="58">
        <v>16</v>
      </c>
      <c r="V1256" s="62"/>
      <c r="W1256" s="62"/>
      <c r="X1256" s="63">
        <f>IFERROR(1 -(Master[[#This Row],[Avg Garment Scans per Delivery]]/Master[[#This Row],[Garment Inventory]]), 0)</f>
        <v>0</v>
      </c>
      <c r="Y1256" s="62"/>
      <c r="Z1256" s="62"/>
      <c r="AA1256" s="53">
        <v>21.08</v>
      </c>
      <c r="AB1256" s="53">
        <v>21.080000000000005</v>
      </c>
      <c r="AC1256" s="53">
        <v>6.6333333333333329</v>
      </c>
      <c r="AD1256" s="53">
        <v>33.166666666666664</v>
      </c>
      <c r="AE1256" s="53" t="str">
        <f>_xlfn.XLOOKUP(Master[[#This Row],[cu_id]],'[1]Customer Revenue'!$Q:$Q,'[1]Customer Revenue'!$K:$K, "None")</f>
        <v>None</v>
      </c>
      <c r="AF1256" s="53" t="str">
        <f>_xlfn.XLOOKUP(Master[[#This Row],[cu_id]],'[1]Customer Revenue'!$Q:$Q,'[1]Customer Revenue'!$L:$L, "None")</f>
        <v>None</v>
      </c>
      <c r="AG1256" s="53">
        <v>21.079999999999984</v>
      </c>
      <c r="AH1256" s="53">
        <v>21.08</v>
      </c>
      <c r="AI1256" s="53">
        <v>21.080000000000002</v>
      </c>
      <c r="AJ1256" s="53">
        <v>19.899999999999999</v>
      </c>
      <c r="AK1256" s="53" t="str">
        <f>_xlfn.XLOOKUP(Master[[#This Row],[cu_id]],'[1]Customer Revenue'!$Q:$Q,'[1]Customer Revenue'!$I:$I, "None")</f>
        <v>None</v>
      </c>
      <c r="AL1256" s="53">
        <v>21.079999999999991</v>
      </c>
      <c r="AM1256" s="61">
        <v>0.35416666666666669</v>
      </c>
      <c r="AN1256" s="60">
        <v>0.6875</v>
      </c>
      <c r="AO1256" s="60" t="s">
        <v>36</v>
      </c>
      <c r="AP1256" s="60" t="s">
        <v>36</v>
      </c>
      <c r="AQ1256" s="58" t="s">
        <v>0</v>
      </c>
      <c r="AR1256" s="58"/>
      <c r="AS1256" s="58"/>
      <c r="AT1256" s="52">
        <v>0</v>
      </c>
      <c r="AU1256" s="52" t="e">
        <f>IF(Master[[#This Row],[RSP StopTime override]] &lt;&gt; "",Master[[#This Row],[RSP StopTime override]],IF(Master[[#This Row],[Avg stop time helper]] &lt;&gt; 0, Master[[#This Row],[Avg stop time helper]],Average_Stop_Time))</f>
        <v>#DIV/0!</v>
      </c>
      <c r="AV1256" s="21"/>
      <c r="AW1256" s="20">
        <f>Master[[#This Row],[RSP StopTime override]]-Master[[#This Row],[Avg stop time helper]]</f>
        <v>0</v>
      </c>
    </row>
    <row r="1257" spans="1:49" x14ac:dyDescent="0.3">
      <c r="A1257" s="66" t="s">
        <v>5261</v>
      </c>
      <c r="B1257" s="58">
        <v>8010</v>
      </c>
      <c r="C1257" s="58" t="s">
        <v>35</v>
      </c>
      <c r="D1257" s="65">
        <v>803801</v>
      </c>
      <c r="E1257" s="65" t="s">
        <v>42</v>
      </c>
      <c r="F1257" s="65" t="s">
        <v>945</v>
      </c>
      <c r="G1257" s="65" t="s">
        <v>944</v>
      </c>
      <c r="H1257" s="65" t="s">
        <v>943</v>
      </c>
      <c r="I1257" s="65" t="s">
        <v>6</v>
      </c>
      <c r="J1257" s="65" t="s">
        <v>5</v>
      </c>
      <c r="K1257" s="65" t="s">
        <v>115</v>
      </c>
      <c r="L1257" s="64" t="s">
        <v>124</v>
      </c>
      <c r="M1257" s="58" t="s">
        <v>123</v>
      </c>
      <c r="N1257" s="58" t="s">
        <v>2</v>
      </c>
      <c r="O1257" s="58">
        <v>40</v>
      </c>
      <c r="P1257" s="58">
        <v>0</v>
      </c>
      <c r="Q1257" s="58">
        <v>40</v>
      </c>
      <c r="R1257" s="58">
        <v>0</v>
      </c>
      <c r="S1257" s="58">
        <v>0</v>
      </c>
      <c r="T1257" s="58">
        <v>0</v>
      </c>
      <c r="U1257" s="58">
        <v>8</v>
      </c>
      <c r="V1257" s="62"/>
      <c r="W1257" s="62"/>
      <c r="X1257" s="63">
        <f>IFERROR(1 -(Master[[#This Row],[Avg Garment Scans per Delivery]]/Master[[#This Row],[Garment Inventory]]), 0)</f>
        <v>0</v>
      </c>
      <c r="Y1257" s="62"/>
      <c r="Z1257" s="62"/>
      <c r="AA1257" s="53">
        <v>66.900000000000006</v>
      </c>
      <c r="AB1257" s="53">
        <v>66.900000000000006</v>
      </c>
      <c r="AC1257" s="53">
        <v>66.768888888888895</v>
      </c>
      <c r="AD1257" s="53">
        <v>67.817777777777778</v>
      </c>
      <c r="AE1257" s="53" t="str">
        <f>_xlfn.XLOOKUP(Master[[#This Row],[cu_id]],'[1]Customer Revenue'!$Q:$Q,'[1]Customer Revenue'!$K:$K, "None")</f>
        <v>None</v>
      </c>
      <c r="AF1257" s="53" t="str">
        <f>_xlfn.XLOOKUP(Master[[#This Row],[cu_id]],'[1]Customer Revenue'!$Q:$Q,'[1]Customer Revenue'!$L:$L, "None")</f>
        <v>None</v>
      </c>
      <c r="AG1257" s="53">
        <v>66.899999999999977</v>
      </c>
      <c r="AH1257" s="53">
        <v>66.900000000000006</v>
      </c>
      <c r="AI1257" s="53">
        <v>66.900000000000006</v>
      </c>
      <c r="AJ1257" s="53">
        <v>67.293333333333337</v>
      </c>
      <c r="AK1257" s="53" t="str">
        <f>_xlfn.XLOOKUP(Master[[#This Row],[cu_id]],'[1]Customer Revenue'!$Q:$Q,'[1]Customer Revenue'!$I:$I, "None")</f>
        <v>None</v>
      </c>
      <c r="AL1257" s="53">
        <v>66.899999999999991</v>
      </c>
      <c r="AM1257" s="61">
        <v>0.35416666666666669</v>
      </c>
      <c r="AN1257" s="60">
        <v>0.6875</v>
      </c>
      <c r="AO1257" s="60" t="s">
        <v>36</v>
      </c>
      <c r="AP1257" s="60" t="s">
        <v>36</v>
      </c>
      <c r="AQ1257" s="58" t="s">
        <v>0</v>
      </c>
      <c r="AR1257" s="58"/>
      <c r="AS1257" s="58"/>
      <c r="AT1257" s="52">
        <v>0</v>
      </c>
      <c r="AU1257" s="52">
        <f>IF(Master[[#This Row],[RSP StopTime override]] &lt;&gt; "",Master[[#This Row],[RSP StopTime override]],IF(Master[[#This Row],[Avg stop time helper]] &lt;&gt; 0, Master[[#This Row],[Avg stop time helper]],Average_Stop_Time))</f>
        <v>10</v>
      </c>
      <c r="AV1257" s="21">
        <v>10</v>
      </c>
      <c r="AW1257" s="20">
        <f>Master[[#This Row],[RSP StopTime override]]-Master[[#This Row],[Avg stop time helper]]</f>
        <v>10</v>
      </c>
    </row>
    <row r="1258" spans="1:49" x14ac:dyDescent="0.3">
      <c r="A1258" s="66" t="s">
        <v>5262</v>
      </c>
      <c r="B1258" s="58">
        <v>8010</v>
      </c>
      <c r="C1258" s="58" t="s">
        <v>35</v>
      </c>
      <c r="D1258" s="65">
        <v>803802</v>
      </c>
      <c r="E1258" s="65" t="s">
        <v>42</v>
      </c>
      <c r="F1258" s="65" t="s">
        <v>942</v>
      </c>
      <c r="G1258" s="65" t="s">
        <v>899</v>
      </c>
      <c r="H1258" s="65" t="s">
        <v>7</v>
      </c>
      <c r="I1258" s="65" t="s">
        <v>6</v>
      </c>
      <c r="J1258" s="65" t="s">
        <v>5</v>
      </c>
      <c r="K1258" s="65" t="s">
        <v>146</v>
      </c>
      <c r="L1258" s="64" t="s">
        <v>91</v>
      </c>
      <c r="M1258" s="58" t="s">
        <v>90</v>
      </c>
      <c r="N1258" s="58" t="s">
        <v>2</v>
      </c>
      <c r="O1258" s="58">
        <v>50</v>
      </c>
      <c r="P1258" s="58">
        <v>0</v>
      </c>
      <c r="Q1258" s="58">
        <v>50</v>
      </c>
      <c r="R1258" s="58">
        <v>0</v>
      </c>
      <c r="S1258" s="58">
        <v>0</v>
      </c>
      <c r="T1258" s="58">
        <v>0</v>
      </c>
      <c r="U1258" s="58">
        <v>16</v>
      </c>
      <c r="V1258" s="62"/>
      <c r="W1258" s="62"/>
      <c r="X1258" s="63">
        <f>IFERROR(1 -(Master[[#This Row],[Avg Garment Scans per Delivery]]/Master[[#This Row],[Garment Inventory]]), 0)</f>
        <v>0</v>
      </c>
      <c r="Y1258" s="62"/>
      <c r="Z1258" s="62"/>
      <c r="AA1258" s="53">
        <v>23.55</v>
      </c>
      <c r="AB1258" s="53">
        <v>23.550000000000008</v>
      </c>
      <c r="AC1258" s="53">
        <v>14.444444444444446</v>
      </c>
      <c r="AD1258" s="53">
        <v>25.555555555555554</v>
      </c>
      <c r="AE1258" s="53" t="str">
        <f>_xlfn.XLOOKUP(Master[[#This Row],[cu_id]],'[1]Customer Revenue'!$Q:$Q,'[1]Customer Revenue'!$K:$K, "None")</f>
        <v>None</v>
      </c>
      <c r="AF1258" s="53" t="str">
        <f>_xlfn.XLOOKUP(Master[[#This Row],[cu_id]],'[1]Customer Revenue'!$Q:$Q,'[1]Customer Revenue'!$L:$L, "None")</f>
        <v>None</v>
      </c>
      <c r="AG1258" s="53">
        <v>23.543750000000003</v>
      </c>
      <c r="AH1258" s="53">
        <v>23.571250000000006</v>
      </c>
      <c r="AI1258" s="53">
        <v>23.550000000000004</v>
      </c>
      <c r="AJ1258" s="53">
        <v>20</v>
      </c>
      <c r="AK1258" s="53" t="str">
        <f>_xlfn.XLOOKUP(Master[[#This Row],[cu_id]],'[1]Customer Revenue'!$Q:$Q,'[1]Customer Revenue'!$I:$I, "None")</f>
        <v>None</v>
      </c>
      <c r="AL1258" s="53">
        <v>23.557500000000005</v>
      </c>
      <c r="AM1258" s="61">
        <v>0.375</v>
      </c>
      <c r="AN1258" s="60">
        <v>0.77083333333333337</v>
      </c>
      <c r="AO1258" s="60" t="s">
        <v>36</v>
      </c>
      <c r="AP1258" s="60" t="s">
        <v>36</v>
      </c>
      <c r="AQ1258" s="58" t="s">
        <v>308</v>
      </c>
      <c r="AR1258" s="58"/>
      <c r="AS1258" s="58"/>
      <c r="AT1258" s="52">
        <v>0</v>
      </c>
      <c r="AU1258" s="52">
        <f>IF(Master[[#This Row],[RSP StopTime override]] &lt;&gt; "",Master[[#This Row],[RSP StopTime override]],IF(Master[[#This Row],[Avg stop time helper]] &lt;&gt; 0, Master[[#This Row],[Avg stop time helper]],Average_Stop_Time))</f>
        <v>10</v>
      </c>
      <c r="AV1258" s="21">
        <v>10</v>
      </c>
      <c r="AW1258" s="20">
        <f>Master[[#This Row],[RSP StopTime override]]-Master[[#This Row],[Avg stop time helper]]</f>
        <v>10</v>
      </c>
    </row>
    <row r="1259" spans="1:49" x14ac:dyDescent="0.3">
      <c r="A1259" s="66" t="s">
        <v>5263</v>
      </c>
      <c r="B1259" s="58">
        <v>8010</v>
      </c>
      <c r="C1259" s="58" t="s">
        <v>35</v>
      </c>
      <c r="D1259" s="65">
        <v>803810</v>
      </c>
      <c r="E1259" s="65" t="s">
        <v>42</v>
      </c>
      <c r="F1259" s="65" t="s">
        <v>941</v>
      </c>
      <c r="G1259" s="65" t="s">
        <v>940</v>
      </c>
      <c r="H1259" s="65" t="s">
        <v>7</v>
      </c>
      <c r="I1259" s="65" t="s">
        <v>939</v>
      </c>
      <c r="J1259" s="65" t="s">
        <v>5</v>
      </c>
      <c r="K1259" s="65" t="s">
        <v>115</v>
      </c>
      <c r="L1259" s="64" t="s">
        <v>67</v>
      </c>
      <c r="M1259" s="58" t="s">
        <v>3</v>
      </c>
      <c r="N1259" s="58" t="s">
        <v>2</v>
      </c>
      <c r="O1259" s="58">
        <v>35</v>
      </c>
      <c r="P1259" s="58">
        <v>0</v>
      </c>
      <c r="Q1259" s="58">
        <v>35</v>
      </c>
      <c r="R1259" s="58">
        <v>0</v>
      </c>
      <c r="S1259" s="58">
        <v>0</v>
      </c>
      <c r="T1259" s="58">
        <v>0</v>
      </c>
      <c r="U1259" s="58">
        <v>30</v>
      </c>
      <c r="V1259" s="62">
        <v>0</v>
      </c>
      <c r="W1259" s="62"/>
      <c r="X1259" s="63">
        <f>IFERROR(1 -(Master[[#This Row],[Avg Garment Scans per Delivery]]/Master[[#This Row],[Garment Inventory]]), 0)</f>
        <v>0</v>
      </c>
      <c r="Y1259" s="62"/>
      <c r="Z1259" s="62"/>
      <c r="AA1259" s="53">
        <v>187.54346938775512</v>
      </c>
      <c r="AB1259" s="53">
        <v>244.55795918367346</v>
      </c>
      <c r="AC1259" s="53">
        <v>244.60041420118341</v>
      </c>
      <c r="AD1259" s="53">
        <v>289.6688165680473</v>
      </c>
      <c r="AE1259" s="53" t="str">
        <f>_xlfn.XLOOKUP(Master[[#This Row],[cu_id]],'[1]Customer Revenue'!$Q:$Q,'[1]Customer Revenue'!$K:$K, "None")</f>
        <v>None</v>
      </c>
      <c r="AF1259" s="53" t="str">
        <f>_xlfn.XLOOKUP(Master[[#This Row],[cu_id]],'[1]Customer Revenue'!$Q:$Q,'[1]Customer Revenue'!$L:$L, "None")</f>
        <v>None</v>
      </c>
      <c r="AG1259" s="53">
        <v>180.8791083676268</v>
      </c>
      <c r="AH1259" s="53">
        <v>271.83718792866938</v>
      </c>
      <c r="AI1259" s="53">
        <v>216.05071428571429</v>
      </c>
      <c r="AJ1259" s="53">
        <v>267.13461538461536</v>
      </c>
      <c r="AK1259" s="53" t="str">
        <f>_xlfn.XLOOKUP(Master[[#This Row],[cu_id]],'[1]Customer Revenue'!$Q:$Q,'[1]Customer Revenue'!$I:$I, "None")</f>
        <v>None</v>
      </c>
      <c r="AL1259" s="53">
        <v>226.3581481481481</v>
      </c>
      <c r="AM1259" s="61">
        <v>0.3125</v>
      </c>
      <c r="AN1259" s="60">
        <v>0.66666666666666663</v>
      </c>
      <c r="AO1259" s="60" t="s">
        <v>36</v>
      </c>
      <c r="AP1259" s="60" t="s">
        <v>36</v>
      </c>
      <c r="AQ1259" s="58" t="s">
        <v>0</v>
      </c>
      <c r="AR1259" s="58"/>
      <c r="AS1259" s="58"/>
      <c r="AT1259" s="52">
        <v>0</v>
      </c>
      <c r="AU1259" s="52">
        <f>IF(Master[[#This Row],[RSP StopTime override]] &lt;&gt; "",Master[[#This Row],[RSP StopTime override]],IF(Master[[#This Row],[Avg stop time helper]] &lt;&gt; 0, Master[[#This Row],[Avg stop time helper]],Average_Stop_Time))</f>
        <v>20</v>
      </c>
      <c r="AV1259" s="21">
        <v>20</v>
      </c>
      <c r="AW1259" s="20">
        <f>Master[[#This Row],[RSP StopTime override]]-Master[[#This Row],[Avg stop time helper]]</f>
        <v>20</v>
      </c>
    </row>
    <row r="1260" spans="1:49" x14ac:dyDescent="0.3">
      <c r="A1260" s="66" t="s">
        <v>5264</v>
      </c>
      <c r="B1260" s="58">
        <v>8010</v>
      </c>
      <c r="C1260" s="58" t="s">
        <v>35</v>
      </c>
      <c r="D1260" s="65">
        <v>804238</v>
      </c>
      <c r="E1260" s="65" t="s">
        <v>42</v>
      </c>
      <c r="F1260" s="65" t="s">
        <v>938</v>
      </c>
      <c r="G1260" s="65" t="s">
        <v>937</v>
      </c>
      <c r="H1260" s="65" t="s">
        <v>7</v>
      </c>
      <c r="I1260" s="65" t="s">
        <v>6</v>
      </c>
      <c r="J1260" s="65" t="s">
        <v>5</v>
      </c>
      <c r="K1260" s="65" t="s">
        <v>146</v>
      </c>
      <c r="L1260" s="64" t="s">
        <v>67</v>
      </c>
      <c r="M1260" s="58" t="s">
        <v>3</v>
      </c>
      <c r="N1260" s="58" t="s">
        <v>2</v>
      </c>
      <c r="O1260" s="58">
        <v>80</v>
      </c>
      <c r="P1260" s="58">
        <v>0</v>
      </c>
      <c r="Q1260" s="58">
        <v>80</v>
      </c>
      <c r="R1260" s="58">
        <v>0</v>
      </c>
      <c r="S1260" s="58">
        <v>0</v>
      </c>
      <c r="T1260" s="58">
        <v>0</v>
      </c>
      <c r="U1260" s="58">
        <v>42</v>
      </c>
      <c r="V1260" s="62">
        <v>191</v>
      </c>
      <c r="W1260" s="62">
        <v>0</v>
      </c>
      <c r="X1260" s="63">
        <f>IFERROR(1 -(Master[[#This Row],[Avg Garment Scans per Delivery]]/Master[[#This Row],[Garment Inventory]]), 0)</f>
        <v>1</v>
      </c>
      <c r="Y1260" s="62">
        <v>6</v>
      </c>
      <c r="Z1260" s="62">
        <v>141</v>
      </c>
      <c r="AA1260" s="53">
        <v>92.262244897959192</v>
      </c>
      <c r="AB1260" s="53">
        <v>129.80489795918371</v>
      </c>
      <c r="AC1260" s="53">
        <v>129.10692307692312</v>
      </c>
      <c r="AD1260" s="53">
        <v>133.27307692307693</v>
      </c>
      <c r="AE1260" s="53" t="str">
        <f>_xlfn.XLOOKUP(Master[[#This Row],[cu_id]],'[1]Customer Revenue'!$Q:$Q,'[1]Customer Revenue'!$K:$K, "None")</f>
        <v>None</v>
      </c>
      <c r="AF1260" s="53" t="str">
        <f>_xlfn.XLOOKUP(Master[[#This Row],[cu_id]],'[1]Customer Revenue'!$Q:$Q,'[1]Customer Revenue'!$L:$L, "None")</f>
        <v>None</v>
      </c>
      <c r="AG1260" s="53">
        <v>89.797117346938762</v>
      </c>
      <c r="AH1260" s="53">
        <v>147.08073979591825</v>
      </c>
      <c r="AI1260" s="53">
        <v>111.03357142857145</v>
      </c>
      <c r="AJ1260" s="53">
        <v>131.19000000000003</v>
      </c>
      <c r="AK1260" s="53" t="str">
        <f>_xlfn.XLOOKUP(Master[[#This Row],[cu_id]],'[1]Customer Revenue'!$Q:$Q,'[1]Customer Revenue'!$I:$I, "None")</f>
        <v>None</v>
      </c>
      <c r="AL1260" s="53">
        <v>118.43892857142851</v>
      </c>
      <c r="AM1260" s="61">
        <v>0.3125</v>
      </c>
      <c r="AN1260" s="60">
        <v>0.6875</v>
      </c>
      <c r="AO1260" s="60" t="s">
        <v>36</v>
      </c>
      <c r="AP1260" s="60" t="s">
        <v>36</v>
      </c>
      <c r="AQ1260" s="58" t="s">
        <v>0</v>
      </c>
      <c r="AR1260" s="58"/>
      <c r="AS1260" s="58"/>
      <c r="AT1260" s="52">
        <v>0</v>
      </c>
      <c r="AU1260" s="52" t="e">
        <f>IF(Master[[#This Row],[RSP StopTime override]] &lt;&gt; "",Master[[#This Row],[RSP StopTime override]],IF(Master[[#This Row],[Avg stop time helper]] &lt;&gt; 0, Master[[#This Row],[Avg stop time helper]],Average_Stop_Time))</f>
        <v>#DIV/0!</v>
      </c>
      <c r="AV1260" s="21"/>
      <c r="AW1260" s="20">
        <f>Master[[#This Row],[RSP StopTime override]]-Master[[#This Row],[Avg stop time helper]]</f>
        <v>0</v>
      </c>
    </row>
    <row r="1261" spans="1:49" x14ac:dyDescent="0.3">
      <c r="A1261" s="66" t="s">
        <v>5265</v>
      </c>
      <c r="B1261" s="58">
        <v>8010</v>
      </c>
      <c r="C1261" s="58" t="s">
        <v>35</v>
      </c>
      <c r="D1261" s="65">
        <v>804380</v>
      </c>
      <c r="E1261" s="65" t="s">
        <v>42</v>
      </c>
      <c r="F1261" s="65" t="s">
        <v>936</v>
      </c>
      <c r="G1261" s="65" t="s">
        <v>935</v>
      </c>
      <c r="H1261" s="65" t="s">
        <v>7</v>
      </c>
      <c r="I1261" s="65" t="s">
        <v>6</v>
      </c>
      <c r="J1261" s="65" t="s">
        <v>5</v>
      </c>
      <c r="K1261" s="65" t="s">
        <v>115</v>
      </c>
      <c r="L1261" s="64" t="s">
        <v>141</v>
      </c>
      <c r="M1261" s="58" t="s">
        <v>140</v>
      </c>
      <c r="N1261" s="58" t="s">
        <v>2</v>
      </c>
      <c r="O1261" s="58">
        <v>115</v>
      </c>
      <c r="P1261" s="58">
        <v>0</v>
      </c>
      <c r="Q1261" s="58">
        <v>70</v>
      </c>
      <c r="R1261" s="58">
        <v>0</v>
      </c>
      <c r="S1261" s="58">
        <v>0</v>
      </c>
      <c r="T1261" s="58">
        <v>0</v>
      </c>
      <c r="U1261" s="58">
        <v>9</v>
      </c>
      <c r="V1261" s="62"/>
      <c r="W1261" s="62"/>
      <c r="X1261" s="63">
        <f>IFERROR(1 -(Master[[#This Row],[Avg Garment Scans per Delivery]]/Master[[#This Row],[Garment Inventory]]), 0)</f>
        <v>0</v>
      </c>
      <c r="Y1261" s="62"/>
      <c r="Z1261" s="62"/>
      <c r="AA1261" s="53">
        <v>27.4</v>
      </c>
      <c r="AB1261" s="53">
        <v>60.6</v>
      </c>
      <c r="AC1261" s="53">
        <v>37.298888888888889</v>
      </c>
      <c r="AD1261" s="53">
        <v>38.107777777777777</v>
      </c>
      <c r="AE1261" s="53" t="str">
        <f>_xlfn.XLOOKUP(Master[[#This Row],[cu_id]],'[1]Customer Revenue'!$Q:$Q,'[1]Customer Revenue'!$K:$K, "None")</f>
        <v>None</v>
      </c>
      <c r="AF1261" s="53" t="str">
        <f>_xlfn.XLOOKUP(Master[[#This Row],[cu_id]],'[1]Customer Revenue'!$Q:$Q,'[1]Customer Revenue'!$L:$L, "None")</f>
        <v>None</v>
      </c>
      <c r="AG1261" s="53">
        <v>23.474999999999994</v>
      </c>
      <c r="AH1261" s="53">
        <v>51.644999999999996</v>
      </c>
      <c r="AI1261" s="53">
        <v>44</v>
      </c>
      <c r="AJ1261" s="53">
        <v>37.703333333333333</v>
      </c>
      <c r="AK1261" s="53" t="str">
        <f>_xlfn.XLOOKUP(Master[[#This Row],[cu_id]],'[1]Customer Revenue'!$Q:$Q,'[1]Customer Revenue'!$I:$I, "None")</f>
        <v>None</v>
      </c>
      <c r="AL1261" s="53">
        <v>37.559999999999995</v>
      </c>
      <c r="AM1261" s="61">
        <v>0.39583333333333331</v>
      </c>
      <c r="AN1261" s="60">
        <v>0.60416666666666663</v>
      </c>
      <c r="AO1261" s="60" t="s">
        <v>36</v>
      </c>
      <c r="AP1261" s="60" t="s">
        <v>36</v>
      </c>
      <c r="AQ1261" s="58" t="s">
        <v>589</v>
      </c>
      <c r="AR1261" s="58"/>
      <c r="AS1261" s="58"/>
      <c r="AT1261" s="52">
        <v>0</v>
      </c>
      <c r="AU1261" s="52">
        <f>IF(Master[[#This Row],[RSP StopTime override]] &lt;&gt; "",Master[[#This Row],[RSP StopTime override]],IF(Master[[#This Row],[Avg stop time helper]] &lt;&gt; 0, Master[[#This Row],[Avg stop time helper]],Average_Stop_Time))</f>
        <v>15</v>
      </c>
      <c r="AV1261" s="21">
        <v>15</v>
      </c>
      <c r="AW1261" s="20">
        <f>Master[[#This Row],[RSP StopTime override]]-Master[[#This Row],[Avg stop time helper]]</f>
        <v>15</v>
      </c>
    </row>
    <row r="1262" spans="1:49" x14ac:dyDescent="0.3">
      <c r="A1262" s="66" t="s">
        <v>5266</v>
      </c>
      <c r="B1262" s="58">
        <v>8010</v>
      </c>
      <c r="C1262" s="58" t="s">
        <v>35</v>
      </c>
      <c r="D1262" s="65">
        <v>804600</v>
      </c>
      <c r="E1262" s="65" t="s">
        <v>42</v>
      </c>
      <c r="F1262" s="65" t="s">
        <v>934</v>
      </c>
      <c r="G1262" s="65" t="s">
        <v>933</v>
      </c>
      <c r="H1262" s="65" t="s">
        <v>7</v>
      </c>
      <c r="I1262" s="65" t="s">
        <v>6</v>
      </c>
      <c r="J1262" s="65" t="s">
        <v>5</v>
      </c>
      <c r="K1262" s="65" t="s">
        <v>932</v>
      </c>
      <c r="L1262" s="64" t="s">
        <v>67</v>
      </c>
      <c r="M1262" s="58" t="s">
        <v>3</v>
      </c>
      <c r="N1262" s="58" t="s">
        <v>2</v>
      </c>
      <c r="O1262" s="58">
        <v>85</v>
      </c>
      <c r="P1262" s="58">
        <v>0</v>
      </c>
      <c r="Q1262" s="58">
        <v>85</v>
      </c>
      <c r="R1262" s="58">
        <v>0</v>
      </c>
      <c r="S1262" s="58">
        <v>0</v>
      </c>
      <c r="T1262" s="58">
        <v>0</v>
      </c>
      <c r="U1262" s="58">
        <v>39</v>
      </c>
      <c r="V1262" s="62"/>
      <c r="W1262" s="62"/>
      <c r="X1262" s="63">
        <f>IFERROR(1 -(Master[[#This Row],[Avg Garment Scans per Delivery]]/Master[[#This Row],[Garment Inventory]]), 0)</f>
        <v>0</v>
      </c>
      <c r="Y1262" s="62"/>
      <c r="Z1262" s="62"/>
      <c r="AA1262" s="53">
        <v>27.915680473372781</v>
      </c>
      <c r="AB1262" s="53">
        <v>37.778165680473386</v>
      </c>
      <c r="AC1262" s="53">
        <v>13.320532544378704</v>
      </c>
      <c r="AD1262" s="53">
        <v>48.908698224852074</v>
      </c>
      <c r="AE1262" s="53" t="str">
        <f>_xlfn.XLOOKUP(Master[[#This Row],[cu_id]],'[1]Customer Revenue'!$Q:$Q,'[1]Customer Revenue'!$K:$K, "None")</f>
        <v>None</v>
      </c>
      <c r="AF1262" s="53" t="str">
        <f>_xlfn.XLOOKUP(Master[[#This Row],[cu_id]],'[1]Customer Revenue'!$Q:$Q,'[1]Customer Revenue'!$L:$L, "None")</f>
        <v>None</v>
      </c>
      <c r="AG1262" s="53">
        <v>27.257091124260352</v>
      </c>
      <c r="AH1262" s="53">
        <v>47.970108875739641</v>
      </c>
      <c r="AI1262" s="53">
        <v>32.846923076923083</v>
      </c>
      <c r="AJ1262" s="53">
        <v>31.114615384615391</v>
      </c>
      <c r="AK1262" s="53" t="str">
        <f>_xlfn.XLOOKUP(Master[[#This Row],[cu_id]],'[1]Customer Revenue'!$Q:$Q,'[1]Customer Revenue'!$I:$I, "None")</f>
        <v>None</v>
      </c>
      <c r="AL1262" s="53">
        <v>37.613599999999998</v>
      </c>
      <c r="AM1262" s="61">
        <v>0.33333333333333331</v>
      </c>
      <c r="AN1262" s="60">
        <v>0.6875</v>
      </c>
      <c r="AO1262" s="60" t="s">
        <v>36</v>
      </c>
      <c r="AP1262" s="60" t="s">
        <v>36</v>
      </c>
      <c r="AQ1262" s="58" t="s">
        <v>0</v>
      </c>
      <c r="AR1262" s="58"/>
      <c r="AS1262" s="58"/>
      <c r="AT1262" s="52">
        <v>0</v>
      </c>
      <c r="AU1262" s="52">
        <f>IF(Master[[#This Row],[RSP StopTime override]] &lt;&gt; "",Master[[#This Row],[RSP StopTime override]],IF(Master[[#This Row],[Avg stop time helper]] &lt;&gt; 0, Master[[#This Row],[Avg stop time helper]],Average_Stop_Time))</f>
        <v>15</v>
      </c>
      <c r="AV1262" s="21">
        <v>15</v>
      </c>
      <c r="AW1262" s="20">
        <f>Master[[#This Row],[RSP StopTime override]]-Master[[#This Row],[Avg stop time helper]]</f>
        <v>15</v>
      </c>
    </row>
    <row r="1263" spans="1:49" x14ac:dyDescent="0.3">
      <c r="A1263" s="66" t="s">
        <v>5267</v>
      </c>
      <c r="B1263" s="58">
        <v>8010</v>
      </c>
      <c r="C1263" s="58" t="s">
        <v>35</v>
      </c>
      <c r="D1263" s="65">
        <v>804692</v>
      </c>
      <c r="E1263" s="65" t="s">
        <v>42</v>
      </c>
      <c r="F1263" s="65" t="s">
        <v>931</v>
      </c>
      <c r="G1263" s="65" t="s">
        <v>930</v>
      </c>
      <c r="H1263" s="65" t="s">
        <v>7</v>
      </c>
      <c r="I1263" s="65" t="s">
        <v>6</v>
      </c>
      <c r="J1263" s="65" t="s">
        <v>5</v>
      </c>
      <c r="K1263" s="65" t="s">
        <v>146</v>
      </c>
      <c r="L1263" s="64" t="s">
        <v>67</v>
      </c>
      <c r="M1263" s="58" t="s">
        <v>3</v>
      </c>
      <c r="N1263" s="58" t="s">
        <v>2</v>
      </c>
      <c r="O1263" s="58">
        <v>118</v>
      </c>
      <c r="P1263" s="58">
        <v>0</v>
      </c>
      <c r="Q1263" s="58">
        <v>118</v>
      </c>
      <c r="R1263" s="58">
        <v>0</v>
      </c>
      <c r="S1263" s="58">
        <v>0</v>
      </c>
      <c r="T1263" s="58">
        <v>0</v>
      </c>
      <c r="U1263" s="58">
        <v>22</v>
      </c>
      <c r="V1263" s="62"/>
      <c r="W1263" s="62"/>
      <c r="X1263" s="63">
        <f>IFERROR(1 -(Master[[#This Row],[Avg Garment Scans per Delivery]]/Master[[#This Row],[Garment Inventory]]), 0)</f>
        <v>0</v>
      </c>
      <c r="Y1263" s="62"/>
      <c r="Z1263" s="62"/>
      <c r="AA1263" s="53">
        <v>53.083905325443801</v>
      </c>
      <c r="AB1263" s="53">
        <v>53.380710059171598</v>
      </c>
      <c r="AC1263" s="53">
        <v>24.706562499999997</v>
      </c>
      <c r="AD1263" s="53">
        <v>34.510937499999997</v>
      </c>
      <c r="AE1263" s="53" t="str">
        <f>_xlfn.XLOOKUP(Master[[#This Row],[cu_id]],'[1]Customer Revenue'!$Q:$Q,'[1]Customer Revenue'!$K:$K, "None")</f>
        <v>None</v>
      </c>
      <c r="AF1263" s="53" t="str">
        <f>_xlfn.XLOOKUP(Master[[#This Row],[cu_id]],'[1]Customer Revenue'!$Q:$Q,'[1]Customer Revenue'!$L:$L, "None")</f>
        <v>None</v>
      </c>
      <c r="AG1263" s="53">
        <v>38.120408000000033</v>
      </c>
      <c r="AH1263" s="53">
        <v>67.949591999999981</v>
      </c>
      <c r="AI1263" s="53">
        <v>53.2323076923077</v>
      </c>
      <c r="AJ1263" s="53">
        <v>29.608749999999997</v>
      </c>
      <c r="AK1263" s="53" t="str">
        <f>_xlfn.XLOOKUP(Master[[#This Row],[cu_id]],'[1]Customer Revenue'!$Q:$Q,'[1]Customer Revenue'!$I:$I, "None")</f>
        <v>None</v>
      </c>
      <c r="AL1263" s="53">
        <v>53.035000000000011</v>
      </c>
      <c r="AM1263" s="61">
        <v>0.33333333333333331</v>
      </c>
      <c r="AN1263" s="60">
        <v>0.85416666666666663</v>
      </c>
      <c r="AO1263" s="60" t="s">
        <v>36</v>
      </c>
      <c r="AP1263" s="60" t="s">
        <v>36</v>
      </c>
      <c r="AQ1263" s="58" t="s">
        <v>308</v>
      </c>
      <c r="AR1263" s="58"/>
      <c r="AS1263" s="58"/>
      <c r="AT1263" s="52">
        <v>0</v>
      </c>
      <c r="AU1263" s="52">
        <f>IF(Master[[#This Row],[RSP StopTime override]] &lt;&gt; "",Master[[#This Row],[RSP StopTime override]],IF(Master[[#This Row],[Avg stop time helper]] &lt;&gt; 0, Master[[#This Row],[Avg stop time helper]],Average_Stop_Time))</f>
        <v>15</v>
      </c>
      <c r="AV1263" s="21">
        <v>15</v>
      </c>
      <c r="AW1263" s="20">
        <f>Master[[#This Row],[RSP StopTime override]]-Master[[#This Row],[Avg stop time helper]]</f>
        <v>15</v>
      </c>
    </row>
    <row r="1264" spans="1:49" x14ac:dyDescent="0.3">
      <c r="A1264" s="66" t="s">
        <v>5268</v>
      </c>
      <c r="B1264" s="58">
        <v>8010</v>
      </c>
      <c r="C1264" s="58" t="s">
        <v>35</v>
      </c>
      <c r="D1264" s="65">
        <v>804750</v>
      </c>
      <c r="E1264" s="65" t="s">
        <v>42</v>
      </c>
      <c r="F1264" s="65" t="s">
        <v>929</v>
      </c>
      <c r="G1264" s="65" t="s">
        <v>928</v>
      </c>
      <c r="H1264" s="65" t="s">
        <v>7</v>
      </c>
      <c r="I1264" s="65" t="s">
        <v>6</v>
      </c>
      <c r="J1264" s="65" t="s">
        <v>5</v>
      </c>
      <c r="K1264" s="65" t="s">
        <v>68</v>
      </c>
      <c r="L1264" s="64" t="s">
        <v>206</v>
      </c>
      <c r="M1264" s="58" t="s">
        <v>205</v>
      </c>
      <c r="N1264" s="58" t="s">
        <v>2</v>
      </c>
      <c r="O1264" s="58">
        <v>165</v>
      </c>
      <c r="P1264" s="58">
        <v>0</v>
      </c>
      <c r="Q1264" s="58">
        <v>165</v>
      </c>
      <c r="R1264" s="58">
        <v>0</v>
      </c>
      <c r="S1264" s="58">
        <v>0</v>
      </c>
      <c r="T1264" s="58">
        <v>0</v>
      </c>
      <c r="U1264" s="58">
        <v>9</v>
      </c>
      <c r="V1264" s="62"/>
      <c r="W1264" s="62"/>
      <c r="X1264" s="63">
        <f>IFERROR(1 -(Master[[#This Row],[Avg Garment Scans per Delivery]]/Master[[#This Row],[Garment Inventory]]), 0)</f>
        <v>0</v>
      </c>
      <c r="Y1264" s="62"/>
      <c r="Z1264" s="62"/>
      <c r="AA1264" s="53">
        <v>28.13</v>
      </c>
      <c r="AB1264" s="53">
        <v>28.13</v>
      </c>
      <c r="AC1264" s="53">
        <v>28.016249999999999</v>
      </c>
      <c r="AD1264" s="53">
        <v>28.698750000000004</v>
      </c>
      <c r="AE1264" s="53" t="str">
        <f>_xlfn.XLOOKUP(Master[[#This Row],[cu_id]],'[1]Customer Revenue'!$Q:$Q,'[1]Customer Revenue'!$K:$K, "None")</f>
        <v>None</v>
      </c>
      <c r="AF1264" s="53" t="str">
        <f>_xlfn.XLOOKUP(Master[[#This Row],[cu_id]],'[1]Customer Revenue'!$Q:$Q,'[1]Customer Revenue'!$L:$L, "None")</f>
        <v>None</v>
      </c>
      <c r="AG1264" s="53">
        <v>28.13</v>
      </c>
      <c r="AH1264" s="53">
        <v>28.13</v>
      </c>
      <c r="AI1264" s="53">
        <v>28.13</v>
      </c>
      <c r="AJ1264" s="53">
        <v>28.357500000000002</v>
      </c>
      <c r="AK1264" s="53" t="str">
        <f>_xlfn.XLOOKUP(Master[[#This Row],[cu_id]],'[1]Customer Revenue'!$Q:$Q,'[1]Customer Revenue'!$I:$I, "None")</f>
        <v>None</v>
      </c>
      <c r="AL1264" s="53">
        <v>28.13</v>
      </c>
      <c r="AM1264" s="61">
        <v>0.35416666666666669</v>
      </c>
      <c r="AN1264" s="60">
        <v>0.6875</v>
      </c>
      <c r="AO1264" s="60" t="s">
        <v>36</v>
      </c>
      <c r="AP1264" s="60" t="s">
        <v>36</v>
      </c>
      <c r="AQ1264" s="58" t="s">
        <v>0</v>
      </c>
      <c r="AR1264" s="58"/>
      <c r="AS1264" s="58"/>
      <c r="AT1264" s="52">
        <v>0</v>
      </c>
      <c r="AU1264" s="52">
        <f>IF(Master[[#This Row],[RSP StopTime override]] &lt;&gt; "",Master[[#This Row],[RSP StopTime override]],IF(Master[[#This Row],[Avg stop time helper]] &lt;&gt; 0, Master[[#This Row],[Avg stop time helper]],Average_Stop_Time))</f>
        <v>5</v>
      </c>
      <c r="AV1264" s="21">
        <v>5</v>
      </c>
      <c r="AW1264" s="20">
        <f>Master[[#This Row],[RSP StopTime override]]-Master[[#This Row],[Avg stop time helper]]</f>
        <v>5</v>
      </c>
    </row>
    <row r="1265" spans="1:49" x14ac:dyDescent="0.3">
      <c r="A1265" s="66" t="s">
        <v>5269</v>
      </c>
      <c r="B1265" s="58">
        <v>8010</v>
      </c>
      <c r="C1265" s="58" t="s">
        <v>35</v>
      </c>
      <c r="D1265" s="65">
        <v>806471</v>
      </c>
      <c r="E1265" s="65" t="s">
        <v>42</v>
      </c>
      <c r="F1265" s="65" t="s">
        <v>927</v>
      </c>
      <c r="G1265" s="65" t="s">
        <v>926</v>
      </c>
      <c r="H1265" s="65" t="s">
        <v>623</v>
      </c>
      <c r="I1265" s="65" t="s">
        <v>6</v>
      </c>
      <c r="J1265" s="65" t="s">
        <v>5</v>
      </c>
      <c r="K1265" s="65" t="s">
        <v>146</v>
      </c>
      <c r="L1265" s="64" t="s">
        <v>206</v>
      </c>
      <c r="M1265" s="58" t="s">
        <v>205</v>
      </c>
      <c r="N1265" s="58" t="s">
        <v>2</v>
      </c>
      <c r="O1265" s="58">
        <v>130</v>
      </c>
      <c r="P1265" s="58">
        <v>0</v>
      </c>
      <c r="Q1265" s="58">
        <v>130</v>
      </c>
      <c r="R1265" s="58">
        <v>0</v>
      </c>
      <c r="S1265" s="58">
        <v>0</v>
      </c>
      <c r="T1265" s="58">
        <v>0</v>
      </c>
      <c r="U1265" s="58">
        <v>10</v>
      </c>
      <c r="V1265" s="62"/>
      <c r="W1265" s="62"/>
      <c r="X1265" s="63">
        <f>IFERROR(1 -(Master[[#This Row],[Avg Garment Scans per Delivery]]/Master[[#This Row],[Garment Inventory]]), 0)</f>
        <v>0</v>
      </c>
      <c r="Y1265" s="62"/>
      <c r="Z1265" s="62"/>
      <c r="AA1265" s="53">
        <v>59.85</v>
      </c>
      <c r="AB1265" s="53">
        <v>59.85</v>
      </c>
      <c r="AC1265" s="53">
        <v>59.641249999999999</v>
      </c>
      <c r="AD1265" s="53">
        <v>60.893750000000011</v>
      </c>
      <c r="AE1265" s="53" t="str">
        <f>_xlfn.XLOOKUP(Master[[#This Row],[cu_id]],'[1]Customer Revenue'!$Q:$Q,'[1]Customer Revenue'!$K:$K, "None")</f>
        <v>None</v>
      </c>
      <c r="AF1265" s="53" t="str">
        <f>_xlfn.XLOOKUP(Master[[#This Row],[cu_id]],'[1]Customer Revenue'!$Q:$Q,'[1]Customer Revenue'!$L:$L, "None")</f>
        <v>None</v>
      </c>
      <c r="AG1265" s="53">
        <v>59.85</v>
      </c>
      <c r="AH1265" s="53">
        <v>59.85</v>
      </c>
      <c r="AI1265" s="53">
        <v>59.85</v>
      </c>
      <c r="AJ1265" s="53">
        <v>60.267500000000005</v>
      </c>
      <c r="AK1265" s="53" t="str">
        <f>_xlfn.XLOOKUP(Master[[#This Row],[cu_id]],'[1]Customer Revenue'!$Q:$Q,'[1]Customer Revenue'!$I:$I, "None")</f>
        <v>None</v>
      </c>
      <c r="AL1265" s="53">
        <v>59.85</v>
      </c>
      <c r="AM1265" s="61">
        <v>0.41666666666666669</v>
      </c>
      <c r="AN1265" s="60">
        <v>0.8125</v>
      </c>
      <c r="AO1265" s="60" t="s">
        <v>36</v>
      </c>
      <c r="AP1265" s="60" t="s">
        <v>36</v>
      </c>
      <c r="AQ1265" s="58" t="s">
        <v>308</v>
      </c>
      <c r="AR1265" s="58"/>
      <c r="AS1265" s="58"/>
      <c r="AT1265" s="52">
        <v>0</v>
      </c>
      <c r="AU1265" s="52">
        <f>IF(Master[[#This Row],[RSP StopTime override]] &lt;&gt; "",Master[[#This Row],[RSP StopTime override]],IF(Master[[#This Row],[Avg stop time helper]] &lt;&gt; 0, Master[[#This Row],[Avg stop time helper]],Average_Stop_Time))</f>
        <v>15</v>
      </c>
      <c r="AV1265" s="21">
        <v>15</v>
      </c>
      <c r="AW1265" s="20">
        <f>Master[[#This Row],[RSP StopTime override]]-Master[[#This Row],[Avg stop time helper]]</f>
        <v>15</v>
      </c>
    </row>
    <row r="1266" spans="1:49" x14ac:dyDescent="0.3">
      <c r="A1266" s="66" t="s">
        <v>5270</v>
      </c>
      <c r="B1266" s="58">
        <v>8010</v>
      </c>
      <c r="C1266" s="58" t="s">
        <v>35</v>
      </c>
      <c r="D1266" s="65">
        <v>807811</v>
      </c>
      <c r="E1266" s="65" t="s">
        <v>42</v>
      </c>
      <c r="F1266" s="65" t="s">
        <v>925</v>
      </c>
      <c r="G1266" s="65" t="s">
        <v>924</v>
      </c>
      <c r="H1266" s="65" t="s">
        <v>7</v>
      </c>
      <c r="I1266" s="65" t="s">
        <v>6</v>
      </c>
      <c r="J1266" s="65" t="s">
        <v>5</v>
      </c>
      <c r="K1266" s="65" t="s">
        <v>68</v>
      </c>
      <c r="L1266" s="64" t="s">
        <v>206</v>
      </c>
      <c r="M1266" s="58" t="s">
        <v>205</v>
      </c>
      <c r="N1266" s="58" t="s">
        <v>2</v>
      </c>
      <c r="O1266" s="58">
        <v>125</v>
      </c>
      <c r="P1266" s="58">
        <v>0</v>
      </c>
      <c r="Q1266" s="58">
        <v>125</v>
      </c>
      <c r="R1266" s="58">
        <v>0</v>
      </c>
      <c r="S1266" s="58">
        <v>0</v>
      </c>
      <c r="T1266" s="58">
        <v>0</v>
      </c>
      <c r="U1266" s="58">
        <v>12</v>
      </c>
      <c r="V1266" s="62"/>
      <c r="W1266" s="62"/>
      <c r="X1266" s="63">
        <f>IFERROR(1 -(Master[[#This Row],[Avg Garment Scans per Delivery]]/Master[[#This Row],[Garment Inventory]]), 0)</f>
        <v>0</v>
      </c>
      <c r="Y1266" s="62"/>
      <c r="Z1266" s="62"/>
      <c r="AA1266" s="53">
        <v>124.00555555555556</v>
      </c>
      <c r="AB1266" s="53">
        <v>132.84111111111113</v>
      </c>
      <c r="AC1266" s="53">
        <v>87.908888888888896</v>
      </c>
      <c r="AD1266" s="53">
        <v>208.53444444444443</v>
      </c>
      <c r="AE1266" s="53" t="str">
        <f>_xlfn.XLOOKUP(Master[[#This Row],[cu_id]],'[1]Customer Revenue'!$Q:$Q,'[1]Customer Revenue'!$K:$K, "None")</f>
        <v>None</v>
      </c>
      <c r="AF1266" s="53" t="str">
        <f>_xlfn.XLOOKUP(Master[[#This Row],[cu_id]],'[1]Customer Revenue'!$Q:$Q,'[1]Customer Revenue'!$L:$L, "None")</f>
        <v>None</v>
      </c>
      <c r="AG1266" s="53">
        <v>97.214444444444453</v>
      </c>
      <c r="AH1266" s="53">
        <v>267.52222222222224</v>
      </c>
      <c r="AI1266" s="53">
        <v>128.42333333333335</v>
      </c>
      <c r="AJ1266" s="53">
        <v>148.22166666666666</v>
      </c>
      <c r="AK1266" s="53" t="str">
        <f>_xlfn.XLOOKUP(Master[[#This Row],[cu_id]],'[1]Customer Revenue'!$Q:$Q,'[1]Customer Revenue'!$I:$I, "None")</f>
        <v>None</v>
      </c>
      <c r="AL1266" s="53">
        <v>182.36833333333334</v>
      </c>
      <c r="AM1266" s="61">
        <v>0.3125</v>
      </c>
      <c r="AN1266" s="60">
        <v>0.6875</v>
      </c>
      <c r="AO1266" s="60" t="s">
        <v>36</v>
      </c>
      <c r="AP1266" s="60" t="s">
        <v>36</v>
      </c>
      <c r="AQ1266" s="58" t="s">
        <v>0</v>
      </c>
      <c r="AR1266" s="58"/>
      <c r="AS1266" s="58"/>
      <c r="AT1266" s="52">
        <v>0</v>
      </c>
      <c r="AU1266" s="52" t="e">
        <f>IF(Master[[#This Row],[RSP StopTime override]] &lt;&gt; "",Master[[#This Row],[RSP StopTime override]],IF(Master[[#This Row],[Avg stop time helper]] &lt;&gt; 0, Master[[#This Row],[Avg stop time helper]],Average_Stop_Time))</f>
        <v>#DIV/0!</v>
      </c>
      <c r="AV1266" s="21"/>
      <c r="AW1266" s="20">
        <f>Master[[#This Row],[RSP StopTime override]]-Master[[#This Row],[Avg stop time helper]]</f>
        <v>0</v>
      </c>
    </row>
    <row r="1267" spans="1:49" x14ac:dyDescent="0.3">
      <c r="A1267" s="66" t="s">
        <v>5271</v>
      </c>
      <c r="B1267" s="58">
        <v>8010</v>
      </c>
      <c r="C1267" s="58" t="s">
        <v>35</v>
      </c>
      <c r="D1267" s="65">
        <v>807826</v>
      </c>
      <c r="E1267" s="65" t="s">
        <v>42</v>
      </c>
      <c r="F1267" s="65" t="s">
        <v>923</v>
      </c>
      <c r="G1267" s="65" t="s">
        <v>922</v>
      </c>
      <c r="H1267" s="65" t="s">
        <v>7</v>
      </c>
      <c r="I1267" s="65" t="s">
        <v>161</v>
      </c>
      <c r="J1267" s="65" t="s">
        <v>5</v>
      </c>
      <c r="K1267" s="65" t="s">
        <v>146</v>
      </c>
      <c r="L1267" s="64" t="s">
        <v>141</v>
      </c>
      <c r="M1267" s="58" t="s">
        <v>140</v>
      </c>
      <c r="N1267" s="58" t="s">
        <v>2</v>
      </c>
      <c r="O1267" s="58">
        <v>122</v>
      </c>
      <c r="P1267" s="58">
        <v>0</v>
      </c>
      <c r="Q1267" s="58">
        <v>160</v>
      </c>
      <c r="R1267" s="58">
        <v>0</v>
      </c>
      <c r="S1267" s="58">
        <v>0</v>
      </c>
      <c r="T1267" s="58">
        <v>0</v>
      </c>
      <c r="U1267" s="58">
        <v>20</v>
      </c>
      <c r="V1267" s="62"/>
      <c r="W1267" s="62"/>
      <c r="X1267" s="63">
        <f>IFERROR(1 -(Master[[#This Row],[Avg Garment Scans per Delivery]]/Master[[#This Row],[Garment Inventory]]), 0)</f>
        <v>0</v>
      </c>
      <c r="Y1267" s="62"/>
      <c r="Z1267" s="62"/>
      <c r="AA1267" s="53">
        <v>118.34</v>
      </c>
      <c r="AB1267" s="53">
        <v>118.34000000000003</v>
      </c>
      <c r="AC1267" s="53">
        <v>115.0552</v>
      </c>
      <c r="AD1267" s="53">
        <v>139.24079999999998</v>
      </c>
      <c r="AE1267" s="53" t="str">
        <f>_xlfn.XLOOKUP(Master[[#This Row],[cu_id]],'[1]Customer Revenue'!$Q:$Q,'[1]Customer Revenue'!$K:$K, "None")</f>
        <v>None</v>
      </c>
      <c r="AF1267" s="53" t="str">
        <f>_xlfn.XLOOKUP(Master[[#This Row],[cu_id]],'[1]Customer Revenue'!$Q:$Q,'[1]Customer Revenue'!$L:$L, "None")</f>
        <v>None</v>
      </c>
      <c r="AG1267" s="53">
        <v>101.51692307692308</v>
      </c>
      <c r="AH1267" s="53">
        <v>118.96307692307691</v>
      </c>
      <c r="AI1267" s="53">
        <v>118.34000000000002</v>
      </c>
      <c r="AJ1267" s="53">
        <v>127.148</v>
      </c>
      <c r="AK1267" s="53" t="str">
        <f>_xlfn.XLOOKUP(Master[[#This Row],[cu_id]],'[1]Customer Revenue'!$Q:$Q,'[1]Customer Revenue'!$I:$I, "None")</f>
        <v>None</v>
      </c>
      <c r="AL1267" s="53">
        <v>110.24</v>
      </c>
      <c r="AM1267" s="61">
        <v>0.39583333333333331</v>
      </c>
      <c r="AN1267" s="60">
        <v>0.66666666666666663</v>
      </c>
      <c r="AO1267" s="60" t="s">
        <v>36</v>
      </c>
      <c r="AP1267" s="60" t="s">
        <v>36</v>
      </c>
      <c r="AQ1267" s="58" t="s">
        <v>0</v>
      </c>
      <c r="AR1267" s="58"/>
      <c r="AS1267" s="58"/>
      <c r="AT1267" s="52">
        <v>0</v>
      </c>
      <c r="AU1267" s="52" t="e">
        <f>IF(Master[[#This Row],[RSP StopTime override]] &lt;&gt; "",Master[[#This Row],[RSP StopTime override]],IF(Master[[#This Row],[Avg stop time helper]] &lt;&gt; 0, Master[[#This Row],[Avg stop time helper]],Average_Stop_Time))</f>
        <v>#DIV/0!</v>
      </c>
      <c r="AV1267" s="21"/>
      <c r="AW1267" s="20">
        <f>Master[[#This Row],[RSP StopTime override]]-Master[[#This Row],[Avg stop time helper]]</f>
        <v>0</v>
      </c>
    </row>
    <row r="1268" spans="1:49" x14ac:dyDescent="0.3">
      <c r="A1268" s="66" t="s">
        <v>5272</v>
      </c>
      <c r="B1268" s="58">
        <v>8010</v>
      </c>
      <c r="C1268" s="58" t="s">
        <v>35</v>
      </c>
      <c r="D1268" s="65">
        <v>807883</v>
      </c>
      <c r="E1268" s="65" t="s">
        <v>42</v>
      </c>
      <c r="F1268" s="65" t="s">
        <v>921</v>
      </c>
      <c r="G1268" s="65" t="s">
        <v>920</v>
      </c>
      <c r="H1268" s="65" t="s">
        <v>7</v>
      </c>
      <c r="I1268" s="65" t="s">
        <v>158</v>
      </c>
      <c r="J1268" s="65" t="s">
        <v>5</v>
      </c>
      <c r="K1268" s="65" t="s">
        <v>146</v>
      </c>
      <c r="L1268" s="64" t="s">
        <v>91</v>
      </c>
      <c r="M1268" s="58" t="s">
        <v>90</v>
      </c>
      <c r="N1268" s="58" t="s">
        <v>2</v>
      </c>
      <c r="O1268" s="58">
        <v>75</v>
      </c>
      <c r="P1268" s="58">
        <v>0</v>
      </c>
      <c r="Q1268" s="58">
        <v>75</v>
      </c>
      <c r="R1268" s="58">
        <v>0</v>
      </c>
      <c r="S1268" s="58">
        <v>0</v>
      </c>
      <c r="T1268" s="58">
        <v>0</v>
      </c>
      <c r="U1268" s="58">
        <v>20</v>
      </c>
      <c r="V1268" s="62"/>
      <c r="W1268" s="62"/>
      <c r="X1268" s="63">
        <f>IFERROR(1 -(Master[[#This Row],[Avg Garment Scans per Delivery]]/Master[[#This Row],[Garment Inventory]]), 0)</f>
        <v>0</v>
      </c>
      <c r="Y1268" s="62"/>
      <c r="Z1268" s="62"/>
      <c r="AA1268" s="53">
        <v>42.918571428571425</v>
      </c>
      <c r="AB1268" s="53">
        <v>56.101428571428571</v>
      </c>
      <c r="AC1268" s="53">
        <v>42.213333333333338</v>
      </c>
      <c r="AD1268" s="53">
        <v>59.316666666666677</v>
      </c>
      <c r="AE1268" s="53" t="str">
        <f>_xlfn.XLOOKUP(Master[[#This Row],[cu_id]],'[1]Customer Revenue'!$Q:$Q,'[1]Customer Revenue'!$K:$K, "None")</f>
        <v>None</v>
      </c>
      <c r="AF1268" s="53" t="str">
        <f>_xlfn.XLOOKUP(Master[[#This Row],[cu_id]],'[1]Customer Revenue'!$Q:$Q,'[1]Customer Revenue'!$L:$L, "None")</f>
        <v>None</v>
      </c>
      <c r="AG1268" s="53">
        <v>43.123905325443793</v>
      </c>
      <c r="AH1268" s="53">
        <v>55.257633136094675</v>
      </c>
      <c r="AI1268" s="53">
        <v>49.51</v>
      </c>
      <c r="AJ1268" s="53">
        <v>50.765000000000008</v>
      </c>
      <c r="AK1268" s="53" t="str">
        <f>_xlfn.XLOOKUP(Master[[#This Row],[cu_id]],'[1]Customer Revenue'!$Q:$Q,'[1]Customer Revenue'!$I:$I, "None")</f>
        <v>None</v>
      </c>
      <c r="AL1268" s="53">
        <v>49.190769230769234</v>
      </c>
      <c r="AM1268" s="61">
        <v>0.35416666666666669</v>
      </c>
      <c r="AN1268" s="60">
        <v>0.875</v>
      </c>
      <c r="AO1268" s="60" t="s">
        <v>36</v>
      </c>
      <c r="AP1268" s="60" t="s">
        <v>36</v>
      </c>
      <c r="AQ1268" s="58" t="s">
        <v>308</v>
      </c>
      <c r="AR1268" s="58"/>
      <c r="AS1268" s="58"/>
      <c r="AT1268" s="52">
        <v>0</v>
      </c>
      <c r="AU1268" s="52" t="e">
        <f>IF(Master[[#This Row],[RSP StopTime override]] &lt;&gt; "",Master[[#This Row],[RSP StopTime override]],IF(Master[[#This Row],[Avg stop time helper]] &lt;&gt; 0, Master[[#This Row],[Avg stop time helper]],Average_Stop_Time))</f>
        <v>#DIV/0!</v>
      </c>
      <c r="AV1268" s="21"/>
      <c r="AW1268" s="20">
        <f>Master[[#This Row],[RSP StopTime override]]-Master[[#This Row],[Avg stop time helper]]</f>
        <v>0</v>
      </c>
    </row>
    <row r="1269" spans="1:49" x14ac:dyDescent="0.3">
      <c r="A1269" s="66" t="s">
        <v>5273</v>
      </c>
      <c r="B1269" s="58">
        <v>8010</v>
      </c>
      <c r="C1269" s="58" t="s">
        <v>35</v>
      </c>
      <c r="D1269" s="65">
        <v>807972</v>
      </c>
      <c r="E1269" s="65" t="s">
        <v>42</v>
      </c>
      <c r="F1269" s="65" t="s">
        <v>919</v>
      </c>
      <c r="G1269" s="65" t="s">
        <v>918</v>
      </c>
      <c r="H1269" s="65" t="s">
        <v>7</v>
      </c>
      <c r="I1269" s="65" t="s">
        <v>6</v>
      </c>
      <c r="J1269" s="65" t="s">
        <v>5</v>
      </c>
      <c r="K1269" s="65" t="s">
        <v>146</v>
      </c>
      <c r="L1269" s="64" t="s">
        <v>124</v>
      </c>
      <c r="M1269" s="58" t="s">
        <v>123</v>
      </c>
      <c r="N1269" s="58" t="s">
        <v>2</v>
      </c>
      <c r="O1269" s="58">
        <v>60</v>
      </c>
      <c r="P1269" s="58">
        <v>0</v>
      </c>
      <c r="Q1269" s="58">
        <v>60</v>
      </c>
      <c r="R1269" s="58">
        <v>0</v>
      </c>
      <c r="S1269" s="58">
        <v>0</v>
      </c>
      <c r="T1269" s="58">
        <v>0</v>
      </c>
      <c r="U1269" s="58">
        <v>10</v>
      </c>
      <c r="V1269" s="62"/>
      <c r="W1269" s="62"/>
      <c r="X1269" s="63">
        <f>IFERROR(1 -(Master[[#This Row],[Avg Garment Scans per Delivery]]/Master[[#This Row],[Garment Inventory]]), 0)</f>
        <v>0</v>
      </c>
      <c r="Y1269" s="62"/>
      <c r="Z1269" s="62"/>
      <c r="AA1269" s="53">
        <v>64.7</v>
      </c>
      <c r="AB1269" s="53">
        <v>64.7</v>
      </c>
      <c r="AC1269" s="53">
        <v>21.549999999999997</v>
      </c>
      <c r="AD1269" s="53">
        <v>42.644999999999996</v>
      </c>
      <c r="AE1269" s="53" t="str">
        <f>_xlfn.XLOOKUP(Master[[#This Row],[cu_id]],'[1]Customer Revenue'!$Q:$Q,'[1]Customer Revenue'!$K:$K, "None")</f>
        <v>None</v>
      </c>
      <c r="AF1269" s="53" t="str">
        <f>_xlfn.XLOOKUP(Master[[#This Row],[cu_id]],'[1]Customer Revenue'!$Q:$Q,'[1]Customer Revenue'!$L:$L, "None")</f>
        <v>None</v>
      </c>
      <c r="AG1269" s="53">
        <v>64.699999999999989</v>
      </c>
      <c r="AH1269" s="53">
        <v>67.680000000000007</v>
      </c>
      <c r="AI1269" s="53">
        <v>64.7</v>
      </c>
      <c r="AJ1269" s="53">
        <v>32.097499999999997</v>
      </c>
      <c r="AK1269" s="53" t="str">
        <f>_xlfn.XLOOKUP(Master[[#This Row],[cu_id]],'[1]Customer Revenue'!$Q:$Q,'[1]Customer Revenue'!$I:$I, "None")</f>
        <v>None</v>
      </c>
      <c r="AL1269" s="53">
        <v>66.19</v>
      </c>
      <c r="AM1269" s="61">
        <v>0.39583333333333331</v>
      </c>
      <c r="AN1269" s="60">
        <v>0.72916666666666663</v>
      </c>
      <c r="AO1269" s="60" t="s">
        <v>36</v>
      </c>
      <c r="AP1269" s="60" t="s">
        <v>36</v>
      </c>
      <c r="AQ1269" s="58" t="s">
        <v>308</v>
      </c>
      <c r="AR1269" s="58"/>
      <c r="AS1269" s="58"/>
      <c r="AT1269" s="52">
        <v>0</v>
      </c>
      <c r="AU1269" s="52">
        <f>IF(Master[[#This Row],[RSP StopTime override]] &lt;&gt; "",Master[[#This Row],[RSP StopTime override]],IF(Master[[#This Row],[Avg stop time helper]] &lt;&gt; 0, Master[[#This Row],[Avg stop time helper]],Average_Stop_Time))</f>
        <v>10</v>
      </c>
      <c r="AV1269" s="21">
        <v>10</v>
      </c>
      <c r="AW1269" s="20">
        <f>Master[[#This Row],[RSP StopTime override]]-Master[[#This Row],[Avg stop time helper]]</f>
        <v>10</v>
      </c>
    </row>
    <row r="1270" spans="1:49" x14ac:dyDescent="0.3">
      <c r="A1270" s="66" t="s">
        <v>5274</v>
      </c>
      <c r="B1270" s="58">
        <v>8010</v>
      </c>
      <c r="C1270" s="58" t="s">
        <v>35</v>
      </c>
      <c r="D1270" s="65">
        <v>808500</v>
      </c>
      <c r="E1270" s="65" t="s">
        <v>42</v>
      </c>
      <c r="F1270" s="65" t="s">
        <v>917</v>
      </c>
      <c r="G1270" s="65" t="s">
        <v>916</v>
      </c>
      <c r="H1270" s="65" t="s">
        <v>7</v>
      </c>
      <c r="I1270" s="65" t="s">
        <v>6</v>
      </c>
      <c r="J1270" s="65" t="s">
        <v>5</v>
      </c>
      <c r="K1270" s="65" t="s">
        <v>915</v>
      </c>
      <c r="L1270" s="64" t="s">
        <v>91</v>
      </c>
      <c r="M1270" s="58" t="s">
        <v>90</v>
      </c>
      <c r="N1270" s="58" t="s">
        <v>2</v>
      </c>
      <c r="O1270" s="58">
        <v>145</v>
      </c>
      <c r="P1270" s="58">
        <v>0</v>
      </c>
      <c r="Q1270" s="58">
        <v>145</v>
      </c>
      <c r="R1270" s="58">
        <v>0</v>
      </c>
      <c r="S1270" s="58">
        <v>0</v>
      </c>
      <c r="T1270" s="58">
        <v>0</v>
      </c>
      <c r="U1270" s="58">
        <v>18</v>
      </c>
      <c r="V1270" s="62"/>
      <c r="W1270" s="62"/>
      <c r="X1270" s="63">
        <f>IFERROR(1 -(Master[[#This Row],[Avg Garment Scans per Delivery]]/Master[[#This Row],[Garment Inventory]]), 0)</f>
        <v>0</v>
      </c>
      <c r="Y1270" s="62"/>
      <c r="Z1270" s="62"/>
      <c r="AA1270" s="53">
        <v>24.865918367346939</v>
      </c>
      <c r="AB1270" s="53">
        <v>30.165510204081631</v>
      </c>
      <c r="AC1270" s="53">
        <v>33.766666666666659</v>
      </c>
      <c r="AD1270" s="53">
        <v>35.71</v>
      </c>
      <c r="AE1270" s="53" t="str">
        <f>_xlfn.XLOOKUP(Master[[#This Row],[cu_id]],'[1]Customer Revenue'!$Q:$Q,'[1]Customer Revenue'!$K:$K, "None")</f>
        <v>None</v>
      </c>
      <c r="AF1270" s="53" t="str">
        <f>_xlfn.XLOOKUP(Master[[#This Row],[cu_id]],'[1]Customer Revenue'!$Q:$Q,'[1]Customer Revenue'!$L:$L, "None")</f>
        <v>None</v>
      </c>
      <c r="AG1270" s="53">
        <v>21.766666666666662</v>
      </c>
      <c r="AH1270" s="53">
        <v>28.153333333333332</v>
      </c>
      <c r="AI1270" s="53">
        <v>27.515714285714285</v>
      </c>
      <c r="AJ1270" s="53">
        <v>34.73833333333333</v>
      </c>
      <c r="AK1270" s="53" t="str">
        <f>_xlfn.XLOOKUP(Master[[#This Row],[cu_id]],'[1]Customer Revenue'!$Q:$Q,'[1]Customer Revenue'!$I:$I, "None")</f>
        <v>None</v>
      </c>
      <c r="AL1270" s="53">
        <v>24.959999999999997</v>
      </c>
      <c r="AM1270" s="61">
        <v>0.3125</v>
      </c>
      <c r="AN1270" s="60">
        <v>0.66666666666666663</v>
      </c>
      <c r="AO1270" s="60" t="s">
        <v>36</v>
      </c>
      <c r="AP1270" s="60" t="s">
        <v>36</v>
      </c>
      <c r="AQ1270" s="58" t="s">
        <v>0</v>
      </c>
      <c r="AR1270" s="58"/>
      <c r="AS1270" s="58"/>
      <c r="AT1270" s="52">
        <v>0</v>
      </c>
      <c r="AU1270" s="52">
        <f>IF(Master[[#This Row],[RSP StopTime override]] &lt;&gt; "",Master[[#This Row],[RSP StopTime override]],IF(Master[[#This Row],[Avg stop time helper]] &lt;&gt; 0, Master[[#This Row],[Avg stop time helper]],Average_Stop_Time))</f>
        <v>12</v>
      </c>
      <c r="AV1270" s="21">
        <v>12</v>
      </c>
      <c r="AW1270" s="20">
        <f>Master[[#This Row],[RSP StopTime override]]-Master[[#This Row],[Avg stop time helper]]</f>
        <v>12</v>
      </c>
    </row>
    <row r="1271" spans="1:49" x14ac:dyDescent="0.3">
      <c r="A1271" s="66" t="s">
        <v>5275</v>
      </c>
      <c r="B1271" s="58">
        <v>8010</v>
      </c>
      <c r="C1271" s="58" t="s">
        <v>35</v>
      </c>
      <c r="D1271" s="65">
        <v>809442</v>
      </c>
      <c r="E1271" s="65" t="s">
        <v>42</v>
      </c>
      <c r="F1271" s="65" t="s">
        <v>914</v>
      </c>
      <c r="G1271" s="65" t="s">
        <v>913</v>
      </c>
      <c r="H1271" s="65" t="s">
        <v>7</v>
      </c>
      <c r="I1271" s="65" t="s">
        <v>6</v>
      </c>
      <c r="J1271" s="65" t="s">
        <v>5</v>
      </c>
      <c r="K1271" s="65" t="s">
        <v>146</v>
      </c>
      <c r="L1271" s="64" t="s">
        <v>67</v>
      </c>
      <c r="M1271" s="58" t="s">
        <v>3</v>
      </c>
      <c r="N1271" s="58" t="s">
        <v>2</v>
      </c>
      <c r="O1271" s="58">
        <v>20</v>
      </c>
      <c r="P1271" s="58">
        <v>0</v>
      </c>
      <c r="Q1271" s="58">
        <v>20</v>
      </c>
      <c r="R1271" s="58">
        <v>0</v>
      </c>
      <c r="S1271" s="58">
        <v>0</v>
      </c>
      <c r="T1271" s="58">
        <v>0</v>
      </c>
      <c r="U1271" s="58">
        <v>44</v>
      </c>
      <c r="V1271" s="62"/>
      <c r="W1271" s="62"/>
      <c r="X1271" s="63">
        <f>IFERROR(1 -(Master[[#This Row],[Avg Garment Scans per Delivery]]/Master[[#This Row],[Garment Inventory]]), 0)</f>
        <v>0</v>
      </c>
      <c r="Y1271" s="62"/>
      <c r="Z1271" s="62"/>
      <c r="AA1271" s="53">
        <v>239.09785714285718</v>
      </c>
      <c r="AB1271" s="53">
        <v>396.46214285714291</v>
      </c>
      <c r="AC1271" s="53">
        <v>264.53088757396443</v>
      </c>
      <c r="AD1271" s="53">
        <v>353.62603550295859</v>
      </c>
      <c r="AE1271" s="53" t="str">
        <f>_xlfn.XLOOKUP(Master[[#This Row],[cu_id]],'[1]Customer Revenue'!$Q:$Q,'[1]Customer Revenue'!$K:$K, "None")</f>
        <v>None</v>
      </c>
      <c r="AF1271" s="53" t="str">
        <f>_xlfn.XLOOKUP(Master[[#This Row],[cu_id]],'[1]Customer Revenue'!$Q:$Q,'[1]Customer Revenue'!$L:$L, "None")</f>
        <v>None</v>
      </c>
      <c r="AG1271" s="53">
        <v>242.59743386243386</v>
      </c>
      <c r="AH1271" s="53">
        <v>387.43886243386248</v>
      </c>
      <c r="AI1271" s="53">
        <v>317.78000000000003</v>
      </c>
      <c r="AJ1271" s="53">
        <v>309.07846153846151</v>
      </c>
      <c r="AK1271" s="53" t="str">
        <f>_xlfn.XLOOKUP(Master[[#This Row],[cu_id]],'[1]Customer Revenue'!$Q:$Q,'[1]Customer Revenue'!$I:$I, "None")</f>
        <v>None</v>
      </c>
      <c r="AL1271" s="53">
        <v>315.01814814814816</v>
      </c>
      <c r="AM1271" s="61">
        <v>0.29166666666666669</v>
      </c>
      <c r="AN1271" s="60">
        <v>0.83333333333333337</v>
      </c>
      <c r="AO1271" s="60" t="s">
        <v>36</v>
      </c>
      <c r="AP1271" s="60" t="s">
        <v>36</v>
      </c>
      <c r="AQ1271" s="58" t="s">
        <v>589</v>
      </c>
      <c r="AR1271" s="58"/>
      <c r="AS1271" s="58"/>
      <c r="AT1271" s="52">
        <v>0</v>
      </c>
      <c r="AU1271" s="52">
        <f>IF(Master[[#This Row],[RSP StopTime override]] &lt;&gt; "",Master[[#This Row],[RSP StopTime override]],IF(Master[[#This Row],[Avg stop time helper]] &lt;&gt; 0, Master[[#This Row],[Avg stop time helper]],Average_Stop_Time))</f>
        <v>45</v>
      </c>
      <c r="AV1271" s="21">
        <v>45</v>
      </c>
      <c r="AW1271" s="20">
        <f>Master[[#This Row],[RSP StopTime override]]-Master[[#This Row],[Avg stop time helper]]</f>
        <v>45</v>
      </c>
    </row>
    <row r="1272" spans="1:49" x14ac:dyDescent="0.3">
      <c r="A1272" s="66" t="s">
        <v>5276</v>
      </c>
      <c r="B1272" s="58">
        <v>8010</v>
      </c>
      <c r="C1272" s="58" t="s">
        <v>35</v>
      </c>
      <c r="D1272" s="65">
        <v>879222</v>
      </c>
      <c r="E1272" s="65" t="s">
        <v>42</v>
      </c>
      <c r="F1272" s="65" t="s">
        <v>143</v>
      </c>
      <c r="G1272" s="103" t="s">
        <v>4142</v>
      </c>
      <c r="H1272" s="65" t="s">
        <v>7</v>
      </c>
      <c r="I1272" s="65" t="s">
        <v>6</v>
      </c>
      <c r="J1272" s="65" t="s">
        <v>5</v>
      </c>
      <c r="K1272" s="65" t="s">
        <v>146</v>
      </c>
      <c r="L1272" s="64" t="s">
        <v>91</v>
      </c>
      <c r="M1272" s="58" t="s">
        <v>90</v>
      </c>
      <c r="N1272" s="58" t="s">
        <v>2</v>
      </c>
      <c r="O1272" s="58">
        <v>55</v>
      </c>
      <c r="P1272" s="58">
        <v>0</v>
      </c>
      <c r="Q1272" s="58">
        <v>55</v>
      </c>
      <c r="R1272" s="58">
        <v>0</v>
      </c>
      <c r="S1272" s="58">
        <v>0</v>
      </c>
      <c r="T1272" s="58">
        <v>0</v>
      </c>
      <c r="U1272" s="58">
        <v>20</v>
      </c>
      <c r="V1272" s="62"/>
      <c r="W1272" s="62"/>
      <c r="X1272" s="63">
        <f>IFERROR(1 -(Master[[#This Row],[Avg Garment Scans per Delivery]]/Master[[#This Row],[Garment Inventory]]), 0)</f>
        <v>0</v>
      </c>
      <c r="Y1272" s="62"/>
      <c r="Z1272" s="62"/>
      <c r="AA1272" s="53">
        <v>65.614285714285714</v>
      </c>
      <c r="AB1272" s="53">
        <v>69.785714285714292</v>
      </c>
      <c r="AC1272" s="53">
        <v>71.218888888888884</v>
      </c>
      <c r="AD1272" s="53">
        <v>72.267777777777766</v>
      </c>
      <c r="AE1272" s="53" t="str">
        <f>_xlfn.XLOOKUP(Master[[#This Row],[cu_id]],'[1]Customer Revenue'!$Q:$Q,'[1]Customer Revenue'!$K:$K, "None")</f>
        <v>None</v>
      </c>
      <c r="AF1272" s="53" t="str">
        <f>_xlfn.XLOOKUP(Master[[#This Row],[cu_id]],'[1]Customer Revenue'!$Q:$Q,'[1]Customer Revenue'!$L:$L, "None")</f>
        <v>None</v>
      </c>
      <c r="AG1272" s="53">
        <v>65.695739644970416</v>
      </c>
      <c r="AH1272" s="53">
        <v>68.356568047337277</v>
      </c>
      <c r="AI1272" s="53">
        <v>67.7</v>
      </c>
      <c r="AJ1272" s="53">
        <v>71.743333333333325</v>
      </c>
      <c r="AK1272" s="53" t="str">
        <f>_xlfn.XLOOKUP(Master[[#This Row],[cu_id]],'[1]Customer Revenue'!$Q:$Q,'[1]Customer Revenue'!$I:$I, "None")</f>
        <v>None</v>
      </c>
      <c r="AL1272" s="53">
        <v>67.026153846153846</v>
      </c>
      <c r="AM1272" s="61">
        <v>0.375</v>
      </c>
      <c r="AN1272" s="60">
        <v>0.70833333333333337</v>
      </c>
      <c r="AO1272" s="60" t="s">
        <v>36</v>
      </c>
      <c r="AP1272" s="60" t="s">
        <v>36</v>
      </c>
      <c r="AQ1272" s="58" t="s">
        <v>0</v>
      </c>
      <c r="AR1272" s="58"/>
      <c r="AS1272" s="58"/>
      <c r="AT1272" s="52">
        <v>0</v>
      </c>
      <c r="AU1272" s="52" t="e">
        <f>IF(Master[[#This Row],[RSP StopTime override]] &lt;&gt; "",Master[[#This Row],[RSP StopTime override]],IF(Master[[#This Row],[Avg stop time helper]] &lt;&gt; 0, Master[[#This Row],[Avg stop time helper]],Average_Stop_Time))</f>
        <v>#DIV/0!</v>
      </c>
      <c r="AV1272" s="21"/>
      <c r="AW1272" s="20">
        <f>Master[[#This Row],[RSP StopTime override]]-Master[[#This Row],[Avg stop time helper]]</f>
        <v>0</v>
      </c>
    </row>
    <row r="1273" spans="1:49" x14ac:dyDescent="0.3">
      <c r="A1273" s="66" t="s">
        <v>5277</v>
      </c>
      <c r="B1273" s="58">
        <v>8010</v>
      </c>
      <c r="C1273" s="58" t="s">
        <v>35</v>
      </c>
      <c r="D1273" s="65">
        <v>882870</v>
      </c>
      <c r="E1273" s="65" t="s">
        <v>912</v>
      </c>
      <c r="F1273" s="65" t="s">
        <v>725</v>
      </c>
      <c r="G1273" s="65" t="s">
        <v>911</v>
      </c>
      <c r="H1273" s="65" t="s">
        <v>7</v>
      </c>
      <c r="I1273" s="65" t="s">
        <v>6</v>
      </c>
      <c r="J1273" s="65" t="s">
        <v>5</v>
      </c>
      <c r="K1273" s="65" t="s">
        <v>151</v>
      </c>
      <c r="L1273" s="64" t="s">
        <v>194</v>
      </c>
      <c r="M1273" s="58" t="s">
        <v>193</v>
      </c>
      <c r="N1273" s="58" t="s">
        <v>2</v>
      </c>
      <c r="O1273" s="58">
        <v>175</v>
      </c>
      <c r="P1273" s="58">
        <v>0</v>
      </c>
      <c r="Q1273" s="58">
        <v>175</v>
      </c>
      <c r="R1273" s="58">
        <v>0</v>
      </c>
      <c r="S1273" s="58">
        <v>0</v>
      </c>
      <c r="T1273" s="58">
        <v>0</v>
      </c>
      <c r="U1273" s="58">
        <v>19</v>
      </c>
      <c r="V1273" s="62"/>
      <c r="W1273" s="62"/>
      <c r="X1273" s="63">
        <f>IFERROR(1 -(Master[[#This Row],[Avg Garment Scans per Delivery]]/Master[[#This Row],[Garment Inventory]]), 0)</f>
        <v>0</v>
      </c>
      <c r="Y1273" s="62"/>
      <c r="Z1273" s="62"/>
      <c r="AA1273" s="53">
        <v>30.756249999999998</v>
      </c>
      <c r="AB1273" s="53">
        <v>67.663750000000007</v>
      </c>
      <c r="AC1273" s="53">
        <v>40.260000000000005</v>
      </c>
      <c r="AD1273" s="53">
        <v>64.45</v>
      </c>
      <c r="AE1273" s="53" t="str">
        <f>_xlfn.XLOOKUP(Master[[#This Row],[cu_id]],'[1]Customer Revenue'!$Q:$Q,'[1]Customer Revenue'!$K:$K, "None")</f>
        <v>None</v>
      </c>
      <c r="AF1273" s="53" t="str">
        <f>_xlfn.XLOOKUP(Master[[#This Row],[cu_id]],'[1]Customer Revenue'!$Q:$Q,'[1]Customer Revenue'!$L:$L, "None")</f>
        <v>None</v>
      </c>
      <c r="AG1273" s="53">
        <v>38.09075555555556</v>
      </c>
      <c r="AH1273" s="53">
        <v>60.989244444444438</v>
      </c>
      <c r="AI1273" s="53">
        <v>49.21</v>
      </c>
      <c r="AJ1273" s="53">
        <v>52.355000000000004</v>
      </c>
      <c r="AK1273" s="53" t="str">
        <f>_xlfn.XLOOKUP(Master[[#This Row],[cu_id]],'[1]Customer Revenue'!$Q:$Q,'[1]Customer Revenue'!$I:$I, "None")</f>
        <v>None</v>
      </c>
      <c r="AL1273" s="53">
        <v>49.54</v>
      </c>
      <c r="AM1273" s="61">
        <v>0.375</v>
      </c>
      <c r="AN1273" s="60">
        <v>0.6875</v>
      </c>
      <c r="AO1273" s="60" t="s">
        <v>36</v>
      </c>
      <c r="AP1273" s="60" t="s">
        <v>36</v>
      </c>
      <c r="AQ1273" s="58" t="s">
        <v>0</v>
      </c>
      <c r="AR1273" s="58"/>
      <c r="AS1273" s="58"/>
      <c r="AT1273" s="52">
        <v>0</v>
      </c>
      <c r="AU1273" s="52" t="e">
        <f>IF(Master[[#This Row],[RSP StopTime override]] &lt;&gt; "",Master[[#This Row],[RSP StopTime override]],IF(Master[[#This Row],[Avg stop time helper]] &lt;&gt; 0, Master[[#This Row],[Avg stop time helper]],Average_Stop_Time))</f>
        <v>#DIV/0!</v>
      </c>
      <c r="AV1273" s="21"/>
      <c r="AW1273" s="20">
        <f>Master[[#This Row],[RSP StopTime override]]-Master[[#This Row],[Avg stop time helper]]</f>
        <v>0</v>
      </c>
    </row>
    <row r="1274" spans="1:49" x14ac:dyDescent="0.3">
      <c r="A1274" s="66" t="s">
        <v>5278</v>
      </c>
      <c r="B1274" s="58">
        <v>8010</v>
      </c>
      <c r="C1274" s="58" t="s">
        <v>35</v>
      </c>
      <c r="D1274" s="65">
        <v>883084</v>
      </c>
      <c r="E1274" s="65" t="s">
        <v>910</v>
      </c>
      <c r="F1274" s="65" t="s">
        <v>909</v>
      </c>
      <c r="G1274" s="65" t="s">
        <v>908</v>
      </c>
      <c r="H1274" s="65" t="s">
        <v>7</v>
      </c>
      <c r="I1274" s="65" t="s">
        <v>6</v>
      </c>
      <c r="J1274" s="65" t="s">
        <v>5</v>
      </c>
      <c r="K1274" s="65" t="s">
        <v>151</v>
      </c>
      <c r="L1274" s="64" t="s">
        <v>77</v>
      </c>
      <c r="M1274" s="58" t="s">
        <v>29</v>
      </c>
      <c r="N1274" s="58" t="s">
        <v>2</v>
      </c>
      <c r="O1274" s="58">
        <v>87</v>
      </c>
      <c r="P1274" s="58">
        <v>0</v>
      </c>
      <c r="Q1274" s="58">
        <v>150</v>
      </c>
      <c r="R1274" s="58">
        <v>0</v>
      </c>
      <c r="S1274" s="58">
        <v>0</v>
      </c>
      <c r="T1274" s="58">
        <v>0</v>
      </c>
      <c r="U1274" s="58">
        <v>15</v>
      </c>
      <c r="V1274" s="62"/>
      <c r="W1274" s="62"/>
      <c r="X1274" s="63">
        <f>IFERROR(1 -(Master[[#This Row],[Avg Garment Scans per Delivery]]/Master[[#This Row],[Garment Inventory]]), 0)</f>
        <v>0</v>
      </c>
      <c r="Y1274" s="62">
        <v>1</v>
      </c>
      <c r="Z1274" s="62">
        <v>1</v>
      </c>
      <c r="AA1274" s="53">
        <v>49.16</v>
      </c>
      <c r="AB1274" s="53">
        <v>49.16</v>
      </c>
      <c r="AC1274" s="53">
        <v>37.973469387755102</v>
      </c>
      <c r="AD1274" s="53">
        <v>52.352244897959181</v>
      </c>
      <c r="AE1274" s="53" t="str">
        <f>_xlfn.XLOOKUP(Master[[#This Row],[cu_id]],'[1]Customer Revenue'!$Q:$Q,'[1]Customer Revenue'!$K:$K, "None")</f>
        <v>None</v>
      </c>
      <c r="AF1274" s="53" t="str">
        <f>_xlfn.XLOOKUP(Master[[#This Row],[cu_id]],'[1]Customer Revenue'!$Q:$Q,'[1]Customer Revenue'!$L:$L, "None")</f>
        <v>None</v>
      </c>
      <c r="AG1274" s="53">
        <v>42.638775510204056</v>
      </c>
      <c r="AH1274" s="53">
        <v>55.681224489795909</v>
      </c>
      <c r="AI1274" s="53">
        <v>49.16</v>
      </c>
      <c r="AJ1274" s="53">
        <v>45.162857142857142</v>
      </c>
      <c r="AK1274" s="53" t="str">
        <f>_xlfn.XLOOKUP(Master[[#This Row],[cu_id]],'[1]Customer Revenue'!$Q:$Q,'[1]Customer Revenue'!$I:$I, "None")</f>
        <v>None</v>
      </c>
      <c r="AL1274" s="53">
        <v>49.159999999999982</v>
      </c>
      <c r="AM1274" s="61">
        <v>0.33333333333333331</v>
      </c>
      <c r="AN1274" s="60">
        <v>0.6875</v>
      </c>
      <c r="AO1274" s="60" t="s">
        <v>36</v>
      </c>
      <c r="AP1274" s="60" t="s">
        <v>36</v>
      </c>
      <c r="AQ1274" s="58" t="s">
        <v>0</v>
      </c>
      <c r="AR1274" s="58"/>
      <c r="AS1274" s="58"/>
      <c r="AT1274" s="52">
        <v>0</v>
      </c>
      <c r="AU1274" s="52">
        <f>IF(Master[[#This Row],[RSP StopTime override]] &lt;&gt; "",Master[[#This Row],[RSP StopTime override]],IF(Master[[#This Row],[Avg stop time helper]] &lt;&gt; 0, Master[[#This Row],[Avg stop time helper]],Average_Stop_Time))</f>
        <v>15</v>
      </c>
      <c r="AV1274" s="21">
        <v>15</v>
      </c>
      <c r="AW1274" s="20">
        <f>Master[[#This Row],[RSP StopTime override]]-Master[[#This Row],[Avg stop time helper]]</f>
        <v>15</v>
      </c>
    </row>
    <row r="1275" spans="1:49" x14ac:dyDescent="0.3">
      <c r="A1275" s="66" t="s">
        <v>5279</v>
      </c>
      <c r="B1275" s="58">
        <v>8010</v>
      </c>
      <c r="C1275" s="58" t="s">
        <v>35</v>
      </c>
      <c r="D1275" s="65">
        <v>883960</v>
      </c>
      <c r="E1275" s="65" t="s">
        <v>907</v>
      </c>
      <c r="F1275" s="65" t="s">
        <v>906</v>
      </c>
      <c r="G1275" s="65" t="s">
        <v>905</v>
      </c>
      <c r="H1275" s="65" t="s">
        <v>7</v>
      </c>
      <c r="I1275" s="65" t="s">
        <v>6</v>
      </c>
      <c r="J1275" s="65" t="s">
        <v>5</v>
      </c>
      <c r="K1275" s="65" t="s">
        <v>904</v>
      </c>
      <c r="L1275" s="64" t="s">
        <v>206</v>
      </c>
      <c r="M1275" s="58" t="s">
        <v>205</v>
      </c>
      <c r="N1275" s="58" t="s">
        <v>2</v>
      </c>
      <c r="O1275" s="58">
        <v>80</v>
      </c>
      <c r="P1275" s="58">
        <v>0</v>
      </c>
      <c r="Q1275" s="58">
        <v>80</v>
      </c>
      <c r="R1275" s="58">
        <v>0</v>
      </c>
      <c r="S1275" s="58">
        <v>0</v>
      </c>
      <c r="T1275" s="58">
        <v>0</v>
      </c>
      <c r="U1275" s="58">
        <v>9</v>
      </c>
      <c r="V1275" s="62"/>
      <c r="W1275" s="62"/>
      <c r="X1275" s="63">
        <f>IFERROR(1 -(Master[[#This Row],[Avg Garment Scans per Delivery]]/Master[[#This Row],[Garment Inventory]]), 0)</f>
        <v>0</v>
      </c>
      <c r="Y1275" s="62"/>
      <c r="Z1275" s="62"/>
      <c r="AA1275" s="53">
        <v>103.69</v>
      </c>
      <c r="AB1275" s="53">
        <v>103.69</v>
      </c>
      <c r="AC1275" s="53">
        <v>103.54249999999999</v>
      </c>
      <c r="AD1275" s="53">
        <v>104.42750000000001</v>
      </c>
      <c r="AE1275" s="53" t="str">
        <f>_xlfn.XLOOKUP(Master[[#This Row],[cu_id]],'[1]Customer Revenue'!$Q:$Q,'[1]Customer Revenue'!$K:$K, "None")</f>
        <v>None</v>
      </c>
      <c r="AF1275" s="53" t="str">
        <f>_xlfn.XLOOKUP(Master[[#This Row],[cu_id]],'[1]Customer Revenue'!$Q:$Q,'[1]Customer Revenue'!$L:$L, "None")</f>
        <v>None</v>
      </c>
      <c r="AG1275" s="53">
        <v>103.28444444444445</v>
      </c>
      <c r="AH1275" s="53">
        <v>106.52888888888891</v>
      </c>
      <c r="AI1275" s="53">
        <v>103.69</v>
      </c>
      <c r="AJ1275" s="53">
        <v>103.985</v>
      </c>
      <c r="AK1275" s="53" t="str">
        <f>_xlfn.XLOOKUP(Master[[#This Row],[cu_id]],'[1]Customer Revenue'!$Q:$Q,'[1]Customer Revenue'!$I:$I, "None")</f>
        <v>None</v>
      </c>
      <c r="AL1275" s="53">
        <v>104.90666666666668</v>
      </c>
      <c r="AM1275" s="61">
        <v>0.20833333333333334</v>
      </c>
      <c r="AN1275" s="60">
        <v>0.95833333333333337</v>
      </c>
      <c r="AO1275" s="60" t="s">
        <v>36</v>
      </c>
      <c r="AP1275" s="60" t="s">
        <v>36</v>
      </c>
      <c r="AQ1275" s="58" t="s">
        <v>308</v>
      </c>
      <c r="AR1275" s="58"/>
      <c r="AS1275" s="58"/>
      <c r="AT1275" s="52">
        <v>0</v>
      </c>
      <c r="AU1275" s="52" t="e">
        <f>IF(Master[[#This Row],[RSP StopTime override]] &lt;&gt; "",Master[[#This Row],[RSP StopTime override]],IF(Master[[#This Row],[Avg stop time helper]] &lt;&gt; 0, Master[[#This Row],[Avg stop time helper]],Average_Stop_Time))</f>
        <v>#DIV/0!</v>
      </c>
      <c r="AV1275" s="21"/>
      <c r="AW1275" s="20">
        <f>Master[[#This Row],[RSP StopTime override]]-Master[[#This Row],[Avg stop time helper]]</f>
        <v>0</v>
      </c>
    </row>
    <row r="1276" spans="1:49" x14ac:dyDescent="0.3">
      <c r="A1276" s="66" t="s">
        <v>5280</v>
      </c>
      <c r="B1276" s="58">
        <v>8010</v>
      </c>
      <c r="C1276" s="58" t="s">
        <v>35</v>
      </c>
      <c r="D1276" s="65">
        <v>883960</v>
      </c>
      <c r="E1276" s="65" t="s">
        <v>903</v>
      </c>
      <c r="F1276" s="65" t="s">
        <v>902</v>
      </c>
      <c r="G1276" s="65" t="s">
        <v>901</v>
      </c>
      <c r="H1276" s="65" t="s">
        <v>7</v>
      </c>
      <c r="I1276" s="65" t="s">
        <v>161</v>
      </c>
      <c r="J1276" s="65" t="s">
        <v>5</v>
      </c>
      <c r="K1276" s="65" t="s">
        <v>146</v>
      </c>
      <c r="L1276" s="64" t="s">
        <v>194</v>
      </c>
      <c r="M1276" s="58" t="s">
        <v>193</v>
      </c>
      <c r="N1276" s="58" t="s">
        <v>2</v>
      </c>
      <c r="O1276" s="58">
        <v>2</v>
      </c>
      <c r="P1276" s="58">
        <v>0</v>
      </c>
      <c r="Q1276" s="58">
        <v>10</v>
      </c>
      <c r="R1276" s="58">
        <v>0</v>
      </c>
      <c r="S1276" s="58">
        <v>0</v>
      </c>
      <c r="T1276" s="58">
        <v>0</v>
      </c>
      <c r="U1276" s="58">
        <v>10</v>
      </c>
      <c r="V1276" s="62"/>
      <c r="W1276" s="62"/>
      <c r="X1276" s="63">
        <f>IFERROR(1 -(Master[[#This Row],[Avg Garment Scans per Delivery]]/Master[[#This Row],[Garment Inventory]]), 0)</f>
        <v>0</v>
      </c>
      <c r="Y1276" s="62"/>
      <c r="Z1276" s="62"/>
      <c r="AA1276" s="53">
        <v>30.593200000000003</v>
      </c>
      <c r="AB1276" s="53">
        <v>59.386800000000001</v>
      </c>
      <c r="AC1276" s="53">
        <v>44.858888888888892</v>
      </c>
      <c r="AD1276" s="53">
        <v>45.907777777777774</v>
      </c>
      <c r="AE1276" s="53" t="str">
        <f>_xlfn.XLOOKUP(Master[[#This Row],[cu_id]],'[1]Customer Revenue'!$Q:$Q,'[1]Customer Revenue'!$K:$K, "None")</f>
        <v>None</v>
      </c>
      <c r="AF1276" s="53" t="str">
        <f>_xlfn.XLOOKUP(Master[[#This Row],[cu_id]],'[1]Customer Revenue'!$Q:$Q,'[1]Customer Revenue'!$L:$L, "None")</f>
        <v>None</v>
      </c>
      <c r="AG1276" s="53">
        <v>29.437901234567903</v>
      </c>
      <c r="AH1276" s="53">
        <v>60.542098765432101</v>
      </c>
      <c r="AI1276" s="53">
        <v>44.99</v>
      </c>
      <c r="AJ1276" s="53">
        <v>45.383333333333333</v>
      </c>
      <c r="AK1276" s="53" t="str">
        <f>_xlfn.XLOOKUP(Master[[#This Row],[cu_id]],'[1]Customer Revenue'!$Q:$Q,'[1]Customer Revenue'!$I:$I, "None")</f>
        <v>None</v>
      </c>
      <c r="AL1276" s="53">
        <v>44.99</v>
      </c>
      <c r="AM1276" s="61">
        <v>0.20833333333333334</v>
      </c>
      <c r="AN1276" s="60">
        <v>0.95833333333333337</v>
      </c>
      <c r="AO1276" s="60" t="s">
        <v>36</v>
      </c>
      <c r="AP1276" s="60" t="s">
        <v>36</v>
      </c>
      <c r="AQ1276" s="58" t="s">
        <v>308</v>
      </c>
      <c r="AR1276" s="58"/>
      <c r="AS1276" s="58"/>
      <c r="AT1276" s="52">
        <v>0</v>
      </c>
      <c r="AU1276" s="52" t="e">
        <f>IF(Master[[#This Row],[RSP StopTime override]] &lt;&gt; "",Master[[#This Row],[RSP StopTime override]],IF(Master[[#This Row],[Avg stop time helper]] &lt;&gt; 0, Master[[#This Row],[Avg stop time helper]],Average_Stop_Time))</f>
        <v>#DIV/0!</v>
      </c>
      <c r="AV1276" s="21"/>
      <c r="AW1276" s="20">
        <f>Master[[#This Row],[RSP StopTime override]]-Master[[#This Row],[Avg stop time helper]]</f>
        <v>0</v>
      </c>
    </row>
    <row r="1277" spans="1:49" x14ac:dyDescent="0.3">
      <c r="A1277" s="66" t="s">
        <v>5281</v>
      </c>
      <c r="B1277" s="58">
        <v>8010</v>
      </c>
      <c r="C1277" s="58" t="s">
        <v>35</v>
      </c>
      <c r="D1277" s="65">
        <v>884654</v>
      </c>
      <c r="E1277" s="65" t="s">
        <v>900</v>
      </c>
      <c r="F1277" s="65" t="s">
        <v>237</v>
      </c>
      <c r="G1277" s="65" t="s">
        <v>899</v>
      </c>
      <c r="H1277" s="65" t="s">
        <v>898</v>
      </c>
      <c r="I1277" s="65" t="s">
        <v>6</v>
      </c>
      <c r="J1277" s="65" t="s">
        <v>5</v>
      </c>
      <c r="K1277" s="65" t="s">
        <v>115</v>
      </c>
      <c r="L1277" s="64" t="s">
        <v>91</v>
      </c>
      <c r="M1277" s="58" t="s">
        <v>90</v>
      </c>
      <c r="N1277" s="58" t="s">
        <v>2</v>
      </c>
      <c r="O1277" s="58">
        <v>45</v>
      </c>
      <c r="P1277" s="58">
        <v>0</v>
      </c>
      <c r="Q1277" s="58">
        <v>45</v>
      </c>
      <c r="R1277" s="58">
        <v>0</v>
      </c>
      <c r="S1277" s="58">
        <v>0</v>
      </c>
      <c r="T1277" s="58">
        <v>0</v>
      </c>
      <c r="U1277" s="58">
        <v>20</v>
      </c>
      <c r="V1277" s="62"/>
      <c r="W1277" s="62"/>
      <c r="X1277" s="63">
        <f>IFERROR(1 -(Master[[#This Row],[Avg Garment Scans per Delivery]]/Master[[#This Row],[Garment Inventory]]), 0)</f>
        <v>0</v>
      </c>
      <c r="Y1277" s="62"/>
      <c r="Z1277" s="62"/>
      <c r="AA1277" s="53">
        <v>19.796875</v>
      </c>
      <c r="AB1277" s="53">
        <v>30.883125</v>
      </c>
      <c r="AC1277" s="53">
        <v>25.20888888888889</v>
      </c>
      <c r="AD1277" s="53">
        <v>26.257777777777779</v>
      </c>
      <c r="AE1277" s="53" t="str">
        <f>_xlfn.XLOOKUP(Master[[#This Row],[cu_id]],'[1]Customer Revenue'!$Q:$Q,'[1]Customer Revenue'!$K:$K, "None")</f>
        <v>None</v>
      </c>
      <c r="AF1277" s="53" t="str">
        <f>_xlfn.XLOOKUP(Master[[#This Row],[cu_id]],'[1]Customer Revenue'!$Q:$Q,'[1]Customer Revenue'!$L:$L, "None")</f>
        <v>None</v>
      </c>
      <c r="AG1277" s="53">
        <v>21.978571428571424</v>
      </c>
      <c r="AH1277" s="53">
        <v>28.701428571428568</v>
      </c>
      <c r="AI1277" s="53">
        <v>25.34</v>
      </c>
      <c r="AJ1277" s="53">
        <v>25.733333333333334</v>
      </c>
      <c r="AK1277" s="53" t="str">
        <f>_xlfn.XLOOKUP(Master[[#This Row],[cu_id]],'[1]Customer Revenue'!$Q:$Q,'[1]Customer Revenue'!$I:$I, "None")</f>
        <v>None</v>
      </c>
      <c r="AL1277" s="53">
        <v>25.339999999999996</v>
      </c>
      <c r="AM1277" s="61">
        <v>0.33333333333333331</v>
      </c>
      <c r="AN1277" s="60">
        <v>0.6875</v>
      </c>
      <c r="AO1277" s="60" t="s">
        <v>36</v>
      </c>
      <c r="AP1277" s="60" t="s">
        <v>36</v>
      </c>
      <c r="AQ1277" s="58" t="s">
        <v>0</v>
      </c>
      <c r="AR1277" s="58"/>
      <c r="AS1277" s="58"/>
      <c r="AT1277" s="52">
        <v>0</v>
      </c>
      <c r="AU1277" s="52">
        <f>IF(Master[[#This Row],[RSP StopTime override]] &lt;&gt; "",Master[[#This Row],[RSP StopTime override]],IF(Master[[#This Row],[Avg stop time helper]] &lt;&gt; 0, Master[[#This Row],[Avg stop time helper]],Average_Stop_Time))</f>
        <v>5</v>
      </c>
      <c r="AV1277" s="21">
        <v>5</v>
      </c>
      <c r="AW1277" s="20">
        <f>Master[[#This Row],[RSP StopTime override]]-Master[[#This Row],[Avg stop time helper]]</f>
        <v>5</v>
      </c>
    </row>
    <row r="1278" spans="1:49" x14ac:dyDescent="0.3">
      <c r="A1278" s="66" t="s">
        <v>5282</v>
      </c>
      <c r="B1278" s="58">
        <v>8010</v>
      </c>
      <c r="C1278" s="58" t="s">
        <v>35</v>
      </c>
      <c r="D1278" s="65">
        <v>884654</v>
      </c>
      <c r="E1278" s="65" t="s">
        <v>897</v>
      </c>
      <c r="F1278" s="65" t="s">
        <v>896</v>
      </c>
      <c r="G1278" s="65" t="s">
        <v>895</v>
      </c>
      <c r="H1278" s="65" t="s">
        <v>7</v>
      </c>
      <c r="I1278" s="65" t="s">
        <v>6</v>
      </c>
      <c r="J1278" s="65" t="s">
        <v>5</v>
      </c>
      <c r="K1278" s="65" t="s">
        <v>68</v>
      </c>
      <c r="L1278" s="64" t="s">
        <v>194</v>
      </c>
      <c r="M1278" s="58" t="s">
        <v>193</v>
      </c>
      <c r="N1278" s="58" t="s">
        <v>2</v>
      </c>
      <c r="O1278" s="58">
        <v>180</v>
      </c>
      <c r="P1278" s="58">
        <v>0</v>
      </c>
      <c r="Q1278" s="58">
        <v>30</v>
      </c>
      <c r="R1278" s="58">
        <v>0</v>
      </c>
      <c r="S1278" s="58">
        <v>0</v>
      </c>
      <c r="T1278" s="58">
        <v>0</v>
      </c>
      <c r="U1278" s="58">
        <v>10</v>
      </c>
      <c r="V1278" s="62">
        <v>0</v>
      </c>
      <c r="W1278" s="62"/>
      <c r="X1278" s="63">
        <f>IFERROR(1 -(Master[[#This Row],[Avg Garment Scans per Delivery]]/Master[[#This Row],[Garment Inventory]]), 0)</f>
        <v>0</v>
      </c>
      <c r="Y1278" s="62">
        <v>1</v>
      </c>
      <c r="Z1278" s="62">
        <v>2</v>
      </c>
      <c r="AA1278" s="53">
        <v>13.6</v>
      </c>
      <c r="AB1278" s="53">
        <v>26.4</v>
      </c>
      <c r="AC1278" s="53">
        <v>20</v>
      </c>
      <c r="AD1278" s="53">
        <v>20</v>
      </c>
      <c r="AE1278" s="53" t="str">
        <f>_xlfn.XLOOKUP(Master[[#This Row],[cu_id]],'[1]Customer Revenue'!$Q:$Q,'[1]Customer Revenue'!$K:$K, "None")</f>
        <v>None</v>
      </c>
      <c r="AF1278" s="53" t="str">
        <f>_xlfn.XLOOKUP(Master[[#This Row],[cu_id]],'[1]Customer Revenue'!$Q:$Q,'[1]Customer Revenue'!$L:$L, "None")</f>
        <v>None</v>
      </c>
      <c r="AG1278" s="53">
        <v>13.086419753086421</v>
      </c>
      <c r="AH1278" s="53">
        <v>26.913580246913579</v>
      </c>
      <c r="AI1278" s="53">
        <v>20</v>
      </c>
      <c r="AJ1278" s="53">
        <v>20</v>
      </c>
      <c r="AK1278" s="53" t="str">
        <f>_xlfn.XLOOKUP(Master[[#This Row],[cu_id]],'[1]Customer Revenue'!$Q:$Q,'[1]Customer Revenue'!$I:$I, "None")</f>
        <v>None</v>
      </c>
      <c r="AL1278" s="53">
        <v>20</v>
      </c>
      <c r="AM1278" s="61">
        <v>0.33333333333333331</v>
      </c>
      <c r="AN1278" s="60">
        <v>0.77083333333333337</v>
      </c>
      <c r="AO1278" s="60" t="s">
        <v>36</v>
      </c>
      <c r="AP1278" s="60" t="s">
        <v>36</v>
      </c>
      <c r="AQ1278" s="58" t="s">
        <v>308</v>
      </c>
      <c r="AR1278" s="58"/>
      <c r="AS1278" s="58"/>
      <c r="AT1278" s="52">
        <v>0</v>
      </c>
      <c r="AU1278" s="52">
        <f>IF(Master[[#This Row],[RSP StopTime override]] &lt;&gt; "",Master[[#This Row],[RSP StopTime override]],IF(Master[[#This Row],[Avg stop time helper]] &lt;&gt; 0, Master[[#This Row],[Avg stop time helper]],Average_Stop_Time))</f>
        <v>5</v>
      </c>
      <c r="AV1278" s="21">
        <v>5</v>
      </c>
      <c r="AW1278" s="20">
        <f>Master[[#This Row],[RSP StopTime override]]-Master[[#This Row],[Avg stop time helper]]</f>
        <v>5</v>
      </c>
    </row>
    <row r="1279" spans="1:49" x14ac:dyDescent="0.3">
      <c r="A1279" s="66" t="s">
        <v>5283</v>
      </c>
      <c r="B1279" s="58">
        <v>8010</v>
      </c>
      <c r="C1279" s="58" t="s">
        <v>35</v>
      </c>
      <c r="D1279" s="65">
        <v>885970</v>
      </c>
      <c r="E1279" s="65" t="s">
        <v>894</v>
      </c>
      <c r="F1279" s="65" t="s">
        <v>438</v>
      </c>
      <c r="G1279" s="65" t="s">
        <v>893</v>
      </c>
      <c r="H1279" s="65" t="s">
        <v>7</v>
      </c>
      <c r="I1279" s="65" t="s">
        <v>6</v>
      </c>
      <c r="J1279" s="65" t="s">
        <v>5</v>
      </c>
      <c r="K1279" s="65" t="s">
        <v>146</v>
      </c>
      <c r="L1279" s="64" t="s">
        <v>194</v>
      </c>
      <c r="M1279" s="58" t="s">
        <v>193</v>
      </c>
      <c r="N1279" s="58" t="s">
        <v>2</v>
      </c>
      <c r="O1279" s="58">
        <v>62</v>
      </c>
      <c r="P1279" s="58">
        <v>0</v>
      </c>
      <c r="Q1279" s="58">
        <v>20</v>
      </c>
      <c r="R1279" s="58">
        <v>0</v>
      </c>
      <c r="S1279" s="58">
        <v>0</v>
      </c>
      <c r="T1279" s="58">
        <v>0</v>
      </c>
      <c r="U1279" s="58">
        <v>10</v>
      </c>
      <c r="V1279" s="62"/>
      <c r="W1279" s="62"/>
      <c r="X1279" s="63">
        <f>IFERROR(1 -(Master[[#This Row],[Avg Garment Scans per Delivery]]/Master[[#This Row],[Garment Inventory]]), 0)</f>
        <v>0</v>
      </c>
      <c r="Y1279" s="62"/>
      <c r="Z1279" s="62"/>
      <c r="AA1279" s="53">
        <v>28.61</v>
      </c>
      <c r="AB1279" s="53">
        <v>28.61</v>
      </c>
      <c r="AC1279" s="53">
        <v>28.494444444444444</v>
      </c>
      <c r="AD1279" s="53">
        <v>29.41888888888889</v>
      </c>
      <c r="AE1279" s="53" t="str">
        <f>_xlfn.XLOOKUP(Master[[#This Row],[cu_id]],'[1]Customer Revenue'!$Q:$Q,'[1]Customer Revenue'!$K:$K, "None")</f>
        <v>None</v>
      </c>
      <c r="AF1279" s="53" t="str">
        <f>_xlfn.XLOOKUP(Master[[#This Row],[cu_id]],'[1]Customer Revenue'!$Q:$Q,'[1]Customer Revenue'!$L:$L, "None")</f>
        <v>None</v>
      </c>
      <c r="AG1279" s="53">
        <v>22.351562500000011</v>
      </c>
      <c r="AH1279" s="53">
        <v>34.868437499999999</v>
      </c>
      <c r="AI1279" s="53">
        <v>28.61</v>
      </c>
      <c r="AJ1279" s="53">
        <v>28.956666666666667</v>
      </c>
      <c r="AK1279" s="53" t="str">
        <f>_xlfn.XLOOKUP(Master[[#This Row],[cu_id]],'[1]Customer Revenue'!$Q:$Q,'[1]Customer Revenue'!$I:$I, "None")</f>
        <v>None</v>
      </c>
      <c r="AL1279" s="53">
        <v>28.610000000000007</v>
      </c>
      <c r="AM1279" s="61">
        <v>0.33333333333333331</v>
      </c>
      <c r="AN1279" s="60">
        <v>0.85416666666666663</v>
      </c>
      <c r="AO1279" s="60" t="s">
        <v>36</v>
      </c>
      <c r="AP1279" s="60" t="s">
        <v>36</v>
      </c>
      <c r="AQ1279" s="58" t="s">
        <v>308</v>
      </c>
      <c r="AR1279" s="58"/>
      <c r="AS1279" s="58"/>
      <c r="AT1279" s="52">
        <v>0</v>
      </c>
      <c r="AU1279" s="52">
        <f>IF(Master[[#This Row],[RSP StopTime override]] &lt;&gt; "",Master[[#This Row],[RSP StopTime override]],IF(Master[[#This Row],[Avg stop time helper]] &lt;&gt; 0, Master[[#This Row],[Avg stop time helper]],Average_Stop_Time))</f>
        <v>5</v>
      </c>
      <c r="AV1279" s="21">
        <v>5</v>
      </c>
      <c r="AW1279" s="20">
        <f>Master[[#This Row],[RSP StopTime override]]-Master[[#This Row],[Avg stop time helper]]</f>
        <v>5</v>
      </c>
    </row>
    <row r="1280" spans="1:49" x14ac:dyDescent="0.3">
      <c r="A1280" s="66" t="s">
        <v>5284</v>
      </c>
      <c r="B1280" s="58">
        <v>8010</v>
      </c>
      <c r="C1280" s="58" t="s">
        <v>35</v>
      </c>
      <c r="D1280" s="65">
        <v>886085</v>
      </c>
      <c r="E1280" s="65" t="s">
        <v>892</v>
      </c>
      <c r="F1280" s="65" t="s">
        <v>3761</v>
      </c>
      <c r="G1280" s="65" t="s">
        <v>891</v>
      </c>
      <c r="H1280" s="65" t="s">
        <v>7</v>
      </c>
      <c r="I1280" s="65" t="s">
        <v>6</v>
      </c>
      <c r="J1280" s="65" t="s">
        <v>5</v>
      </c>
      <c r="K1280" s="65" t="s">
        <v>146</v>
      </c>
      <c r="L1280" s="64" t="s">
        <v>91</v>
      </c>
      <c r="M1280" s="58" t="s">
        <v>90</v>
      </c>
      <c r="N1280" s="58" t="s">
        <v>2</v>
      </c>
      <c r="O1280" s="58">
        <v>65</v>
      </c>
      <c r="P1280" s="58">
        <v>0</v>
      </c>
      <c r="Q1280" s="58">
        <v>65</v>
      </c>
      <c r="R1280" s="58">
        <v>0</v>
      </c>
      <c r="S1280" s="58">
        <v>0</v>
      </c>
      <c r="T1280" s="58">
        <v>0</v>
      </c>
      <c r="U1280" s="58">
        <v>31</v>
      </c>
      <c r="V1280" s="62"/>
      <c r="W1280" s="62"/>
      <c r="X1280" s="63">
        <f>IFERROR(1 -(Master[[#This Row],[Avg Garment Scans per Delivery]]/Master[[#This Row],[Garment Inventory]]), 0)</f>
        <v>0</v>
      </c>
      <c r="Y1280" s="62"/>
      <c r="Z1280" s="62"/>
      <c r="AA1280" s="53">
        <v>33.295857988165679</v>
      </c>
      <c r="AB1280" s="53">
        <v>42.796449704142006</v>
      </c>
      <c r="AC1280" s="53">
        <v>28.008928571428569</v>
      </c>
      <c r="AD1280" s="53">
        <v>43.693928571428572</v>
      </c>
      <c r="AE1280" s="53" t="str">
        <f>_xlfn.XLOOKUP(Master[[#This Row],[cu_id]],'[1]Customer Revenue'!$Q:$Q,'[1]Customer Revenue'!$K:$K, "None")</f>
        <v>None</v>
      </c>
      <c r="AF1280" s="53" t="str">
        <f>_xlfn.XLOOKUP(Master[[#This Row],[cu_id]],'[1]Customer Revenue'!$Q:$Q,'[1]Customer Revenue'!$L:$L, "None")</f>
        <v>None</v>
      </c>
      <c r="AG1280" s="53">
        <v>35.670833333333341</v>
      </c>
      <c r="AH1280" s="53">
        <v>43.429166666666667</v>
      </c>
      <c r="AI1280" s="53">
        <v>38.046153846153842</v>
      </c>
      <c r="AJ1280" s="53">
        <v>35.851428571428571</v>
      </c>
      <c r="AK1280" s="53" t="str">
        <f>_xlfn.XLOOKUP(Master[[#This Row],[cu_id]],'[1]Customer Revenue'!$Q:$Q,'[1]Customer Revenue'!$I:$I, "None")</f>
        <v>None</v>
      </c>
      <c r="AL1280" s="53">
        <v>39.550000000000004</v>
      </c>
      <c r="AM1280" s="61">
        <v>0.41666666666666669</v>
      </c>
      <c r="AN1280" s="60">
        <v>0.8125</v>
      </c>
      <c r="AO1280" s="60" t="s">
        <v>36</v>
      </c>
      <c r="AP1280" s="60" t="s">
        <v>36</v>
      </c>
      <c r="AQ1280" s="58" t="s">
        <v>308</v>
      </c>
      <c r="AR1280" s="58"/>
      <c r="AS1280" s="58"/>
      <c r="AT1280" s="52">
        <v>0</v>
      </c>
      <c r="AU1280" s="52">
        <f>IF(Master[[#This Row],[RSP StopTime override]] &lt;&gt; "",Master[[#This Row],[RSP StopTime override]],IF(Master[[#This Row],[Avg stop time helper]] &lt;&gt; 0, Master[[#This Row],[Avg stop time helper]],Average_Stop_Time))</f>
        <v>10</v>
      </c>
      <c r="AV1280" s="21">
        <v>10</v>
      </c>
      <c r="AW1280" s="20">
        <f>Master[[#This Row],[RSP StopTime override]]-Master[[#This Row],[Avg stop time helper]]</f>
        <v>10</v>
      </c>
    </row>
    <row r="1281" spans="1:49" x14ac:dyDescent="0.3">
      <c r="A1281" s="66" t="s">
        <v>5285</v>
      </c>
      <c r="B1281" s="58">
        <v>8010</v>
      </c>
      <c r="C1281" s="58" t="s">
        <v>35</v>
      </c>
      <c r="D1281" s="65">
        <v>886809</v>
      </c>
      <c r="E1281" s="65" t="s">
        <v>890</v>
      </c>
      <c r="F1281" s="65" t="s">
        <v>435</v>
      </c>
      <c r="G1281" s="65" t="s">
        <v>889</v>
      </c>
      <c r="H1281" s="65" t="s">
        <v>7</v>
      </c>
      <c r="I1281" s="65" t="s">
        <v>161</v>
      </c>
      <c r="J1281" s="65" t="s">
        <v>5</v>
      </c>
      <c r="K1281" s="65" t="s">
        <v>146</v>
      </c>
      <c r="L1281" s="64" t="s">
        <v>77</v>
      </c>
      <c r="M1281" s="58" t="s">
        <v>29</v>
      </c>
      <c r="N1281" s="58" t="s">
        <v>2</v>
      </c>
      <c r="O1281" s="58">
        <v>127</v>
      </c>
      <c r="P1281" s="58">
        <v>0</v>
      </c>
      <c r="Q1281" s="58">
        <v>117</v>
      </c>
      <c r="R1281" s="58">
        <v>0</v>
      </c>
      <c r="S1281" s="58">
        <v>0</v>
      </c>
      <c r="T1281" s="58">
        <v>0</v>
      </c>
      <c r="U1281" s="58">
        <v>18</v>
      </c>
      <c r="V1281" s="62"/>
      <c r="W1281" s="62"/>
      <c r="X1281" s="63">
        <f>IFERROR(1 -(Master[[#This Row],[Avg Garment Scans per Delivery]]/Master[[#This Row],[Garment Inventory]]), 0)</f>
        <v>0</v>
      </c>
      <c r="Y1281" s="62"/>
      <c r="Z1281" s="62"/>
      <c r="AA1281" s="53">
        <v>33.4</v>
      </c>
      <c r="AB1281" s="53">
        <v>33.4</v>
      </c>
      <c r="AC1281" s="53">
        <v>34.264489795918358</v>
      </c>
      <c r="AD1281" s="53">
        <v>44.638367346938772</v>
      </c>
      <c r="AE1281" s="53" t="str">
        <f>_xlfn.XLOOKUP(Master[[#This Row],[cu_id]],'[1]Customer Revenue'!$Q:$Q,'[1]Customer Revenue'!$K:$K, "None")</f>
        <v>None</v>
      </c>
      <c r="AF1281" s="53" t="str">
        <f>_xlfn.XLOOKUP(Master[[#This Row],[cu_id]],'[1]Customer Revenue'!$Q:$Q,'[1]Customer Revenue'!$L:$L, "None")</f>
        <v>None</v>
      </c>
      <c r="AG1281" s="53">
        <v>26.301676528599593</v>
      </c>
      <c r="AH1281" s="53">
        <v>46.064990138067053</v>
      </c>
      <c r="AI1281" s="53">
        <v>33.4</v>
      </c>
      <c r="AJ1281" s="53">
        <v>39.451428571428565</v>
      </c>
      <c r="AK1281" s="53" t="str">
        <f>_xlfn.XLOOKUP(Master[[#This Row],[cu_id]],'[1]Customer Revenue'!$Q:$Q,'[1]Customer Revenue'!$I:$I, "None")</f>
        <v>None</v>
      </c>
      <c r="AL1281" s="53">
        <v>36.183333333333323</v>
      </c>
      <c r="AM1281" s="61">
        <v>0.375</v>
      </c>
      <c r="AN1281" s="60">
        <v>0.6875</v>
      </c>
      <c r="AO1281" s="60" t="s">
        <v>36</v>
      </c>
      <c r="AP1281" s="60" t="s">
        <v>36</v>
      </c>
      <c r="AQ1281" s="58" t="s">
        <v>308</v>
      </c>
      <c r="AR1281" s="58"/>
      <c r="AS1281" s="58"/>
      <c r="AT1281" s="52">
        <v>0</v>
      </c>
      <c r="AU1281" s="52">
        <f>IF(Master[[#This Row],[RSP StopTime override]] &lt;&gt; "",Master[[#This Row],[RSP StopTime override]],IF(Master[[#This Row],[Avg stop time helper]] &lt;&gt; 0, Master[[#This Row],[Avg stop time helper]],Average_Stop_Time))</f>
        <v>10</v>
      </c>
      <c r="AV1281" s="21">
        <v>10</v>
      </c>
      <c r="AW1281" s="20">
        <f>Master[[#This Row],[RSP StopTime override]]-Master[[#This Row],[Avg stop time helper]]</f>
        <v>10</v>
      </c>
    </row>
    <row r="1282" spans="1:49" x14ac:dyDescent="0.3">
      <c r="A1282" s="66" t="s">
        <v>5286</v>
      </c>
      <c r="B1282" s="58">
        <v>8010</v>
      </c>
      <c r="C1282" s="58" t="s">
        <v>35</v>
      </c>
      <c r="D1282" s="65">
        <v>888147</v>
      </c>
      <c r="E1282" s="65" t="s">
        <v>888</v>
      </c>
      <c r="F1282" s="65" t="s">
        <v>886</v>
      </c>
      <c r="G1282" s="65" t="s">
        <v>885</v>
      </c>
      <c r="H1282" s="65" t="s">
        <v>7</v>
      </c>
      <c r="I1282" s="65" t="s">
        <v>158</v>
      </c>
      <c r="J1282" s="65" t="s">
        <v>5</v>
      </c>
      <c r="K1282" s="65" t="s">
        <v>146</v>
      </c>
      <c r="L1282" s="64" t="s">
        <v>67</v>
      </c>
      <c r="M1282" s="58" t="s">
        <v>3</v>
      </c>
      <c r="N1282" s="58" t="s">
        <v>2</v>
      </c>
      <c r="O1282" s="58">
        <v>5</v>
      </c>
      <c r="P1282" s="58">
        <v>0</v>
      </c>
      <c r="Q1282" s="58">
        <v>10</v>
      </c>
      <c r="R1282" s="58">
        <v>0</v>
      </c>
      <c r="S1282" s="58">
        <v>0</v>
      </c>
      <c r="T1282" s="58">
        <v>0</v>
      </c>
      <c r="U1282" s="58">
        <v>40</v>
      </c>
      <c r="V1282" s="62">
        <v>705</v>
      </c>
      <c r="W1282" s="62">
        <v>53</v>
      </c>
      <c r="X1282" s="63">
        <f>IFERROR(1 -(Master[[#This Row],[Avg Garment Scans per Delivery]]/Master[[#This Row],[Garment Inventory]]), 0)</f>
        <v>0.924822695035461</v>
      </c>
      <c r="Y1282" s="62">
        <v>31</v>
      </c>
      <c r="Z1282" s="62">
        <v>516</v>
      </c>
      <c r="AA1282" s="53">
        <v>378.72508875739646</v>
      </c>
      <c r="AB1282" s="53">
        <v>399.72414201183432</v>
      </c>
      <c r="AC1282" s="53">
        <v>319.01700156985873</v>
      </c>
      <c r="AD1282" s="53">
        <v>443.68761381475667</v>
      </c>
      <c r="AE1282" s="53" t="str">
        <f>_xlfn.XLOOKUP(Master[[#This Row],[cu_id]],'[1]Customer Revenue'!$Q:$Q,'[1]Customer Revenue'!$K:$K, "None")</f>
        <v>None</v>
      </c>
      <c r="AF1282" s="53" t="str">
        <f>_xlfn.XLOOKUP(Master[[#This Row],[cu_id]],'[1]Customer Revenue'!$Q:$Q,'[1]Customer Revenue'!$L:$L, "None")</f>
        <v>None</v>
      </c>
      <c r="AG1282" s="53">
        <v>386.30103550295871</v>
      </c>
      <c r="AH1282" s="53">
        <v>404.24434911242611</v>
      </c>
      <c r="AI1282" s="53">
        <v>389.22461538461539</v>
      </c>
      <c r="AJ1282" s="53">
        <v>381.3523076923077</v>
      </c>
      <c r="AK1282" s="53" t="str">
        <f>_xlfn.XLOOKUP(Master[[#This Row],[cu_id]],'[1]Customer Revenue'!$Q:$Q,'[1]Customer Revenue'!$I:$I, "None")</f>
        <v>None</v>
      </c>
      <c r="AL1282" s="53">
        <v>395.27269230769241</v>
      </c>
      <c r="AM1282" s="61">
        <v>0.22916666666666666</v>
      </c>
      <c r="AN1282" s="60">
        <v>0.6875</v>
      </c>
      <c r="AO1282" s="60" t="s">
        <v>36</v>
      </c>
      <c r="AP1282" s="60" t="s">
        <v>36</v>
      </c>
      <c r="AQ1282" s="58" t="s">
        <v>0</v>
      </c>
      <c r="AR1282" s="58"/>
      <c r="AS1282" s="58"/>
      <c r="AT1282" s="52">
        <v>0</v>
      </c>
      <c r="AU1282" s="52" t="e">
        <f>IF(Master[[#This Row],[RSP StopTime override]] &lt;&gt; "",Master[[#This Row],[RSP StopTime override]],IF(Master[[#This Row],[Avg stop time helper]] &lt;&gt; 0, Master[[#This Row],[Avg stop time helper]],Average_Stop_Time))</f>
        <v>#DIV/0!</v>
      </c>
      <c r="AV1282" s="21"/>
      <c r="AW1282" s="20">
        <f>Master[[#This Row],[RSP StopTime override]]-Master[[#This Row],[Avg stop time helper]]</f>
        <v>0</v>
      </c>
    </row>
    <row r="1283" spans="1:49" x14ac:dyDescent="0.3">
      <c r="A1283" s="66" t="s">
        <v>5287</v>
      </c>
      <c r="B1283" s="58">
        <v>8010</v>
      </c>
      <c r="C1283" s="58" t="s">
        <v>35</v>
      </c>
      <c r="D1283" s="65">
        <v>888147</v>
      </c>
      <c r="E1283" s="65" t="s">
        <v>887</v>
      </c>
      <c r="F1283" s="65" t="s">
        <v>886</v>
      </c>
      <c r="G1283" s="65" t="s">
        <v>885</v>
      </c>
      <c r="H1283" s="65" t="s">
        <v>7</v>
      </c>
      <c r="I1283" s="65" t="s">
        <v>161</v>
      </c>
      <c r="J1283" s="65" t="s">
        <v>5</v>
      </c>
      <c r="K1283" s="65" t="s">
        <v>884</v>
      </c>
      <c r="L1283" s="64" t="s">
        <v>67</v>
      </c>
      <c r="M1283" s="58" t="s">
        <v>3</v>
      </c>
      <c r="N1283" s="58" t="s">
        <v>2</v>
      </c>
      <c r="O1283" s="58">
        <v>5</v>
      </c>
      <c r="P1283" s="58">
        <v>0</v>
      </c>
      <c r="Q1283" s="58">
        <v>5</v>
      </c>
      <c r="R1283" s="58">
        <v>0</v>
      </c>
      <c r="S1283" s="58">
        <v>0</v>
      </c>
      <c r="T1283" s="58">
        <v>0</v>
      </c>
      <c r="U1283" s="58">
        <v>43</v>
      </c>
      <c r="V1283" s="62"/>
      <c r="W1283" s="62"/>
      <c r="X1283" s="63">
        <f>IFERROR(1 -(Master[[#This Row],[Avg Garment Scans per Delivery]]/Master[[#This Row],[Garment Inventory]]), 0)</f>
        <v>0</v>
      </c>
      <c r="Y1283" s="62"/>
      <c r="Z1283" s="62"/>
      <c r="AA1283" s="53">
        <v>233.41727810650886</v>
      </c>
      <c r="AB1283" s="53">
        <v>336.33964497041416</v>
      </c>
      <c r="AC1283" s="53">
        <v>254.47248520710059</v>
      </c>
      <c r="AD1283" s="53">
        <v>385.00289940828407</v>
      </c>
      <c r="AE1283" s="53" t="str">
        <f>_xlfn.XLOOKUP(Master[[#This Row],[cu_id]],'[1]Customer Revenue'!$Q:$Q,'[1]Customer Revenue'!$K:$K, "None")</f>
        <v>None</v>
      </c>
      <c r="AF1283" s="53" t="str">
        <f>_xlfn.XLOOKUP(Master[[#This Row],[cu_id]],'[1]Customer Revenue'!$Q:$Q,'[1]Customer Revenue'!$L:$L, "None")</f>
        <v>None</v>
      </c>
      <c r="AG1283" s="53">
        <v>215.04002551020409</v>
      </c>
      <c r="AH1283" s="53">
        <v>444.90068877551022</v>
      </c>
      <c r="AI1283" s="53">
        <v>284.87846153846152</v>
      </c>
      <c r="AJ1283" s="53">
        <v>319.73769230769233</v>
      </c>
      <c r="AK1283" s="53" t="str">
        <f>_xlfn.XLOOKUP(Master[[#This Row],[cu_id]],'[1]Customer Revenue'!$Q:$Q,'[1]Customer Revenue'!$I:$I, "None")</f>
        <v>None</v>
      </c>
      <c r="AL1283" s="53">
        <v>329.97035714285715</v>
      </c>
      <c r="AM1283" s="61">
        <v>0.22916666666666666</v>
      </c>
      <c r="AN1283" s="60">
        <v>0.6875</v>
      </c>
      <c r="AO1283" s="60" t="s">
        <v>36</v>
      </c>
      <c r="AP1283" s="60" t="s">
        <v>36</v>
      </c>
      <c r="AQ1283" s="58" t="s">
        <v>0</v>
      </c>
      <c r="AR1283" s="58"/>
      <c r="AS1283" s="58"/>
      <c r="AT1283" s="52">
        <v>0</v>
      </c>
      <c r="AU1283" s="52" t="e">
        <f>IF(Master[[#This Row],[RSP StopTime override]] &lt;&gt; "",Master[[#This Row],[RSP StopTime override]],IF(Master[[#This Row],[Avg stop time helper]] &lt;&gt; 0, Master[[#This Row],[Avg stop time helper]],Average_Stop_Time))</f>
        <v>#DIV/0!</v>
      </c>
      <c r="AV1283" s="21"/>
      <c r="AW1283" s="20">
        <f>Master[[#This Row],[RSP StopTime override]]-Master[[#This Row],[Avg stop time helper]]</f>
        <v>0</v>
      </c>
    </row>
    <row r="1284" spans="1:49" x14ac:dyDescent="0.3">
      <c r="A1284" s="66" t="s">
        <v>5288</v>
      </c>
      <c r="B1284" s="58">
        <v>8010</v>
      </c>
      <c r="C1284" s="58" t="s">
        <v>10</v>
      </c>
      <c r="D1284" s="65">
        <v>533577</v>
      </c>
      <c r="E1284" s="65" t="s">
        <v>42</v>
      </c>
      <c r="F1284" s="65" t="s">
        <v>883</v>
      </c>
      <c r="G1284" s="65" t="s">
        <v>882</v>
      </c>
      <c r="H1284" s="65" t="s">
        <v>7</v>
      </c>
      <c r="I1284" s="65" t="s">
        <v>881</v>
      </c>
      <c r="J1284" s="65" t="s">
        <v>5</v>
      </c>
      <c r="K1284" s="65" t="s">
        <v>806</v>
      </c>
      <c r="L1284" s="64" t="s">
        <v>77</v>
      </c>
      <c r="M1284" s="58" t="s">
        <v>29</v>
      </c>
      <c r="N1284" s="58" t="s">
        <v>2</v>
      </c>
      <c r="O1284" s="58">
        <v>57</v>
      </c>
      <c r="P1284" s="58">
        <v>0</v>
      </c>
      <c r="Q1284" s="58">
        <v>0</v>
      </c>
      <c r="R1284" s="58">
        <v>1</v>
      </c>
      <c r="S1284" s="58">
        <v>0</v>
      </c>
      <c r="T1284" s="58">
        <v>0</v>
      </c>
      <c r="U1284" s="58">
        <v>2</v>
      </c>
      <c r="V1284" s="62"/>
      <c r="W1284" s="62"/>
      <c r="X1284" s="63">
        <f>IFERROR(1 -(Master[[#This Row],[Avg Garment Scans per Delivery]]/Master[[#This Row],[Garment Inventory]]), 0)</f>
        <v>0</v>
      </c>
      <c r="Y1284" s="62"/>
      <c r="Z1284" s="62"/>
      <c r="AA1284" s="53">
        <v>40.9</v>
      </c>
      <c r="AB1284" s="53">
        <v>40.9</v>
      </c>
      <c r="AC1284" s="53">
        <v>46.052040816326539</v>
      </c>
      <c r="AD1284" s="53">
        <v>50.173673469387751</v>
      </c>
      <c r="AE1284" s="53" t="str">
        <f>_xlfn.XLOOKUP(Master[[#This Row],[cu_id]],'[1]Customer Revenue'!$Q:$Q,'[1]Customer Revenue'!$K:$K, "None")</f>
        <v>None</v>
      </c>
      <c r="AF1284" s="53" t="str">
        <f>_xlfn.XLOOKUP(Master[[#This Row],[cu_id]],'[1]Customer Revenue'!$Q:$Q,'[1]Customer Revenue'!$L:$L, "None")</f>
        <v>None</v>
      </c>
      <c r="AG1284" s="53">
        <v>40.9</v>
      </c>
      <c r="AH1284" s="53">
        <v>40.9</v>
      </c>
      <c r="AI1284" s="53">
        <v>40.9</v>
      </c>
      <c r="AJ1284" s="53">
        <v>48.112857142857145</v>
      </c>
      <c r="AK1284" s="53" t="str">
        <f>_xlfn.XLOOKUP(Master[[#This Row],[cu_id]],'[1]Customer Revenue'!$Q:$Q,'[1]Customer Revenue'!$I:$I, "None")</f>
        <v>None</v>
      </c>
      <c r="AL1284" s="53">
        <v>40.9</v>
      </c>
      <c r="AM1284" s="61">
        <v>0.35416666666666669</v>
      </c>
      <c r="AN1284" s="60">
        <v>0.8125</v>
      </c>
      <c r="AO1284" s="60" t="s">
        <v>36</v>
      </c>
      <c r="AP1284" s="60" t="s">
        <v>36</v>
      </c>
      <c r="AQ1284" s="58" t="s">
        <v>589</v>
      </c>
      <c r="AR1284" s="58"/>
      <c r="AS1284" s="58"/>
      <c r="AT1284" s="52">
        <v>0</v>
      </c>
      <c r="AU1284" s="52">
        <f>IF(Master[[#This Row],[RSP StopTime override]] &lt;&gt; "",Master[[#This Row],[RSP StopTime override]],IF(Master[[#This Row],[Avg stop time helper]] &lt;&gt; 0, Master[[#This Row],[Avg stop time helper]],Average_Stop_Time))</f>
        <v>15</v>
      </c>
      <c r="AV1284" s="21">
        <v>15</v>
      </c>
      <c r="AW1284" s="20">
        <f>Master[[#This Row],[RSP StopTime override]]-Master[[#This Row],[Avg stop time helper]]</f>
        <v>15</v>
      </c>
    </row>
    <row r="1285" spans="1:49" x14ac:dyDescent="0.3">
      <c r="A1285" s="81" t="s">
        <v>5289</v>
      </c>
      <c r="B1285" s="79">
        <v>8010</v>
      </c>
      <c r="C1285" s="79" t="s">
        <v>10</v>
      </c>
      <c r="D1285" s="80">
        <v>533629</v>
      </c>
      <c r="E1285" s="80">
        <v>0</v>
      </c>
      <c r="F1285" s="79" t="s">
        <v>880</v>
      </c>
      <c r="G1285" s="79" t="s">
        <v>879</v>
      </c>
      <c r="H1285" s="79" t="s">
        <v>7</v>
      </c>
      <c r="I1285" s="79" t="s">
        <v>814</v>
      </c>
      <c r="J1285" s="79" t="s">
        <v>5</v>
      </c>
      <c r="K1285" s="79" t="s">
        <v>813</v>
      </c>
      <c r="L1285" s="79">
        <v>7</v>
      </c>
      <c r="M1285" s="79" t="s">
        <v>3</v>
      </c>
      <c r="N1285" s="79" t="s">
        <v>2</v>
      </c>
      <c r="O1285" s="58">
        <v>1</v>
      </c>
      <c r="P1285" s="79">
        <v>0</v>
      </c>
      <c r="Q1285" s="79">
        <v>0</v>
      </c>
      <c r="R1285" s="79">
        <v>1</v>
      </c>
      <c r="S1285" s="79">
        <v>0</v>
      </c>
      <c r="T1285" s="79">
        <v>0</v>
      </c>
      <c r="U1285" s="79">
        <v>2</v>
      </c>
      <c r="V1285" s="79"/>
      <c r="W1285" s="79"/>
      <c r="X1285" s="79"/>
      <c r="Y1285" s="79"/>
      <c r="Z1285" s="79"/>
      <c r="AA1285" s="78">
        <v>42.4</v>
      </c>
      <c r="AB1285" s="78"/>
      <c r="AC1285" s="78"/>
      <c r="AD1285" s="78"/>
      <c r="AE1285" s="53" t="str">
        <f>_xlfn.XLOOKUP(Master[[#This Row],[cu_id]],'[1]Customer Revenue'!$Q:$Q,'[1]Customer Revenue'!$K:$K, "None")</f>
        <v>None</v>
      </c>
      <c r="AF1285" s="53" t="str">
        <f>_xlfn.XLOOKUP(Master[[#This Row],[cu_id]],'[1]Customer Revenue'!$Q:$Q,'[1]Customer Revenue'!$L:$L, "None")</f>
        <v>None</v>
      </c>
      <c r="AG1285" s="78"/>
      <c r="AH1285" s="78"/>
      <c r="AI1285" s="78"/>
      <c r="AJ1285" s="78">
        <v>50.15</v>
      </c>
      <c r="AK1285" s="53" t="str">
        <f>_xlfn.XLOOKUP(Master[[#This Row],[cu_id]],'[1]Customer Revenue'!$Q:$Q,'[1]Customer Revenue'!$I:$I, "None")</f>
        <v>None</v>
      </c>
      <c r="AL1285" s="78"/>
      <c r="AM1285" s="77" t="s">
        <v>1</v>
      </c>
      <c r="AN1285" s="77" t="s">
        <v>1</v>
      </c>
      <c r="AO1285" s="77" t="s">
        <v>36</v>
      </c>
      <c r="AP1285" s="77" t="s">
        <v>36</v>
      </c>
      <c r="AQ1285" s="77" t="s">
        <v>0</v>
      </c>
      <c r="AR1285" s="77"/>
      <c r="AS1285" s="76"/>
      <c r="AT1285" s="76"/>
      <c r="AU1285" s="76"/>
      <c r="AV1285" s="75"/>
      <c r="AW1285" s="20">
        <f>Master[[#This Row],[RSP StopTime override]]-Master[[#This Row],[Avg stop time helper]]</f>
        <v>0</v>
      </c>
    </row>
    <row r="1286" spans="1:49" x14ac:dyDescent="0.3">
      <c r="A1286" s="66" t="s">
        <v>5290</v>
      </c>
      <c r="B1286" s="58">
        <v>8010</v>
      </c>
      <c r="C1286" s="58" t="s">
        <v>10</v>
      </c>
      <c r="D1286" s="65">
        <v>800079</v>
      </c>
      <c r="E1286" s="65" t="s">
        <v>42</v>
      </c>
      <c r="F1286" s="65" t="s">
        <v>878</v>
      </c>
      <c r="G1286" s="65" t="s">
        <v>877</v>
      </c>
      <c r="H1286" s="65" t="s">
        <v>7</v>
      </c>
      <c r="I1286" s="65" t="s">
        <v>814</v>
      </c>
      <c r="J1286" s="65" t="s">
        <v>5</v>
      </c>
      <c r="K1286" s="65" t="s">
        <v>813</v>
      </c>
      <c r="L1286" s="64" t="s">
        <v>141</v>
      </c>
      <c r="M1286" s="58" t="s">
        <v>140</v>
      </c>
      <c r="N1286" s="58" t="s">
        <v>2</v>
      </c>
      <c r="O1286" s="58">
        <v>73</v>
      </c>
      <c r="P1286" s="58">
        <v>0</v>
      </c>
      <c r="Q1286" s="58">
        <v>0</v>
      </c>
      <c r="R1286" s="58">
        <v>73</v>
      </c>
      <c r="S1286" s="58">
        <v>0</v>
      </c>
      <c r="T1286" s="58">
        <v>0</v>
      </c>
      <c r="U1286" s="58">
        <v>10</v>
      </c>
      <c r="V1286" s="62"/>
      <c r="W1286" s="62"/>
      <c r="X1286" s="63">
        <f>IFERROR(1 -(Master[[#This Row],[Avg Garment Scans per Delivery]]/Master[[#This Row],[Garment Inventory]]), 0)</f>
        <v>0</v>
      </c>
      <c r="Y1286" s="62"/>
      <c r="Z1286" s="62"/>
      <c r="AA1286" s="53">
        <v>28.59</v>
      </c>
      <c r="AB1286" s="53">
        <v>28.59</v>
      </c>
      <c r="AC1286" s="53">
        <v>28.45888888888889</v>
      </c>
      <c r="AD1286" s="53">
        <v>29.507777777777779</v>
      </c>
      <c r="AE1286" s="53" t="str">
        <f>_xlfn.XLOOKUP(Master[[#This Row],[cu_id]],'[1]Customer Revenue'!$Q:$Q,'[1]Customer Revenue'!$K:$K, "None")</f>
        <v>None</v>
      </c>
      <c r="AF1286" s="53" t="str">
        <f>_xlfn.XLOOKUP(Master[[#This Row],[cu_id]],'[1]Customer Revenue'!$Q:$Q,'[1]Customer Revenue'!$L:$L, "None")</f>
        <v>None</v>
      </c>
      <c r="AG1286" s="53">
        <v>22.3359375</v>
      </c>
      <c r="AH1286" s="53">
        <v>34.8440625</v>
      </c>
      <c r="AI1286" s="53">
        <v>28.59</v>
      </c>
      <c r="AJ1286" s="53">
        <v>28.983333333333334</v>
      </c>
      <c r="AK1286" s="53" t="str">
        <f>_xlfn.XLOOKUP(Master[[#This Row],[cu_id]],'[1]Customer Revenue'!$Q:$Q,'[1]Customer Revenue'!$I:$I, "None")</f>
        <v>None</v>
      </c>
      <c r="AL1286" s="53">
        <v>28.59</v>
      </c>
      <c r="AM1286" s="61">
        <v>0.29166666666666669</v>
      </c>
      <c r="AN1286" s="60">
        <v>0.64583333333333337</v>
      </c>
      <c r="AO1286" s="60" t="s">
        <v>36</v>
      </c>
      <c r="AP1286" s="60" t="s">
        <v>36</v>
      </c>
      <c r="AQ1286" s="58" t="s">
        <v>0</v>
      </c>
      <c r="AR1286" s="58"/>
      <c r="AS1286" s="58"/>
      <c r="AT1286" s="52">
        <v>0</v>
      </c>
      <c r="AU1286" s="52" t="e">
        <f>IF(Master[[#This Row],[RSP StopTime override]] &lt;&gt; "",Master[[#This Row],[RSP StopTime override]],IF(Master[[#This Row],[Avg stop time helper]] &lt;&gt; 0, Master[[#This Row],[Avg stop time helper]],Average_Stop_Time))</f>
        <v>#DIV/0!</v>
      </c>
      <c r="AV1286" s="21"/>
      <c r="AW1286" s="20">
        <f>Master[[#This Row],[RSP StopTime override]]-Master[[#This Row],[Avg stop time helper]]</f>
        <v>0</v>
      </c>
    </row>
    <row r="1287" spans="1:49" x14ac:dyDescent="0.3">
      <c r="A1287" s="66" t="s">
        <v>5291</v>
      </c>
      <c r="B1287" s="58">
        <v>8010</v>
      </c>
      <c r="C1287" s="58" t="s">
        <v>10</v>
      </c>
      <c r="D1287" s="65">
        <v>803773</v>
      </c>
      <c r="E1287" s="65" t="s">
        <v>42</v>
      </c>
      <c r="F1287" s="65" t="s">
        <v>876</v>
      </c>
      <c r="G1287" s="65" t="s">
        <v>875</v>
      </c>
      <c r="H1287" s="65" t="s">
        <v>7</v>
      </c>
      <c r="I1287" s="65" t="s">
        <v>814</v>
      </c>
      <c r="J1287" s="65" t="s">
        <v>5</v>
      </c>
      <c r="K1287" s="65" t="s">
        <v>813</v>
      </c>
      <c r="L1287" s="64" t="s">
        <v>77</v>
      </c>
      <c r="M1287" s="58" t="s">
        <v>29</v>
      </c>
      <c r="N1287" s="58" t="s">
        <v>2</v>
      </c>
      <c r="O1287" s="58">
        <v>85</v>
      </c>
      <c r="P1287" s="58">
        <v>0</v>
      </c>
      <c r="Q1287" s="58">
        <v>0</v>
      </c>
      <c r="R1287" s="58">
        <v>85</v>
      </c>
      <c r="S1287" s="58">
        <v>0</v>
      </c>
      <c r="T1287" s="58">
        <v>0</v>
      </c>
      <c r="U1287" s="58">
        <v>31</v>
      </c>
      <c r="V1287" s="62"/>
      <c r="W1287" s="62"/>
      <c r="X1287" s="63">
        <f>IFERROR(1 -(Master[[#This Row],[Avg Garment Scans per Delivery]]/Master[[#This Row],[Garment Inventory]]), 0)</f>
        <v>0</v>
      </c>
      <c r="Y1287" s="62"/>
      <c r="Z1287" s="62"/>
      <c r="AA1287" s="53">
        <v>137.35000000000002</v>
      </c>
      <c r="AB1287" s="53">
        <v>243.17000000000002</v>
      </c>
      <c r="AC1287" s="53">
        <v>140.792925170068</v>
      </c>
      <c r="AD1287" s="53">
        <v>414.87374149659865</v>
      </c>
      <c r="AE1287" s="53" t="str">
        <f>_xlfn.XLOOKUP(Master[[#This Row],[cu_id]],'[1]Customer Revenue'!$Q:$Q,'[1]Customer Revenue'!$K:$K, "None")</f>
        <v>None</v>
      </c>
      <c r="AF1287" s="53" t="str">
        <f>_xlfn.XLOOKUP(Master[[#This Row],[cu_id]],'[1]Customer Revenue'!$Q:$Q,'[1]Customer Revenue'!$L:$L, "None")</f>
        <v>None</v>
      </c>
      <c r="AG1287" s="53">
        <v>114.50425925925927</v>
      </c>
      <c r="AH1287" s="53">
        <v>193.77685185185189</v>
      </c>
      <c r="AI1287" s="53">
        <v>190.26000000000002</v>
      </c>
      <c r="AJ1287" s="53">
        <v>277.83333333333331</v>
      </c>
      <c r="AK1287" s="53" t="str">
        <f>_xlfn.XLOOKUP(Master[[#This Row],[cu_id]],'[1]Customer Revenue'!$Q:$Q,'[1]Customer Revenue'!$I:$I, "None")</f>
        <v>None</v>
      </c>
      <c r="AL1287" s="53">
        <v>154.14055555555558</v>
      </c>
      <c r="AM1287" s="61" t="s">
        <v>36</v>
      </c>
      <c r="AN1287" s="60" t="s">
        <v>36</v>
      </c>
      <c r="AO1287" s="60" t="s">
        <v>36</v>
      </c>
      <c r="AP1287" s="60" t="s">
        <v>36</v>
      </c>
      <c r="AQ1287" s="58" t="s">
        <v>308</v>
      </c>
      <c r="AR1287" s="58"/>
      <c r="AS1287" s="58"/>
      <c r="AT1287" s="52">
        <v>0</v>
      </c>
      <c r="AU1287" s="52" t="e">
        <f>IF(Master[[#This Row],[RSP StopTime override]] &lt;&gt; "",Master[[#This Row],[RSP StopTime override]],IF(Master[[#This Row],[Avg stop time helper]] &lt;&gt; 0, Master[[#This Row],[Avg stop time helper]],Average_Stop_Time))</f>
        <v>#DIV/0!</v>
      </c>
      <c r="AV1287" s="21"/>
      <c r="AW1287" s="20">
        <f>Master[[#This Row],[RSP StopTime override]]-Master[[#This Row],[Avg stop time helper]]</f>
        <v>0</v>
      </c>
    </row>
    <row r="1288" spans="1:49" x14ac:dyDescent="0.3">
      <c r="A1288" s="66" t="s">
        <v>5292</v>
      </c>
      <c r="B1288" s="58">
        <v>8010</v>
      </c>
      <c r="C1288" s="58" t="s">
        <v>10</v>
      </c>
      <c r="D1288" s="65">
        <v>804021</v>
      </c>
      <c r="E1288" s="65" t="s">
        <v>42</v>
      </c>
      <c r="F1288" s="65" t="s">
        <v>874</v>
      </c>
      <c r="G1288" s="65" t="s">
        <v>873</v>
      </c>
      <c r="H1288" s="65" t="s">
        <v>7</v>
      </c>
      <c r="I1288" s="65" t="s">
        <v>738</v>
      </c>
      <c r="J1288" s="65" t="s">
        <v>5</v>
      </c>
      <c r="K1288" s="65" t="s">
        <v>806</v>
      </c>
      <c r="L1288" s="64" t="s">
        <v>77</v>
      </c>
      <c r="M1288" s="58" t="s">
        <v>29</v>
      </c>
      <c r="N1288" s="58" t="s">
        <v>2</v>
      </c>
      <c r="O1288" s="58">
        <v>125</v>
      </c>
      <c r="P1288" s="58">
        <v>0</v>
      </c>
      <c r="Q1288" s="58">
        <v>0</v>
      </c>
      <c r="R1288" s="58">
        <v>125</v>
      </c>
      <c r="S1288" s="58">
        <v>0</v>
      </c>
      <c r="T1288" s="58">
        <v>0</v>
      </c>
      <c r="U1288" s="58">
        <v>19</v>
      </c>
      <c r="V1288" s="62"/>
      <c r="W1288" s="62"/>
      <c r="X1288" s="63">
        <f>IFERROR(1 -(Master[[#This Row],[Avg Garment Scans per Delivery]]/Master[[#This Row],[Garment Inventory]]), 0)</f>
        <v>0</v>
      </c>
      <c r="Y1288" s="62"/>
      <c r="Z1288" s="62"/>
      <c r="AA1288" s="53">
        <v>21.095555555555556</v>
      </c>
      <c r="AB1288" s="53">
        <v>25.691111111111113</v>
      </c>
      <c r="AC1288" s="53">
        <v>22.346734693877551</v>
      </c>
      <c r="AD1288" s="53">
        <v>32.198979591836739</v>
      </c>
      <c r="AE1288" s="53" t="str">
        <f>_xlfn.XLOOKUP(Master[[#This Row],[cu_id]],'[1]Customer Revenue'!$Q:$Q,'[1]Customer Revenue'!$K:$K, "None")</f>
        <v>None</v>
      </c>
      <c r="AF1288" s="53" t="str">
        <f>_xlfn.XLOOKUP(Master[[#This Row],[cu_id]],'[1]Customer Revenue'!$Q:$Q,'[1]Customer Revenue'!$L:$L, "None")</f>
        <v>None</v>
      </c>
      <c r="AG1288" s="53">
        <v>23.046627218934919</v>
      </c>
      <c r="AH1288" s="53">
        <v>27.451834319526629</v>
      </c>
      <c r="AI1288" s="53">
        <v>23.393333333333334</v>
      </c>
      <c r="AJ1288" s="53">
        <v>27.272857142857145</v>
      </c>
      <c r="AK1288" s="53" t="str">
        <f>_xlfn.XLOOKUP(Master[[#This Row],[cu_id]],'[1]Customer Revenue'!$Q:$Q,'[1]Customer Revenue'!$I:$I, "None")</f>
        <v>None</v>
      </c>
      <c r="AL1288" s="53">
        <v>25.249230769230774</v>
      </c>
      <c r="AM1288" s="61">
        <v>0.39583333333333331</v>
      </c>
      <c r="AN1288" s="60">
        <v>0.875</v>
      </c>
      <c r="AO1288" s="60" t="s">
        <v>36</v>
      </c>
      <c r="AP1288" s="60" t="s">
        <v>36</v>
      </c>
      <c r="AQ1288" s="58" t="s">
        <v>308</v>
      </c>
      <c r="AR1288" s="58"/>
      <c r="AS1288" s="58"/>
      <c r="AT1288" s="52">
        <v>0</v>
      </c>
      <c r="AU1288" s="52">
        <f>IF(Master[[#This Row],[RSP StopTime override]] &lt;&gt; "",Master[[#This Row],[RSP StopTime override]],IF(Master[[#This Row],[Avg stop time helper]] &lt;&gt; 0, Master[[#This Row],[Avg stop time helper]],Average_Stop_Time))</f>
        <v>10</v>
      </c>
      <c r="AV1288" s="21">
        <v>10</v>
      </c>
      <c r="AW1288" s="20">
        <f>Master[[#This Row],[RSP StopTime override]]-Master[[#This Row],[Avg stop time helper]]</f>
        <v>10</v>
      </c>
    </row>
    <row r="1289" spans="1:49" x14ac:dyDescent="0.3">
      <c r="A1289" s="66" t="s">
        <v>5293</v>
      </c>
      <c r="B1289" s="58">
        <v>8010</v>
      </c>
      <c r="C1289" s="58" t="s">
        <v>10</v>
      </c>
      <c r="D1289" s="65">
        <v>804051</v>
      </c>
      <c r="E1289" s="65" t="s">
        <v>42</v>
      </c>
      <c r="F1289" s="65" t="s">
        <v>872</v>
      </c>
      <c r="G1289" s="65" t="s">
        <v>871</v>
      </c>
      <c r="H1289" s="65" t="s">
        <v>7</v>
      </c>
      <c r="I1289" s="65" t="s">
        <v>738</v>
      </c>
      <c r="J1289" s="65" t="s">
        <v>5</v>
      </c>
      <c r="K1289" s="65" t="s">
        <v>806</v>
      </c>
      <c r="L1289" s="64" t="s">
        <v>67</v>
      </c>
      <c r="M1289" s="58" t="s">
        <v>3</v>
      </c>
      <c r="N1289" s="58" t="s">
        <v>2</v>
      </c>
      <c r="O1289" s="58">
        <v>180</v>
      </c>
      <c r="P1289" s="58">
        <v>0</v>
      </c>
      <c r="Q1289" s="58">
        <v>0</v>
      </c>
      <c r="R1289" s="58">
        <v>180</v>
      </c>
      <c r="S1289" s="58">
        <v>0</v>
      </c>
      <c r="T1289" s="58">
        <v>0</v>
      </c>
      <c r="U1289" s="58">
        <v>12</v>
      </c>
      <c r="V1289" s="62"/>
      <c r="W1289" s="62"/>
      <c r="X1289" s="63">
        <f>IFERROR(1 -(Master[[#This Row],[Avg Garment Scans per Delivery]]/Master[[#This Row],[Garment Inventory]]), 0)</f>
        <v>0</v>
      </c>
      <c r="Y1289" s="62"/>
      <c r="Z1289" s="62"/>
      <c r="AA1289" s="53"/>
      <c r="AB1289" s="53"/>
      <c r="AC1289" s="53">
        <v>65.655308641975324</v>
      </c>
      <c r="AD1289" s="53">
        <v>125.22469135802467</v>
      </c>
      <c r="AE1289" s="53" t="str">
        <f>_xlfn.XLOOKUP(Master[[#This Row],[cu_id]],'[1]Customer Revenue'!$Q:$Q,'[1]Customer Revenue'!$K:$K, "None")</f>
        <v>None</v>
      </c>
      <c r="AF1289" s="53" t="str">
        <f>_xlfn.XLOOKUP(Master[[#This Row],[cu_id]],'[1]Customer Revenue'!$Q:$Q,'[1]Customer Revenue'!$L:$L, "None")</f>
        <v>None</v>
      </c>
      <c r="AG1289" s="53"/>
      <c r="AH1289" s="53"/>
      <c r="AI1289" s="53"/>
      <c r="AJ1289" s="53">
        <v>95.44</v>
      </c>
      <c r="AK1289" s="53" t="str">
        <f>_xlfn.XLOOKUP(Master[[#This Row],[cu_id]],'[1]Customer Revenue'!$Q:$Q,'[1]Customer Revenue'!$I:$I, "None")</f>
        <v>None</v>
      </c>
      <c r="AL1289" s="53"/>
      <c r="AM1289" s="61">
        <v>0.39583333333333331</v>
      </c>
      <c r="AN1289" s="60">
        <v>0.6875</v>
      </c>
      <c r="AO1289" s="60" t="s">
        <v>36</v>
      </c>
      <c r="AP1289" s="60" t="s">
        <v>36</v>
      </c>
      <c r="AQ1289" s="58" t="s">
        <v>0</v>
      </c>
      <c r="AR1289" s="58"/>
      <c r="AS1289" s="58"/>
      <c r="AT1289" s="52">
        <v>0</v>
      </c>
      <c r="AU1289" s="52" t="e">
        <f>IF(Master[[#This Row],[RSP StopTime override]] &lt;&gt; "",Master[[#This Row],[RSP StopTime override]],IF(Master[[#This Row],[Avg stop time helper]] &lt;&gt; 0, Master[[#This Row],[Avg stop time helper]],Average_Stop_Time))</f>
        <v>#DIV/0!</v>
      </c>
      <c r="AV1289" s="21"/>
      <c r="AW1289" s="20">
        <f>Master[[#This Row],[RSP StopTime override]]-Master[[#This Row],[Avg stop time helper]]</f>
        <v>0</v>
      </c>
    </row>
    <row r="1290" spans="1:49" x14ac:dyDescent="0.3">
      <c r="A1290" s="66" t="s">
        <v>5294</v>
      </c>
      <c r="B1290" s="58">
        <v>8010</v>
      </c>
      <c r="C1290" s="58" t="s">
        <v>10</v>
      </c>
      <c r="D1290" s="65">
        <v>804060</v>
      </c>
      <c r="E1290" s="65" t="s">
        <v>42</v>
      </c>
      <c r="F1290" s="65" t="s">
        <v>870</v>
      </c>
      <c r="G1290" s="65" t="s">
        <v>869</v>
      </c>
      <c r="H1290" s="65" t="s">
        <v>7</v>
      </c>
      <c r="I1290" s="65" t="s">
        <v>6</v>
      </c>
      <c r="J1290" s="65" t="s">
        <v>5</v>
      </c>
      <c r="K1290" s="65" t="s">
        <v>4</v>
      </c>
      <c r="L1290" s="64" t="s">
        <v>91</v>
      </c>
      <c r="M1290" s="58" t="s">
        <v>90</v>
      </c>
      <c r="N1290" s="58" t="s">
        <v>2</v>
      </c>
      <c r="O1290" s="58">
        <v>185</v>
      </c>
      <c r="P1290" s="58">
        <v>0</v>
      </c>
      <c r="Q1290" s="58">
        <v>0</v>
      </c>
      <c r="R1290" s="58">
        <v>185</v>
      </c>
      <c r="S1290" s="58">
        <v>0</v>
      </c>
      <c r="T1290" s="58">
        <v>0</v>
      </c>
      <c r="U1290" s="58">
        <v>20</v>
      </c>
      <c r="V1290" s="62"/>
      <c r="W1290" s="62"/>
      <c r="X1290" s="63">
        <f>IFERROR(1 -(Master[[#This Row],[Avg Garment Scans per Delivery]]/Master[[#This Row],[Garment Inventory]]), 0)</f>
        <v>0</v>
      </c>
      <c r="Y1290" s="62"/>
      <c r="Z1290" s="62"/>
      <c r="AA1290" s="53">
        <v>17</v>
      </c>
      <c r="AB1290" s="53">
        <v>17</v>
      </c>
      <c r="AC1290" s="53">
        <v>17</v>
      </c>
      <c r="AD1290" s="53">
        <v>17</v>
      </c>
      <c r="AE1290" s="53" t="str">
        <f>_xlfn.XLOOKUP(Master[[#This Row],[cu_id]],'[1]Customer Revenue'!$Q:$Q,'[1]Customer Revenue'!$K:$K, "None")</f>
        <v>None</v>
      </c>
      <c r="AF1290" s="53" t="str">
        <f>_xlfn.XLOOKUP(Master[[#This Row],[cu_id]],'[1]Customer Revenue'!$Q:$Q,'[1]Customer Revenue'!$L:$L, "None")</f>
        <v>None</v>
      </c>
      <c r="AG1290" s="53">
        <v>17</v>
      </c>
      <c r="AH1290" s="53">
        <v>17</v>
      </c>
      <c r="AI1290" s="53">
        <v>17</v>
      </c>
      <c r="AJ1290" s="53">
        <v>17</v>
      </c>
      <c r="AK1290" s="53" t="str">
        <f>_xlfn.XLOOKUP(Master[[#This Row],[cu_id]],'[1]Customer Revenue'!$Q:$Q,'[1]Customer Revenue'!$I:$I, "None")</f>
        <v>None</v>
      </c>
      <c r="AL1290" s="53">
        <v>17</v>
      </c>
      <c r="AM1290" s="61">
        <v>0.33333333333333331</v>
      </c>
      <c r="AN1290" s="60">
        <v>0.9375</v>
      </c>
      <c r="AO1290" s="60" t="s">
        <v>36</v>
      </c>
      <c r="AP1290" s="60" t="s">
        <v>36</v>
      </c>
      <c r="AQ1290" s="58" t="s">
        <v>308</v>
      </c>
      <c r="AR1290" s="58"/>
      <c r="AS1290" s="58"/>
      <c r="AT1290" s="52">
        <v>0</v>
      </c>
      <c r="AU1290" s="52" t="e">
        <f>IF(Master[[#This Row],[RSP StopTime override]] &lt;&gt; "",Master[[#This Row],[RSP StopTime override]],IF(Master[[#This Row],[Avg stop time helper]] &lt;&gt; 0, Master[[#This Row],[Avg stop time helper]],Average_Stop_Time))</f>
        <v>#DIV/0!</v>
      </c>
      <c r="AV1290" s="21"/>
      <c r="AW1290" s="20">
        <f>Master[[#This Row],[RSP StopTime override]]-Master[[#This Row],[Avg stop time helper]]</f>
        <v>0</v>
      </c>
    </row>
    <row r="1291" spans="1:49" x14ac:dyDescent="0.3">
      <c r="A1291" s="66" t="s">
        <v>5295</v>
      </c>
      <c r="B1291" s="58">
        <v>8010</v>
      </c>
      <c r="C1291" s="58" t="s">
        <v>10</v>
      </c>
      <c r="D1291" s="65">
        <v>804244</v>
      </c>
      <c r="E1291" s="65" t="s">
        <v>42</v>
      </c>
      <c r="F1291" s="65" t="s">
        <v>868</v>
      </c>
      <c r="G1291" s="65" t="s">
        <v>867</v>
      </c>
      <c r="H1291" s="65" t="s">
        <v>7</v>
      </c>
      <c r="I1291" s="65" t="s">
        <v>814</v>
      </c>
      <c r="J1291" s="65" t="s">
        <v>5</v>
      </c>
      <c r="K1291" s="65" t="s">
        <v>813</v>
      </c>
      <c r="L1291" s="64" t="s">
        <v>67</v>
      </c>
      <c r="M1291" s="58" t="s">
        <v>3</v>
      </c>
      <c r="N1291" s="58" t="s">
        <v>2</v>
      </c>
      <c r="O1291" s="58">
        <v>75</v>
      </c>
      <c r="P1291" s="58">
        <v>0</v>
      </c>
      <c r="Q1291" s="58">
        <v>0</v>
      </c>
      <c r="R1291" s="58">
        <v>75</v>
      </c>
      <c r="S1291" s="58">
        <v>0</v>
      </c>
      <c r="T1291" s="58">
        <v>0</v>
      </c>
      <c r="U1291" s="58">
        <v>40</v>
      </c>
      <c r="V1291" s="62">
        <v>0</v>
      </c>
      <c r="W1291" s="62"/>
      <c r="X1291" s="63">
        <f>IFERROR(1 -(Master[[#This Row],[Avg Garment Scans per Delivery]]/Master[[#This Row],[Garment Inventory]]), 0)</f>
        <v>0</v>
      </c>
      <c r="Y1291" s="62"/>
      <c r="Z1291" s="62"/>
      <c r="AA1291" s="53">
        <v>46.53372781065088</v>
      </c>
      <c r="AB1291" s="53">
        <v>68.27857988165681</v>
      </c>
      <c r="AC1291" s="53">
        <v>63.190591715976332</v>
      </c>
      <c r="AD1291" s="53">
        <v>72.084792899408285</v>
      </c>
      <c r="AE1291" s="53" t="str">
        <f>_xlfn.XLOOKUP(Master[[#This Row],[cu_id]],'[1]Customer Revenue'!$Q:$Q,'[1]Customer Revenue'!$K:$K, "None")</f>
        <v>None</v>
      </c>
      <c r="AF1291" s="53" t="str">
        <f>_xlfn.XLOOKUP(Master[[#This Row],[cu_id]],'[1]Customer Revenue'!$Q:$Q,'[1]Customer Revenue'!$L:$L, "None")</f>
        <v>None</v>
      </c>
      <c r="AG1291" s="53">
        <v>43.997455621301775</v>
      </c>
      <c r="AH1291" s="53">
        <v>68.347159763313613</v>
      </c>
      <c r="AI1291" s="53">
        <v>57.406153846153842</v>
      </c>
      <c r="AJ1291" s="53">
        <v>67.637692307692305</v>
      </c>
      <c r="AK1291" s="53" t="str">
        <f>_xlfn.XLOOKUP(Master[[#This Row],[cu_id]],'[1]Customer Revenue'!$Q:$Q,'[1]Customer Revenue'!$I:$I, "None")</f>
        <v>None</v>
      </c>
      <c r="AL1291" s="53">
        <v>56.17230769230769</v>
      </c>
      <c r="AM1291" s="61">
        <v>0.33333333333333331</v>
      </c>
      <c r="AN1291" s="60">
        <v>0.70833333333333337</v>
      </c>
      <c r="AO1291" s="60" t="s">
        <v>36</v>
      </c>
      <c r="AP1291" s="60" t="s">
        <v>36</v>
      </c>
      <c r="AQ1291" s="58" t="s">
        <v>133</v>
      </c>
      <c r="AR1291" s="58"/>
      <c r="AS1291" s="58"/>
      <c r="AT1291" s="52">
        <v>0</v>
      </c>
      <c r="AU1291" s="52" t="e">
        <f>IF(Master[[#This Row],[RSP StopTime override]] &lt;&gt; "",Master[[#This Row],[RSP StopTime override]],IF(Master[[#This Row],[Avg stop time helper]] &lt;&gt; 0, Master[[#This Row],[Avg stop time helper]],Average_Stop_Time))</f>
        <v>#DIV/0!</v>
      </c>
      <c r="AV1291" s="21"/>
      <c r="AW1291" s="20">
        <f>Master[[#This Row],[RSP StopTime override]]-Master[[#This Row],[Avg stop time helper]]</f>
        <v>0</v>
      </c>
    </row>
    <row r="1292" spans="1:49" x14ac:dyDescent="0.3">
      <c r="A1292" s="66" t="s">
        <v>5296</v>
      </c>
      <c r="B1292" s="58">
        <v>8010</v>
      </c>
      <c r="C1292" s="58" t="s">
        <v>10</v>
      </c>
      <c r="D1292" s="65">
        <v>804252</v>
      </c>
      <c r="E1292" s="65" t="s">
        <v>42</v>
      </c>
      <c r="F1292" s="65" t="s">
        <v>866</v>
      </c>
      <c r="G1292" s="65" t="s">
        <v>865</v>
      </c>
      <c r="H1292" s="65" t="s">
        <v>7</v>
      </c>
      <c r="I1292" s="65" t="s">
        <v>738</v>
      </c>
      <c r="J1292" s="65" t="s">
        <v>5</v>
      </c>
      <c r="K1292" s="65" t="s">
        <v>806</v>
      </c>
      <c r="L1292" s="64" t="s">
        <v>67</v>
      </c>
      <c r="M1292" s="58" t="s">
        <v>3</v>
      </c>
      <c r="N1292" s="58" t="s">
        <v>2</v>
      </c>
      <c r="O1292" s="58">
        <v>95</v>
      </c>
      <c r="P1292" s="58">
        <v>0</v>
      </c>
      <c r="Q1292" s="58">
        <v>0</v>
      </c>
      <c r="R1292" s="58">
        <v>95</v>
      </c>
      <c r="S1292" s="58">
        <v>0</v>
      </c>
      <c r="T1292" s="58">
        <v>0</v>
      </c>
      <c r="U1292" s="58">
        <v>40</v>
      </c>
      <c r="V1292" s="62"/>
      <c r="W1292" s="62"/>
      <c r="X1292" s="63">
        <f>IFERROR(1 -(Master[[#This Row],[Avg Garment Scans per Delivery]]/Master[[#This Row],[Garment Inventory]]), 0)</f>
        <v>0</v>
      </c>
      <c r="Y1292" s="62"/>
      <c r="Z1292" s="62"/>
      <c r="AA1292" s="53">
        <v>35.815798816568055</v>
      </c>
      <c r="AB1292" s="53">
        <v>47.382662721893517</v>
      </c>
      <c r="AC1292" s="53">
        <v>35.318520710059175</v>
      </c>
      <c r="AD1292" s="53">
        <v>54.519940828402369</v>
      </c>
      <c r="AE1292" s="53" t="str">
        <f>_xlfn.XLOOKUP(Master[[#This Row],[cu_id]],'[1]Customer Revenue'!$Q:$Q,'[1]Customer Revenue'!$K:$K, "None")</f>
        <v>None</v>
      </c>
      <c r="AF1292" s="53" t="str">
        <f>_xlfn.XLOOKUP(Master[[#This Row],[cu_id]],'[1]Customer Revenue'!$Q:$Q,'[1]Customer Revenue'!$L:$L, "None")</f>
        <v>None</v>
      </c>
      <c r="AG1292" s="53">
        <v>28.270236686390533</v>
      </c>
      <c r="AH1292" s="53">
        <v>47.577455621301795</v>
      </c>
      <c r="AI1292" s="53">
        <v>41.599230769230786</v>
      </c>
      <c r="AJ1292" s="53">
        <v>44.919230769230772</v>
      </c>
      <c r="AK1292" s="53" t="str">
        <f>_xlfn.XLOOKUP(Master[[#This Row],[cu_id]],'[1]Customer Revenue'!$Q:$Q,'[1]Customer Revenue'!$I:$I, "None")</f>
        <v>None</v>
      </c>
      <c r="AL1292" s="53">
        <v>37.923846153846164</v>
      </c>
      <c r="AM1292" s="61" t="s">
        <v>36</v>
      </c>
      <c r="AN1292" s="60" t="s">
        <v>36</v>
      </c>
      <c r="AO1292" s="60" t="s">
        <v>36</v>
      </c>
      <c r="AP1292" s="60" t="s">
        <v>36</v>
      </c>
      <c r="AQ1292" s="58" t="s">
        <v>0</v>
      </c>
      <c r="AR1292" s="58"/>
      <c r="AS1292" s="58"/>
      <c r="AT1292" s="52">
        <v>0</v>
      </c>
      <c r="AU1292" s="52">
        <f>IF(Master[[#This Row],[RSP StopTime override]] &lt;&gt; "",Master[[#This Row],[RSP StopTime override]],IF(Master[[#This Row],[Avg stop time helper]] &lt;&gt; 0, Master[[#This Row],[Avg stop time helper]],Average_Stop_Time))</f>
        <v>15</v>
      </c>
      <c r="AV1292" s="21">
        <v>15</v>
      </c>
      <c r="AW1292" s="20">
        <f>Master[[#This Row],[RSP StopTime override]]-Master[[#This Row],[Avg stop time helper]]</f>
        <v>15</v>
      </c>
    </row>
    <row r="1293" spans="1:49" x14ac:dyDescent="0.3">
      <c r="A1293" s="66" t="s">
        <v>5297</v>
      </c>
      <c r="B1293" s="58">
        <v>8010</v>
      </c>
      <c r="C1293" s="58" t="s">
        <v>10</v>
      </c>
      <c r="D1293" s="65">
        <v>804279</v>
      </c>
      <c r="E1293" s="65" t="s">
        <v>42</v>
      </c>
      <c r="F1293" s="65" t="s">
        <v>864</v>
      </c>
      <c r="G1293" s="65" t="s">
        <v>863</v>
      </c>
      <c r="H1293" s="65" t="s">
        <v>7</v>
      </c>
      <c r="I1293" s="65" t="s">
        <v>814</v>
      </c>
      <c r="J1293" s="65" t="s">
        <v>5</v>
      </c>
      <c r="K1293" s="65" t="s">
        <v>813</v>
      </c>
      <c r="L1293" s="64" t="s">
        <v>206</v>
      </c>
      <c r="M1293" s="58" t="s">
        <v>205</v>
      </c>
      <c r="N1293" s="58" t="s">
        <v>2</v>
      </c>
      <c r="O1293" s="58">
        <v>120</v>
      </c>
      <c r="P1293" s="58">
        <v>0</v>
      </c>
      <c r="Q1293" s="58">
        <v>0</v>
      </c>
      <c r="R1293" s="58">
        <v>120</v>
      </c>
      <c r="S1293" s="58">
        <v>0</v>
      </c>
      <c r="T1293" s="58">
        <v>0</v>
      </c>
      <c r="U1293" s="58">
        <v>9</v>
      </c>
      <c r="V1293" s="62"/>
      <c r="W1293" s="62"/>
      <c r="X1293" s="63">
        <f>IFERROR(1 -(Master[[#This Row],[Avg Garment Scans per Delivery]]/Master[[#This Row],[Garment Inventory]]), 0)</f>
        <v>0</v>
      </c>
      <c r="Y1293" s="62"/>
      <c r="Z1293" s="62"/>
      <c r="AA1293" s="53">
        <v>61.51</v>
      </c>
      <c r="AB1293" s="53">
        <v>61.51</v>
      </c>
      <c r="AC1293" s="53">
        <v>61.378888888888888</v>
      </c>
      <c r="AD1293" s="53">
        <v>62.42777777777777</v>
      </c>
      <c r="AE1293" s="53" t="str">
        <f>_xlfn.XLOOKUP(Master[[#This Row],[cu_id]],'[1]Customer Revenue'!$Q:$Q,'[1]Customer Revenue'!$K:$K, "None")</f>
        <v>None</v>
      </c>
      <c r="AF1293" s="53" t="str">
        <f>_xlfn.XLOOKUP(Master[[#This Row],[cu_id]],'[1]Customer Revenue'!$Q:$Q,'[1]Customer Revenue'!$L:$L, "None")</f>
        <v>None</v>
      </c>
      <c r="AG1293" s="53">
        <v>61.51</v>
      </c>
      <c r="AH1293" s="53">
        <v>61.51</v>
      </c>
      <c r="AI1293" s="53">
        <v>61.51</v>
      </c>
      <c r="AJ1293" s="53">
        <v>61.903333333333329</v>
      </c>
      <c r="AK1293" s="53" t="str">
        <f>_xlfn.XLOOKUP(Master[[#This Row],[cu_id]],'[1]Customer Revenue'!$Q:$Q,'[1]Customer Revenue'!$I:$I, "None")</f>
        <v>None</v>
      </c>
      <c r="AL1293" s="53">
        <v>61.51</v>
      </c>
      <c r="AM1293" s="61">
        <v>0.41666666666666669</v>
      </c>
      <c r="AN1293" s="60">
        <v>0.58333333333333337</v>
      </c>
      <c r="AO1293" s="60" t="s">
        <v>36</v>
      </c>
      <c r="AP1293" s="60" t="s">
        <v>36</v>
      </c>
      <c r="AQ1293" s="58" t="s">
        <v>0</v>
      </c>
      <c r="AR1293" s="58"/>
      <c r="AS1293" s="58"/>
      <c r="AT1293" s="52">
        <v>0</v>
      </c>
      <c r="AU1293" s="52">
        <f>IF(Master[[#This Row],[RSP StopTime override]] &lt;&gt; "",Master[[#This Row],[RSP StopTime override]],IF(Master[[#This Row],[Avg stop time helper]] &lt;&gt; 0, Master[[#This Row],[Avg stop time helper]],Average_Stop_Time))</f>
        <v>15</v>
      </c>
      <c r="AV1293" s="21">
        <v>15</v>
      </c>
      <c r="AW1293" s="20">
        <f>Master[[#This Row],[RSP StopTime override]]-Master[[#This Row],[Avg stop time helper]]</f>
        <v>15</v>
      </c>
    </row>
    <row r="1294" spans="1:49" x14ac:dyDescent="0.3">
      <c r="A1294" s="66" t="s">
        <v>5298</v>
      </c>
      <c r="B1294" s="58">
        <v>8010</v>
      </c>
      <c r="C1294" s="58" t="s">
        <v>10</v>
      </c>
      <c r="D1294" s="65">
        <v>804794</v>
      </c>
      <c r="E1294" s="65" t="s">
        <v>42</v>
      </c>
      <c r="F1294" s="65" t="s">
        <v>862</v>
      </c>
      <c r="G1294" s="65" t="s">
        <v>861</v>
      </c>
      <c r="H1294" s="65" t="s">
        <v>7</v>
      </c>
      <c r="I1294" s="65" t="s">
        <v>738</v>
      </c>
      <c r="J1294" s="65" t="s">
        <v>5</v>
      </c>
      <c r="K1294" s="65" t="s">
        <v>806</v>
      </c>
      <c r="L1294" s="64" t="s">
        <v>67</v>
      </c>
      <c r="M1294" s="58" t="s">
        <v>3</v>
      </c>
      <c r="N1294" s="58" t="s">
        <v>2</v>
      </c>
      <c r="O1294" s="58">
        <v>130</v>
      </c>
      <c r="P1294" s="58">
        <v>0</v>
      </c>
      <c r="Q1294" s="58">
        <v>0</v>
      </c>
      <c r="R1294" s="58">
        <v>130</v>
      </c>
      <c r="S1294" s="58">
        <v>0</v>
      </c>
      <c r="T1294" s="58">
        <v>0</v>
      </c>
      <c r="U1294" s="58">
        <v>39</v>
      </c>
      <c r="V1294" s="62"/>
      <c r="W1294" s="62"/>
      <c r="X1294" s="63">
        <f>IFERROR(1 -(Master[[#This Row],[Avg Garment Scans per Delivery]]/Master[[#This Row],[Garment Inventory]]), 0)</f>
        <v>0</v>
      </c>
      <c r="Y1294" s="62"/>
      <c r="Z1294" s="62"/>
      <c r="AA1294" s="53">
        <v>22.326094674556213</v>
      </c>
      <c r="AB1294" s="53">
        <v>32.976982248520699</v>
      </c>
      <c r="AC1294" s="53">
        <v>22.591479289940825</v>
      </c>
      <c r="AD1294" s="53">
        <v>33.21159763313608</v>
      </c>
      <c r="AE1294" s="53" t="str">
        <f>_xlfn.XLOOKUP(Master[[#This Row],[cu_id]],'[1]Customer Revenue'!$Q:$Q,'[1]Customer Revenue'!$K:$K, "None")</f>
        <v>None</v>
      </c>
      <c r="AF1294" s="53" t="str">
        <f>_xlfn.XLOOKUP(Master[[#This Row],[cu_id]],'[1]Customer Revenue'!$Q:$Q,'[1]Customer Revenue'!$L:$L, "None")</f>
        <v>None</v>
      </c>
      <c r="AG1294" s="53">
        <v>22.32609467455622</v>
      </c>
      <c r="AH1294" s="53">
        <v>32.976982248520727</v>
      </c>
      <c r="AI1294" s="53">
        <v>27.651538461538458</v>
      </c>
      <c r="AJ1294" s="53">
        <v>27.901538461538454</v>
      </c>
      <c r="AK1294" s="53" t="str">
        <f>_xlfn.XLOOKUP(Master[[#This Row],[cu_id]],'[1]Customer Revenue'!$Q:$Q,'[1]Customer Revenue'!$I:$I, "None")</f>
        <v>None</v>
      </c>
      <c r="AL1294" s="53">
        <v>27.651538461538472</v>
      </c>
      <c r="AM1294" s="61">
        <v>0.35416666666666669</v>
      </c>
      <c r="AN1294" s="60">
        <v>0.875</v>
      </c>
      <c r="AO1294" s="60" t="s">
        <v>36</v>
      </c>
      <c r="AP1294" s="60" t="s">
        <v>36</v>
      </c>
      <c r="AQ1294" s="58" t="s">
        <v>308</v>
      </c>
      <c r="AR1294" s="58"/>
      <c r="AS1294" s="58"/>
      <c r="AT1294" s="52">
        <v>0</v>
      </c>
      <c r="AU1294" s="52">
        <f>IF(Master[[#This Row],[RSP StopTime override]] &lt;&gt; "",Master[[#This Row],[RSP StopTime override]],IF(Master[[#This Row],[Avg stop time helper]] &lt;&gt; 0, Master[[#This Row],[Avg stop time helper]],Average_Stop_Time))</f>
        <v>10</v>
      </c>
      <c r="AV1294" s="21">
        <v>10</v>
      </c>
      <c r="AW1294" s="20">
        <f>Master[[#This Row],[RSP StopTime override]]-Master[[#This Row],[Avg stop time helper]]</f>
        <v>10</v>
      </c>
    </row>
    <row r="1295" spans="1:49" x14ac:dyDescent="0.3">
      <c r="A1295" s="66" t="s">
        <v>5299</v>
      </c>
      <c r="B1295" s="58">
        <v>8010</v>
      </c>
      <c r="C1295" s="58" t="s">
        <v>10</v>
      </c>
      <c r="D1295" s="65">
        <v>805247</v>
      </c>
      <c r="E1295" s="65" t="s">
        <v>42</v>
      </c>
      <c r="F1295" s="65" t="s">
        <v>860</v>
      </c>
      <c r="G1295" s="65" t="s">
        <v>859</v>
      </c>
      <c r="H1295" s="65" t="s">
        <v>7</v>
      </c>
      <c r="I1295" s="65" t="s">
        <v>152</v>
      </c>
      <c r="J1295" s="65" t="s">
        <v>5</v>
      </c>
      <c r="K1295" s="65" t="s">
        <v>4</v>
      </c>
      <c r="L1295" s="64" t="s">
        <v>67</v>
      </c>
      <c r="M1295" s="58" t="s">
        <v>3</v>
      </c>
      <c r="N1295" s="58" t="s">
        <v>2</v>
      </c>
      <c r="O1295" s="58">
        <v>5</v>
      </c>
      <c r="P1295" s="58">
        <v>0</v>
      </c>
      <c r="Q1295" s="58">
        <v>0</v>
      </c>
      <c r="R1295" s="58">
        <v>5</v>
      </c>
      <c r="S1295" s="58">
        <v>0</v>
      </c>
      <c r="T1295" s="58">
        <v>0</v>
      </c>
      <c r="U1295" s="58">
        <v>39</v>
      </c>
      <c r="V1295" s="62">
        <v>268</v>
      </c>
      <c r="W1295" s="62">
        <v>33</v>
      </c>
      <c r="X1295" s="63">
        <f>IFERROR(1 -(Master[[#This Row],[Avg Garment Scans per Delivery]]/Master[[#This Row],[Garment Inventory]]), 0)</f>
        <v>0.87686567164179108</v>
      </c>
      <c r="Y1295" s="62">
        <v>22</v>
      </c>
      <c r="Z1295" s="62">
        <v>273</v>
      </c>
      <c r="AA1295" s="53">
        <v>399.66656985871259</v>
      </c>
      <c r="AB1295" s="53">
        <v>657.80881475667184</v>
      </c>
      <c r="AC1295" s="53">
        <v>400.60666831438465</v>
      </c>
      <c r="AD1295" s="53">
        <v>962.27047454275817</v>
      </c>
      <c r="AE1295" s="53" t="str">
        <f>_xlfn.XLOOKUP(Master[[#This Row],[cu_id]],'[1]Customer Revenue'!$Q:$Q,'[1]Customer Revenue'!$K:$K, "None")</f>
        <v>None</v>
      </c>
      <c r="AF1295" s="53" t="str">
        <f>_xlfn.XLOOKUP(Master[[#This Row],[cu_id]],'[1]Customer Revenue'!$Q:$Q,'[1]Customer Revenue'!$L:$L, "None")</f>
        <v>None</v>
      </c>
      <c r="AG1295" s="53">
        <v>408.02092817896357</v>
      </c>
      <c r="AH1295" s="53">
        <v>602.24291797488229</v>
      </c>
      <c r="AI1295" s="53">
        <v>528.73769230769221</v>
      </c>
      <c r="AJ1295" s="53">
        <v>681.43857142857144</v>
      </c>
      <c r="AK1295" s="53" t="str">
        <f>_xlfn.XLOOKUP(Master[[#This Row],[cu_id]],'[1]Customer Revenue'!$Q:$Q,'[1]Customer Revenue'!$I:$I, "None")</f>
        <v>None</v>
      </c>
      <c r="AL1295" s="53">
        <v>505.13192307692293</v>
      </c>
      <c r="AM1295" s="61">
        <v>0.1875</v>
      </c>
      <c r="AN1295" s="60">
        <v>0.83333333333333337</v>
      </c>
      <c r="AO1295" s="60" t="s">
        <v>36</v>
      </c>
      <c r="AP1295" s="60" t="s">
        <v>36</v>
      </c>
      <c r="AQ1295" s="58" t="s">
        <v>308</v>
      </c>
      <c r="AR1295" s="58"/>
      <c r="AS1295" s="58"/>
      <c r="AT1295" s="52">
        <v>0</v>
      </c>
      <c r="AU1295" s="52">
        <f>IF(Master[[#This Row],[RSP StopTime override]] &lt;&gt; "",Master[[#This Row],[RSP StopTime override]],IF(Master[[#This Row],[Avg stop time helper]] &lt;&gt; 0, Master[[#This Row],[Avg stop time helper]],Average_Stop_Time))</f>
        <v>20</v>
      </c>
      <c r="AV1295" s="21">
        <v>20</v>
      </c>
      <c r="AW1295" s="20">
        <f>Master[[#This Row],[RSP StopTime override]]-Master[[#This Row],[Avg stop time helper]]</f>
        <v>20</v>
      </c>
    </row>
    <row r="1296" spans="1:49" x14ac:dyDescent="0.3">
      <c r="A1296" s="66" t="s">
        <v>5300</v>
      </c>
      <c r="B1296" s="58">
        <v>8010</v>
      </c>
      <c r="C1296" s="58" t="s">
        <v>10</v>
      </c>
      <c r="D1296" s="65">
        <v>805248</v>
      </c>
      <c r="E1296" s="65" t="s">
        <v>42</v>
      </c>
      <c r="F1296" s="65" t="s">
        <v>858</v>
      </c>
      <c r="G1296" s="65" t="s">
        <v>857</v>
      </c>
      <c r="H1296" s="65" t="s">
        <v>7</v>
      </c>
      <c r="I1296" s="65" t="s">
        <v>152</v>
      </c>
      <c r="J1296" s="65" t="s">
        <v>5</v>
      </c>
      <c r="K1296" s="65" t="s">
        <v>4</v>
      </c>
      <c r="L1296" s="64" t="s">
        <v>67</v>
      </c>
      <c r="M1296" s="58" t="s">
        <v>3</v>
      </c>
      <c r="N1296" s="58" t="s">
        <v>2</v>
      </c>
      <c r="O1296" s="58">
        <v>10</v>
      </c>
      <c r="P1296" s="58">
        <v>0</v>
      </c>
      <c r="Q1296" s="58">
        <v>0</v>
      </c>
      <c r="R1296" s="58">
        <v>10</v>
      </c>
      <c r="S1296" s="58">
        <v>0</v>
      </c>
      <c r="T1296" s="58">
        <v>0</v>
      </c>
      <c r="U1296" s="58">
        <v>39</v>
      </c>
      <c r="V1296" s="62"/>
      <c r="W1296" s="62"/>
      <c r="X1296" s="63">
        <f>IFERROR(1 -(Master[[#This Row],[Avg Garment Scans per Delivery]]/Master[[#This Row],[Garment Inventory]]), 0)</f>
        <v>0</v>
      </c>
      <c r="Y1296" s="62"/>
      <c r="Z1296" s="62"/>
      <c r="AA1296" s="53">
        <v>245.53860282574578</v>
      </c>
      <c r="AB1296" s="53">
        <v>321.69370486656203</v>
      </c>
      <c r="AC1296" s="53">
        <v>270.53674556213014</v>
      </c>
      <c r="AD1296" s="53">
        <v>449.72017751479291</v>
      </c>
      <c r="AE1296" s="53" t="str">
        <f>_xlfn.XLOOKUP(Master[[#This Row],[cu_id]],'[1]Customer Revenue'!$Q:$Q,'[1]Customer Revenue'!$K:$K, "None")</f>
        <v>None</v>
      </c>
      <c r="AF1296" s="53" t="str">
        <f>_xlfn.XLOOKUP(Master[[#This Row],[cu_id]],'[1]Customer Revenue'!$Q:$Q,'[1]Customer Revenue'!$L:$L, "None")</f>
        <v>None</v>
      </c>
      <c r="AG1296" s="53">
        <v>242.56355572998433</v>
      </c>
      <c r="AH1296" s="53">
        <v>321.74029042386184</v>
      </c>
      <c r="AI1296" s="53">
        <v>283.61615384615391</v>
      </c>
      <c r="AJ1296" s="53">
        <v>360.12846153846152</v>
      </c>
      <c r="AK1296" s="53" t="str">
        <f>_xlfn.XLOOKUP(Master[[#This Row],[cu_id]],'[1]Customer Revenue'!$Q:$Q,'[1]Customer Revenue'!$I:$I, "None")</f>
        <v>None</v>
      </c>
      <c r="AL1296" s="53">
        <v>282.15192307692308</v>
      </c>
      <c r="AM1296" s="61">
        <v>0.1875</v>
      </c>
      <c r="AN1296" s="60">
        <v>0.83333333333333337</v>
      </c>
      <c r="AO1296" s="60" t="s">
        <v>36</v>
      </c>
      <c r="AP1296" s="60" t="s">
        <v>36</v>
      </c>
      <c r="AQ1296" s="58" t="s">
        <v>308</v>
      </c>
      <c r="AR1296" s="58"/>
      <c r="AS1296" s="58"/>
      <c r="AT1296" s="52">
        <v>0</v>
      </c>
      <c r="AU1296" s="52">
        <f>IF(Master[[#This Row],[RSP StopTime override]] &lt;&gt; "",Master[[#This Row],[RSP StopTime override]],IF(Master[[#This Row],[Avg stop time helper]] &lt;&gt; 0, Master[[#This Row],[Avg stop time helper]],Average_Stop_Time))</f>
        <v>20</v>
      </c>
      <c r="AV1296" s="21">
        <v>20</v>
      </c>
      <c r="AW1296" s="20">
        <f>Master[[#This Row],[RSP StopTime override]]-Master[[#This Row],[Avg stop time helper]]</f>
        <v>20</v>
      </c>
    </row>
    <row r="1297" spans="1:49" x14ac:dyDescent="0.3">
      <c r="A1297" s="66" t="s">
        <v>5301</v>
      </c>
      <c r="B1297" s="58">
        <v>8010</v>
      </c>
      <c r="C1297" s="58" t="s">
        <v>10</v>
      </c>
      <c r="D1297" s="65">
        <v>806002</v>
      </c>
      <c r="E1297" s="65" t="s">
        <v>42</v>
      </c>
      <c r="F1297" s="65" t="s">
        <v>856</v>
      </c>
      <c r="G1297" s="65" t="s">
        <v>855</v>
      </c>
      <c r="H1297" s="65" t="s">
        <v>7</v>
      </c>
      <c r="I1297" s="65" t="s">
        <v>814</v>
      </c>
      <c r="J1297" s="65" t="s">
        <v>5</v>
      </c>
      <c r="K1297" s="65" t="s">
        <v>813</v>
      </c>
      <c r="L1297" s="64" t="s">
        <v>67</v>
      </c>
      <c r="M1297" s="58" t="s">
        <v>3</v>
      </c>
      <c r="N1297" s="58" t="s">
        <v>2</v>
      </c>
      <c r="O1297" s="58">
        <v>60</v>
      </c>
      <c r="P1297" s="58">
        <v>0</v>
      </c>
      <c r="Q1297" s="58">
        <v>0</v>
      </c>
      <c r="R1297" s="58">
        <v>60</v>
      </c>
      <c r="S1297" s="58">
        <v>0</v>
      </c>
      <c r="T1297" s="58">
        <v>0</v>
      </c>
      <c r="U1297" s="58">
        <v>39</v>
      </c>
      <c r="V1297" s="62">
        <v>43</v>
      </c>
      <c r="W1297" s="62">
        <v>4</v>
      </c>
      <c r="X1297" s="63">
        <f>IFERROR(1 -(Master[[#This Row],[Avg Garment Scans per Delivery]]/Master[[#This Row],[Garment Inventory]]), 0)</f>
        <v>0.90697674418604657</v>
      </c>
      <c r="Y1297" s="62">
        <v>3</v>
      </c>
      <c r="Z1297" s="62">
        <v>43</v>
      </c>
      <c r="AA1297" s="53">
        <v>109.26408284023667</v>
      </c>
      <c r="AB1297" s="53">
        <v>115.76207100591715</v>
      </c>
      <c r="AC1297" s="53">
        <v>110.55792899408284</v>
      </c>
      <c r="AD1297" s="53">
        <v>113.41591715976331</v>
      </c>
      <c r="AE1297" s="53" t="str">
        <f>_xlfn.XLOOKUP(Master[[#This Row],[cu_id]],'[1]Customer Revenue'!$Q:$Q,'[1]Customer Revenue'!$K:$K, "None")</f>
        <v>None</v>
      </c>
      <c r="AF1297" s="53" t="str">
        <f>_xlfn.XLOOKUP(Master[[#This Row],[cu_id]],'[1]Customer Revenue'!$Q:$Q,'[1]Customer Revenue'!$L:$L, "None")</f>
        <v>None</v>
      </c>
      <c r="AG1297" s="53">
        <v>106.08396449704146</v>
      </c>
      <c r="AH1297" s="53">
        <v>112.92834319526635</v>
      </c>
      <c r="AI1297" s="53">
        <v>112.51307692307691</v>
      </c>
      <c r="AJ1297" s="53">
        <v>111.98692307692308</v>
      </c>
      <c r="AK1297" s="53" t="str">
        <f>_xlfn.XLOOKUP(Master[[#This Row],[cu_id]],'[1]Customer Revenue'!$Q:$Q,'[1]Customer Revenue'!$I:$I, "None")</f>
        <v>None</v>
      </c>
      <c r="AL1297" s="53">
        <v>109.50615384615391</v>
      </c>
      <c r="AM1297" s="61">
        <v>0.29166666666666669</v>
      </c>
      <c r="AN1297" s="60">
        <v>0.85416666666666663</v>
      </c>
      <c r="AO1297" s="60" t="s">
        <v>36</v>
      </c>
      <c r="AP1297" s="60" t="s">
        <v>36</v>
      </c>
      <c r="AQ1297" s="58" t="s">
        <v>308</v>
      </c>
      <c r="AR1297" s="58"/>
      <c r="AS1297" s="58"/>
      <c r="AT1297" s="52">
        <v>0</v>
      </c>
      <c r="AU1297" s="52" t="e">
        <f>IF(Master[[#This Row],[RSP StopTime override]] &lt;&gt; "",Master[[#This Row],[RSP StopTime override]],IF(Master[[#This Row],[Avg stop time helper]] &lt;&gt; 0, Master[[#This Row],[Avg stop time helper]],Average_Stop_Time))</f>
        <v>#DIV/0!</v>
      </c>
      <c r="AV1297" s="21"/>
      <c r="AW1297" s="20">
        <f>Master[[#This Row],[RSP StopTime override]]-Master[[#This Row],[Avg stop time helper]]</f>
        <v>0</v>
      </c>
    </row>
    <row r="1298" spans="1:49" x14ac:dyDescent="0.3">
      <c r="A1298" s="66" t="s">
        <v>5302</v>
      </c>
      <c r="B1298" s="58">
        <v>8010</v>
      </c>
      <c r="C1298" s="58" t="s">
        <v>10</v>
      </c>
      <c r="D1298" s="65">
        <v>806227</v>
      </c>
      <c r="E1298" s="65" t="s">
        <v>42</v>
      </c>
      <c r="F1298" s="65" t="s">
        <v>854</v>
      </c>
      <c r="G1298" s="65" t="s">
        <v>853</v>
      </c>
      <c r="H1298" s="65" t="s">
        <v>7</v>
      </c>
      <c r="I1298" s="65" t="s">
        <v>738</v>
      </c>
      <c r="J1298" s="65" t="s">
        <v>5</v>
      </c>
      <c r="K1298" s="65" t="s">
        <v>806</v>
      </c>
      <c r="L1298" s="64">
        <v>1</v>
      </c>
      <c r="M1298" s="58" t="s">
        <v>193</v>
      </c>
      <c r="N1298" s="58" t="s">
        <v>2</v>
      </c>
      <c r="O1298" s="58">
        <v>135</v>
      </c>
      <c r="P1298" s="58">
        <v>0</v>
      </c>
      <c r="Q1298" s="58">
        <v>0</v>
      </c>
      <c r="R1298" s="58">
        <v>135</v>
      </c>
      <c r="S1298" s="58">
        <v>0</v>
      </c>
      <c r="T1298" s="58">
        <v>0</v>
      </c>
      <c r="U1298" s="58">
        <v>11</v>
      </c>
      <c r="V1298" s="62"/>
      <c r="W1298" s="62"/>
      <c r="X1298" s="63">
        <f>IFERROR(1 -(Master[[#This Row],[Avg Garment Scans per Delivery]]/Master[[#This Row],[Garment Inventory]]), 0)</f>
        <v>0</v>
      </c>
      <c r="Y1298" s="62"/>
      <c r="Z1298" s="62"/>
      <c r="AA1298" s="53">
        <v>23.702083333333341</v>
      </c>
      <c r="AB1298" s="53">
        <v>52.144583333333337</v>
      </c>
      <c r="AC1298" s="53">
        <v>39.21</v>
      </c>
      <c r="AD1298" s="53">
        <v>39.21</v>
      </c>
      <c r="AE1298" s="53" t="str">
        <f>_xlfn.XLOOKUP(Master[[#This Row],[cu_id]],'[1]Customer Revenue'!$Q:$Q,'[1]Customer Revenue'!$K:$K, "None")</f>
        <v>None</v>
      </c>
      <c r="AF1298" s="53" t="str">
        <f>_xlfn.XLOOKUP(Master[[#This Row],[cu_id]],'[1]Customer Revenue'!$Q:$Q,'[1]Customer Revenue'!$L:$L, "None")</f>
        <v>None</v>
      </c>
      <c r="AG1298" s="53">
        <v>23.729417989417989</v>
      </c>
      <c r="AH1298" s="53">
        <v>48.802010582010588</v>
      </c>
      <c r="AI1298" s="53">
        <v>37.923333333333339</v>
      </c>
      <c r="AJ1298" s="53">
        <v>39.21</v>
      </c>
      <c r="AK1298" s="53" t="str">
        <f>_xlfn.XLOOKUP(Master[[#This Row],[cu_id]],'[1]Customer Revenue'!$Q:$Q,'[1]Customer Revenue'!$I:$I, "None")</f>
        <v>None</v>
      </c>
      <c r="AL1298" s="53">
        <v>36.265714285714289</v>
      </c>
      <c r="AM1298" s="61">
        <v>0.41666666666666669</v>
      </c>
      <c r="AN1298" s="60">
        <v>0.85416666666666663</v>
      </c>
      <c r="AO1298" s="60" t="s">
        <v>36</v>
      </c>
      <c r="AP1298" s="60" t="s">
        <v>36</v>
      </c>
      <c r="AQ1298" s="58" t="s">
        <v>308</v>
      </c>
      <c r="AR1298" s="58"/>
      <c r="AS1298" s="58"/>
      <c r="AT1298" s="52">
        <v>0</v>
      </c>
      <c r="AU1298" s="52" t="e">
        <f>IF(Master[[#This Row],[RSP StopTime override]] &lt;&gt; "",Master[[#This Row],[RSP StopTime override]],IF(Master[[#This Row],[Avg stop time helper]] &lt;&gt; 0, Master[[#This Row],[Avg stop time helper]],Average_Stop_Time))</f>
        <v>#DIV/0!</v>
      </c>
      <c r="AV1298" s="21"/>
      <c r="AW1298" s="20">
        <f>Master[[#This Row],[RSP StopTime override]]-Master[[#This Row],[Avg stop time helper]]</f>
        <v>0</v>
      </c>
    </row>
    <row r="1299" spans="1:49" x14ac:dyDescent="0.3">
      <c r="A1299" s="66" t="s">
        <v>5303</v>
      </c>
      <c r="B1299" s="58">
        <v>8010</v>
      </c>
      <c r="C1299" s="58" t="s">
        <v>10</v>
      </c>
      <c r="D1299" s="65">
        <v>806229</v>
      </c>
      <c r="E1299" s="65" t="s">
        <v>42</v>
      </c>
      <c r="F1299" s="65" t="s">
        <v>852</v>
      </c>
      <c r="G1299" s="65" t="s">
        <v>851</v>
      </c>
      <c r="H1299" s="65" t="s">
        <v>7</v>
      </c>
      <c r="I1299" s="65" t="s">
        <v>738</v>
      </c>
      <c r="J1299" s="65" t="s">
        <v>5</v>
      </c>
      <c r="K1299" s="65" t="s">
        <v>806</v>
      </c>
      <c r="L1299" s="64" t="s">
        <v>67</v>
      </c>
      <c r="M1299" s="58" t="s">
        <v>3</v>
      </c>
      <c r="N1299" s="58" t="s">
        <v>2</v>
      </c>
      <c r="O1299" s="58">
        <v>115</v>
      </c>
      <c r="P1299" s="58">
        <v>0</v>
      </c>
      <c r="Q1299" s="58">
        <v>0</v>
      </c>
      <c r="R1299" s="58">
        <v>115</v>
      </c>
      <c r="S1299" s="58">
        <v>0</v>
      </c>
      <c r="T1299" s="58">
        <v>0</v>
      </c>
      <c r="U1299" s="58">
        <v>39</v>
      </c>
      <c r="V1299" s="62"/>
      <c r="W1299" s="62"/>
      <c r="X1299" s="63">
        <f>IFERROR(1 -(Master[[#This Row],[Avg Garment Scans per Delivery]]/Master[[#This Row],[Garment Inventory]]), 0)</f>
        <v>0</v>
      </c>
      <c r="Y1299" s="62"/>
      <c r="Z1299" s="62"/>
      <c r="AA1299" s="53">
        <v>50.69</v>
      </c>
      <c r="AB1299" s="53">
        <v>50.690000000000012</v>
      </c>
      <c r="AC1299" s="53">
        <v>45.526282051282053</v>
      </c>
      <c r="AD1299" s="53">
        <v>60.597051282051282</v>
      </c>
      <c r="AE1299" s="53" t="str">
        <f>_xlfn.XLOOKUP(Master[[#This Row],[cu_id]],'[1]Customer Revenue'!$Q:$Q,'[1]Customer Revenue'!$K:$K, "None")</f>
        <v>None</v>
      </c>
      <c r="AF1299" s="53" t="str">
        <f>_xlfn.XLOOKUP(Master[[#This Row],[cu_id]],'[1]Customer Revenue'!$Q:$Q,'[1]Customer Revenue'!$L:$L, "None")</f>
        <v>None</v>
      </c>
      <c r="AG1299" s="53">
        <v>50.200946745562163</v>
      </c>
      <c r="AH1299" s="53">
        <v>50.74059171597635</v>
      </c>
      <c r="AI1299" s="53">
        <v>50.690000000000005</v>
      </c>
      <c r="AJ1299" s="53">
        <v>53.061666666666667</v>
      </c>
      <c r="AK1299" s="53" t="str">
        <f>_xlfn.XLOOKUP(Master[[#This Row],[cu_id]],'[1]Customer Revenue'!$Q:$Q,'[1]Customer Revenue'!$I:$I, "None")</f>
        <v>None</v>
      </c>
      <c r="AL1299" s="53">
        <v>50.470769230769257</v>
      </c>
      <c r="AM1299" s="61">
        <v>0.35416666666666669</v>
      </c>
      <c r="AN1299" s="60">
        <v>0.79166666666666663</v>
      </c>
      <c r="AO1299" s="60" t="s">
        <v>36</v>
      </c>
      <c r="AP1299" s="60" t="s">
        <v>36</v>
      </c>
      <c r="AQ1299" s="58" t="s">
        <v>308</v>
      </c>
      <c r="AR1299" s="58"/>
      <c r="AS1299" s="58"/>
      <c r="AT1299" s="52">
        <v>0</v>
      </c>
      <c r="AU1299" s="52">
        <f>IF(Master[[#This Row],[RSP StopTime override]] &lt;&gt; "",Master[[#This Row],[RSP StopTime override]],IF(Master[[#This Row],[Avg stop time helper]] &lt;&gt; 0, Master[[#This Row],[Avg stop time helper]],Average_Stop_Time))</f>
        <v>15</v>
      </c>
      <c r="AV1299" s="21">
        <v>15</v>
      </c>
      <c r="AW1299" s="20">
        <f>Master[[#This Row],[RSP StopTime override]]-Master[[#This Row],[Avg stop time helper]]</f>
        <v>15</v>
      </c>
    </row>
    <row r="1300" spans="1:49" x14ac:dyDescent="0.3">
      <c r="A1300" s="66" t="s">
        <v>5304</v>
      </c>
      <c r="B1300" s="58">
        <v>8010</v>
      </c>
      <c r="C1300" s="58" t="s">
        <v>10</v>
      </c>
      <c r="D1300" s="65">
        <v>806235</v>
      </c>
      <c r="E1300" s="65" t="s">
        <v>42</v>
      </c>
      <c r="F1300" s="65" t="s">
        <v>850</v>
      </c>
      <c r="G1300" s="65" t="s">
        <v>849</v>
      </c>
      <c r="H1300" s="65" t="s">
        <v>7</v>
      </c>
      <c r="I1300" s="65" t="s">
        <v>738</v>
      </c>
      <c r="J1300" s="65" t="s">
        <v>5</v>
      </c>
      <c r="K1300" s="65" t="s">
        <v>806</v>
      </c>
      <c r="L1300" s="64" t="s">
        <v>67</v>
      </c>
      <c r="M1300" s="58" t="s">
        <v>3</v>
      </c>
      <c r="N1300" s="58" t="s">
        <v>2</v>
      </c>
      <c r="O1300" s="58">
        <v>110</v>
      </c>
      <c r="P1300" s="58">
        <v>0</v>
      </c>
      <c r="Q1300" s="58">
        <v>0</v>
      </c>
      <c r="R1300" s="58">
        <v>110</v>
      </c>
      <c r="S1300" s="58">
        <v>0</v>
      </c>
      <c r="T1300" s="58">
        <v>0</v>
      </c>
      <c r="U1300" s="58">
        <v>39</v>
      </c>
      <c r="V1300" s="62"/>
      <c r="W1300" s="62"/>
      <c r="X1300" s="63">
        <f>IFERROR(1 -(Master[[#This Row],[Avg Garment Scans per Delivery]]/Master[[#This Row],[Garment Inventory]]), 0)</f>
        <v>0</v>
      </c>
      <c r="Y1300" s="62"/>
      <c r="Z1300" s="62"/>
      <c r="AA1300" s="53">
        <v>81.64100591715976</v>
      </c>
      <c r="AB1300" s="53">
        <v>165.44360946745562</v>
      </c>
      <c r="AC1300" s="53">
        <v>114.48201183431951</v>
      </c>
      <c r="AD1300" s="53">
        <v>196.1672189349112</v>
      </c>
      <c r="AE1300" s="53" t="str">
        <f>_xlfn.XLOOKUP(Master[[#This Row],[cu_id]],'[1]Customer Revenue'!$Q:$Q,'[1]Customer Revenue'!$K:$K, "None")</f>
        <v>None</v>
      </c>
      <c r="AF1300" s="53" t="str">
        <f>_xlfn.XLOOKUP(Master[[#This Row],[cu_id]],'[1]Customer Revenue'!$Q:$Q,'[1]Customer Revenue'!$L:$L, "None")</f>
        <v>None</v>
      </c>
      <c r="AG1300" s="53">
        <v>78.610453202490248</v>
      </c>
      <c r="AH1300" s="53">
        <v>147.15031602827898</v>
      </c>
      <c r="AI1300" s="53">
        <v>123.54230769230769</v>
      </c>
      <c r="AJ1300" s="53">
        <v>155.32461538461536</v>
      </c>
      <c r="AK1300" s="53" t="str">
        <f>_xlfn.XLOOKUP(Master[[#This Row],[cu_id]],'[1]Customer Revenue'!$Q:$Q,'[1]Customer Revenue'!$I:$I, "None")</f>
        <v>None</v>
      </c>
      <c r="AL1300" s="53">
        <v>112.88038461538461</v>
      </c>
      <c r="AM1300" s="61">
        <v>0.33333333333333331</v>
      </c>
      <c r="AN1300" s="60">
        <v>0.89583333333333337</v>
      </c>
      <c r="AO1300" s="60" t="s">
        <v>36</v>
      </c>
      <c r="AP1300" s="60" t="s">
        <v>36</v>
      </c>
      <c r="AQ1300" s="58" t="s">
        <v>308</v>
      </c>
      <c r="AR1300" s="58"/>
      <c r="AS1300" s="58"/>
      <c r="AT1300" s="52">
        <v>0</v>
      </c>
      <c r="AU1300" s="52" t="e">
        <f>IF(Master[[#This Row],[RSP StopTime override]] &lt;&gt; "",Master[[#This Row],[RSP StopTime override]],IF(Master[[#This Row],[Avg stop time helper]] &lt;&gt; 0, Master[[#This Row],[Avg stop time helper]],Average_Stop_Time))</f>
        <v>#DIV/0!</v>
      </c>
      <c r="AV1300" s="21"/>
      <c r="AW1300" s="20">
        <f>Master[[#This Row],[RSP StopTime override]]-Master[[#This Row],[Avg stop time helper]]</f>
        <v>0</v>
      </c>
    </row>
    <row r="1301" spans="1:49" x14ac:dyDescent="0.3">
      <c r="A1301" s="66" t="s">
        <v>5305</v>
      </c>
      <c r="B1301" s="58">
        <v>8010</v>
      </c>
      <c r="C1301" s="58" t="s">
        <v>10</v>
      </c>
      <c r="D1301" s="65">
        <v>806250</v>
      </c>
      <c r="E1301" s="65" t="s">
        <v>42</v>
      </c>
      <c r="F1301" s="65" t="s">
        <v>848</v>
      </c>
      <c r="G1301" s="65" t="s">
        <v>847</v>
      </c>
      <c r="H1301" s="65" t="s">
        <v>7</v>
      </c>
      <c r="I1301" s="65" t="s">
        <v>738</v>
      </c>
      <c r="J1301" s="65" t="s">
        <v>5</v>
      </c>
      <c r="K1301" s="65" t="s">
        <v>806</v>
      </c>
      <c r="L1301" s="64" t="s">
        <v>67</v>
      </c>
      <c r="M1301" s="58" t="s">
        <v>3</v>
      </c>
      <c r="N1301" s="58" t="s">
        <v>2</v>
      </c>
      <c r="O1301" s="58">
        <v>45</v>
      </c>
      <c r="P1301" s="58">
        <v>0</v>
      </c>
      <c r="Q1301" s="58">
        <v>0</v>
      </c>
      <c r="R1301" s="58">
        <v>45</v>
      </c>
      <c r="S1301" s="58">
        <v>0</v>
      </c>
      <c r="T1301" s="58">
        <v>0</v>
      </c>
      <c r="U1301" s="58">
        <v>41</v>
      </c>
      <c r="V1301" s="62">
        <v>110</v>
      </c>
      <c r="W1301" s="62">
        <v>5</v>
      </c>
      <c r="X1301" s="63">
        <f>IFERROR(1 -(Master[[#This Row],[Avg Garment Scans per Delivery]]/Master[[#This Row],[Garment Inventory]]), 0)</f>
        <v>0.95454545454545459</v>
      </c>
      <c r="Y1301" s="62">
        <v>7</v>
      </c>
      <c r="Z1301" s="62">
        <v>105</v>
      </c>
      <c r="AA1301" s="53">
        <v>93.85633136094674</v>
      </c>
      <c r="AB1301" s="53">
        <v>97.279053254437855</v>
      </c>
      <c r="AC1301" s="53">
        <v>93.02402366863906</v>
      </c>
      <c r="AD1301" s="53">
        <v>94.317514792899416</v>
      </c>
      <c r="AE1301" s="53" t="str">
        <f>_xlfn.XLOOKUP(Master[[#This Row],[cu_id]],'[1]Customer Revenue'!$Q:$Q,'[1]Customer Revenue'!$K:$K, "None")</f>
        <v>None</v>
      </c>
      <c r="AF1301" s="53" t="str">
        <f>_xlfn.XLOOKUP(Master[[#This Row],[cu_id]],'[1]Customer Revenue'!$Q:$Q,'[1]Customer Revenue'!$L:$L, "None")</f>
        <v>None</v>
      </c>
      <c r="AG1301" s="53">
        <v>73.029795918367341</v>
      </c>
      <c r="AH1301" s="53">
        <v>167.3473469387755</v>
      </c>
      <c r="AI1301" s="53">
        <v>95.567692307692298</v>
      </c>
      <c r="AJ1301" s="53">
        <v>93.670769230769238</v>
      </c>
      <c r="AK1301" s="53" t="str">
        <f>_xlfn.XLOOKUP(Master[[#This Row],[cu_id]],'[1]Customer Revenue'!$Q:$Q,'[1]Customer Revenue'!$I:$I, "None")</f>
        <v>None</v>
      </c>
      <c r="AL1301" s="53">
        <v>120.18857142857142</v>
      </c>
      <c r="AM1301" s="61">
        <v>0.33333333333333331</v>
      </c>
      <c r="AN1301" s="60">
        <v>0.6875</v>
      </c>
      <c r="AO1301" s="60" t="s">
        <v>36</v>
      </c>
      <c r="AP1301" s="60" t="s">
        <v>36</v>
      </c>
      <c r="AQ1301" s="58" t="s">
        <v>0</v>
      </c>
      <c r="AR1301" s="58"/>
      <c r="AS1301" s="58"/>
      <c r="AT1301" s="52">
        <v>0</v>
      </c>
      <c r="AU1301" s="52">
        <f>IF(Master[[#This Row],[RSP StopTime override]] &lt;&gt; "",Master[[#This Row],[RSP StopTime override]],IF(Master[[#This Row],[Avg stop time helper]] &lt;&gt; 0, Master[[#This Row],[Avg stop time helper]],Average_Stop_Time))</f>
        <v>15</v>
      </c>
      <c r="AV1301" s="21">
        <v>15</v>
      </c>
      <c r="AW1301" s="20">
        <f>Master[[#This Row],[RSP StopTime override]]-Master[[#This Row],[Avg stop time helper]]</f>
        <v>15</v>
      </c>
    </row>
    <row r="1302" spans="1:49" x14ac:dyDescent="0.3">
      <c r="A1302" s="66" t="s">
        <v>5306</v>
      </c>
      <c r="B1302" s="58">
        <v>8010</v>
      </c>
      <c r="C1302" s="58" t="s">
        <v>10</v>
      </c>
      <c r="D1302" s="65">
        <v>806255</v>
      </c>
      <c r="E1302" s="65" t="s">
        <v>42</v>
      </c>
      <c r="F1302" s="65" t="s">
        <v>846</v>
      </c>
      <c r="G1302" s="65" t="s">
        <v>845</v>
      </c>
      <c r="H1302" s="65" t="s">
        <v>7</v>
      </c>
      <c r="I1302" s="65" t="s">
        <v>814</v>
      </c>
      <c r="J1302" s="65" t="s">
        <v>5</v>
      </c>
      <c r="K1302" s="65" t="s">
        <v>813</v>
      </c>
      <c r="L1302" s="64" t="s">
        <v>206</v>
      </c>
      <c r="M1302" s="58" t="s">
        <v>205</v>
      </c>
      <c r="N1302" s="58" t="s">
        <v>2</v>
      </c>
      <c r="O1302" s="58">
        <v>75</v>
      </c>
      <c r="P1302" s="58">
        <v>0</v>
      </c>
      <c r="Q1302" s="58">
        <v>0</v>
      </c>
      <c r="R1302" s="58">
        <v>75</v>
      </c>
      <c r="S1302" s="58">
        <v>0</v>
      </c>
      <c r="T1302" s="58">
        <v>0</v>
      </c>
      <c r="U1302" s="58">
        <v>9</v>
      </c>
      <c r="V1302" s="62"/>
      <c r="W1302" s="62"/>
      <c r="X1302" s="63">
        <f>IFERROR(1 -(Master[[#This Row],[Avg Garment Scans per Delivery]]/Master[[#This Row],[Garment Inventory]]), 0)</f>
        <v>0</v>
      </c>
      <c r="Y1302" s="62"/>
      <c r="Z1302" s="62"/>
      <c r="AA1302" s="53">
        <v>67.58</v>
      </c>
      <c r="AB1302" s="53">
        <v>67.58</v>
      </c>
      <c r="AC1302" s="53">
        <v>67.58</v>
      </c>
      <c r="AD1302" s="53">
        <v>68.23</v>
      </c>
      <c r="AE1302" s="53" t="str">
        <f>_xlfn.XLOOKUP(Master[[#This Row],[cu_id]],'[1]Customer Revenue'!$Q:$Q,'[1]Customer Revenue'!$K:$K, "None")</f>
        <v>None</v>
      </c>
      <c r="AF1302" s="53" t="str">
        <f>_xlfn.XLOOKUP(Master[[#This Row],[cu_id]],'[1]Customer Revenue'!$Q:$Q,'[1]Customer Revenue'!$L:$L, "None")</f>
        <v>None</v>
      </c>
      <c r="AG1302" s="53">
        <v>67.58</v>
      </c>
      <c r="AH1302" s="53">
        <v>83.903333333333322</v>
      </c>
      <c r="AI1302" s="53">
        <v>67.58</v>
      </c>
      <c r="AJ1302" s="53">
        <v>67.905000000000001</v>
      </c>
      <c r="AK1302" s="53" t="str">
        <f>_xlfn.XLOOKUP(Master[[#This Row],[cu_id]],'[1]Customer Revenue'!$Q:$Q,'[1]Customer Revenue'!$I:$I, "None")</f>
        <v>None</v>
      </c>
      <c r="AL1302" s="53">
        <v>75.74166666666666</v>
      </c>
      <c r="AM1302" s="61">
        <v>0.33333333333333331</v>
      </c>
      <c r="AN1302" s="60">
        <v>0.6875</v>
      </c>
      <c r="AO1302" s="60" t="s">
        <v>36</v>
      </c>
      <c r="AP1302" s="60" t="s">
        <v>36</v>
      </c>
      <c r="AQ1302" s="58" t="s">
        <v>0</v>
      </c>
      <c r="AR1302" s="58"/>
      <c r="AS1302" s="58"/>
      <c r="AT1302" s="52">
        <v>0</v>
      </c>
      <c r="AU1302" s="52">
        <f>IF(Master[[#This Row],[RSP StopTime override]] &lt;&gt; "",Master[[#This Row],[RSP StopTime override]],IF(Master[[#This Row],[Avg stop time helper]] &lt;&gt; 0, Master[[#This Row],[Avg stop time helper]],Average_Stop_Time))</f>
        <v>25</v>
      </c>
      <c r="AV1302" s="21">
        <v>25</v>
      </c>
      <c r="AW1302" s="20">
        <f>Master[[#This Row],[RSP StopTime override]]-Master[[#This Row],[Avg stop time helper]]</f>
        <v>25</v>
      </c>
    </row>
    <row r="1303" spans="1:49" x14ac:dyDescent="0.3">
      <c r="A1303" s="66" t="s">
        <v>5307</v>
      </c>
      <c r="B1303" s="58">
        <v>8010</v>
      </c>
      <c r="C1303" s="58" t="s">
        <v>10</v>
      </c>
      <c r="D1303" s="65">
        <v>806267</v>
      </c>
      <c r="E1303" s="65" t="s">
        <v>42</v>
      </c>
      <c r="F1303" s="65" t="s">
        <v>844</v>
      </c>
      <c r="G1303" s="65" t="s">
        <v>843</v>
      </c>
      <c r="H1303" s="65" t="s">
        <v>7</v>
      </c>
      <c r="I1303" s="65" t="s">
        <v>814</v>
      </c>
      <c r="J1303" s="65" t="s">
        <v>5</v>
      </c>
      <c r="K1303" s="65" t="s">
        <v>813</v>
      </c>
      <c r="L1303" s="64" t="s">
        <v>67</v>
      </c>
      <c r="M1303" s="58" t="s">
        <v>3</v>
      </c>
      <c r="N1303" s="58" t="s">
        <v>2</v>
      </c>
      <c r="O1303" s="58">
        <v>65</v>
      </c>
      <c r="P1303" s="58">
        <v>0</v>
      </c>
      <c r="Q1303" s="58">
        <v>0</v>
      </c>
      <c r="R1303" s="58">
        <v>65</v>
      </c>
      <c r="S1303" s="58">
        <v>0</v>
      </c>
      <c r="T1303" s="58">
        <v>0</v>
      </c>
      <c r="U1303" s="58">
        <v>39</v>
      </c>
      <c r="V1303" s="62"/>
      <c r="W1303" s="62"/>
      <c r="X1303" s="63">
        <f>IFERROR(1 -(Master[[#This Row],[Avg Garment Scans per Delivery]]/Master[[#This Row],[Garment Inventory]]), 0)</f>
        <v>0</v>
      </c>
      <c r="Y1303" s="62"/>
      <c r="Z1303" s="62"/>
      <c r="AA1303" s="53">
        <v>18.468639053254435</v>
      </c>
      <c r="AB1303" s="53">
        <v>29.494437869822484</v>
      </c>
      <c r="AC1303" s="53">
        <v>18.34319526627219</v>
      </c>
      <c r="AD1303" s="53">
        <v>27.810650887573964</v>
      </c>
      <c r="AE1303" s="53" t="str">
        <f>_xlfn.XLOOKUP(Master[[#This Row],[cu_id]],'[1]Customer Revenue'!$Q:$Q,'[1]Customer Revenue'!$K:$K, "None")</f>
        <v>None</v>
      </c>
      <c r="AF1303" s="53" t="str">
        <f>_xlfn.XLOOKUP(Master[[#This Row],[cu_id]],'[1]Customer Revenue'!$Q:$Q,'[1]Customer Revenue'!$L:$L, "None")</f>
        <v>None</v>
      </c>
      <c r="AG1303" s="53">
        <v>18.346804733727815</v>
      </c>
      <c r="AH1303" s="53">
        <v>28.81704142011835</v>
      </c>
      <c r="AI1303" s="53">
        <v>23.981538461538459</v>
      </c>
      <c r="AJ1303" s="53">
        <v>23.076923076923077</v>
      </c>
      <c r="AK1303" s="53" t="str">
        <f>_xlfn.XLOOKUP(Master[[#This Row],[cu_id]],'[1]Customer Revenue'!$Q:$Q,'[1]Customer Revenue'!$I:$I, "None")</f>
        <v>None</v>
      </c>
      <c r="AL1303" s="53">
        <v>23.581923076923083</v>
      </c>
      <c r="AM1303" s="61">
        <v>0.33333333333333331</v>
      </c>
      <c r="AN1303" s="60">
        <v>0.95833333333333337</v>
      </c>
      <c r="AO1303" s="60" t="s">
        <v>36</v>
      </c>
      <c r="AP1303" s="60" t="s">
        <v>36</v>
      </c>
      <c r="AQ1303" s="58" t="s">
        <v>308</v>
      </c>
      <c r="AR1303" s="58"/>
      <c r="AS1303" s="58"/>
      <c r="AT1303" s="52">
        <v>0</v>
      </c>
      <c r="AU1303" s="52" t="e">
        <f>IF(Master[[#This Row],[RSP StopTime override]] &lt;&gt; "",Master[[#This Row],[RSP StopTime override]],IF(Master[[#This Row],[Avg stop time helper]] &lt;&gt; 0, Master[[#This Row],[Avg stop time helper]],Average_Stop_Time))</f>
        <v>#DIV/0!</v>
      </c>
      <c r="AV1303" s="21"/>
      <c r="AW1303" s="20">
        <f>Master[[#This Row],[RSP StopTime override]]-Master[[#This Row],[Avg stop time helper]]</f>
        <v>0</v>
      </c>
    </row>
    <row r="1304" spans="1:49" x14ac:dyDescent="0.3">
      <c r="A1304" s="66" t="s">
        <v>5308</v>
      </c>
      <c r="B1304" s="58">
        <v>8010</v>
      </c>
      <c r="C1304" s="58" t="s">
        <v>10</v>
      </c>
      <c r="D1304" s="65">
        <v>806268</v>
      </c>
      <c r="E1304" s="65" t="s">
        <v>42</v>
      </c>
      <c r="F1304" s="65" t="s">
        <v>842</v>
      </c>
      <c r="G1304" s="65" t="s">
        <v>841</v>
      </c>
      <c r="H1304" s="65" t="s">
        <v>7</v>
      </c>
      <c r="I1304" s="65" t="s">
        <v>814</v>
      </c>
      <c r="J1304" s="65" t="s">
        <v>5</v>
      </c>
      <c r="K1304" s="65" t="s">
        <v>813</v>
      </c>
      <c r="L1304" s="64" t="s">
        <v>206</v>
      </c>
      <c r="M1304" s="58" t="s">
        <v>205</v>
      </c>
      <c r="N1304" s="58" t="s">
        <v>2</v>
      </c>
      <c r="O1304" s="58">
        <v>70</v>
      </c>
      <c r="P1304" s="58">
        <v>0</v>
      </c>
      <c r="Q1304" s="58">
        <v>0</v>
      </c>
      <c r="R1304" s="58">
        <v>70</v>
      </c>
      <c r="S1304" s="58">
        <v>0</v>
      </c>
      <c r="T1304" s="58">
        <v>0</v>
      </c>
      <c r="U1304" s="58">
        <v>27</v>
      </c>
      <c r="V1304" s="62"/>
      <c r="W1304" s="62"/>
      <c r="X1304" s="63">
        <f>IFERROR(1 -(Master[[#This Row],[Avg Garment Scans per Delivery]]/Master[[#This Row],[Garment Inventory]]), 0)</f>
        <v>0</v>
      </c>
      <c r="Y1304" s="62"/>
      <c r="Z1304" s="62"/>
      <c r="AA1304" s="53">
        <v>20</v>
      </c>
      <c r="AB1304" s="53">
        <v>20</v>
      </c>
      <c r="AC1304" s="53">
        <v>12.808333333333337</v>
      </c>
      <c r="AD1304" s="53">
        <v>28.178333333333335</v>
      </c>
      <c r="AE1304" s="53" t="str">
        <f>_xlfn.XLOOKUP(Master[[#This Row],[cu_id]],'[1]Customer Revenue'!$Q:$Q,'[1]Customer Revenue'!$K:$K, "None")</f>
        <v>None</v>
      </c>
      <c r="AF1304" s="53" t="str">
        <f>_xlfn.XLOOKUP(Master[[#This Row],[cu_id]],'[1]Customer Revenue'!$Q:$Q,'[1]Customer Revenue'!$L:$L, "None")</f>
        <v>None</v>
      </c>
      <c r="AG1304" s="53">
        <v>2.4602857142857157</v>
      </c>
      <c r="AH1304" s="53">
        <v>15.068285714285713</v>
      </c>
      <c r="AI1304" s="53">
        <v>20</v>
      </c>
      <c r="AJ1304" s="53">
        <v>20.493333333333336</v>
      </c>
      <c r="AK1304" s="53" t="str">
        <f>_xlfn.XLOOKUP(Master[[#This Row],[cu_id]],'[1]Customer Revenue'!$Q:$Q,'[1]Customer Revenue'!$I:$I, "None")</f>
        <v>None</v>
      </c>
      <c r="AL1304" s="53">
        <v>8.7642857142857142</v>
      </c>
      <c r="AM1304" s="61">
        <v>0.375</v>
      </c>
      <c r="AN1304" s="60">
        <v>0.70833333333333337</v>
      </c>
      <c r="AO1304" s="60" t="s">
        <v>36</v>
      </c>
      <c r="AP1304" s="60" t="s">
        <v>36</v>
      </c>
      <c r="AQ1304" s="58" t="s">
        <v>0</v>
      </c>
      <c r="AR1304" s="58"/>
      <c r="AS1304" s="58"/>
      <c r="AT1304" s="52">
        <v>0</v>
      </c>
      <c r="AU1304" s="52" t="e">
        <f>IF(Master[[#This Row],[RSP StopTime override]] &lt;&gt; "",Master[[#This Row],[RSP StopTime override]],IF(Master[[#This Row],[Avg stop time helper]] &lt;&gt; 0, Master[[#This Row],[Avg stop time helper]],Average_Stop_Time))</f>
        <v>#DIV/0!</v>
      </c>
      <c r="AV1304" s="21"/>
      <c r="AW1304" s="20">
        <f>Master[[#This Row],[RSP StopTime override]]-Master[[#This Row],[Avg stop time helper]]</f>
        <v>0</v>
      </c>
    </row>
    <row r="1305" spans="1:49" x14ac:dyDescent="0.3">
      <c r="A1305" s="66" t="s">
        <v>5309</v>
      </c>
      <c r="B1305" s="58">
        <v>8010</v>
      </c>
      <c r="C1305" s="58" t="s">
        <v>10</v>
      </c>
      <c r="D1305" s="65">
        <v>806269</v>
      </c>
      <c r="E1305" s="65" t="s">
        <v>42</v>
      </c>
      <c r="F1305" s="65" t="s">
        <v>840</v>
      </c>
      <c r="G1305" s="65" t="s">
        <v>839</v>
      </c>
      <c r="H1305" s="65" t="s">
        <v>7</v>
      </c>
      <c r="I1305" s="65" t="s">
        <v>814</v>
      </c>
      <c r="J1305" s="65" t="s">
        <v>5</v>
      </c>
      <c r="K1305" s="65" t="s">
        <v>813</v>
      </c>
      <c r="L1305" s="64" t="s">
        <v>194</v>
      </c>
      <c r="M1305" s="58" t="s">
        <v>193</v>
      </c>
      <c r="N1305" s="58" t="s">
        <v>2</v>
      </c>
      <c r="O1305" s="58">
        <v>85</v>
      </c>
      <c r="P1305" s="58">
        <v>0</v>
      </c>
      <c r="Q1305" s="58">
        <v>0</v>
      </c>
      <c r="R1305" s="58">
        <v>85</v>
      </c>
      <c r="S1305" s="58">
        <v>0</v>
      </c>
      <c r="T1305" s="58">
        <v>0</v>
      </c>
      <c r="U1305" s="58">
        <v>10</v>
      </c>
      <c r="V1305" s="62"/>
      <c r="W1305" s="62"/>
      <c r="X1305" s="63">
        <f>IFERROR(1 -(Master[[#This Row],[Avg Garment Scans per Delivery]]/Master[[#This Row],[Garment Inventory]]), 0)</f>
        <v>0</v>
      </c>
      <c r="Y1305" s="62"/>
      <c r="Z1305" s="62"/>
      <c r="AA1305" s="53">
        <v>58.46</v>
      </c>
      <c r="AB1305" s="53">
        <v>58.46</v>
      </c>
      <c r="AC1305" s="53">
        <v>58.328888888888891</v>
      </c>
      <c r="AD1305" s="53">
        <v>59.377777777777773</v>
      </c>
      <c r="AE1305" s="53" t="str">
        <f>_xlfn.XLOOKUP(Master[[#This Row],[cu_id]],'[1]Customer Revenue'!$Q:$Q,'[1]Customer Revenue'!$K:$K, "None")</f>
        <v>None</v>
      </c>
      <c r="AF1305" s="53" t="str">
        <f>_xlfn.XLOOKUP(Master[[#This Row],[cu_id]],'[1]Customer Revenue'!$Q:$Q,'[1]Customer Revenue'!$L:$L, "None")</f>
        <v>None</v>
      </c>
      <c r="AG1305" s="53">
        <v>45.671874999999986</v>
      </c>
      <c r="AH1305" s="53">
        <v>71.248125000000002</v>
      </c>
      <c r="AI1305" s="53">
        <v>58.46</v>
      </c>
      <c r="AJ1305" s="53">
        <v>58.853333333333332</v>
      </c>
      <c r="AK1305" s="53" t="str">
        <f>_xlfn.XLOOKUP(Master[[#This Row],[cu_id]],'[1]Customer Revenue'!$Q:$Q,'[1]Customer Revenue'!$I:$I, "None")</f>
        <v>None</v>
      </c>
      <c r="AL1305" s="53">
        <v>58.459999999999994</v>
      </c>
      <c r="AM1305" s="61">
        <v>0.33333333333333331</v>
      </c>
      <c r="AN1305" s="60">
        <v>0.625</v>
      </c>
      <c r="AO1305" s="60" t="s">
        <v>36</v>
      </c>
      <c r="AP1305" s="60" t="s">
        <v>36</v>
      </c>
      <c r="AQ1305" s="58" t="s">
        <v>0</v>
      </c>
      <c r="AR1305" s="58"/>
      <c r="AS1305" s="58"/>
      <c r="AT1305" s="52">
        <v>0</v>
      </c>
      <c r="AU1305" s="52" t="e">
        <f>IF(Master[[#This Row],[RSP StopTime override]] &lt;&gt; "",Master[[#This Row],[RSP StopTime override]],IF(Master[[#This Row],[Avg stop time helper]] &lt;&gt; 0, Master[[#This Row],[Avg stop time helper]],Average_Stop_Time))</f>
        <v>#DIV/0!</v>
      </c>
      <c r="AV1305" s="21"/>
      <c r="AW1305" s="20">
        <f>Master[[#This Row],[RSP StopTime override]]-Master[[#This Row],[Avg stop time helper]]</f>
        <v>0</v>
      </c>
    </row>
    <row r="1306" spans="1:49" x14ac:dyDescent="0.3">
      <c r="A1306" s="66" t="s">
        <v>5310</v>
      </c>
      <c r="B1306" s="58">
        <v>8010</v>
      </c>
      <c r="C1306" s="58" t="s">
        <v>10</v>
      </c>
      <c r="D1306" s="65">
        <v>806426</v>
      </c>
      <c r="E1306" s="65" t="s">
        <v>42</v>
      </c>
      <c r="F1306" s="65" t="s">
        <v>838</v>
      </c>
      <c r="G1306" s="65" t="s">
        <v>837</v>
      </c>
      <c r="H1306" s="65" t="s">
        <v>7</v>
      </c>
      <c r="I1306" s="65" t="s">
        <v>814</v>
      </c>
      <c r="J1306" s="65" t="s">
        <v>5</v>
      </c>
      <c r="K1306" s="65" t="s">
        <v>813</v>
      </c>
      <c r="L1306" s="64" t="s">
        <v>77</v>
      </c>
      <c r="M1306" s="58" t="s">
        <v>29</v>
      </c>
      <c r="N1306" s="58" t="s">
        <v>2</v>
      </c>
      <c r="O1306" s="58">
        <v>90</v>
      </c>
      <c r="P1306" s="58">
        <v>0</v>
      </c>
      <c r="Q1306" s="58">
        <v>0</v>
      </c>
      <c r="R1306" s="58">
        <v>90</v>
      </c>
      <c r="S1306" s="58">
        <v>0</v>
      </c>
      <c r="T1306" s="58">
        <v>0</v>
      </c>
      <c r="U1306" s="58">
        <v>19</v>
      </c>
      <c r="V1306" s="62"/>
      <c r="W1306" s="62"/>
      <c r="X1306" s="63">
        <f>IFERROR(1 -(Master[[#This Row],[Avg Garment Scans per Delivery]]/Master[[#This Row],[Garment Inventory]]), 0)</f>
        <v>0</v>
      </c>
      <c r="Y1306" s="62"/>
      <c r="Z1306" s="62"/>
      <c r="AA1306" s="53">
        <v>39.583333333333336</v>
      </c>
      <c r="AB1306" s="53">
        <v>54.29</v>
      </c>
      <c r="AC1306" s="53">
        <v>54.217755102040819</v>
      </c>
      <c r="AD1306" s="53">
        <v>55.373673469387761</v>
      </c>
      <c r="AE1306" s="53" t="str">
        <f>_xlfn.XLOOKUP(Master[[#This Row],[cu_id]],'[1]Customer Revenue'!$Q:$Q,'[1]Customer Revenue'!$K:$K, "None")</f>
        <v>None</v>
      </c>
      <c r="AF1306" s="53" t="str">
        <f>_xlfn.XLOOKUP(Master[[#This Row],[cu_id]],'[1]Customer Revenue'!$Q:$Q,'[1]Customer Revenue'!$L:$L, "None")</f>
        <v>None</v>
      </c>
      <c r="AG1306" s="53">
        <v>30.533901098901097</v>
      </c>
      <c r="AH1306" s="53">
        <v>50.895329670329673</v>
      </c>
      <c r="AI1306" s="53">
        <v>46.936666666666667</v>
      </c>
      <c r="AJ1306" s="53">
        <v>54.79571428571429</v>
      </c>
      <c r="AK1306" s="53" t="str">
        <f>_xlfn.XLOOKUP(Master[[#This Row],[cu_id]],'[1]Customer Revenue'!$Q:$Q,'[1]Customer Revenue'!$I:$I, "None")</f>
        <v>None</v>
      </c>
      <c r="AL1306" s="53">
        <v>40.714615384615385</v>
      </c>
      <c r="AM1306" s="61">
        <v>0.29166666666666669</v>
      </c>
      <c r="AN1306" s="60">
        <v>0.91666666666666663</v>
      </c>
      <c r="AO1306" s="60" t="s">
        <v>36</v>
      </c>
      <c r="AP1306" s="60" t="s">
        <v>36</v>
      </c>
      <c r="AQ1306" s="58" t="s">
        <v>308</v>
      </c>
      <c r="AR1306" s="58"/>
      <c r="AS1306" s="58"/>
      <c r="AT1306" s="52">
        <v>0</v>
      </c>
      <c r="AU1306" s="52">
        <f>IF(Master[[#This Row],[RSP StopTime override]] &lt;&gt; "",Master[[#This Row],[RSP StopTime override]],IF(Master[[#This Row],[Avg stop time helper]] &lt;&gt; 0, Master[[#This Row],[Avg stop time helper]],Average_Stop_Time))</f>
        <v>10</v>
      </c>
      <c r="AV1306" s="21">
        <v>10</v>
      </c>
      <c r="AW1306" s="20">
        <f>Master[[#This Row],[RSP StopTime override]]-Master[[#This Row],[Avg stop time helper]]</f>
        <v>10</v>
      </c>
    </row>
    <row r="1307" spans="1:49" x14ac:dyDescent="0.3">
      <c r="A1307" s="66" t="s">
        <v>5311</v>
      </c>
      <c r="B1307" s="58">
        <v>8010</v>
      </c>
      <c r="C1307" s="58" t="s">
        <v>10</v>
      </c>
      <c r="D1307" s="65">
        <v>808207</v>
      </c>
      <c r="E1307" s="65" t="s">
        <v>42</v>
      </c>
      <c r="F1307" s="65" t="s">
        <v>836</v>
      </c>
      <c r="G1307" s="65" t="s">
        <v>835</v>
      </c>
      <c r="H1307" s="65" t="s">
        <v>7</v>
      </c>
      <c r="I1307" s="65" t="s">
        <v>738</v>
      </c>
      <c r="J1307" s="65" t="s">
        <v>5</v>
      </c>
      <c r="K1307" s="65" t="s">
        <v>806</v>
      </c>
      <c r="L1307" s="64" t="s">
        <v>194</v>
      </c>
      <c r="M1307" s="58" t="s">
        <v>193</v>
      </c>
      <c r="N1307" s="58" t="s">
        <v>2</v>
      </c>
      <c r="O1307" s="58">
        <v>45</v>
      </c>
      <c r="P1307" s="58">
        <v>0</v>
      </c>
      <c r="Q1307" s="58">
        <v>0</v>
      </c>
      <c r="R1307" s="58">
        <v>45</v>
      </c>
      <c r="S1307" s="58">
        <v>0</v>
      </c>
      <c r="T1307" s="58">
        <v>0</v>
      </c>
      <c r="U1307" s="58">
        <v>10</v>
      </c>
      <c r="V1307" s="62"/>
      <c r="W1307" s="62"/>
      <c r="X1307" s="63">
        <f>IFERROR(1 -(Master[[#This Row],[Avg Garment Scans per Delivery]]/Master[[#This Row],[Garment Inventory]]), 0)</f>
        <v>0</v>
      </c>
      <c r="Y1307" s="62"/>
      <c r="Z1307" s="62"/>
      <c r="AA1307" s="53">
        <v>34.799999999999997</v>
      </c>
      <c r="AB1307" s="53">
        <v>40.790000000000006</v>
      </c>
      <c r="AC1307" s="53">
        <v>40.648888888888891</v>
      </c>
      <c r="AD1307" s="53">
        <v>41.697777777777787</v>
      </c>
      <c r="AE1307" s="53" t="str">
        <f>_xlfn.XLOOKUP(Master[[#This Row],[cu_id]],'[1]Customer Revenue'!$Q:$Q,'[1]Customer Revenue'!$K:$K, "None")</f>
        <v>None</v>
      </c>
      <c r="AF1307" s="53" t="str">
        <f>_xlfn.XLOOKUP(Master[[#This Row],[cu_id]],'[1]Customer Revenue'!$Q:$Q,'[1]Customer Revenue'!$L:$L, "None")</f>
        <v>None</v>
      </c>
      <c r="AG1307" s="53">
        <v>28.524553571428577</v>
      </c>
      <c r="AH1307" s="53">
        <v>44.498303571428572</v>
      </c>
      <c r="AI1307" s="53">
        <v>37.795000000000002</v>
      </c>
      <c r="AJ1307" s="53">
        <v>41.173333333333339</v>
      </c>
      <c r="AK1307" s="53" t="str">
        <f>_xlfn.XLOOKUP(Master[[#This Row],[cu_id]],'[1]Customer Revenue'!$Q:$Q,'[1]Customer Revenue'!$I:$I, "None")</f>
        <v>None</v>
      </c>
      <c r="AL1307" s="53">
        <v>36.511428571428574</v>
      </c>
      <c r="AM1307" s="61">
        <v>0.33333333333333331</v>
      </c>
      <c r="AN1307" s="60">
        <v>0.72916666666666663</v>
      </c>
      <c r="AO1307" s="60" t="s">
        <v>36</v>
      </c>
      <c r="AP1307" s="60" t="s">
        <v>36</v>
      </c>
      <c r="AQ1307" s="58" t="s">
        <v>308</v>
      </c>
      <c r="AR1307" s="58"/>
      <c r="AS1307" s="58"/>
      <c r="AT1307" s="52">
        <v>0</v>
      </c>
      <c r="AU1307" s="52" t="e">
        <f>IF(Master[[#This Row],[RSP StopTime override]] &lt;&gt; "",Master[[#This Row],[RSP StopTime override]],IF(Master[[#This Row],[Avg stop time helper]] &lt;&gt; 0, Master[[#This Row],[Avg stop time helper]],Average_Stop_Time))</f>
        <v>#DIV/0!</v>
      </c>
      <c r="AV1307" s="21"/>
      <c r="AW1307" s="20">
        <f>Master[[#This Row],[RSP StopTime override]]-Master[[#This Row],[Avg stop time helper]]</f>
        <v>0</v>
      </c>
    </row>
    <row r="1308" spans="1:49" x14ac:dyDescent="0.3">
      <c r="A1308" s="66" t="s">
        <v>5312</v>
      </c>
      <c r="B1308" s="58">
        <v>8010</v>
      </c>
      <c r="C1308" s="58" t="s">
        <v>10</v>
      </c>
      <c r="D1308" s="65">
        <v>808226</v>
      </c>
      <c r="E1308" s="65" t="s">
        <v>42</v>
      </c>
      <c r="F1308" s="65" t="s">
        <v>834</v>
      </c>
      <c r="G1308" s="65" t="s">
        <v>833</v>
      </c>
      <c r="H1308" s="65" t="s">
        <v>7</v>
      </c>
      <c r="I1308" s="65" t="s">
        <v>738</v>
      </c>
      <c r="J1308" s="65" t="s">
        <v>5</v>
      </c>
      <c r="K1308" s="65" t="s">
        <v>806</v>
      </c>
      <c r="L1308" s="64" t="s">
        <v>67</v>
      </c>
      <c r="M1308" s="58" t="s">
        <v>3</v>
      </c>
      <c r="N1308" s="58" t="s">
        <v>2</v>
      </c>
      <c r="O1308" s="58">
        <v>40</v>
      </c>
      <c r="P1308" s="58">
        <v>0</v>
      </c>
      <c r="Q1308" s="58">
        <v>0</v>
      </c>
      <c r="R1308" s="58">
        <v>40</v>
      </c>
      <c r="S1308" s="58">
        <v>0</v>
      </c>
      <c r="T1308" s="58">
        <v>0</v>
      </c>
      <c r="U1308" s="58">
        <v>39</v>
      </c>
      <c r="V1308" s="62">
        <v>31</v>
      </c>
      <c r="W1308" s="62">
        <v>2</v>
      </c>
      <c r="X1308" s="63">
        <f>IFERROR(1 -(Master[[#This Row],[Avg Garment Scans per Delivery]]/Master[[#This Row],[Garment Inventory]]), 0)</f>
        <v>0.93548387096774199</v>
      </c>
      <c r="Y1308" s="62">
        <v>1</v>
      </c>
      <c r="Z1308" s="62">
        <v>32</v>
      </c>
      <c r="AA1308" s="53">
        <v>30.803335949764545</v>
      </c>
      <c r="AB1308" s="53">
        <v>43.284356357927791</v>
      </c>
      <c r="AC1308" s="53">
        <v>34.735266272189342</v>
      </c>
      <c r="AD1308" s="53">
        <v>35.852426035502951</v>
      </c>
      <c r="AE1308" s="53" t="str">
        <f>_xlfn.XLOOKUP(Master[[#This Row],[cu_id]],'[1]Customer Revenue'!$Q:$Q,'[1]Customer Revenue'!$K:$K, "None")</f>
        <v>None</v>
      </c>
      <c r="AF1308" s="53" t="str">
        <f>_xlfn.XLOOKUP(Master[[#This Row],[cu_id]],'[1]Customer Revenue'!$Q:$Q,'[1]Customer Revenue'!$L:$L, "None")</f>
        <v>None</v>
      </c>
      <c r="AG1308" s="53">
        <v>33.781269389047196</v>
      </c>
      <c r="AH1308" s="53">
        <v>41.229499841722074</v>
      </c>
      <c r="AI1308" s="53">
        <v>37.043846153846168</v>
      </c>
      <c r="AJ1308" s="53">
        <v>35.293846153846147</v>
      </c>
      <c r="AK1308" s="53" t="str">
        <f>_xlfn.XLOOKUP(Master[[#This Row],[cu_id]],'[1]Customer Revenue'!$Q:$Q,'[1]Customer Revenue'!$I:$I, "None")</f>
        <v>None</v>
      </c>
      <c r="AL1308" s="53">
        <v>37.505384615384635</v>
      </c>
      <c r="AM1308" s="61">
        <v>0.27083333333333331</v>
      </c>
      <c r="AN1308" s="60">
        <v>0.64583333333333337</v>
      </c>
      <c r="AO1308" s="60" t="s">
        <v>36</v>
      </c>
      <c r="AP1308" s="60" t="s">
        <v>36</v>
      </c>
      <c r="AQ1308" s="58" t="s">
        <v>0</v>
      </c>
      <c r="AR1308" s="58"/>
      <c r="AS1308" s="58"/>
      <c r="AT1308" s="52">
        <v>0</v>
      </c>
      <c r="AU1308" s="52" t="e">
        <f>IF(Master[[#This Row],[RSP StopTime override]] &lt;&gt; "",Master[[#This Row],[RSP StopTime override]],IF(Master[[#This Row],[Avg stop time helper]] &lt;&gt; 0, Master[[#This Row],[Avg stop time helper]],Average_Stop_Time))</f>
        <v>#DIV/0!</v>
      </c>
      <c r="AV1308" s="21"/>
      <c r="AW1308" s="20">
        <f>Master[[#This Row],[RSP StopTime override]]-Master[[#This Row],[Avg stop time helper]]</f>
        <v>0</v>
      </c>
    </row>
    <row r="1309" spans="1:49" x14ac:dyDescent="0.3">
      <c r="A1309" s="66" t="s">
        <v>5313</v>
      </c>
      <c r="B1309" s="58">
        <v>8010</v>
      </c>
      <c r="C1309" s="58" t="s">
        <v>10</v>
      </c>
      <c r="D1309" s="65">
        <v>808232</v>
      </c>
      <c r="E1309" s="65" t="s">
        <v>42</v>
      </c>
      <c r="F1309" s="65" t="s">
        <v>832</v>
      </c>
      <c r="G1309" s="65" t="s">
        <v>831</v>
      </c>
      <c r="H1309" s="65" t="s">
        <v>7</v>
      </c>
      <c r="I1309" s="65" t="s">
        <v>738</v>
      </c>
      <c r="J1309" s="65" t="s">
        <v>5</v>
      </c>
      <c r="K1309" s="65" t="s">
        <v>830</v>
      </c>
      <c r="L1309" s="64" t="s">
        <v>67</v>
      </c>
      <c r="M1309" s="58" t="s">
        <v>3</v>
      </c>
      <c r="N1309" s="58" t="s">
        <v>2</v>
      </c>
      <c r="O1309" s="58">
        <v>35</v>
      </c>
      <c r="P1309" s="58">
        <v>0</v>
      </c>
      <c r="Q1309" s="58">
        <v>0</v>
      </c>
      <c r="R1309" s="58">
        <v>35</v>
      </c>
      <c r="S1309" s="58">
        <v>0</v>
      </c>
      <c r="T1309" s="58">
        <v>0</v>
      </c>
      <c r="U1309" s="58">
        <v>41</v>
      </c>
      <c r="V1309" s="62">
        <v>120</v>
      </c>
      <c r="W1309" s="62">
        <v>4</v>
      </c>
      <c r="X1309" s="63">
        <f>IFERROR(1 -(Master[[#This Row],[Avg Garment Scans per Delivery]]/Master[[#This Row],[Garment Inventory]]), 0)</f>
        <v>0.96666666666666667</v>
      </c>
      <c r="Y1309" s="62">
        <v>6</v>
      </c>
      <c r="Z1309" s="62">
        <v>117</v>
      </c>
      <c r="AA1309" s="53">
        <v>70.425934065934058</v>
      </c>
      <c r="AB1309" s="53">
        <v>101.04021978021979</v>
      </c>
      <c r="AC1309" s="53">
        <v>76.702781065088743</v>
      </c>
      <c r="AD1309" s="53">
        <v>85.987988165680463</v>
      </c>
      <c r="AE1309" s="53" t="str">
        <f>_xlfn.XLOOKUP(Master[[#This Row],[cu_id]],'[1]Customer Revenue'!$Q:$Q,'[1]Customer Revenue'!$K:$K, "None")</f>
        <v>None</v>
      </c>
      <c r="AF1309" s="53" t="str">
        <f>_xlfn.XLOOKUP(Master[[#This Row],[cu_id]],'[1]Customer Revenue'!$Q:$Q,'[1]Customer Revenue'!$L:$L, "None")</f>
        <v>None</v>
      </c>
      <c r="AG1309" s="53">
        <v>71.953511132214842</v>
      </c>
      <c r="AH1309" s="53">
        <v>99.465719637015937</v>
      </c>
      <c r="AI1309" s="53">
        <v>85.733076923076922</v>
      </c>
      <c r="AJ1309" s="53">
        <v>81.345384615384603</v>
      </c>
      <c r="AK1309" s="53" t="str">
        <f>_xlfn.XLOOKUP(Master[[#This Row],[cu_id]],'[1]Customer Revenue'!$Q:$Q,'[1]Customer Revenue'!$I:$I, "None")</f>
        <v>None</v>
      </c>
      <c r="AL1309" s="53">
        <v>85.70961538461539</v>
      </c>
      <c r="AM1309" s="61">
        <v>0.3125</v>
      </c>
      <c r="AN1309" s="60">
        <v>0.6875</v>
      </c>
      <c r="AO1309" s="60" t="s">
        <v>36</v>
      </c>
      <c r="AP1309" s="60" t="s">
        <v>36</v>
      </c>
      <c r="AQ1309" s="58" t="s">
        <v>0</v>
      </c>
      <c r="AR1309" s="58"/>
      <c r="AS1309" s="58"/>
      <c r="AT1309" s="52">
        <v>0</v>
      </c>
      <c r="AU1309" s="52">
        <f>IF(Master[[#This Row],[RSP StopTime override]] &lt;&gt; "",Master[[#This Row],[RSP StopTime override]],IF(Master[[#This Row],[Avg stop time helper]] &lt;&gt; 0, Master[[#This Row],[Avg stop time helper]],Average_Stop_Time))</f>
        <v>15</v>
      </c>
      <c r="AV1309" s="21">
        <v>15</v>
      </c>
      <c r="AW1309" s="20">
        <f>Master[[#This Row],[RSP StopTime override]]-Master[[#This Row],[Avg stop time helper]]</f>
        <v>15</v>
      </c>
    </row>
    <row r="1310" spans="1:49" x14ac:dyDescent="0.3">
      <c r="A1310" s="66" t="s">
        <v>5314</v>
      </c>
      <c r="B1310" s="58">
        <v>8010</v>
      </c>
      <c r="C1310" s="58" t="s">
        <v>10</v>
      </c>
      <c r="D1310" s="65">
        <v>808238</v>
      </c>
      <c r="E1310" s="65" t="s">
        <v>42</v>
      </c>
      <c r="F1310" s="65" t="s">
        <v>829</v>
      </c>
      <c r="G1310" s="65" t="s">
        <v>827</v>
      </c>
      <c r="H1310" s="65" t="s">
        <v>7</v>
      </c>
      <c r="I1310" s="65" t="s">
        <v>738</v>
      </c>
      <c r="J1310" s="65" t="s">
        <v>5</v>
      </c>
      <c r="K1310" s="65" t="s">
        <v>806</v>
      </c>
      <c r="L1310" s="64" t="s">
        <v>67</v>
      </c>
      <c r="M1310" s="58" t="s">
        <v>3</v>
      </c>
      <c r="N1310" s="58" t="s">
        <v>2</v>
      </c>
      <c r="O1310" s="58">
        <v>30</v>
      </c>
      <c r="P1310" s="58">
        <v>0</v>
      </c>
      <c r="Q1310" s="58">
        <v>0</v>
      </c>
      <c r="R1310" s="58">
        <v>30</v>
      </c>
      <c r="S1310" s="58">
        <v>0</v>
      </c>
      <c r="T1310" s="58">
        <v>0</v>
      </c>
      <c r="U1310" s="58">
        <v>40</v>
      </c>
      <c r="V1310" s="62">
        <v>0</v>
      </c>
      <c r="W1310" s="62">
        <v>0</v>
      </c>
      <c r="X1310" s="63">
        <f>IFERROR(1 -(Master[[#This Row],[Avg Garment Scans per Delivery]]/Master[[#This Row],[Garment Inventory]]), 0)</f>
        <v>0</v>
      </c>
      <c r="Y1310" s="62">
        <v>1</v>
      </c>
      <c r="Z1310" s="62">
        <v>17</v>
      </c>
      <c r="AA1310" s="53">
        <v>19.605029585798817</v>
      </c>
      <c r="AB1310" s="53">
        <v>22.448816568047341</v>
      </c>
      <c r="AC1310" s="53">
        <v>20</v>
      </c>
      <c r="AD1310" s="53">
        <v>20</v>
      </c>
      <c r="AE1310" s="53" t="str">
        <f>_xlfn.XLOOKUP(Master[[#This Row],[cu_id]],'[1]Customer Revenue'!$Q:$Q,'[1]Customer Revenue'!$K:$K, "None")</f>
        <v>None</v>
      </c>
      <c r="AF1310" s="53" t="str">
        <f>_xlfn.XLOOKUP(Master[[#This Row],[cu_id]],'[1]Customer Revenue'!$Q:$Q,'[1]Customer Revenue'!$L:$L, "None")</f>
        <v>None</v>
      </c>
      <c r="AG1310" s="53">
        <v>19.455029585798819</v>
      </c>
      <c r="AH1310" s="53">
        <v>25.268047337278112</v>
      </c>
      <c r="AI1310" s="53">
        <v>21.026923076923079</v>
      </c>
      <c r="AJ1310" s="53">
        <v>20</v>
      </c>
      <c r="AK1310" s="53" t="str">
        <f>_xlfn.XLOOKUP(Master[[#This Row],[cu_id]],'[1]Customer Revenue'!$Q:$Q,'[1]Customer Revenue'!$I:$I, "None")</f>
        <v>None</v>
      </c>
      <c r="AL1310" s="53">
        <v>22.361538461538466</v>
      </c>
      <c r="AM1310" s="61">
        <v>0.29166666666666669</v>
      </c>
      <c r="AN1310" s="60">
        <v>0.70833333333333337</v>
      </c>
      <c r="AO1310" s="60" t="s">
        <v>36</v>
      </c>
      <c r="AP1310" s="60" t="s">
        <v>36</v>
      </c>
      <c r="AQ1310" s="58" t="s">
        <v>0</v>
      </c>
      <c r="AR1310" s="58"/>
      <c r="AS1310" s="58"/>
      <c r="AT1310" s="52">
        <v>0</v>
      </c>
      <c r="AU1310" s="52">
        <f>IF(Master[[#This Row],[RSP StopTime override]] &lt;&gt; "",Master[[#This Row],[RSP StopTime override]],IF(Master[[#This Row],[Avg stop time helper]] &lt;&gt; 0, Master[[#This Row],[Avg stop time helper]],Average_Stop_Time))</f>
        <v>10</v>
      </c>
      <c r="AV1310" s="21">
        <v>10</v>
      </c>
      <c r="AW1310" s="20">
        <f>Master[[#This Row],[RSP StopTime override]]-Master[[#This Row],[Avg stop time helper]]</f>
        <v>10</v>
      </c>
    </row>
    <row r="1311" spans="1:49" x14ac:dyDescent="0.3">
      <c r="A1311" s="66" t="s">
        <v>5315</v>
      </c>
      <c r="B1311" s="58">
        <v>8010</v>
      </c>
      <c r="C1311" s="58" t="s">
        <v>10</v>
      </c>
      <c r="D1311" s="65">
        <v>808239</v>
      </c>
      <c r="E1311" s="65" t="s">
        <v>42</v>
      </c>
      <c r="F1311" s="65" t="s">
        <v>828</v>
      </c>
      <c r="G1311" s="65" t="s">
        <v>827</v>
      </c>
      <c r="H1311" s="65" t="s">
        <v>7</v>
      </c>
      <c r="I1311" s="65" t="s">
        <v>738</v>
      </c>
      <c r="J1311" s="65" t="s">
        <v>5</v>
      </c>
      <c r="K1311" s="65" t="s">
        <v>806</v>
      </c>
      <c r="L1311" s="64" t="s">
        <v>67</v>
      </c>
      <c r="M1311" s="58" t="s">
        <v>3</v>
      </c>
      <c r="N1311" s="58" t="s">
        <v>2</v>
      </c>
      <c r="O1311" s="58">
        <v>25</v>
      </c>
      <c r="P1311" s="58">
        <v>0</v>
      </c>
      <c r="Q1311" s="58">
        <v>0</v>
      </c>
      <c r="R1311" s="58">
        <v>25</v>
      </c>
      <c r="S1311" s="58">
        <v>0</v>
      </c>
      <c r="T1311" s="58">
        <v>0</v>
      </c>
      <c r="U1311" s="58">
        <v>40</v>
      </c>
      <c r="V1311" s="62">
        <v>0</v>
      </c>
      <c r="W1311" s="62">
        <v>0</v>
      </c>
      <c r="X1311" s="63">
        <f>IFERROR(1 -(Master[[#This Row],[Avg Garment Scans per Delivery]]/Master[[#This Row],[Garment Inventory]]), 0)</f>
        <v>0</v>
      </c>
      <c r="Y1311" s="62">
        <v>1</v>
      </c>
      <c r="Z1311" s="62">
        <v>13</v>
      </c>
      <c r="AA1311" s="53">
        <v>19.830769230769231</v>
      </c>
      <c r="AB1311" s="53">
        <v>20.569230769230774</v>
      </c>
      <c r="AC1311" s="53"/>
      <c r="AD1311" s="53">
        <v>102.73265306122448</v>
      </c>
      <c r="AE1311" s="53" t="str">
        <f>_xlfn.XLOOKUP(Master[[#This Row],[cu_id]],'[1]Customer Revenue'!$Q:$Q,'[1]Customer Revenue'!$K:$K, "None")</f>
        <v>None</v>
      </c>
      <c r="AF1311" s="53" t="str">
        <f>_xlfn.XLOOKUP(Master[[#This Row],[cu_id]],'[1]Customer Revenue'!$Q:$Q,'[1]Customer Revenue'!$L:$L, "None")</f>
        <v>None</v>
      </c>
      <c r="AG1311" s="53">
        <v>12.29951989026063</v>
      </c>
      <c r="AH1311" s="53">
        <v>45.637517146776403</v>
      </c>
      <c r="AI1311" s="53">
        <v>20.200000000000003</v>
      </c>
      <c r="AJ1311" s="53">
        <v>48.956428571428567</v>
      </c>
      <c r="AK1311" s="53" t="str">
        <f>_xlfn.XLOOKUP(Master[[#This Row],[cu_id]],'[1]Customer Revenue'!$Q:$Q,'[1]Customer Revenue'!$I:$I, "None")</f>
        <v>None</v>
      </c>
      <c r="AL1311" s="53">
        <v>28.968518518518518</v>
      </c>
      <c r="AM1311" s="61">
        <v>0.29166666666666669</v>
      </c>
      <c r="AN1311" s="60">
        <v>0.70833333333333337</v>
      </c>
      <c r="AO1311" s="60" t="s">
        <v>36</v>
      </c>
      <c r="AP1311" s="60" t="s">
        <v>36</v>
      </c>
      <c r="AQ1311" s="58" t="s">
        <v>0</v>
      </c>
      <c r="AR1311" s="58"/>
      <c r="AS1311" s="58"/>
      <c r="AT1311" s="52">
        <v>0</v>
      </c>
      <c r="AU1311" s="52">
        <f>IF(Master[[#This Row],[RSP StopTime override]] &lt;&gt; "",Master[[#This Row],[RSP StopTime override]],IF(Master[[#This Row],[Avg stop time helper]] &lt;&gt; 0, Master[[#This Row],[Avg stop time helper]],Average_Stop_Time))</f>
        <v>10</v>
      </c>
      <c r="AV1311" s="21">
        <v>10</v>
      </c>
      <c r="AW1311" s="20">
        <f>Master[[#This Row],[RSP StopTime override]]-Master[[#This Row],[Avg stop time helper]]</f>
        <v>10</v>
      </c>
    </row>
    <row r="1312" spans="1:49" x14ac:dyDescent="0.3">
      <c r="A1312" s="66" t="s">
        <v>5316</v>
      </c>
      <c r="B1312" s="58">
        <v>8010</v>
      </c>
      <c r="C1312" s="58" t="s">
        <v>10</v>
      </c>
      <c r="D1312" s="65">
        <v>808246</v>
      </c>
      <c r="E1312" s="65" t="s">
        <v>42</v>
      </c>
      <c r="F1312" s="65" t="s">
        <v>824</v>
      </c>
      <c r="G1312" s="65" t="s">
        <v>826</v>
      </c>
      <c r="H1312" s="65" t="s">
        <v>7</v>
      </c>
      <c r="I1312" s="65" t="s">
        <v>738</v>
      </c>
      <c r="J1312" s="65" t="s">
        <v>5</v>
      </c>
      <c r="K1312" s="65" t="s">
        <v>825</v>
      </c>
      <c r="L1312" s="64" t="s">
        <v>67</v>
      </c>
      <c r="M1312" s="58" t="s">
        <v>3</v>
      </c>
      <c r="N1312" s="58" t="s">
        <v>2</v>
      </c>
      <c r="O1312" s="58">
        <v>55</v>
      </c>
      <c r="P1312" s="58">
        <v>0</v>
      </c>
      <c r="Q1312" s="58">
        <v>0</v>
      </c>
      <c r="R1312" s="58">
        <v>55</v>
      </c>
      <c r="S1312" s="58">
        <v>0</v>
      </c>
      <c r="T1312" s="58">
        <v>0</v>
      </c>
      <c r="U1312" s="58">
        <v>39</v>
      </c>
      <c r="V1312" s="62">
        <v>3</v>
      </c>
      <c r="W1312" s="62"/>
      <c r="X1312" s="63">
        <f>IFERROR(1 -(Master[[#This Row],[Avg Garment Scans per Delivery]]/Master[[#This Row],[Garment Inventory]]), 0)</f>
        <v>1</v>
      </c>
      <c r="Y1312" s="62"/>
      <c r="Z1312" s="62"/>
      <c r="AA1312" s="53">
        <v>17.069171597633137</v>
      </c>
      <c r="AB1312" s="53">
        <v>24.729289940828401</v>
      </c>
      <c r="AC1312" s="53">
        <v>19.300414201183429</v>
      </c>
      <c r="AD1312" s="53">
        <v>26.848816568047333</v>
      </c>
      <c r="AE1312" s="53" t="str">
        <f>_xlfn.XLOOKUP(Master[[#This Row],[cu_id]],'[1]Customer Revenue'!$Q:$Q,'[1]Customer Revenue'!$K:$K, "None")</f>
        <v>None</v>
      </c>
      <c r="AF1312" s="53" t="str">
        <f>_xlfn.XLOOKUP(Master[[#This Row],[cu_id]],'[1]Customer Revenue'!$Q:$Q,'[1]Customer Revenue'!$L:$L, "None")</f>
        <v>None</v>
      </c>
      <c r="AG1312" s="53">
        <v>17.389230769230771</v>
      </c>
      <c r="AH1312" s="53">
        <v>25.124615384615382</v>
      </c>
      <c r="AI1312" s="53">
        <v>20.899230769230769</v>
      </c>
      <c r="AJ1312" s="53">
        <v>23.074615384615381</v>
      </c>
      <c r="AK1312" s="53" t="str">
        <f>_xlfn.XLOOKUP(Master[[#This Row],[cu_id]],'[1]Customer Revenue'!$Q:$Q,'[1]Customer Revenue'!$I:$I, "None")</f>
        <v>None</v>
      </c>
      <c r="AL1312" s="53">
        <v>21.256923076923076</v>
      </c>
      <c r="AM1312" s="61">
        <v>0.33333333333333331</v>
      </c>
      <c r="AN1312" s="60">
        <v>0.6875</v>
      </c>
      <c r="AO1312" s="60" t="s">
        <v>36</v>
      </c>
      <c r="AP1312" s="60" t="s">
        <v>36</v>
      </c>
      <c r="AQ1312" s="58" t="s">
        <v>133</v>
      </c>
      <c r="AR1312" s="58"/>
      <c r="AS1312" s="58"/>
      <c r="AT1312" s="52">
        <v>0</v>
      </c>
      <c r="AU1312" s="52" t="e">
        <f>IF(Master[[#This Row],[RSP StopTime override]] &lt;&gt; "",Master[[#This Row],[RSP StopTime override]],IF(Master[[#This Row],[Avg stop time helper]] &lt;&gt; 0, Master[[#This Row],[Avg stop time helper]],Average_Stop_Time))</f>
        <v>#DIV/0!</v>
      </c>
      <c r="AV1312" s="21"/>
      <c r="AW1312" s="20">
        <f>Master[[#This Row],[RSP StopTime override]]-Master[[#This Row],[Avg stop time helper]]</f>
        <v>0</v>
      </c>
    </row>
    <row r="1313" spans="1:49" x14ac:dyDescent="0.3">
      <c r="A1313" s="66" t="s">
        <v>5317</v>
      </c>
      <c r="B1313" s="58">
        <v>8010</v>
      </c>
      <c r="C1313" s="58" t="s">
        <v>10</v>
      </c>
      <c r="D1313" s="65">
        <v>808247</v>
      </c>
      <c r="E1313" s="65" t="s">
        <v>42</v>
      </c>
      <c r="F1313" s="65" t="s">
        <v>824</v>
      </c>
      <c r="G1313" s="65" t="s">
        <v>823</v>
      </c>
      <c r="H1313" s="65" t="s">
        <v>7</v>
      </c>
      <c r="I1313" s="65" t="s">
        <v>738</v>
      </c>
      <c r="J1313" s="65" t="s">
        <v>5</v>
      </c>
      <c r="K1313" s="65" t="s">
        <v>806</v>
      </c>
      <c r="L1313" s="64" t="s">
        <v>77</v>
      </c>
      <c r="M1313" s="58" t="s">
        <v>29</v>
      </c>
      <c r="N1313" s="58" t="s">
        <v>2</v>
      </c>
      <c r="O1313" s="58">
        <v>50</v>
      </c>
      <c r="P1313" s="58">
        <v>0</v>
      </c>
      <c r="Q1313" s="58">
        <v>0</v>
      </c>
      <c r="R1313" s="58">
        <v>50</v>
      </c>
      <c r="S1313" s="58">
        <v>0</v>
      </c>
      <c r="T1313" s="58">
        <v>0</v>
      </c>
      <c r="U1313" s="58">
        <v>19</v>
      </c>
      <c r="V1313" s="62"/>
      <c r="W1313" s="62"/>
      <c r="X1313" s="63">
        <f>IFERROR(1 -(Master[[#This Row],[Avg Garment Scans per Delivery]]/Master[[#This Row],[Garment Inventory]]), 0)</f>
        <v>0</v>
      </c>
      <c r="Y1313" s="62"/>
      <c r="Z1313" s="62"/>
      <c r="AA1313" s="53">
        <v>70.22</v>
      </c>
      <c r="AB1313" s="53">
        <v>70.220000000000027</v>
      </c>
      <c r="AC1313" s="53">
        <v>70.147755102040804</v>
      </c>
      <c r="AD1313" s="53">
        <v>71.303673469387746</v>
      </c>
      <c r="AE1313" s="53" t="str">
        <f>_xlfn.XLOOKUP(Master[[#This Row],[cu_id]],'[1]Customer Revenue'!$Q:$Q,'[1]Customer Revenue'!$K:$K, "None")</f>
        <v>None</v>
      </c>
      <c r="AF1313" s="53" t="str">
        <f>_xlfn.XLOOKUP(Master[[#This Row],[cu_id]],'[1]Customer Revenue'!$Q:$Q,'[1]Customer Revenue'!$L:$L, "None")</f>
        <v>None</v>
      </c>
      <c r="AG1313" s="53">
        <v>70.22</v>
      </c>
      <c r="AH1313" s="53">
        <v>70.220000000000027</v>
      </c>
      <c r="AI1313" s="53">
        <v>70.220000000000013</v>
      </c>
      <c r="AJ1313" s="53">
        <v>70.725714285714275</v>
      </c>
      <c r="AK1313" s="53" t="str">
        <f>_xlfn.XLOOKUP(Master[[#This Row],[cu_id]],'[1]Customer Revenue'!$Q:$Q,'[1]Customer Revenue'!$I:$I, "None")</f>
        <v>None</v>
      </c>
      <c r="AL1313" s="53">
        <v>70.220000000000013</v>
      </c>
      <c r="AM1313" s="61">
        <v>0.33333333333333331</v>
      </c>
      <c r="AN1313" s="60">
        <v>0.6875</v>
      </c>
      <c r="AO1313" s="60" t="s">
        <v>36</v>
      </c>
      <c r="AP1313" s="60" t="s">
        <v>36</v>
      </c>
      <c r="AQ1313" s="58" t="s">
        <v>133</v>
      </c>
      <c r="AR1313" s="58"/>
      <c r="AS1313" s="58"/>
      <c r="AT1313" s="52">
        <v>0</v>
      </c>
      <c r="AU1313" s="52" t="e">
        <f>IF(Master[[#This Row],[RSP StopTime override]] &lt;&gt; "",Master[[#This Row],[RSP StopTime override]],IF(Master[[#This Row],[Avg stop time helper]] &lt;&gt; 0, Master[[#This Row],[Avg stop time helper]],Average_Stop_Time))</f>
        <v>#DIV/0!</v>
      </c>
      <c r="AV1313" s="21"/>
      <c r="AW1313" s="20">
        <f>Master[[#This Row],[RSP StopTime override]]-Master[[#This Row],[Avg stop time helper]]</f>
        <v>0</v>
      </c>
    </row>
    <row r="1314" spans="1:49" x14ac:dyDescent="0.3">
      <c r="A1314" s="66" t="s">
        <v>5318</v>
      </c>
      <c r="B1314" s="58">
        <v>8010</v>
      </c>
      <c r="C1314" s="58" t="s">
        <v>10</v>
      </c>
      <c r="D1314" s="65">
        <v>808269</v>
      </c>
      <c r="E1314" s="65" t="s">
        <v>42</v>
      </c>
      <c r="F1314" s="65" t="s">
        <v>822</v>
      </c>
      <c r="G1314" s="65" t="s">
        <v>821</v>
      </c>
      <c r="H1314" s="65" t="s">
        <v>7</v>
      </c>
      <c r="I1314" s="65" t="s">
        <v>738</v>
      </c>
      <c r="J1314" s="65" t="s">
        <v>5</v>
      </c>
      <c r="K1314" s="65" t="s">
        <v>806</v>
      </c>
      <c r="L1314" s="64" t="s">
        <v>67</v>
      </c>
      <c r="M1314" s="58" t="s">
        <v>3</v>
      </c>
      <c r="N1314" s="58" t="s">
        <v>2</v>
      </c>
      <c r="O1314" s="58">
        <v>105</v>
      </c>
      <c r="P1314" s="58">
        <v>0</v>
      </c>
      <c r="Q1314" s="58">
        <v>0</v>
      </c>
      <c r="R1314" s="58">
        <v>105</v>
      </c>
      <c r="S1314" s="58">
        <v>0</v>
      </c>
      <c r="T1314" s="58">
        <v>0</v>
      </c>
      <c r="U1314" s="58">
        <v>39</v>
      </c>
      <c r="V1314" s="62"/>
      <c r="W1314" s="62"/>
      <c r="X1314" s="63">
        <f>IFERROR(1 -(Master[[#This Row],[Avg Garment Scans per Delivery]]/Master[[#This Row],[Garment Inventory]]), 0)</f>
        <v>0</v>
      </c>
      <c r="Y1314" s="62"/>
      <c r="Z1314" s="62"/>
      <c r="AA1314" s="53">
        <v>15.44710059171598</v>
      </c>
      <c r="AB1314" s="53">
        <v>82.275976331360937</v>
      </c>
      <c r="AC1314" s="53">
        <v>17.360887573964501</v>
      </c>
      <c r="AD1314" s="53">
        <v>73.572958579881657</v>
      </c>
      <c r="AE1314" s="53" t="str">
        <f>_xlfn.XLOOKUP(Master[[#This Row],[cu_id]],'[1]Customer Revenue'!$Q:$Q,'[1]Customer Revenue'!$K:$K, "None")</f>
        <v>None</v>
      </c>
      <c r="AF1314" s="53" t="str">
        <f>_xlfn.XLOOKUP(Master[[#This Row],[cu_id]],'[1]Customer Revenue'!$Q:$Q,'[1]Customer Revenue'!$L:$L, "None")</f>
        <v>None</v>
      </c>
      <c r="AG1314" s="53">
        <v>15.711124260355028</v>
      </c>
      <c r="AH1314" s="53">
        <v>77.217337278106498</v>
      </c>
      <c r="AI1314" s="53">
        <v>48.861538461538458</v>
      </c>
      <c r="AJ1314" s="53">
        <v>45.466923076923081</v>
      </c>
      <c r="AK1314" s="53" t="str">
        <f>_xlfn.XLOOKUP(Master[[#This Row],[cu_id]],'[1]Customer Revenue'!$Q:$Q,'[1]Customer Revenue'!$I:$I, "None")</f>
        <v>None</v>
      </c>
      <c r="AL1314" s="53">
        <v>46.464230769230767</v>
      </c>
      <c r="AM1314" s="61">
        <v>0.41666666666666669</v>
      </c>
      <c r="AN1314" s="60">
        <v>0.91666666666666663</v>
      </c>
      <c r="AO1314" s="60" t="s">
        <v>36</v>
      </c>
      <c r="AP1314" s="60" t="s">
        <v>36</v>
      </c>
      <c r="AQ1314" s="58" t="s">
        <v>308</v>
      </c>
      <c r="AR1314" s="58"/>
      <c r="AS1314" s="58"/>
      <c r="AT1314" s="52">
        <v>0</v>
      </c>
      <c r="AU1314" s="52">
        <f>IF(Master[[#This Row],[RSP StopTime override]] &lt;&gt; "",Master[[#This Row],[RSP StopTime override]],IF(Master[[#This Row],[Avg stop time helper]] &lt;&gt; 0, Master[[#This Row],[Avg stop time helper]],Average_Stop_Time))</f>
        <v>20</v>
      </c>
      <c r="AV1314" s="21">
        <v>20</v>
      </c>
      <c r="AW1314" s="20">
        <f>Master[[#This Row],[RSP StopTime override]]-Master[[#This Row],[Avg stop time helper]]</f>
        <v>20</v>
      </c>
    </row>
    <row r="1315" spans="1:49" x14ac:dyDescent="0.3">
      <c r="A1315" s="66" t="s">
        <v>5319</v>
      </c>
      <c r="B1315" s="58">
        <v>8010</v>
      </c>
      <c r="C1315" s="58" t="s">
        <v>10</v>
      </c>
      <c r="D1315" s="65">
        <v>808270</v>
      </c>
      <c r="E1315" s="65" t="s">
        <v>42</v>
      </c>
      <c r="F1315" s="65" t="s">
        <v>820</v>
      </c>
      <c r="G1315" s="65" t="s">
        <v>819</v>
      </c>
      <c r="H1315" s="65" t="s">
        <v>7</v>
      </c>
      <c r="I1315" s="65" t="s">
        <v>814</v>
      </c>
      <c r="J1315" s="65" t="s">
        <v>5</v>
      </c>
      <c r="K1315" s="65" t="s">
        <v>813</v>
      </c>
      <c r="L1315" s="64" t="s">
        <v>91</v>
      </c>
      <c r="M1315" s="58" t="s">
        <v>90</v>
      </c>
      <c r="N1315" s="58" t="s">
        <v>2</v>
      </c>
      <c r="O1315" s="58">
        <v>90</v>
      </c>
      <c r="P1315" s="58">
        <v>0</v>
      </c>
      <c r="Q1315" s="58">
        <v>0</v>
      </c>
      <c r="R1315" s="58">
        <v>90</v>
      </c>
      <c r="S1315" s="58">
        <v>0</v>
      </c>
      <c r="T1315" s="58">
        <v>0</v>
      </c>
      <c r="U1315" s="58">
        <v>11</v>
      </c>
      <c r="V1315" s="62"/>
      <c r="W1315" s="62"/>
      <c r="X1315" s="63">
        <f>IFERROR(1 -(Master[[#This Row],[Avg Garment Scans per Delivery]]/Master[[#This Row],[Garment Inventory]]), 0)</f>
        <v>0</v>
      </c>
      <c r="Y1315" s="62"/>
      <c r="Z1315" s="62"/>
      <c r="AA1315" s="53">
        <v>48.678333333333327</v>
      </c>
      <c r="AB1315" s="53">
        <v>109.54833333333333</v>
      </c>
      <c r="AC1315" s="53">
        <v>44.771999999999998</v>
      </c>
      <c r="AD1315" s="53">
        <v>126.30800000000002</v>
      </c>
      <c r="AE1315" s="53" t="str">
        <f>_xlfn.XLOOKUP(Master[[#This Row],[cu_id]],'[1]Customer Revenue'!$Q:$Q,'[1]Customer Revenue'!$K:$K, "None")</f>
        <v>None</v>
      </c>
      <c r="AF1315" s="53" t="str">
        <f>_xlfn.XLOOKUP(Master[[#This Row],[cu_id]],'[1]Customer Revenue'!$Q:$Q,'[1]Customer Revenue'!$L:$L, "None")</f>
        <v>None</v>
      </c>
      <c r="AG1315" s="53">
        <v>42.468202479338828</v>
      </c>
      <c r="AH1315" s="53">
        <v>98.31679752066114</v>
      </c>
      <c r="AI1315" s="53">
        <v>79.11333333333333</v>
      </c>
      <c r="AJ1315" s="53">
        <v>85.54</v>
      </c>
      <c r="AK1315" s="53" t="str">
        <f>_xlfn.XLOOKUP(Master[[#This Row],[cu_id]],'[1]Customer Revenue'!$Q:$Q,'[1]Customer Revenue'!$I:$I, "None")</f>
        <v>None</v>
      </c>
      <c r="AL1315" s="53">
        <v>70.392499999999984</v>
      </c>
      <c r="AM1315" s="61" t="s">
        <v>36</v>
      </c>
      <c r="AN1315" s="60" t="s">
        <v>36</v>
      </c>
      <c r="AO1315" s="60" t="s">
        <v>36</v>
      </c>
      <c r="AP1315" s="60" t="s">
        <v>36</v>
      </c>
      <c r="AQ1315" s="58" t="s">
        <v>308</v>
      </c>
      <c r="AR1315" s="58"/>
      <c r="AS1315" s="58"/>
      <c r="AT1315" s="52">
        <v>0</v>
      </c>
      <c r="AU1315" s="52">
        <f>IF(Master[[#This Row],[RSP StopTime override]] &lt;&gt; "",Master[[#This Row],[RSP StopTime override]],IF(Master[[#This Row],[Avg stop time helper]] &lt;&gt; 0, Master[[#This Row],[Avg stop time helper]],Average_Stop_Time))</f>
        <v>10</v>
      </c>
      <c r="AV1315" s="21">
        <v>10</v>
      </c>
      <c r="AW1315" s="20">
        <f>Master[[#This Row],[RSP StopTime override]]-Master[[#This Row],[Avg stop time helper]]</f>
        <v>10</v>
      </c>
    </row>
    <row r="1316" spans="1:49" x14ac:dyDescent="0.3">
      <c r="A1316" s="66" t="s">
        <v>5320</v>
      </c>
      <c r="B1316" s="58">
        <v>8010</v>
      </c>
      <c r="C1316" s="58" t="s">
        <v>10</v>
      </c>
      <c r="D1316" s="65">
        <v>808345</v>
      </c>
      <c r="E1316" s="65" t="s">
        <v>42</v>
      </c>
      <c r="F1316" s="65" t="s">
        <v>818</v>
      </c>
      <c r="G1316" s="65" t="s">
        <v>817</v>
      </c>
      <c r="H1316" s="65" t="s">
        <v>7</v>
      </c>
      <c r="I1316" s="65" t="s">
        <v>738</v>
      </c>
      <c r="J1316" s="65" t="s">
        <v>5</v>
      </c>
      <c r="K1316" s="65" t="s">
        <v>806</v>
      </c>
      <c r="L1316" s="64" t="s">
        <v>91</v>
      </c>
      <c r="M1316" s="58" t="s">
        <v>90</v>
      </c>
      <c r="N1316" s="58" t="s">
        <v>2</v>
      </c>
      <c r="O1316" s="58">
        <v>107</v>
      </c>
      <c r="P1316" s="58">
        <v>0</v>
      </c>
      <c r="Q1316" s="58">
        <v>0</v>
      </c>
      <c r="R1316" s="58">
        <v>107</v>
      </c>
      <c r="S1316" s="58">
        <v>0</v>
      </c>
      <c r="T1316" s="58">
        <v>0</v>
      </c>
      <c r="U1316" s="58">
        <v>20</v>
      </c>
      <c r="V1316" s="62"/>
      <c r="W1316" s="62"/>
      <c r="X1316" s="63">
        <f>IFERROR(1 -(Master[[#This Row],[Avg Garment Scans per Delivery]]/Master[[#This Row],[Garment Inventory]]), 0)</f>
        <v>0</v>
      </c>
      <c r="Y1316" s="62"/>
      <c r="Z1316" s="62"/>
      <c r="AA1316" s="53">
        <v>12.885102040816326</v>
      </c>
      <c r="AB1316" s="53">
        <v>15.260612244897958</v>
      </c>
      <c r="AC1316" s="53">
        <v>13.248888888888889</v>
      </c>
      <c r="AD1316" s="53">
        <v>14.297777777777778</v>
      </c>
      <c r="AE1316" s="53" t="str">
        <f>_xlfn.XLOOKUP(Master[[#This Row],[cu_id]],'[1]Customer Revenue'!$Q:$Q,'[1]Customer Revenue'!$K:$K, "None")</f>
        <v>None</v>
      </c>
      <c r="AF1316" s="53" t="str">
        <f>_xlfn.XLOOKUP(Master[[#This Row],[cu_id]],'[1]Customer Revenue'!$Q:$Q,'[1]Customer Revenue'!$L:$L, "None")</f>
        <v>None</v>
      </c>
      <c r="AG1316" s="53">
        <v>13.580887573964496</v>
      </c>
      <c r="AH1316" s="53">
        <v>18.402189349112426</v>
      </c>
      <c r="AI1316" s="53">
        <v>14.072857142857142</v>
      </c>
      <c r="AJ1316" s="53">
        <v>13.773333333333333</v>
      </c>
      <c r="AK1316" s="53" t="str">
        <f>_xlfn.XLOOKUP(Master[[#This Row],[cu_id]],'[1]Customer Revenue'!$Q:$Q,'[1]Customer Revenue'!$I:$I, "None")</f>
        <v>None</v>
      </c>
      <c r="AL1316" s="53">
        <v>15.991538461538461</v>
      </c>
      <c r="AM1316" s="61">
        <v>0.375</v>
      </c>
      <c r="AN1316" s="60">
        <v>0.6875</v>
      </c>
      <c r="AO1316" s="60" t="s">
        <v>36</v>
      </c>
      <c r="AP1316" s="60" t="s">
        <v>36</v>
      </c>
      <c r="AQ1316" s="58" t="s">
        <v>308</v>
      </c>
      <c r="AR1316" s="58"/>
      <c r="AS1316" s="58"/>
      <c r="AT1316" s="52">
        <v>0</v>
      </c>
      <c r="AU1316" s="52" t="e">
        <f>IF(Master[[#This Row],[RSP StopTime override]] &lt;&gt; "",Master[[#This Row],[RSP StopTime override]],IF(Master[[#This Row],[Avg stop time helper]] &lt;&gt; 0, Master[[#This Row],[Avg stop time helper]],Average_Stop_Time))</f>
        <v>#DIV/0!</v>
      </c>
      <c r="AV1316" s="21"/>
      <c r="AW1316" s="20">
        <f>Master[[#This Row],[RSP StopTime override]]-Master[[#This Row],[Avg stop time helper]]</f>
        <v>0</v>
      </c>
    </row>
    <row r="1317" spans="1:49" x14ac:dyDescent="0.3">
      <c r="A1317" s="66" t="s">
        <v>5321</v>
      </c>
      <c r="B1317" s="58">
        <v>8010</v>
      </c>
      <c r="C1317" s="58" t="s">
        <v>10</v>
      </c>
      <c r="D1317" s="65">
        <v>808421</v>
      </c>
      <c r="E1317" s="65" t="s">
        <v>42</v>
      </c>
      <c r="F1317" s="65" t="s">
        <v>816</v>
      </c>
      <c r="G1317" s="65" t="s">
        <v>815</v>
      </c>
      <c r="H1317" s="65" t="s">
        <v>7</v>
      </c>
      <c r="I1317" s="65" t="s">
        <v>814</v>
      </c>
      <c r="J1317" s="65" t="s">
        <v>5</v>
      </c>
      <c r="K1317" s="65" t="s">
        <v>813</v>
      </c>
      <c r="L1317" s="64" t="s">
        <v>194</v>
      </c>
      <c r="M1317" s="58" t="s">
        <v>193</v>
      </c>
      <c r="N1317" s="58" t="s">
        <v>2</v>
      </c>
      <c r="O1317" s="58">
        <v>150</v>
      </c>
      <c r="P1317" s="58">
        <v>0</v>
      </c>
      <c r="Q1317" s="58">
        <v>0</v>
      </c>
      <c r="R1317" s="58">
        <v>150</v>
      </c>
      <c r="S1317" s="58">
        <v>0</v>
      </c>
      <c r="T1317" s="58">
        <v>0</v>
      </c>
      <c r="U1317" s="58">
        <v>10</v>
      </c>
      <c r="V1317" s="62"/>
      <c r="W1317" s="62"/>
      <c r="X1317" s="63">
        <f>IFERROR(1 -(Master[[#This Row],[Avg Garment Scans per Delivery]]/Master[[#This Row],[Garment Inventory]]), 0)</f>
        <v>0</v>
      </c>
      <c r="Y1317" s="62"/>
      <c r="Z1317" s="62"/>
      <c r="AA1317" s="53">
        <v>144.57999999999998</v>
      </c>
      <c r="AB1317" s="53">
        <v>176.68</v>
      </c>
      <c r="AC1317" s="53">
        <v>176.54888888888891</v>
      </c>
      <c r="AD1317" s="53">
        <v>177.59777777777779</v>
      </c>
      <c r="AE1317" s="53" t="str">
        <f>_xlfn.XLOOKUP(Master[[#This Row],[cu_id]],'[1]Customer Revenue'!$Q:$Q,'[1]Customer Revenue'!$K:$K, "None")</f>
        <v>None</v>
      </c>
      <c r="AF1317" s="53" t="str">
        <f>_xlfn.XLOOKUP(Master[[#This Row],[cu_id]],'[1]Customer Revenue'!$Q:$Q,'[1]Customer Revenue'!$L:$L, "None")</f>
        <v>None</v>
      </c>
      <c r="AG1317" s="53">
        <v>125.33183673469389</v>
      </c>
      <c r="AH1317" s="53">
        <v>206.62816326530614</v>
      </c>
      <c r="AI1317" s="53">
        <v>160.63</v>
      </c>
      <c r="AJ1317" s="53">
        <v>177.07333333333335</v>
      </c>
      <c r="AK1317" s="53" t="str">
        <f>_xlfn.XLOOKUP(Master[[#This Row],[cu_id]],'[1]Customer Revenue'!$Q:$Q,'[1]Customer Revenue'!$I:$I, "None")</f>
        <v>None</v>
      </c>
      <c r="AL1317" s="53">
        <v>165.98000000000002</v>
      </c>
      <c r="AM1317" s="61" t="s">
        <v>36</v>
      </c>
      <c r="AN1317" s="60" t="s">
        <v>36</v>
      </c>
      <c r="AO1317" s="60" t="s">
        <v>36</v>
      </c>
      <c r="AP1317" s="60" t="s">
        <v>36</v>
      </c>
      <c r="AQ1317" s="58" t="s">
        <v>308</v>
      </c>
      <c r="AR1317" s="58"/>
      <c r="AS1317" s="58"/>
      <c r="AT1317" s="52">
        <v>0</v>
      </c>
      <c r="AU1317" s="52" t="e">
        <f>IF(Master[[#This Row],[RSP StopTime override]] &lt;&gt; "",Master[[#This Row],[RSP StopTime override]],IF(Master[[#This Row],[Avg stop time helper]] &lt;&gt; 0, Master[[#This Row],[Avg stop time helper]],Average_Stop_Time))</f>
        <v>#DIV/0!</v>
      </c>
      <c r="AV1317" s="21"/>
      <c r="AW1317" s="20">
        <f>Master[[#This Row],[RSP StopTime override]]-Master[[#This Row],[Avg stop time helper]]</f>
        <v>0</v>
      </c>
    </row>
    <row r="1318" spans="1:49" x14ac:dyDescent="0.3">
      <c r="A1318" s="66" t="s">
        <v>5322</v>
      </c>
      <c r="B1318" s="58">
        <v>8010</v>
      </c>
      <c r="C1318" s="58" t="s">
        <v>10</v>
      </c>
      <c r="D1318" s="65">
        <v>808441</v>
      </c>
      <c r="E1318" s="65" t="s">
        <v>42</v>
      </c>
      <c r="F1318" s="65" t="s">
        <v>812</v>
      </c>
      <c r="G1318" s="65" t="s">
        <v>811</v>
      </c>
      <c r="H1318" s="65" t="s">
        <v>7</v>
      </c>
      <c r="I1318" s="65" t="s">
        <v>738</v>
      </c>
      <c r="J1318" s="65" t="s">
        <v>5</v>
      </c>
      <c r="K1318" s="65" t="s">
        <v>806</v>
      </c>
      <c r="L1318" s="64" t="s">
        <v>206</v>
      </c>
      <c r="M1318" s="58" t="s">
        <v>205</v>
      </c>
      <c r="N1318" s="58" t="s">
        <v>2</v>
      </c>
      <c r="O1318" s="58">
        <v>100</v>
      </c>
      <c r="P1318" s="58">
        <v>0</v>
      </c>
      <c r="Q1318" s="58">
        <v>0</v>
      </c>
      <c r="R1318" s="58">
        <v>100</v>
      </c>
      <c r="S1318" s="58">
        <v>0</v>
      </c>
      <c r="T1318" s="58">
        <v>0</v>
      </c>
      <c r="U1318" s="58">
        <v>9</v>
      </c>
      <c r="V1318" s="62"/>
      <c r="W1318" s="62"/>
      <c r="X1318" s="63">
        <f>IFERROR(1 -(Master[[#This Row],[Avg Garment Scans per Delivery]]/Master[[#This Row],[Garment Inventory]]), 0)</f>
        <v>0</v>
      </c>
      <c r="Y1318" s="62"/>
      <c r="Z1318" s="62"/>
      <c r="AA1318" s="53">
        <v>29.94</v>
      </c>
      <c r="AB1318" s="53">
        <v>29.94</v>
      </c>
      <c r="AC1318" s="53">
        <v>29.94</v>
      </c>
      <c r="AD1318" s="53">
        <v>31.12</v>
      </c>
      <c r="AE1318" s="53" t="str">
        <f>_xlfn.XLOOKUP(Master[[#This Row],[cu_id]],'[1]Customer Revenue'!$Q:$Q,'[1]Customer Revenue'!$K:$K, "None")</f>
        <v>None</v>
      </c>
      <c r="AF1318" s="53" t="str">
        <f>_xlfn.XLOOKUP(Master[[#This Row],[cu_id]],'[1]Customer Revenue'!$Q:$Q,'[1]Customer Revenue'!$L:$L, "None")</f>
        <v>None</v>
      </c>
      <c r="AG1318" s="53">
        <v>29.94</v>
      </c>
      <c r="AH1318" s="53">
        <v>29.94</v>
      </c>
      <c r="AI1318" s="53">
        <v>29.94</v>
      </c>
      <c r="AJ1318" s="53">
        <v>30.53</v>
      </c>
      <c r="AK1318" s="53" t="str">
        <f>_xlfn.XLOOKUP(Master[[#This Row],[cu_id]],'[1]Customer Revenue'!$Q:$Q,'[1]Customer Revenue'!$I:$I, "None")</f>
        <v>None</v>
      </c>
      <c r="AL1318" s="53">
        <v>29.94</v>
      </c>
      <c r="AM1318" s="61">
        <v>0.29166666666666669</v>
      </c>
      <c r="AN1318" s="60">
        <v>0.72916666666666663</v>
      </c>
      <c r="AO1318" s="60" t="s">
        <v>36</v>
      </c>
      <c r="AP1318" s="60" t="s">
        <v>36</v>
      </c>
      <c r="AQ1318" s="58" t="s">
        <v>308</v>
      </c>
      <c r="AR1318" s="58"/>
      <c r="AS1318" s="58"/>
      <c r="AT1318" s="52">
        <v>0</v>
      </c>
      <c r="AU1318" s="52">
        <f>IF(Master[[#This Row],[RSP StopTime override]] &lt;&gt; "",Master[[#This Row],[RSP StopTime override]],IF(Master[[#This Row],[Avg stop time helper]] &lt;&gt; 0, Master[[#This Row],[Avg stop time helper]],Average_Stop_Time))</f>
        <v>10</v>
      </c>
      <c r="AV1318" s="21">
        <v>10</v>
      </c>
      <c r="AW1318" s="20">
        <f>Master[[#This Row],[RSP StopTime override]]-Master[[#This Row],[Avg stop time helper]]</f>
        <v>10</v>
      </c>
    </row>
    <row r="1319" spans="1:49" x14ac:dyDescent="0.3">
      <c r="A1319" s="66" t="s">
        <v>5323</v>
      </c>
      <c r="B1319" s="58">
        <v>8010</v>
      </c>
      <c r="C1319" s="58" t="s">
        <v>10</v>
      </c>
      <c r="D1319" s="65">
        <v>884524</v>
      </c>
      <c r="E1319" s="65" t="s">
        <v>810</v>
      </c>
      <c r="F1319" s="65" t="s">
        <v>88</v>
      </c>
      <c r="G1319" s="65" t="s">
        <v>809</v>
      </c>
      <c r="H1319" s="65" t="s">
        <v>7</v>
      </c>
      <c r="I1319" s="65" t="s">
        <v>6</v>
      </c>
      <c r="J1319" s="65" t="s">
        <v>5</v>
      </c>
      <c r="K1319" s="65" t="s">
        <v>68</v>
      </c>
      <c r="L1319" s="64" t="s">
        <v>67</v>
      </c>
      <c r="M1319" s="58" t="s">
        <v>3</v>
      </c>
      <c r="N1319" s="58" t="s">
        <v>2</v>
      </c>
      <c r="O1319" s="58">
        <v>15</v>
      </c>
      <c r="P1319" s="58">
        <v>0</v>
      </c>
      <c r="Q1319" s="58">
        <v>0</v>
      </c>
      <c r="R1319" s="58">
        <v>15</v>
      </c>
      <c r="S1319" s="58">
        <v>0</v>
      </c>
      <c r="T1319" s="58">
        <v>0</v>
      </c>
      <c r="U1319" s="58">
        <v>39</v>
      </c>
      <c r="V1319" s="62">
        <v>33</v>
      </c>
      <c r="W1319" s="62">
        <v>5</v>
      </c>
      <c r="X1319" s="63">
        <f>IFERROR(1 -(Master[[#This Row],[Avg Garment Scans per Delivery]]/Master[[#This Row],[Garment Inventory]]), 0)</f>
        <v>0.84848484848484851</v>
      </c>
      <c r="Y1319" s="62">
        <v>3</v>
      </c>
      <c r="Z1319" s="62">
        <v>33</v>
      </c>
      <c r="AA1319" s="53">
        <v>14.116272189349115</v>
      </c>
      <c r="AB1319" s="53">
        <v>18.420650887573967</v>
      </c>
      <c r="AC1319" s="53">
        <v>14.27</v>
      </c>
      <c r="AD1319" s="53">
        <v>14.270000000000003</v>
      </c>
      <c r="AE1319" s="53" t="str">
        <f>_xlfn.XLOOKUP(Master[[#This Row],[cu_id]],'[1]Customer Revenue'!$Q:$Q,'[1]Customer Revenue'!$K:$K, "None")</f>
        <v>None</v>
      </c>
      <c r="AF1319" s="53" t="str">
        <f>_xlfn.XLOOKUP(Master[[#This Row],[cu_id]],'[1]Customer Revenue'!$Q:$Q,'[1]Customer Revenue'!$L:$L, "None")</f>
        <v>None</v>
      </c>
      <c r="AG1319" s="53">
        <v>15.73041420118343</v>
      </c>
      <c r="AH1319" s="53">
        <v>19.138047337278106</v>
      </c>
      <c r="AI1319" s="53">
        <v>16.268461538461541</v>
      </c>
      <c r="AJ1319" s="53">
        <v>14.270000000000001</v>
      </c>
      <c r="AK1319" s="53" t="str">
        <f>_xlfn.XLOOKUP(Master[[#This Row],[cu_id]],'[1]Customer Revenue'!$Q:$Q,'[1]Customer Revenue'!$I:$I, "None")</f>
        <v>None</v>
      </c>
      <c r="AL1319" s="53">
        <v>17.434230769230769</v>
      </c>
      <c r="AM1319" s="61">
        <v>0.27083333333333331</v>
      </c>
      <c r="AN1319" s="60">
        <v>0.66666666666666663</v>
      </c>
      <c r="AO1319" s="60" t="s">
        <v>36</v>
      </c>
      <c r="AP1319" s="60" t="s">
        <v>36</v>
      </c>
      <c r="AQ1319" s="58" t="s">
        <v>0</v>
      </c>
      <c r="AR1319" s="58"/>
      <c r="AS1319" s="58"/>
      <c r="AT1319" s="52">
        <v>0</v>
      </c>
      <c r="AU1319" s="52" t="e">
        <f>IF(Master[[#This Row],[RSP StopTime override]] &lt;&gt; "",Master[[#This Row],[RSP StopTime override]],IF(Master[[#This Row],[Avg stop time helper]] &lt;&gt; 0, Master[[#This Row],[Avg stop time helper]],Average_Stop_Time))</f>
        <v>#DIV/0!</v>
      </c>
      <c r="AV1319" s="21"/>
      <c r="AW1319" s="20">
        <f>Master[[#This Row],[RSP StopTime override]]-Master[[#This Row],[Avg stop time helper]]</f>
        <v>0</v>
      </c>
    </row>
    <row r="1320" spans="1:49" x14ac:dyDescent="0.3">
      <c r="A1320" s="66" t="s">
        <v>5324</v>
      </c>
      <c r="B1320" s="58">
        <v>8010</v>
      </c>
      <c r="C1320" s="58" t="s">
        <v>10</v>
      </c>
      <c r="D1320" s="65">
        <v>886085</v>
      </c>
      <c r="E1320" s="65" t="s">
        <v>808</v>
      </c>
      <c r="F1320" s="65" t="s">
        <v>3762</v>
      </c>
      <c r="G1320" s="65" t="s">
        <v>807</v>
      </c>
      <c r="H1320" s="65" t="s">
        <v>7</v>
      </c>
      <c r="I1320" s="65" t="s">
        <v>738</v>
      </c>
      <c r="J1320" s="65" t="s">
        <v>5</v>
      </c>
      <c r="K1320" s="65" t="s">
        <v>806</v>
      </c>
      <c r="L1320" s="64" t="s">
        <v>91</v>
      </c>
      <c r="M1320" s="58" t="s">
        <v>90</v>
      </c>
      <c r="N1320" s="58" t="s">
        <v>2</v>
      </c>
      <c r="O1320" s="58">
        <v>128</v>
      </c>
      <c r="P1320" s="58">
        <v>0</v>
      </c>
      <c r="Q1320" s="58">
        <v>0</v>
      </c>
      <c r="R1320" s="58">
        <v>128</v>
      </c>
      <c r="S1320" s="58">
        <v>0</v>
      </c>
      <c r="T1320" s="58">
        <v>0</v>
      </c>
      <c r="U1320" s="58">
        <v>20</v>
      </c>
      <c r="V1320" s="62"/>
      <c r="W1320" s="62"/>
      <c r="X1320" s="63">
        <f>IFERROR(1 -(Master[[#This Row],[Avg Garment Scans per Delivery]]/Master[[#This Row],[Garment Inventory]]), 0)</f>
        <v>0</v>
      </c>
      <c r="Y1320" s="62"/>
      <c r="Z1320" s="62"/>
      <c r="AA1320" s="53">
        <v>24.420408163265304</v>
      </c>
      <c r="AB1320" s="53">
        <v>26.036734693877552</v>
      </c>
      <c r="AC1320" s="53">
        <v>25.568888888888889</v>
      </c>
      <c r="AD1320" s="53">
        <v>26.617777777777778</v>
      </c>
      <c r="AE1320" s="53" t="str">
        <f>_xlfn.XLOOKUP(Master[[#This Row],[cu_id]],'[1]Customer Revenue'!$Q:$Q,'[1]Customer Revenue'!$K:$K, "None")</f>
        <v>None</v>
      </c>
      <c r="AF1320" s="53" t="str">
        <f>_xlfn.XLOOKUP(Master[[#This Row],[cu_id]],'[1]Customer Revenue'!$Q:$Q,'[1]Customer Revenue'!$L:$L, "None")</f>
        <v>None</v>
      </c>
      <c r="AG1320" s="53">
        <v>21.895133437990577</v>
      </c>
      <c r="AH1320" s="53">
        <v>28.997174254317105</v>
      </c>
      <c r="AI1320" s="53">
        <v>25.228571428571428</v>
      </c>
      <c r="AJ1320" s="53">
        <v>26.093333333333334</v>
      </c>
      <c r="AK1320" s="53" t="str">
        <f>_xlfn.XLOOKUP(Master[[#This Row],[cu_id]],'[1]Customer Revenue'!$Q:$Q,'[1]Customer Revenue'!$I:$I, "None")</f>
        <v>None</v>
      </c>
      <c r="AL1320" s="53">
        <v>25.446153846153841</v>
      </c>
      <c r="AM1320" s="61">
        <v>4.1666666666666664E-2</v>
      </c>
      <c r="AN1320" s="60">
        <v>0.79166666666666663</v>
      </c>
      <c r="AO1320" s="60" t="s">
        <v>36</v>
      </c>
      <c r="AP1320" s="60" t="s">
        <v>36</v>
      </c>
      <c r="AQ1320" s="58" t="s">
        <v>308</v>
      </c>
      <c r="AR1320" s="58"/>
      <c r="AS1320" s="58"/>
      <c r="AT1320" s="52">
        <v>0</v>
      </c>
      <c r="AU1320" s="52" t="e">
        <f>IF(Master[[#This Row],[RSP StopTime override]] &lt;&gt; "",Master[[#This Row],[RSP StopTime override]],IF(Master[[#This Row],[Avg stop time helper]] &lt;&gt; 0, Master[[#This Row],[Avg stop time helper]],Average_Stop_Time))</f>
        <v>#DIV/0!</v>
      </c>
      <c r="AV1320" s="21"/>
      <c r="AW1320" s="20">
        <f>Master[[#This Row],[RSP StopTime override]]-Master[[#This Row],[Avg stop time helper]]</f>
        <v>0</v>
      </c>
    </row>
    <row r="1321" spans="1:49" x14ac:dyDescent="0.3">
      <c r="A1321" s="66" t="s">
        <v>5325</v>
      </c>
      <c r="B1321" s="58">
        <v>8010</v>
      </c>
      <c r="C1321" s="58" t="s">
        <v>43</v>
      </c>
      <c r="D1321" s="65">
        <v>99117</v>
      </c>
      <c r="E1321" s="65" t="s">
        <v>805</v>
      </c>
      <c r="F1321" s="65" t="s">
        <v>3763</v>
      </c>
      <c r="G1321" s="65" t="s">
        <v>804</v>
      </c>
      <c r="H1321" s="65" t="s">
        <v>7</v>
      </c>
      <c r="I1321" s="65" t="s">
        <v>6</v>
      </c>
      <c r="J1321" s="65" t="s">
        <v>5</v>
      </c>
      <c r="K1321" s="65" t="s">
        <v>4</v>
      </c>
      <c r="L1321" s="64" t="s">
        <v>67</v>
      </c>
      <c r="M1321" s="58" t="s">
        <v>3</v>
      </c>
      <c r="N1321" s="58" t="s">
        <v>2</v>
      </c>
      <c r="O1321" s="58">
        <v>62</v>
      </c>
      <c r="P1321" s="58">
        <v>0</v>
      </c>
      <c r="Q1321" s="58">
        <v>0</v>
      </c>
      <c r="R1321" s="58">
        <v>0</v>
      </c>
      <c r="S1321" s="58">
        <v>62</v>
      </c>
      <c r="T1321" s="58">
        <v>0</v>
      </c>
      <c r="U1321" s="58">
        <v>51</v>
      </c>
      <c r="V1321" s="62"/>
      <c r="W1321" s="62"/>
      <c r="X1321" s="63">
        <f>IFERROR(1 -(Master[[#This Row],[Avg Garment Scans per Delivery]]/Master[[#This Row],[Garment Inventory]]), 0)</f>
        <v>0</v>
      </c>
      <c r="Y1321" s="62"/>
      <c r="Z1321" s="62"/>
      <c r="AA1321" s="53">
        <v>25</v>
      </c>
      <c r="AB1321" s="53">
        <v>25</v>
      </c>
      <c r="AC1321" s="53">
        <v>25</v>
      </c>
      <c r="AD1321" s="53">
        <v>25</v>
      </c>
      <c r="AE1321" s="53" t="str">
        <f>_xlfn.XLOOKUP(Master[[#This Row],[cu_id]],'[1]Customer Revenue'!$Q:$Q,'[1]Customer Revenue'!$K:$K, "None")</f>
        <v>None</v>
      </c>
      <c r="AF1321" s="53" t="str">
        <f>_xlfn.XLOOKUP(Master[[#This Row],[cu_id]],'[1]Customer Revenue'!$Q:$Q,'[1]Customer Revenue'!$L:$L, "None")</f>
        <v>None</v>
      </c>
      <c r="AG1321" s="53">
        <v>25</v>
      </c>
      <c r="AH1321" s="53">
        <v>25</v>
      </c>
      <c r="AI1321" s="53">
        <v>25</v>
      </c>
      <c r="AJ1321" s="53">
        <v>25</v>
      </c>
      <c r="AK1321" s="53" t="str">
        <f>_xlfn.XLOOKUP(Master[[#This Row],[cu_id]],'[1]Customer Revenue'!$Q:$Q,'[1]Customer Revenue'!$I:$I, "None")</f>
        <v>None</v>
      </c>
      <c r="AL1321" s="53">
        <v>25</v>
      </c>
      <c r="AM1321" s="61">
        <v>0.35416666666666669</v>
      </c>
      <c r="AN1321" s="60">
        <v>0.85416666666666663</v>
      </c>
      <c r="AO1321" s="60" t="s">
        <v>36</v>
      </c>
      <c r="AP1321" s="60" t="s">
        <v>36</v>
      </c>
      <c r="AQ1321" s="58" t="s">
        <v>308</v>
      </c>
      <c r="AR1321" s="58"/>
      <c r="AS1321" s="58"/>
      <c r="AT1321" s="52">
        <v>0</v>
      </c>
      <c r="AU1321" s="52">
        <f>IF(Master[[#This Row],[RSP StopTime override]] &lt;&gt; "",Master[[#This Row],[RSP StopTime override]],IF(Master[[#This Row],[Avg stop time helper]] &lt;&gt; 0, Master[[#This Row],[Avg stop time helper]],Average_Stop_Time))</f>
        <v>10</v>
      </c>
      <c r="AV1321" s="21">
        <v>10</v>
      </c>
      <c r="AW1321" s="20">
        <f>Master[[#This Row],[RSP StopTime override]]-Master[[#This Row],[Avg stop time helper]]</f>
        <v>10</v>
      </c>
    </row>
    <row r="1322" spans="1:49" x14ac:dyDescent="0.3">
      <c r="A1322" s="73" t="s">
        <v>5326</v>
      </c>
      <c r="B1322" s="64">
        <v>8010</v>
      </c>
      <c r="C1322" s="64" t="s">
        <v>43</v>
      </c>
      <c r="D1322" s="65">
        <v>99169</v>
      </c>
      <c r="E1322" s="65" t="s">
        <v>803</v>
      </c>
      <c r="F1322" s="65" t="s">
        <v>802</v>
      </c>
      <c r="G1322" s="65" t="s">
        <v>801</v>
      </c>
      <c r="H1322" s="65" t="s">
        <v>7</v>
      </c>
      <c r="I1322" s="65" t="s">
        <v>6</v>
      </c>
      <c r="J1322" s="65" t="s">
        <v>5</v>
      </c>
      <c r="K1322" s="65" t="s">
        <v>68</v>
      </c>
      <c r="L1322" s="64" t="s">
        <v>67</v>
      </c>
      <c r="M1322" s="65" t="s">
        <v>3</v>
      </c>
      <c r="N1322" s="65" t="s">
        <v>2</v>
      </c>
      <c r="O1322" s="65">
        <v>17</v>
      </c>
      <c r="P1322" s="65">
        <v>0</v>
      </c>
      <c r="Q1322" s="65">
        <v>0</v>
      </c>
      <c r="R1322" s="65">
        <v>0</v>
      </c>
      <c r="S1322" s="65">
        <v>17</v>
      </c>
      <c r="T1322" s="65">
        <v>0</v>
      </c>
      <c r="U1322" s="65">
        <v>4</v>
      </c>
      <c r="V1322" s="65">
        <v>69</v>
      </c>
      <c r="W1322" s="65"/>
      <c r="X1322" s="72">
        <f>IFERROR(1 -(Master[[#This Row],[Avg Garment Scans per Delivery]]/Master[[#This Row],[Garment Inventory]]), 0)</f>
        <v>1</v>
      </c>
      <c r="Y1322" s="65"/>
      <c r="Z1322" s="65"/>
      <c r="AA1322" s="53">
        <v>46</v>
      </c>
      <c r="AB1322" s="53">
        <v>95</v>
      </c>
      <c r="AC1322" s="53">
        <v>46</v>
      </c>
      <c r="AD1322" s="53">
        <v>95</v>
      </c>
      <c r="AE1322" s="53" t="str">
        <f>_xlfn.XLOOKUP(Master[[#This Row],[cu_id]],'[1]Customer Revenue'!$Q:$Q,'[1]Customer Revenue'!$K:$K, "None")</f>
        <v>None</v>
      </c>
      <c r="AF1322" s="53" t="str">
        <f>_xlfn.XLOOKUP(Master[[#This Row],[cu_id]],'[1]Customer Revenue'!$Q:$Q,'[1]Customer Revenue'!$L:$L, "None")</f>
        <v>None</v>
      </c>
      <c r="AG1322" s="53">
        <v>46</v>
      </c>
      <c r="AH1322" s="53">
        <v>95</v>
      </c>
      <c r="AI1322" s="53" t="s">
        <v>680</v>
      </c>
      <c r="AJ1322" s="53" t="s">
        <v>680</v>
      </c>
      <c r="AK1322" s="53" t="str">
        <f>_xlfn.XLOOKUP(Master[[#This Row],[cu_id]],'[1]Customer Revenue'!$Q:$Q,'[1]Customer Revenue'!$I:$I, "None")</f>
        <v>None</v>
      </c>
      <c r="AL1322" s="53" t="s">
        <v>680</v>
      </c>
      <c r="AM1322" s="71" t="s">
        <v>1</v>
      </c>
      <c r="AN1322" s="71" t="s">
        <v>1</v>
      </c>
      <c r="AO1322" s="71" t="s">
        <v>36</v>
      </c>
      <c r="AP1322" s="71" t="s">
        <v>36</v>
      </c>
      <c r="AQ1322" s="64" t="s">
        <v>0</v>
      </c>
      <c r="AR1322" s="64"/>
      <c r="AS1322" s="65"/>
      <c r="AT1322" s="52">
        <v>0</v>
      </c>
      <c r="AU1322" s="52">
        <f>IF(Master[[#This Row],[RSP StopTime override]] &lt;&gt; "",Master[[#This Row],[RSP StopTime override]],IF(Master[[#This Row],[Avg stop time helper]] &lt;&gt; 0, Master[[#This Row],[Avg stop time helper]],Average_Stop_Time))</f>
        <v>10</v>
      </c>
      <c r="AV1322" s="21">
        <v>10</v>
      </c>
      <c r="AW1322" s="20">
        <f>Master[[#This Row],[RSP StopTime override]]-Master[[#This Row],[Avg stop time helper]]</f>
        <v>10</v>
      </c>
    </row>
    <row r="1323" spans="1:49" x14ac:dyDescent="0.3">
      <c r="A1323" s="66" t="s">
        <v>5327</v>
      </c>
      <c r="B1323" s="58">
        <v>8010</v>
      </c>
      <c r="C1323" s="58" t="s">
        <v>43</v>
      </c>
      <c r="D1323" s="65">
        <v>802040</v>
      </c>
      <c r="E1323" s="65" t="s">
        <v>42</v>
      </c>
      <c r="F1323" s="65" t="s">
        <v>800</v>
      </c>
      <c r="G1323" s="65" t="s">
        <v>799</v>
      </c>
      <c r="H1323" s="65" t="s">
        <v>7</v>
      </c>
      <c r="I1323" s="65" t="s">
        <v>152</v>
      </c>
      <c r="J1323" s="65" t="s">
        <v>5</v>
      </c>
      <c r="K1323" s="65" t="s">
        <v>4</v>
      </c>
      <c r="L1323" s="64" t="s">
        <v>91</v>
      </c>
      <c r="M1323" s="58" t="s">
        <v>90</v>
      </c>
      <c r="N1323" s="58" t="s">
        <v>2</v>
      </c>
      <c r="O1323" s="58">
        <v>80</v>
      </c>
      <c r="P1323" s="58">
        <v>0</v>
      </c>
      <c r="Q1323" s="58">
        <v>0</v>
      </c>
      <c r="R1323" s="58">
        <v>0</v>
      </c>
      <c r="S1323" s="58">
        <v>80</v>
      </c>
      <c r="T1323" s="58">
        <v>0</v>
      </c>
      <c r="U1323" s="58">
        <v>19</v>
      </c>
      <c r="V1323" s="62"/>
      <c r="W1323" s="62"/>
      <c r="X1323" s="63">
        <f>IFERROR(1 -(Master[[#This Row],[Avg Garment Scans per Delivery]]/Master[[#This Row],[Garment Inventory]]), 0)</f>
        <v>0</v>
      </c>
      <c r="Y1323" s="62"/>
      <c r="Z1323" s="62"/>
      <c r="AA1323" s="53">
        <v>37.596530612244905</v>
      </c>
      <c r="AB1323" s="53">
        <v>61.983469387755093</v>
      </c>
      <c r="AC1323" s="53">
        <v>23.646666666666661</v>
      </c>
      <c r="AD1323" s="53">
        <v>45.3</v>
      </c>
      <c r="AE1323" s="53" t="str">
        <f>_xlfn.XLOOKUP(Master[[#This Row],[cu_id]],'[1]Customer Revenue'!$Q:$Q,'[1]Customer Revenue'!$K:$K, "None")</f>
        <v>None</v>
      </c>
      <c r="AF1323" s="53" t="str">
        <f>_xlfn.XLOOKUP(Master[[#This Row],[cu_id]],'[1]Customer Revenue'!$Q:$Q,'[1]Customer Revenue'!$L:$L, "None")</f>
        <v>None</v>
      </c>
      <c r="AG1323" s="53">
        <v>43.185204081632655</v>
      </c>
      <c r="AH1323" s="53">
        <v>56.394795918367343</v>
      </c>
      <c r="AI1323" s="53">
        <v>49.79</v>
      </c>
      <c r="AJ1323" s="53">
        <v>34.473333333333329</v>
      </c>
      <c r="AK1323" s="53" t="str">
        <f>_xlfn.XLOOKUP(Master[[#This Row],[cu_id]],'[1]Customer Revenue'!$Q:$Q,'[1]Customer Revenue'!$I:$I, "None")</f>
        <v>None</v>
      </c>
      <c r="AL1323" s="53">
        <v>49.79</v>
      </c>
      <c r="AM1323" s="61">
        <v>0.375</v>
      </c>
      <c r="AN1323" s="60">
        <v>0.6875</v>
      </c>
      <c r="AO1323" s="60" t="s">
        <v>36</v>
      </c>
      <c r="AP1323" s="60" t="s">
        <v>36</v>
      </c>
      <c r="AQ1323" s="58" t="s">
        <v>0</v>
      </c>
      <c r="AR1323" s="58"/>
      <c r="AS1323" s="58"/>
      <c r="AT1323" s="52">
        <v>0</v>
      </c>
      <c r="AU1323" s="52" t="e">
        <f>IF(Master[[#This Row],[RSP StopTime override]] &lt;&gt; "",Master[[#This Row],[RSP StopTime override]],IF(Master[[#This Row],[Avg stop time helper]] &lt;&gt; 0, Master[[#This Row],[Avg stop time helper]],Average_Stop_Time))</f>
        <v>#DIV/0!</v>
      </c>
      <c r="AV1323" s="21"/>
      <c r="AW1323" s="20">
        <f>Master[[#This Row],[RSP StopTime override]]-Master[[#This Row],[Avg stop time helper]]</f>
        <v>0</v>
      </c>
    </row>
    <row r="1324" spans="1:49" x14ac:dyDescent="0.3">
      <c r="A1324" s="66" t="s">
        <v>5328</v>
      </c>
      <c r="B1324" s="58">
        <v>8010</v>
      </c>
      <c r="C1324" s="58" t="s">
        <v>43</v>
      </c>
      <c r="D1324" s="65">
        <v>804080</v>
      </c>
      <c r="E1324" s="65" t="s">
        <v>42</v>
      </c>
      <c r="F1324" s="65" t="s">
        <v>798</v>
      </c>
      <c r="G1324" s="65" t="s">
        <v>797</v>
      </c>
      <c r="H1324" s="65" t="s">
        <v>7</v>
      </c>
      <c r="I1324" s="65" t="s">
        <v>152</v>
      </c>
      <c r="J1324" s="65" t="s">
        <v>5</v>
      </c>
      <c r="K1324" s="65" t="s">
        <v>4</v>
      </c>
      <c r="L1324" s="64" t="s">
        <v>194</v>
      </c>
      <c r="M1324" s="58" t="s">
        <v>193</v>
      </c>
      <c r="N1324" s="58" t="s">
        <v>2</v>
      </c>
      <c r="O1324" s="58">
        <v>190</v>
      </c>
      <c r="P1324" s="58">
        <v>0</v>
      </c>
      <c r="Q1324" s="58">
        <v>0</v>
      </c>
      <c r="R1324" s="58">
        <v>0</v>
      </c>
      <c r="S1324" s="58">
        <v>190</v>
      </c>
      <c r="T1324" s="58">
        <v>0</v>
      </c>
      <c r="U1324" s="58">
        <v>6</v>
      </c>
      <c r="V1324" s="62"/>
      <c r="W1324" s="62"/>
      <c r="X1324" s="63">
        <f>IFERROR(1 -(Master[[#This Row],[Avg Garment Scans per Delivery]]/Master[[#This Row],[Garment Inventory]]), 0)</f>
        <v>0</v>
      </c>
      <c r="Y1324" s="62"/>
      <c r="Z1324" s="62"/>
      <c r="AA1324" s="53">
        <v>25.48</v>
      </c>
      <c r="AB1324" s="53">
        <v>25.48</v>
      </c>
      <c r="AC1324" s="53">
        <v>25.34888888888889</v>
      </c>
      <c r="AD1324" s="53">
        <v>26.39777777777778</v>
      </c>
      <c r="AE1324" s="53" t="str">
        <f>_xlfn.XLOOKUP(Master[[#This Row],[cu_id]],'[1]Customer Revenue'!$Q:$Q,'[1]Customer Revenue'!$K:$K, "None")</f>
        <v>None</v>
      </c>
      <c r="AF1324" s="53" t="str">
        <f>_xlfn.XLOOKUP(Master[[#This Row],[cu_id]],'[1]Customer Revenue'!$Q:$Q,'[1]Customer Revenue'!$L:$L, "None")</f>
        <v>None</v>
      </c>
      <c r="AG1324" s="53">
        <v>15.925000000000001</v>
      </c>
      <c r="AH1324" s="53">
        <v>35.034999999999997</v>
      </c>
      <c r="AI1324" s="53">
        <v>25.48</v>
      </c>
      <c r="AJ1324" s="53">
        <v>25.873333333333335</v>
      </c>
      <c r="AK1324" s="53" t="str">
        <f>_xlfn.XLOOKUP(Master[[#This Row],[cu_id]],'[1]Customer Revenue'!$Q:$Q,'[1]Customer Revenue'!$I:$I, "None")</f>
        <v>None</v>
      </c>
      <c r="AL1324" s="53">
        <v>25.48</v>
      </c>
      <c r="AM1324" s="61">
        <v>0.35416666666666669</v>
      </c>
      <c r="AN1324" s="60">
        <v>0.625</v>
      </c>
      <c r="AO1324" s="60" t="s">
        <v>36</v>
      </c>
      <c r="AP1324" s="60" t="s">
        <v>36</v>
      </c>
      <c r="AQ1324" s="58" t="s">
        <v>0</v>
      </c>
      <c r="AR1324" s="58"/>
      <c r="AS1324" s="58"/>
      <c r="AT1324" s="52">
        <v>0</v>
      </c>
      <c r="AU1324" s="52" t="e">
        <f>IF(Master[[#This Row],[RSP StopTime override]] &lt;&gt; "",Master[[#This Row],[RSP StopTime override]],IF(Master[[#This Row],[Avg stop time helper]] &lt;&gt; 0, Master[[#This Row],[Avg stop time helper]],Average_Stop_Time))</f>
        <v>#DIV/0!</v>
      </c>
      <c r="AV1324" s="21"/>
      <c r="AW1324" s="20">
        <f>Master[[#This Row],[RSP StopTime override]]-Master[[#This Row],[Avg stop time helper]]</f>
        <v>0</v>
      </c>
    </row>
    <row r="1325" spans="1:49" x14ac:dyDescent="0.3">
      <c r="A1325" s="66" t="s">
        <v>5329</v>
      </c>
      <c r="B1325" s="58">
        <v>8010</v>
      </c>
      <c r="C1325" s="58" t="s">
        <v>43</v>
      </c>
      <c r="D1325" s="65">
        <v>804300</v>
      </c>
      <c r="E1325" s="65" t="s">
        <v>42</v>
      </c>
      <c r="F1325" s="65" t="s">
        <v>796</v>
      </c>
      <c r="G1325" s="65" t="s">
        <v>794</v>
      </c>
      <c r="H1325" s="65" t="s">
        <v>7</v>
      </c>
      <c r="I1325" s="65" t="s">
        <v>152</v>
      </c>
      <c r="J1325" s="65" t="s">
        <v>5</v>
      </c>
      <c r="K1325" s="65" t="s">
        <v>4</v>
      </c>
      <c r="L1325" s="64" t="s">
        <v>67</v>
      </c>
      <c r="M1325" s="58" t="s">
        <v>3</v>
      </c>
      <c r="N1325" s="58" t="s">
        <v>2</v>
      </c>
      <c r="O1325" s="58">
        <v>100</v>
      </c>
      <c r="P1325" s="58">
        <v>0</v>
      </c>
      <c r="Q1325" s="58">
        <v>0</v>
      </c>
      <c r="R1325" s="58">
        <v>0</v>
      </c>
      <c r="S1325" s="58">
        <v>100</v>
      </c>
      <c r="T1325" s="58">
        <v>0</v>
      </c>
      <c r="U1325" s="58">
        <v>39</v>
      </c>
      <c r="V1325" s="62"/>
      <c r="W1325" s="62"/>
      <c r="X1325" s="63">
        <f>IFERROR(1 -(Master[[#This Row],[Avg Garment Scans per Delivery]]/Master[[#This Row],[Garment Inventory]]), 0)</f>
        <v>0</v>
      </c>
      <c r="Y1325" s="62"/>
      <c r="Z1325" s="62"/>
      <c r="AA1325" s="53">
        <v>25.410295857988171</v>
      </c>
      <c r="AB1325" s="53">
        <v>32.6912426035503</v>
      </c>
      <c r="AC1325" s="53">
        <v>27.413436883629188</v>
      </c>
      <c r="AD1325" s="53">
        <v>36.488229783037475</v>
      </c>
      <c r="AE1325" s="53" t="str">
        <f>_xlfn.XLOOKUP(Master[[#This Row],[cu_id]],'[1]Customer Revenue'!$Q:$Q,'[1]Customer Revenue'!$K:$K, "None")</f>
        <v>None</v>
      </c>
      <c r="AF1325" s="53" t="str">
        <f>_xlfn.XLOOKUP(Master[[#This Row],[cu_id]],'[1]Customer Revenue'!$Q:$Q,'[1]Customer Revenue'!$L:$L, "None")</f>
        <v>None</v>
      </c>
      <c r="AG1325" s="53">
        <v>25.832858499525145</v>
      </c>
      <c r="AH1325" s="53">
        <v>38.794833808167141</v>
      </c>
      <c r="AI1325" s="53">
        <v>29.050769230769234</v>
      </c>
      <c r="AJ1325" s="53">
        <v>31.950833333333332</v>
      </c>
      <c r="AK1325" s="53" t="str">
        <f>_xlfn.XLOOKUP(Master[[#This Row],[cu_id]],'[1]Customer Revenue'!$Q:$Q,'[1]Customer Revenue'!$I:$I, "None")</f>
        <v>None</v>
      </c>
      <c r="AL1325" s="53">
        <v>32.313846153846143</v>
      </c>
      <c r="AM1325" s="61">
        <v>0.33333333333333331</v>
      </c>
      <c r="AN1325" s="60">
        <v>0.72916666666666663</v>
      </c>
      <c r="AO1325" s="60" t="s">
        <v>36</v>
      </c>
      <c r="AP1325" s="60" t="s">
        <v>36</v>
      </c>
      <c r="AQ1325" s="58" t="s">
        <v>308</v>
      </c>
      <c r="AR1325" s="58"/>
      <c r="AS1325" s="58"/>
      <c r="AT1325" s="52">
        <v>0</v>
      </c>
      <c r="AU1325" s="52">
        <f>IF(Master[[#This Row],[RSP StopTime override]] &lt;&gt; "",Master[[#This Row],[RSP StopTime override]],IF(Master[[#This Row],[Avg stop time helper]] &lt;&gt; 0, Master[[#This Row],[Avg stop time helper]],Average_Stop_Time))</f>
        <v>10</v>
      </c>
      <c r="AV1325" s="21">
        <v>10</v>
      </c>
      <c r="AW1325" s="20">
        <f>Master[[#This Row],[RSP StopTime override]]-Master[[#This Row],[Avg stop time helper]]</f>
        <v>10</v>
      </c>
    </row>
    <row r="1326" spans="1:49" x14ac:dyDescent="0.3">
      <c r="A1326" s="66" t="s">
        <v>5330</v>
      </c>
      <c r="B1326" s="58">
        <v>8010</v>
      </c>
      <c r="C1326" s="58" t="s">
        <v>43</v>
      </c>
      <c r="D1326" s="65">
        <v>804301</v>
      </c>
      <c r="E1326" s="65" t="s">
        <v>42</v>
      </c>
      <c r="F1326" s="65" t="s">
        <v>795</v>
      </c>
      <c r="G1326" s="65" t="s">
        <v>794</v>
      </c>
      <c r="H1326" s="65" t="s">
        <v>7</v>
      </c>
      <c r="I1326" s="65" t="s">
        <v>152</v>
      </c>
      <c r="J1326" s="65" t="s">
        <v>5</v>
      </c>
      <c r="K1326" s="65" t="s">
        <v>146</v>
      </c>
      <c r="L1326" s="64" t="s">
        <v>206</v>
      </c>
      <c r="M1326" s="58" t="s">
        <v>205</v>
      </c>
      <c r="N1326" s="58" t="s">
        <v>2</v>
      </c>
      <c r="O1326" s="58">
        <v>95</v>
      </c>
      <c r="P1326" s="58">
        <v>0</v>
      </c>
      <c r="Q1326" s="58">
        <v>0</v>
      </c>
      <c r="R1326" s="58">
        <v>0</v>
      </c>
      <c r="S1326" s="58">
        <v>95</v>
      </c>
      <c r="T1326" s="58">
        <v>0</v>
      </c>
      <c r="U1326" s="58">
        <v>13</v>
      </c>
      <c r="V1326" s="62"/>
      <c r="W1326" s="62"/>
      <c r="X1326" s="63">
        <f>IFERROR(1 -(Master[[#This Row],[Avg Garment Scans per Delivery]]/Master[[#This Row],[Garment Inventory]]), 0)</f>
        <v>0</v>
      </c>
      <c r="Y1326" s="62"/>
      <c r="Z1326" s="62"/>
      <c r="AA1326" s="53">
        <v>10.4856</v>
      </c>
      <c r="AB1326" s="53">
        <v>20.354399999999998</v>
      </c>
      <c r="AC1326" s="53">
        <v>15.419999999999998</v>
      </c>
      <c r="AD1326" s="53">
        <v>16.07</v>
      </c>
      <c r="AE1326" s="53" t="str">
        <f>_xlfn.XLOOKUP(Master[[#This Row],[cu_id]],'[1]Customer Revenue'!$Q:$Q,'[1]Customer Revenue'!$K:$K, "None")</f>
        <v>None</v>
      </c>
      <c r="AF1326" s="53" t="str">
        <f>_xlfn.XLOOKUP(Master[[#This Row],[cu_id]],'[1]Customer Revenue'!$Q:$Q,'[1]Customer Revenue'!$L:$L, "None")</f>
        <v>None</v>
      </c>
      <c r="AG1326" s="53">
        <v>13.223487603305783</v>
      </c>
      <c r="AH1326" s="53">
        <v>18.460512396694213</v>
      </c>
      <c r="AI1326" s="53">
        <v>15.42</v>
      </c>
      <c r="AJ1326" s="53">
        <v>15.744999999999999</v>
      </c>
      <c r="AK1326" s="53" t="str">
        <f>_xlfn.XLOOKUP(Master[[#This Row],[cu_id]],'[1]Customer Revenue'!$Q:$Q,'[1]Customer Revenue'!$I:$I, "None")</f>
        <v>None</v>
      </c>
      <c r="AL1326" s="53">
        <v>15.841999999999999</v>
      </c>
      <c r="AM1326" s="61">
        <v>0.33333333333333331</v>
      </c>
      <c r="AN1326" s="60">
        <v>0.47916666666666669</v>
      </c>
      <c r="AO1326" s="60">
        <v>0.58333333333333337</v>
      </c>
      <c r="AP1326" s="60">
        <v>0.72916666666666663</v>
      </c>
      <c r="AQ1326" s="58" t="s">
        <v>308</v>
      </c>
      <c r="AR1326" s="58"/>
      <c r="AS1326" s="58"/>
      <c r="AT1326" s="52">
        <v>0</v>
      </c>
      <c r="AU1326" s="52">
        <f>IF(Master[[#This Row],[RSP StopTime override]] &lt;&gt; "",Master[[#This Row],[RSP StopTime override]],IF(Master[[#This Row],[Avg stop time helper]] &lt;&gt; 0, Master[[#This Row],[Avg stop time helper]],Average_Stop_Time))</f>
        <v>5</v>
      </c>
      <c r="AV1326" s="21">
        <v>5</v>
      </c>
      <c r="AW1326" s="20">
        <f>Master[[#This Row],[RSP StopTime override]]-Master[[#This Row],[Avg stop time helper]]</f>
        <v>5</v>
      </c>
    </row>
    <row r="1327" spans="1:49" x14ac:dyDescent="0.3">
      <c r="A1327" s="66" t="s">
        <v>5331</v>
      </c>
      <c r="B1327" s="58">
        <v>8010</v>
      </c>
      <c r="C1327" s="58" t="s">
        <v>43</v>
      </c>
      <c r="D1327" s="65">
        <v>804444</v>
      </c>
      <c r="E1327" s="65" t="s">
        <v>42</v>
      </c>
      <c r="F1327" s="65" t="s">
        <v>793</v>
      </c>
      <c r="G1327" s="65" t="s">
        <v>792</v>
      </c>
      <c r="H1327" s="65" t="s">
        <v>7</v>
      </c>
      <c r="I1327" s="65" t="s">
        <v>152</v>
      </c>
      <c r="J1327" s="65" t="s">
        <v>5</v>
      </c>
      <c r="K1327" s="65" t="s">
        <v>791</v>
      </c>
      <c r="L1327" s="64" t="s">
        <v>67</v>
      </c>
      <c r="M1327" s="58" t="s">
        <v>3</v>
      </c>
      <c r="N1327" s="58" t="s">
        <v>2</v>
      </c>
      <c r="O1327" s="58">
        <v>16</v>
      </c>
      <c r="P1327" s="58">
        <v>0</v>
      </c>
      <c r="Q1327" s="58">
        <v>0</v>
      </c>
      <c r="R1327" s="58">
        <v>0</v>
      </c>
      <c r="S1327" s="58">
        <v>115</v>
      </c>
      <c r="T1327" s="58">
        <v>0</v>
      </c>
      <c r="U1327" s="58">
        <v>39</v>
      </c>
      <c r="V1327" s="62"/>
      <c r="W1327" s="62"/>
      <c r="X1327" s="63">
        <f>IFERROR(1 -(Master[[#This Row],[Avg Garment Scans per Delivery]]/Master[[#This Row],[Garment Inventory]]), 0)</f>
        <v>0</v>
      </c>
      <c r="Y1327" s="62"/>
      <c r="Z1327" s="62"/>
      <c r="AA1327" s="53">
        <v>109.91491124260355</v>
      </c>
      <c r="AB1327" s="53">
        <v>129.02970414201184</v>
      </c>
      <c r="AC1327" s="53">
        <v>122.213550295858</v>
      </c>
      <c r="AD1327" s="53">
        <v>150.86491124260357</v>
      </c>
      <c r="AE1327" s="53" t="str">
        <f>_xlfn.XLOOKUP(Master[[#This Row],[cu_id]],'[1]Customer Revenue'!$Q:$Q,'[1]Customer Revenue'!$K:$K, "None")</f>
        <v>None</v>
      </c>
      <c r="AF1327" s="53" t="str">
        <f>_xlfn.XLOOKUP(Master[[#This Row],[cu_id]],'[1]Customer Revenue'!$Q:$Q,'[1]Customer Revenue'!$L:$L, "None")</f>
        <v>None</v>
      </c>
      <c r="AG1327" s="53">
        <v>111.04005917159768</v>
      </c>
      <c r="AH1327" s="53">
        <v>150.65917159763322</v>
      </c>
      <c r="AI1327" s="53">
        <v>119.47230769230769</v>
      </c>
      <c r="AJ1327" s="53">
        <v>136.53923076923078</v>
      </c>
      <c r="AK1327" s="53" t="str">
        <f>_xlfn.XLOOKUP(Master[[#This Row],[cu_id]],'[1]Customer Revenue'!$Q:$Q,'[1]Customer Revenue'!$I:$I, "None")</f>
        <v>None</v>
      </c>
      <c r="AL1327" s="53">
        <v>130.84961538461545</v>
      </c>
      <c r="AM1327" s="61">
        <v>0.41666666666666669</v>
      </c>
      <c r="AN1327" s="60">
        <v>0.47916666666666669</v>
      </c>
      <c r="AO1327" s="60">
        <v>0.58333333333333337</v>
      </c>
      <c r="AP1327" s="60">
        <v>0.72916666666666663</v>
      </c>
      <c r="AQ1327" s="58" t="s">
        <v>308</v>
      </c>
      <c r="AR1327" s="58"/>
      <c r="AS1327" s="58"/>
      <c r="AT1327" s="52">
        <v>0</v>
      </c>
      <c r="AU1327" s="52">
        <f>IF(Master[[#This Row],[RSP StopTime override]] &lt;&gt; "",Master[[#This Row],[RSP StopTime override]],IF(Master[[#This Row],[Avg stop time helper]] &lt;&gt; 0, Master[[#This Row],[Avg stop time helper]],Average_Stop_Time))</f>
        <v>30</v>
      </c>
      <c r="AV1327" s="21">
        <v>30</v>
      </c>
      <c r="AW1327" s="20">
        <f>Master[[#This Row],[RSP StopTime override]]-Master[[#This Row],[Avg stop time helper]]</f>
        <v>30</v>
      </c>
    </row>
    <row r="1328" spans="1:49" x14ac:dyDescent="0.3">
      <c r="A1328" s="66" t="s">
        <v>5332</v>
      </c>
      <c r="B1328" s="58">
        <v>8010</v>
      </c>
      <c r="C1328" s="58" t="s">
        <v>43</v>
      </c>
      <c r="D1328" s="65">
        <v>804563</v>
      </c>
      <c r="E1328" s="65" t="s">
        <v>42</v>
      </c>
      <c r="F1328" s="65" t="s">
        <v>122</v>
      </c>
      <c r="G1328" s="65" t="s">
        <v>790</v>
      </c>
      <c r="H1328" s="65" t="s">
        <v>7</v>
      </c>
      <c r="I1328" s="65" t="s">
        <v>152</v>
      </c>
      <c r="J1328" s="65" t="s">
        <v>5</v>
      </c>
      <c r="K1328" s="65" t="s">
        <v>4</v>
      </c>
      <c r="L1328" s="64" t="s">
        <v>194</v>
      </c>
      <c r="M1328" s="58" t="s">
        <v>193</v>
      </c>
      <c r="N1328" s="58" t="s">
        <v>2</v>
      </c>
      <c r="O1328" s="58">
        <v>135</v>
      </c>
      <c r="P1328" s="58">
        <v>0</v>
      </c>
      <c r="Q1328" s="58">
        <v>0</v>
      </c>
      <c r="R1328" s="58">
        <v>0</v>
      </c>
      <c r="S1328" s="58">
        <v>155</v>
      </c>
      <c r="T1328" s="58">
        <v>0</v>
      </c>
      <c r="U1328" s="58">
        <v>10</v>
      </c>
      <c r="V1328" s="62"/>
      <c r="W1328" s="62"/>
      <c r="X1328" s="63">
        <f>IFERROR(1 -(Master[[#This Row],[Avg Garment Scans per Delivery]]/Master[[#This Row],[Garment Inventory]]), 0)</f>
        <v>0</v>
      </c>
      <c r="Y1328" s="62"/>
      <c r="Z1328" s="62"/>
      <c r="AA1328" s="53">
        <v>13.32</v>
      </c>
      <c r="AB1328" s="53">
        <v>13.32</v>
      </c>
      <c r="AC1328" s="53">
        <v>13.290000000000001</v>
      </c>
      <c r="AD1328" s="53">
        <v>13.530000000000003</v>
      </c>
      <c r="AE1328" s="53" t="str">
        <f>_xlfn.XLOOKUP(Master[[#This Row],[cu_id]],'[1]Customer Revenue'!$Q:$Q,'[1]Customer Revenue'!$K:$K, "None")</f>
        <v>None</v>
      </c>
      <c r="AF1328" s="53" t="str">
        <f>_xlfn.XLOOKUP(Master[[#This Row],[cu_id]],'[1]Customer Revenue'!$Q:$Q,'[1]Customer Revenue'!$L:$L, "None")</f>
        <v>None</v>
      </c>
      <c r="AG1328" s="53">
        <v>10.406249999999995</v>
      </c>
      <c r="AH1328" s="53">
        <v>16.233750000000001</v>
      </c>
      <c r="AI1328" s="53">
        <v>13.32</v>
      </c>
      <c r="AJ1328" s="53">
        <v>13.410000000000002</v>
      </c>
      <c r="AK1328" s="53" t="str">
        <f>_xlfn.XLOOKUP(Master[[#This Row],[cu_id]],'[1]Customer Revenue'!$Q:$Q,'[1]Customer Revenue'!$I:$I, "None")</f>
        <v>None</v>
      </c>
      <c r="AL1328" s="53">
        <v>13.319999999999997</v>
      </c>
      <c r="AM1328" s="61">
        <v>0.41666666666666669</v>
      </c>
      <c r="AN1328" s="60">
        <v>0.91666666666666663</v>
      </c>
      <c r="AO1328" s="60" t="s">
        <v>36</v>
      </c>
      <c r="AP1328" s="60" t="s">
        <v>36</v>
      </c>
      <c r="AQ1328" s="58" t="s">
        <v>308</v>
      </c>
      <c r="AR1328" s="58"/>
      <c r="AS1328" s="58"/>
      <c r="AT1328" s="52">
        <v>0</v>
      </c>
      <c r="AU1328" s="52" t="e">
        <f>IF(Master[[#This Row],[RSP StopTime override]] &lt;&gt; "",Master[[#This Row],[RSP StopTime override]],IF(Master[[#This Row],[Avg stop time helper]] &lt;&gt; 0, Master[[#This Row],[Avg stop time helper]],Average_Stop_Time))</f>
        <v>#DIV/0!</v>
      </c>
      <c r="AV1328" s="21"/>
      <c r="AW1328" s="20">
        <f>Master[[#This Row],[RSP StopTime override]]-Master[[#This Row],[Avg stop time helper]]</f>
        <v>0</v>
      </c>
    </row>
    <row r="1329" spans="1:49" x14ac:dyDescent="0.3">
      <c r="A1329" s="66" t="s">
        <v>5333</v>
      </c>
      <c r="B1329" s="58">
        <v>8010</v>
      </c>
      <c r="C1329" s="58" t="s">
        <v>43</v>
      </c>
      <c r="D1329" s="65">
        <v>804662</v>
      </c>
      <c r="E1329" s="65" t="s">
        <v>42</v>
      </c>
      <c r="F1329" s="65" t="s">
        <v>789</v>
      </c>
      <c r="G1329" s="65" t="s">
        <v>788</v>
      </c>
      <c r="H1329" s="65" t="s">
        <v>7</v>
      </c>
      <c r="I1329" s="65" t="s">
        <v>6</v>
      </c>
      <c r="J1329" s="65" t="s">
        <v>5</v>
      </c>
      <c r="K1329" s="65" t="s">
        <v>68</v>
      </c>
      <c r="L1329" s="64" t="s">
        <v>77</v>
      </c>
      <c r="M1329" s="58" t="s">
        <v>29</v>
      </c>
      <c r="N1329" s="58" t="s">
        <v>2</v>
      </c>
      <c r="O1329" s="58">
        <v>135</v>
      </c>
      <c r="P1329" s="58">
        <v>0</v>
      </c>
      <c r="Q1329" s="58">
        <v>0</v>
      </c>
      <c r="R1329" s="58">
        <v>0</v>
      </c>
      <c r="S1329" s="58">
        <v>135</v>
      </c>
      <c r="T1329" s="58">
        <v>0</v>
      </c>
      <c r="U1329" s="58">
        <v>15</v>
      </c>
      <c r="V1329" s="62"/>
      <c r="W1329" s="62"/>
      <c r="X1329" s="63">
        <f>IFERROR(1 -(Master[[#This Row],[Avg Garment Scans per Delivery]]/Master[[#This Row],[Garment Inventory]]), 0)</f>
        <v>0</v>
      </c>
      <c r="Y1329" s="62"/>
      <c r="Z1329" s="62"/>
      <c r="AA1329" s="53">
        <v>37.974444444444437</v>
      </c>
      <c r="AB1329" s="53">
        <v>42.55222222222222</v>
      </c>
      <c r="AC1329" s="53">
        <v>27.933125000000004</v>
      </c>
      <c r="AD1329" s="53">
        <v>53.954375000000013</v>
      </c>
      <c r="AE1329" s="53" t="str">
        <f>_xlfn.XLOOKUP(Master[[#This Row],[cu_id]],'[1]Customer Revenue'!$Q:$Q,'[1]Customer Revenue'!$K:$K, "None")</f>
        <v>None</v>
      </c>
      <c r="AF1329" s="53" t="str">
        <f>_xlfn.XLOOKUP(Master[[#This Row],[cu_id]],'[1]Customer Revenue'!$Q:$Q,'[1]Customer Revenue'!$L:$L, "None")</f>
        <v>None</v>
      </c>
      <c r="AG1329" s="53">
        <v>30.648308080808082</v>
      </c>
      <c r="AH1329" s="53">
        <v>44.884419191919193</v>
      </c>
      <c r="AI1329" s="53">
        <v>40.263333333333328</v>
      </c>
      <c r="AJ1329" s="53">
        <v>40.943750000000009</v>
      </c>
      <c r="AK1329" s="53" t="str">
        <f>_xlfn.XLOOKUP(Master[[#This Row],[cu_id]],'[1]Customer Revenue'!$Q:$Q,'[1]Customer Revenue'!$I:$I, "None")</f>
        <v>None</v>
      </c>
      <c r="AL1329" s="53">
        <v>37.766363636363636</v>
      </c>
      <c r="AM1329" s="61">
        <v>0.35416666666666669</v>
      </c>
      <c r="AN1329" s="60">
        <v>0.6875</v>
      </c>
      <c r="AO1329" s="60" t="s">
        <v>36</v>
      </c>
      <c r="AP1329" s="60" t="s">
        <v>36</v>
      </c>
      <c r="AQ1329" s="58" t="s">
        <v>0</v>
      </c>
      <c r="AR1329" s="58"/>
      <c r="AS1329" s="58"/>
      <c r="AT1329" s="52">
        <v>0</v>
      </c>
      <c r="AU1329" s="52">
        <f>IF(Master[[#This Row],[RSP StopTime override]] &lt;&gt; "",Master[[#This Row],[RSP StopTime override]],IF(Master[[#This Row],[Avg stop time helper]] &lt;&gt; 0, Master[[#This Row],[Avg stop time helper]],Average_Stop_Time))</f>
        <v>10</v>
      </c>
      <c r="AV1329" s="21">
        <v>10</v>
      </c>
      <c r="AW1329" s="20">
        <f>Master[[#This Row],[RSP StopTime override]]-Master[[#This Row],[Avg stop time helper]]</f>
        <v>10</v>
      </c>
    </row>
    <row r="1330" spans="1:49" x14ac:dyDescent="0.3">
      <c r="A1330" s="66" t="s">
        <v>5334</v>
      </c>
      <c r="B1330" s="58">
        <v>8010</v>
      </c>
      <c r="C1330" s="58" t="s">
        <v>43</v>
      </c>
      <c r="D1330" s="65">
        <v>804680</v>
      </c>
      <c r="E1330" s="65" t="s">
        <v>42</v>
      </c>
      <c r="F1330" s="65" t="s">
        <v>787</v>
      </c>
      <c r="G1330" s="65" t="s">
        <v>786</v>
      </c>
      <c r="H1330" s="65" t="s">
        <v>7</v>
      </c>
      <c r="I1330" s="65" t="s">
        <v>6</v>
      </c>
      <c r="J1330" s="65" t="s">
        <v>5</v>
      </c>
      <c r="K1330" s="65" t="s">
        <v>151</v>
      </c>
      <c r="L1330" s="64" t="s">
        <v>124</v>
      </c>
      <c r="M1330" s="58" t="s">
        <v>123</v>
      </c>
      <c r="N1330" s="58" t="s">
        <v>2</v>
      </c>
      <c r="O1330" s="58">
        <v>130</v>
      </c>
      <c r="P1330" s="58">
        <v>0</v>
      </c>
      <c r="Q1330" s="58">
        <v>0</v>
      </c>
      <c r="R1330" s="58">
        <v>0</v>
      </c>
      <c r="S1330" s="58">
        <v>130</v>
      </c>
      <c r="T1330" s="58">
        <v>0</v>
      </c>
      <c r="U1330" s="58">
        <v>8</v>
      </c>
      <c r="V1330" s="62"/>
      <c r="W1330" s="62"/>
      <c r="X1330" s="63">
        <f>IFERROR(1 -(Master[[#This Row],[Avg Garment Scans per Delivery]]/Master[[#This Row],[Garment Inventory]]), 0)</f>
        <v>0</v>
      </c>
      <c r="Y1330" s="62"/>
      <c r="Z1330" s="62"/>
      <c r="AA1330" s="53">
        <v>48.049999999999983</v>
      </c>
      <c r="AB1330" s="53">
        <v>48.05</v>
      </c>
      <c r="AC1330" s="53">
        <v>24.024999999999999</v>
      </c>
      <c r="AD1330" s="53">
        <v>72.074999999999989</v>
      </c>
      <c r="AE1330" s="53" t="str">
        <f>_xlfn.XLOOKUP(Master[[#This Row],[cu_id]],'[1]Customer Revenue'!$Q:$Q,'[1]Customer Revenue'!$K:$K, "None")</f>
        <v>None</v>
      </c>
      <c r="AF1330" s="53" t="str">
        <f>_xlfn.XLOOKUP(Master[[#This Row],[cu_id]],'[1]Customer Revenue'!$Q:$Q,'[1]Customer Revenue'!$L:$L, "None")</f>
        <v>None</v>
      </c>
      <c r="AG1330" s="53">
        <v>48.05</v>
      </c>
      <c r="AH1330" s="53">
        <v>48.050000000000011</v>
      </c>
      <c r="AI1330" s="53">
        <v>48.04999999999999</v>
      </c>
      <c r="AJ1330" s="53">
        <v>48.05</v>
      </c>
      <c r="AK1330" s="53" t="str">
        <f>_xlfn.XLOOKUP(Master[[#This Row],[cu_id]],'[1]Customer Revenue'!$Q:$Q,'[1]Customer Revenue'!$I:$I, "None")</f>
        <v>None</v>
      </c>
      <c r="AL1330" s="53">
        <v>48.050000000000004</v>
      </c>
      <c r="AM1330" s="61">
        <v>0.33333333333333331</v>
      </c>
      <c r="AN1330" s="60">
        <v>0.6875</v>
      </c>
      <c r="AO1330" s="60" t="s">
        <v>36</v>
      </c>
      <c r="AP1330" s="60" t="s">
        <v>36</v>
      </c>
      <c r="AQ1330" s="58" t="s">
        <v>0</v>
      </c>
      <c r="AR1330" s="58"/>
      <c r="AS1330" s="58"/>
      <c r="AT1330" s="52">
        <v>0</v>
      </c>
      <c r="AU1330" s="52" t="e">
        <f>IF(Master[[#This Row],[RSP StopTime override]] &lt;&gt; "",Master[[#This Row],[RSP StopTime override]],IF(Master[[#This Row],[Avg stop time helper]] &lt;&gt; 0, Master[[#This Row],[Avg stop time helper]],Average_Stop_Time))</f>
        <v>#DIV/0!</v>
      </c>
      <c r="AV1330" s="21"/>
      <c r="AW1330" s="20">
        <f>Master[[#This Row],[RSP StopTime override]]-Master[[#This Row],[Avg stop time helper]]</f>
        <v>0</v>
      </c>
    </row>
    <row r="1331" spans="1:49" x14ac:dyDescent="0.3">
      <c r="A1331" s="66" t="s">
        <v>5335</v>
      </c>
      <c r="B1331" s="58">
        <v>8010</v>
      </c>
      <c r="C1331" s="58" t="s">
        <v>43</v>
      </c>
      <c r="D1331" s="65">
        <v>804796</v>
      </c>
      <c r="E1331" s="65" t="s">
        <v>42</v>
      </c>
      <c r="F1331" s="65" t="s">
        <v>785</v>
      </c>
      <c r="G1331" s="65" t="s">
        <v>784</v>
      </c>
      <c r="H1331" s="65" t="s">
        <v>7</v>
      </c>
      <c r="I1331" s="65" t="s">
        <v>152</v>
      </c>
      <c r="J1331" s="65" t="s">
        <v>5</v>
      </c>
      <c r="K1331" s="65" t="s">
        <v>4</v>
      </c>
      <c r="L1331" s="64" t="s">
        <v>67</v>
      </c>
      <c r="M1331" s="58" t="s">
        <v>3</v>
      </c>
      <c r="N1331" s="58" t="s">
        <v>2</v>
      </c>
      <c r="O1331" s="58">
        <v>105</v>
      </c>
      <c r="P1331" s="58">
        <v>0</v>
      </c>
      <c r="Q1331" s="58">
        <v>0</v>
      </c>
      <c r="R1331" s="58">
        <v>0</v>
      </c>
      <c r="S1331" s="58">
        <v>105</v>
      </c>
      <c r="T1331" s="58">
        <v>0</v>
      </c>
      <c r="U1331" s="58">
        <v>40</v>
      </c>
      <c r="V1331" s="62"/>
      <c r="W1331" s="62"/>
      <c r="X1331" s="63">
        <f>IFERROR(1 -(Master[[#This Row],[Avg Garment Scans per Delivery]]/Master[[#This Row],[Garment Inventory]]), 0)</f>
        <v>0</v>
      </c>
      <c r="Y1331" s="62"/>
      <c r="Z1331" s="62"/>
      <c r="AA1331" s="53">
        <v>15.978994082840238</v>
      </c>
      <c r="AB1331" s="53">
        <v>47.01331360946746</v>
      </c>
      <c r="AC1331" s="53">
        <v>20.494319526627219</v>
      </c>
      <c r="AD1331" s="53">
        <v>48.733372781065086</v>
      </c>
      <c r="AE1331" s="53" t="str">
        <f>_xlfn.XLOOKUP(Master[[#This Row],[cu_id]],'[1]Customer Revenue'!$Q:$Q,'[1]Customer Revenue'!$K:$K, "None")</f>
        <v>None</v>
      </c>
      <c r="AF1331" s="53" t="str">
        <f>_xlfn.XLOOKUP(Master[[#This Row],[cu_id]],'[1]Customer Revenue'!$Q:$Q,'[1]Customer Revenue'!$L:$L, "None")</f>
        <v>None</v>
      </c>
      <c r="AG1331" s="53">
        <v>17.288875171467765</v>
      </c>
      <c r="AH1331" s="53">
        <v>41.209643347050758</v>
      </c>
      <c r="AI1331" s="53">
        <v>31.496153846153849</v>
      </c>
      <c r="AJ1331" s="53">
        <v>34.613846153846154</v>
      </c>
      <c r="AK1331" s="53" t="str">
        <f>_xlfn.XLOOKUP(Master[[#This Row],[cu_id]],'[1]Customer Revenue'!$Q:$Q,'[1]Customer Revenue'!$I:$I, "None")</f>
        <v>None</v>
      </c>
      <c r="AL1331" s="53">
        <v>29.249259259259262</v>
      </c>
      <c r="AM1331" s="61">
        <v>0.35416666666666669</v>
      </c>
      <c r="AN1331" s="60">
        <v>0.6875</v>
      </c>
      <c r="AO1331" s="60" t="s">
        <v>36</v>
      </c>
      <c r="AP1331" s="60" t="s">
        <v>36</v>
      </c>
      <c r="AQ1331" s="58" t="s">
        <v>308</v>
      </c>
      <c r="AR1331" s="58"/>
      <c r="AS1331" s="58"/>
      <c r="AT1331" s="52">
        <v>0</v>
      </c>
      <c r="AU1331" s="52">
        <f>IF(Master[[#This Row],[RSP StopTime override]] &lt;&gt; "",Master[[#This Row],[RSP StopTime override]],IF(Master[[#This Row],[Avg stop time helper]] &lt;&gt; 0, Master[[#This Row],[Avg stop time helper]],Average_Stop_Time))</f>
        <v>10</v>
      </c>
      <c r="AV1331" s="21">
        <v>10</v>
      </c>
      <c r="AW1331" s="20">
        <f>Master[[#This Row],[RSP StopTime override]]-Master[[#This Row],[Avg stop time helper]]</f>
        <v>10</v>
      </c>
    </row>
    <row r="1332" spans="1:49" x14ac:dyDescent="0.3">
      <c r="A1332" s="66" t="s">
        <v>5336</v>
      </c>
      <c r="B1332" s="58">
        <v>8010</v>
      </c>
      <c r="C1332" s="58" t="s">
        <v>43</v>
      </c>
      <c r="D1332" s="65">
        <v>805229</v>
      </c>
      <c r="E1332" s="65" t="s">
        <v>42</v>
      </c>
      <c r="F1332" s="65" t="s">
        <v>783</v>
      </c>
      <c r="G1332" s="65" t="s">
        <v>782</v>
      </c>
      <c r="H1332" s="65" t="s">
        <v>7</v>
      </c>
      <c r="I1332" s="65" t="s">
        <v>152</v>
      </c>
      <c r="J1332" s="65" t="s">
        <v>5</v>
      </c>
      <c r="K1332" s="65" t="s">
        <v>4</v>
      </c>
      <c r="L1332" s="64" t="s">
        <v>67</v>
      </c>
      <c r="M1332" s="58" t="s">
        <v>3</v>
      </c>
      <c r="N1332" s="58" t="s">
        <v>2</v>
      </c>
      <c r="O1332" s="58">
        <v>10</v>
      </c>
      <c r="P1332" s="58">
        <v>0</v>
      </c>
      <c r="Q1332" s="58">
        <v>0</v>
      </c>
      <c r="R1332" s="58">
        <v>0</v>
      </c>
      <c r="S1332" s="58">
        <v>10</v>
      </c>
      <c r="T1332" s="58">
        <v>0</v>
      </c>
      <c r="U1332" s="58">
        <v>39</v>
      </c>
      <c r="V1332" s="62"/>
      <c r="W1332" s="62"/>
      <c r="X1332" s="63">
        <f>IFERROR(1 -(Master[[#This Row],[Avg Garment Scans per Delivery]]/Master[[#This Row],[Garment Inventory]]), 0)</f>
        <v>0</v>
      </c>
      <c r="Y1332" s="62"/>
      <c r="Z1332" s="62"/>
      <c r="AA1332" s="53">
        <v>100.78248520710059</v>
      </c>
      <c r="AB1332" s="53">
        <v>139.96213017751481</v>
      </c>
      <c r="AC1332" s="53">
        <v>84.234615384615353</v>
      </c>
      <c r="AD1332" s="53">
        <v>148.85461538461536</v>
      </c>
      <c r="AE1332" s="53" t="str">
        <f>_xlfn.XLOOKUP(Master[[#This Row],[cu_id]],'[1]Customer Revenue'!$Q:$Q,'[1]Customer Revenue'!$K:$K, "None")</f>
        <v>None</v>
      </c>
      <c r="AF1332" s="53" t="str">
        <f>_xlfn.XLOOKUP(Master[[#This Row],[cu_id]],'[1]Customer Revenue'!$Q:$Q,'[1]Customer Revenue'!$L:$L, "None")</f>
        <v>None</v>
      </c>
      <c r="AG1332" s="53">
        <v>83.154713500784922</v>
      </c>
      <c r="AH1332" s="53">
        <v>148.22297880690735</v>
      </c>
      <c r="AI1332" s="53">
        <v>120.3723076923077</v>
      </c>
      <c r="AJ1332" s="53">
        <v>116.54461538461535</v>
      </c>
      <c r="AK1332" s="53" t="str">
        <f>_xlfn.XLOOKUP(Master[[#This Row],[cu_id]],'[1]Customer Revenue'!$Q:$Q,'[1]Customer Revenue'!$I:$I, "None")</f>
        <v>None</v>
      </c>
      <c r="AL1332" s="53">
        <v>115.68884615384614</v>
      </c>
      <c r="AM1332" s="61" t="s">
        <v>36</v>
      </c>
      <c r="AN1332" s="60" t="s">
        <v>36</v>
      </c>
      <c r="AO1332" s="60" t="s">
        <v>36</v>
      </c>
      <c r="AP1332" s="60" t="s">
        <v>36</v>
      </c>
      <c r="AQ1332" s="58" t="s">
        <v>308</v>
      </c>
      <c r="AR1332" s="58"/>
      <c r="AS1332" s="58"/>
      <c r="AT1332" s="52">
        <v>0</v>
      </c>
      <c r="AU1332" s="52">
        <f>IF(Master[[#This Row],[RSP StopTime override]] &lt;&gt; "",Master[[#This Row],[RSP StopTime override]],IF(Master[[#This Row],[Avg stop time helper]] &lt;&gt; 0, Master[[#This Row],[Avg stop time helper]],Average_Stop_Time))</f>
        <v>15</v>
      </c>
      <c r="AV1332" s="21">
        <v>15</v>
      </c>
      <c r="AW1332" s="20">
        <f>Master[[#This Row],[RSP StopTime override]]-Master[[#This Row],[Avg stop time helper]]</f>
        <v>15</v>
      </c>
    </row>
    <row r="1333" spans="1:49" x14ac:dyDescent="0.3">
      <c r="A1333" s="66" t="s">
        <v>5337</v>
      </c>
      <c r="B1333" s="58">
        <v>8010</v>
      </c>
      <c r="C1333" s="58" t="s">
        <v>43</v>
      </c>
      <c r="D1333" s="65">
        <v>805230</v>
      </c>
      <c r="E1333" s="65" t="s">
        <v>42</v>
      </c>
      <c r="F1333" s="65" t="s">
        <v>781</v>
      </c>
      <c r="G1333" s="65" t="s">
        <v>780</v>
      </c>
      <c r="H1333" s="65" t="s">
        <v>7</v>
      </c>
      <c r="I1333" s="65" t="s">
        <v>689</v>
      </c>
      <c r="J1333" s="65" t="s">
        <v>5</v>
      </c>
      <c r="K1333" s="65" t="s">
        <v>4</v>
      </c>
      <c r="L1333" s="64" t="s">
        <v>67</v>
      </c>
      <c r="M1333" s="58" t="s">
        <v>3</v>
      </c>
      <c r="N1333" s="58" t="s">
        <v>2</v>
      </c>
      <c r="O1333" s="58">
        <v>15</v>
      </c>
      <c r="P1333" s="58">
        <v>0</v>
      </c>
      <c r="Q1333" s="58">
        <v>0</v>
      </c>
      <c r="R1333" s="58">
        <v>0</v>
      </c>
      <c r="S1333" s="58">
        <v>15</v>
      </c>
      <c r="T1333" s="58">
        <v>0</v>
      </c>
      <c r="U1333" s="58">
        <v>28</v>
      </c>
      <c r="V1333" s="62"/>
      <c r="W1333" s="62"/>
      <c r="X1333" s="63">
        <f>IFERROR(1 -(Master[[#This Row],[Avg Garment Scans per Delivery]]/Master[[#This Row],[Garment Inventory]]), 0)</f>
        <v>0</v>
      </c>
      <c r="Y1333" s="62"/>
      <c r="Z1333" s="62"/>
      <c r="AA1333" s="53">
        <v>44.94289256198347</v>
      </c>
      <c r="AB1333" s="53">
        <v>57.702561983471071</v>
      </c>
      <c r="AC1333" s="53">
        <v>46.205266272189355</v>
      </c>
      <c r="AD1333" s="53">
        <v>47.322426035502964</v>
      </c>
      <c r="AE1333" s="53" t="str">
        <f>_xlfn.XLOOKUP(Master[[#This Row],[cu_id]],'[1]Customer Revenue'!$Q:$Q,'[1]Customer Revenue'!$K:$K, "None")</f>
        <v>None</v>
      </c>
      <c r="AF1333" s="53" t="str">
        <f>_xlfn.XLOOKUP(Master[[#This Row],[cu_id]],'[1]Customer Revenue'!$Q:$Q,'[1]Customer Revenue'!$L:$L, "None")</f>
        <v>None</v>
      </c>
      <c r="AG1333" s="53">
        <v>43.874967682363788</v>
      </c>
      <c r="AH1333" s="53">
        <v>64.211698984302856</v>
      </c>
      <c r="AI1333" s="53">
        <v>51.322727272727271</v>
      </c>
      <c r="AJ1333" s="53">
        <v>46.76384615384616</v>
      </c>
      <c r="AK1333" s="53" t="str">
        <f>_xlfn.XLOOKUP(Master[[#This Row],[cu_id]],'[1]Customer Revenue'!$Q:$Q,'[1]Customer Revenue'!$I:$I, "None")</f>
        <v>None</v>
      </c>
      <c r="AL1333" s="53">
        <v>54.043333333333322</v>
      </c>
      <c r="AM1333" s="61" t="s">
        <v>36</v>
      </c>
      <c r="AN1333" s="60" t="s">
        <v>36</v>
      </c>
      <c r="AO1333" s="60" t="s">
        <v>36</v>
      </c>
      <c r="AP1333" s="60" t="s">
        <v>36</v>
      </c>
      <c r="AQ1333" s="58" t="s">
        <v>308</v>
      </c>
      <c r="AR1333" s="58"/>
      <c r="AS1333" s="58"/>
      <c r="AT1333" s="52">
        <v>0</v>
      </c>
      <c r="AU1333" s="52">
        <f>IF(Master[[#This Row],[RSP StopTime override]] &lt;&gt; "",Master[[#This Row],[RSP StopTime override]],IF(Master[[#This Row],[Avg stop time helper]] &lt;&gt; 0, Master[[#This Row],[Avg stop time helper]],Average_Stop_Time))</f>
        <v>15</v>
      </c>
      <c r="AV1333" s="21">
        <v>15</v>
      </c>
      <c r="AW1333" s="20">
        <f>Master[[#This Row],[RSP StopTime override]]-Master[[#This Row],[Avg stop time helper]]</f>
        <v>15</v>
      </c>
    </row>
    <row r="1334" spans="1:49" x14ac:dyDescent="0.3">
      <c r="A1334" s="66" t="s">
        <v>5338</v>
      </c>
      <c r="B1334" s="58">
        <v>8010</v>
      </c>
      <c r="C1334" s="58" t="s">
        <v>43</v>
      </c>
      <c r="D1334" s="65">
        <v>805266</v>
      </c>
      <c r="E1334" s="65" t="s">
        <v>42</v>
      </c>
      <c r="F1334" s="65" t="s">
        <v>779</v>
      </c>
      <c r="G1334" s="65" t="s">
        <v>778</v>
      </c>
      <c r="H1334" s="65" t="s">
        <v>7</v>
      </c>
      <c r="I1334" s="65" t="s">
        <v>712</v>
      </c>
      <c r="J1334" s="65" t="s">
        <v>5</v>
      </c>
      <c r="K1334" s="65" t="s">
        <v>4</v>
      </c>
      <c r="L1334" s="64" t="s">
        <v>91</v>
      </c>
      <c r="M1334" s="58" t="s">
        <v>90</v>
      </c>
      <c r="N1334" s="58" t="s">
        <v>2</v>
      </c>
      <c r="O1334" s="58">
        <v>110</v>
      </c>
      <c r="P1334" s="58">
        <v>0</v>
      </c>
      <c r="Q1334" s="58">
        <v>0</v>
      </c>
      <c r="R1334" s="58">
        <v>0</v>
      </c>
      <c r="S1334" s="58">
        <v>110</v>
      </c>
      <c r="T1334" s="58">
        <v>0</v>
      </c>
      <c r="U1334" s="58">
        <v>15</v>
      </c>
      <c r="V1334" s="62"/>
      <c r="W1334" s="62"/>
      <c r="X1334" s="63">
        <f>IFERROR(1 -(Master[[#This Row],[Avg Garment Scans per Delivery]]/Master[[#This Row],[Garment Inventory]]), 0)</f>
        <v>0</v>
      </c>
      <c r="Y1334" s="62"/>
      <c r="Z1334" s="62"/>
      <c r="AA1334" s="53">
        <v>22.985306122448982</v>
      </c>
      <c r="AB1334" s="53">
        <v>37.89469387755102</v>
      </c>
      <c r="AC1334" s="53">
        <v>30.308888888888887</v>
      </c>
      <c r="AD1334" s="53">
        <v>31.357777777777777</v>
      </c>
      <c r="AE1334" s="53" t="str">
        <f>_xlfn.XLOOKUP(Master[[#This Row],[cu_id]],'[1]Customer Revenue'!$Q:$Q,'[1]Customer Revenue'!$K:$K, "None")</f>
        <v>None</v>
      </c>
      <c r="AF1334" s="53" t="str">
        <f>_xlfn.XLOOKUP(Master[[#This Row],[cu_id]],'[1]Customer Revenue'!$Q:$Q,'[1]Customer Revenue'!$L:$L, "None")</f>
        <v>None</v>
      </c>
      <c r="AG1334" s="53">
        <v>25.789444444444445</v>
      </c>
      <c r="AH1334" s="53">
        <v>35.090555555555554</v>
      </c>
      <c r="AI1334" s="53">
        <v>30.44</v>
      </c>
      <c r="AJ1334" s="53">
        <v>30.833333333333332</v>
      </c>
      <c r="AK1334" s="53" t="str">
        <f>_xlfn.XLOOKUP(Master[[#This Row],[cu_id]],'[1]Customer Revenue'!$Q:$Q,'[1]Customer Revenue'!$I:$I, "None")</f>
        <v>None</v>
      </c>
      <c r="AL1334" s="53">
        <v>30.44</v>
      </c>
      <c r="AM1334" s="61">
        <v>0.35416666666666669</v>
      </c>
      <c r="AN1334" s="60">
        <v>0.66666666666666663</v>
      </c>
      <c r="AO1334" s="60" t="s">
        <v>36</v>
      </c>
      <c r="AP1334" s="60" t="s">
        <v>36</v>
      </c>
      <c r="AQ1334" s="58" t="s">
        <v>0</v>
      </c>
      <c r="AR1334" s="58"/>
      <c r="AS1334" s="58"/>
      <c r="AT1334" s="52">
        <v>0</v>
      </c>
      <c r="AU1334" s="52">
        <f>IF(Master[[#This Row],[RSP StopTime override]] &lt;&gt; "",Master[[#This Row],[RSP StopTime override]],IF(Master[[#This Row],[Avg stop time helper]] &lt;&gt; 0, Master[[#This Row],[Avg stop time helper]],Average_Stop_Time))</f>
        <v>5</v>
      </c>
      <c r="AV1334" s="21">
        <v>5</v>
      </c>
      <c r="AW1334" s="20">
        <f>Master[[#This Row],[RSP StopTime override]]-Master[[#This Row],[Avg stop time helper]]</f>
        <v>5</v>
      </c>
    </row>
    <row r="1335" spans="1:49" x14ac:dyDescent="0.3">
      <c r="A1335" s="66" t="s">
        <v>5339</v>
      </c>
      <c r="B1335" s="58">
        <v>8010</v>
      </c>
      <c r="C1335" s="58" t="s">
        <v>43</v>
      </c>
      <c r="D1335" s="65">
        <v>805304</v>
      </c>
      <c r="E1335" s="65" t="s">
        <v>42</v>
      </c>
      <c r="F1335" s="65" t="s">
        <v>233</v>
      </c>
      <c r="G1335" s="65" t="s">
        <v>777</v>
      </c>
      <c r="H1335" s="65" t="s">
        <v>7</v>
      </c>
      <c r="I1335" s="65" t="s">
        <v>152</v>
      </c>
      <c r="J1335" s="65" t="s">
        <v>5</v>
      </c>
      <c r="K1335" s="65" t="s">
        <v>4</v>
      </c>
      <c r="L1335" s="64" t="s">
        <v>91</v>
      </c>
      <c r="M1335" s="58" t="s">
        <v>90</v>
      </c>
      <c r="N1335" s="58" t="s">
        <v>2</v>
      </c>
      <c r="O1335" s="58">
        <v>145</v>
      </c>
      <c r="P1335" s="58">
        <v>0</v>
      </c>
      <c r="Q1335" s="58">
        <v>0</v>
      </c>
      <c r="R1335" s="58">
        <v>0</v>
      </c>
      <c r="S1335" s="58">
        <v>145</v>
      </c>
      <c r="T1335" s="58">
        <v>0</v>
      </c>
      <c r="U1335" s="58">
        <v>13</v>
      </c>
      <c r="V1335" s="62"/>
      <c r="W1335" s="62"/>
      <c r="X1335" s="63">
        <f>IFERROR(1 -(Master[[#This Row],[Avg Garment Scans per Delivery]]/Master[[#This Row],[Garment Inventory]]), 0)</f>
        <v>0</v>
      </c>
      <c r="Y1335" s="62"/>
      <c r="Z1335" s="62"/>
      <c r="AA1335" s="53">
        <v>10.266666666666669</v>
      </c>
      <c r="AB1335" s="53">
        <v>33.033333333333331</v>
      </c>
      <c r="AC1335" s="53">
        <v>13.764081632653063</v>
      </c>
      <c r="AD1335" s="53">
        <v>25.424489795918365</v>
      </c>
      <c r="AE1335" s="53" t="str">
        <f>_xlfn.XLOOKUP(Master[[#This Row],[cu_id]],'[1]Customer Revenue'!$Q:$Q,'[1]Customer Revenue'!$K:$K, "None")</f>
        <v>None</v>
      </c>
      <c r="AF1335" s="53" t="str">
        <f>_xlfn.XLOOKUP(Master[[#This Row],[cu_id]],'[1]Customer Revenue'!$Q:$Q,'[1]Customer Revenue'!$L:$L, "None")</f>
        <v>None</v>
      </c>
      <c r="AG1335" s="53">
        <v>11.319553719008271</v>
      </c>
      <c r="AH1335" s="53">
        <v>37.692446280991746</v>
      </c>
      <c r="AI1335" s="53">
        <v>21.650000000000002</v>
      </c>
      <c r="AJ1335" s="53">
        <v>19.594285714285714</v>
      </c>
      <c r="AK1335" s="53" t="str">
        <f>_xlfn.XLOOKUP(Master[[#This Row],[cu_id]],'[1]Customer Revenue'!$Q:$Q,'[1]Customer Revenue'!$I:$I, "None")</f>
        <v>None</v>
      </c>
      <c r="AL1335" s="53">
        <v>24.506000000000007</v>
      </c>
      <c r="AM1335" s="61">
        <v>0</v>
      </c>
      <c r="AN1335" s="60">
        <v>0.83333333333333337</v>
      </c>
      <c r="AO1335" s="60" t="s">
        <v>36</v>
      </c>
      <c r="AP1335" s="60" t="s">
        <v>36</v>
      </c>
      <c r="AQ1335" s="58" t="s">
        <v>308</v>
      </c>
      <c r="AR1335" s="58"/>
      <c r="AS1335" s="58"/>
      <c r="AT1335" s="52">
        <v>0</v>
      </c>
      <c r="AU1335" s="52">
        <f>IF(Master[[#This Row],[RSP StopTime override]] &lt;&gt; "",Master[[#This Row],[RSP StopTime override]],IF(Master[[#This Row],[Avg stop time helper]] &lt;&gt; 0, Master[[#This Row],[Avg stop time helper]],Average_Stop_Time))</f>
        <v>5</v>
      </c>
      <c r="AV1335" s="21">
        <v>5</v>
      </c>
      <c r="AW1335" s="20">
        <f>Master[[#This Row],[RSP StopTime override]]-Master[[#This Row],[Avg stop time helper]]</f>
        <v>5</v>
      </c>
    </row>
    <row r="1336" spans="1:49" x14ac:dyDescent="0.3">
      <c r="A1336" s="66" t="s">
        <v>5340</v>
      </c>
      <c r="B1336" s="58">
        <v>8010</v>
      </c>
      <c r="C1336" s="58" t="s">
        <v>43</v>
      </c>
      <c r="D1336" s="65">
        <v>805333</v>
      </c>
      <c r="E1336" s="65" t="s">
        <v>42</v>
      </c>
      <c r="F1336" s="65" t="s">
        <v>776</v>
      </c>
      <c r="G1336" s="65" t="s">
        <v>775</v>
      </c>
      <c r="H1336" s="65" t="s">
        <v>7</v>
      </c>
      <c r="I1336" s="65" t="s">
        <v>152</v>
      </c>
      <c r="J1336" s="65" t="s">
        <v>5</v>
      </c>
      <c r="K1336" s="65" t="s">
        <v>4</v>
      </c>
      <c r="L1336" s="64" t="s">
        <v>67</v>
      </c>
      <c r="M1336" s="58" t="s">
        <v>3</v>
      </c>
      <c r="N1336" s="58" t="s">
        <v>2</v>
      </c>
      <c r="O1336" s="58">
        <v>60</v>
      </c>
      <c r="P1336" s="58">
        <v>0</v>
      </c>
      <c r="Q1336" s="58">
        <v>0</v>
      </c>
      <c r="R1336" s="58">
        <v>0</v>
      </c>
      <c r="S1336" s="58">
        <v>60</v>
      </c>
      <c r="T1336" s="58">
        <v>0</v>
      </c>
      <c r="U1336" s="58">
        <v>35</v>
      </c>
      <c r="V1336" s="62"/>
      <c r="W1336" s="62"/>
      <c r="X1336" s="63">
        <f>IFERROR(1 -(Master[[#This Row],[Avg Garment Scans per Delivery]]/Master[[#This Row],[Garment Inventory]]), 0)</f>
        <v>0</v>
      </c>
      <c r="Y1336" s="62"/>
      <c r="Z1336" s="62"/>
      <c r="AA1336" s="53">
        <v>33.428024691358026</v>
      </c>
      <c r="AB1336" s="53">
        <v>68.747530864197529</v>
      </c>
      <c r="AC1336" s="53">
        <v>42.346666666666664</v>
      </c>
      <c r="AD1336" s="53">
        <v>82.098333333333329</v>
      </c>
      <c r="AE1336" s="53" t="str">
        <f>_xlfn.XLOOKUP(Master[[#This Row],[cu_id]],'[1]Customer Revenue'!$Q:$Q,'[1]Customer Revenue'!$K:$K, "None")</f>
        <v>None</v>
      </c>
      <c r="AF1336" s="53" t="str">
        <f>_xlfn.XLOOKUP(Master[[#This Row],[cu_id]],'[1]Customer Revenue'!$Q:$Q,'[1]Customer Revenue'!$L:$L, "None")</f>
        <v>None</v>
      </c>
      <c r="AG1336" s="53">
        <v>32.020317924041933</v>
      </c>
      <c r="AH1336" s="53">
        <v>61.876045712321698</v>
      </c>
      <c r="AI1336" s="53">
        <v>51.087777777777774</v>
      </c>
      <c r="AJ1336" s="53">
        <v>62.222499999999997</v>
      </c>
      <c r="AK1336" s="53" t="str">
        <f>_xlfn.XLOOKUP(Master[[#This Row],[cu_id]],'[1]Customer Revenue'!$Q:$Q,'[1]Customer Revenue'!$I:$I, "None")</f>
        <v>None</v>
      </c>
      <c r="AL1336" s="53">
        <v>46.948181818181816</v>
      </c>
      <c r="AM1336" s="61">
        <v>0.3125</v>
      </c>
      <c r="AN1336" s="60">
        <v>0.4375</v>
      </c>
      <c r="AO1336" s="60">
        <v>0.625</v>
      </c>
      <c r="AP1336" s="60">
        <v>0.72916666666666663</v>
      </c>
      <c r="AQ1336" s="58" t="s">
        <v>133</v>
      </c>
      <c r="AR1336" s="58"/>
      <c r="AS1336" s="58"/>
      <c r="AT1336" s="52">
        <v>0</v>
      </c>
      <c r="AU1336" s="52">
        <f>IF(Master[[#This Row],[RSP StopTime override]] &lt;&gt; "",Master[[#This Row],[RSP StopTime override]],IF(Master[[#This Row],[Avg stop time helper]] &lt;&gt; 0, Master[[#This Row],[Avg stop time helper]],Average_Stop_Time))</f>
        <v>5</v>
      </c>
      <c r="AV1336" s="21">
        <v>5</v>
      </c>
      <c r="AW1336" s="20">
        <f>Master[[#This Row],[RSP StopTime override]]-Master[[#This Row],[Avg stop time helper]]</f>
        <v>5</v>
      </c>
    </row>
    <row r="1337" spans="1:49" x14ac:dyDescent="0.3">
      <c r="A1337" s="66" t="s">
        <v>5341</v>
      </c>
      <c r="B1337" s="58">
        <v>8010</v>
      </c>
      <c r="C1337" s="58" t="s">
        <v>43</v>
      </c>
      <c r="D1337" s="65">
        <v>805400</v>
      </c>
      <c r="E1337" s="65" t="s">
        <v>42</v>
      </c>
      <c r="F1337" s="65" t="s">
        <v>774</v>
      </c>
      <c r="G1337" s="65" t="s">
        <v>773</v>
      </c>
      <c r="H1337" s="65" t="s">
        <v>7</v>
      </c>
      <c r="I1337" s="65" t="s">
        <v>152</v>
      </c>
      <c r="J1337" s="65" t="s">
        <v>5</v>
      </c>
      <c r="K1337" s="65" t="s">
        <v>4</v>
      </c>
      <c r="L1337" s="64" t="s">
        <v>67</v>
      </c>
      <c r="M1337" s="58" t="s">
        <v>3</v>
      </c>
      <c r="N1337" s="58" t="s">
        <v>2</v>
      </c>
      <c r="O1337" s="58">
        <v>85</v>
      </c>
      <c r="P1337" s="58">
        <v>0</v>
      </c>
      <c r="Q1337" s="58">
        <v>0</v>
      </c>
      <c r="R1337" s="58">
        <v>0</v>
      </c>
      <c r="S1337" s="58">
        <v>85</v>
      </c>
      <c r="T1337" s="58">
        <v>0</v>
      </c>
      <c r="U1337" s="58">
        <v>39</v>
      </c>
      <c r="V1337" s="62"/>
      <c r="W1337" s="62"/>
      <c r="X1337" s="63">
        <f>IFERROR(1 -(Master[[#This Row],[Avg Garment Scans per Delivery]]/Master[[#This Row],[Garment Inventory]]), 0)</f>
        <v>0</v>
      </c>
      <c r="Y1337" s="62"/>
      <c r="Z1337" s="62"/>
      <c r="AA1337" s="53">
        <v>28.47</v>
      </c>
      <c r="AB1337" s="53">
        <v>28.47000000000002</v>
      </c>
      <c r="AC1337" s="53">
        <v>28.365266272189341</v>
      </c>
      <c r="AD1337" s="53">
        <v>29.48242603550295</v>
      </c>
      <c r="AE1337" s="53" t="str">
        <f>_xlfn.XLOOKUP(Master[[#This Row],[cu_id]],'[1]Customer Revenue'!$Q:$Q,'[1]Customer Revenue'!$K:$K, "None")</f>
        <v>None</v>
      </c>
      <c r="AF1337" s="53" t="str">
        <f>_xlfn.XLOOKUP(Master[[#This Row],[cu_id]],'[1]Customer Revenue'!$Q:$Q,'[1]Customer Revenue'!$L:$L, "None")</f>
        <v>None</v>
      </c>
      <c r="AG1337" s="53">
        <v>28.47</v>
      </c>
      <c r="AH1337" s="53">
        <v>28.470000000000041</v>
      </c>
      <c r="AI1337" s="53">
        <v>28.47000000000001</v>
      </c>
      <c r="AJ1337" s="53">
        <v>28.923846153846146</v>
      </c>
      <c r="AK1337" s="53" t="str">
        <f>_xlfn.XLOOKUP(Master[[#This Row],[cu_id]],'[1]Customer Revenue'!$Q:$Q,'[1]Customer Revenue'!$I:$I, "None")</f>
        <v>None</v>
      </c>
      <c r="AL1337" s="53">
        <v>28.47000000000002</v>
      </c>
      <c r="AM1337" s="61">
        <v>0.35416666666666669</v>
      </c>
      <c r="AN1337" s="60">
        <v>0.6875</v>
      </c>
      <c r="AO1337" s="60" t="s">
        <v>36</v>
      </c>
      <c r="AP1337" s="60" t="s">
        <v>36</v>
      </c>
      <c r="AQ1337" s="58" t="s">
        <v>0</v>
      </c>
      <c r="AR1337" s="58"/>
      <c r="AS1337" s="58"/>
      <c r="AT1337" s="52">
        <v>0</v>
      </c>
      <c r="AU1337" s="52" t="e">
        <f>IF(Master[[#This Row],[RSP StopTime override]] &lt;&gt; "",Master[[#This Row],[RSP StopTime override]],IF(Master[[#This Row],[Avg stop time helper]] &lt;&gt; 0, Master[[#This Row],[Avg stop time helper]],Average_Stop_Time))</f>
        <v>#DIV/0!</v>
      </c>
      <c r="AV1337" s="21"/>
      <c r="AW1337" s="20">
        <f>Master[[#This Row],[RSP StopTime override]]-Master[[#This Row],[Avg stop time helper]]</f>
        <v>0</v>
      </c>
    </row>
    <row r="1338" spans="1:49" x14ac:dyDescent="0.3">
      <c r="A1338" s="66" t="s">
        <v>5342</v>
      </c>
      <c r="B1338" s="58">
        <v>8010</v>
      </c>
      <c r="C1338" s="58" t="s">
        <v>43</v>
      </c>
      <c r="D1338" s="65">
        <v>805800</v>
      </c>
      <c r="E1338" s="65" t="s">
        <v>42</v>
      </c>
      <c r="F1338" s="65" t="s">
        <v>772</v>
      </c>
      <c r="G1338" s="65" t="s">
        <v>771</v>
      </c>
      <c r="H1338" s="65" t="s">
        <v>7</v>
      </c>
      <c r="I1338" s="65" t="s">
        <v>712</v>
      </c>
      <c r="J1338" s="65" t="s">
        <v>5</v>
      </c>
      <c r="K1338" s="65" t="s">
        <v>4</v>
      </c>
      <c r="L1338" s="64" t="s">
        <v>91</v>
      </c>
      <c r="M1338" s="58" t="s">
        <v>90</v>
      </c>
      <c r="N1338" s="58" t="s">
        <v>2</v>
      </c>
      <c r="O1338" s="58">
        <v>35</v>
      </c>
      <c r="P1338" s="58">
        <v>0</v>
      </c>
      <c r="Q1338" s="58">
        <v>0</v>
      </c>
      <c r="R1338" s="58">
        <v>0</v>
      </c>
      <c r="S1338" s="58">
        <v>35</v>
      </c>
      <c r="T1338" s="58">
        <v>0</v>
      </c>
      <c r="U1338" s="58">
        <v>20</v>
      </c>
      <c r="V1338" s="62"/>
      <c r="W1338" s="62"/>
      <c r="X1338" s="63">
        <f>IFERROR(1 -(Master[[#This Row],[Avg Garment Scans per Delivery]]/Master[[#This Row],[Garment Inventory]]), 0)</f>
        <v>0</v>
      </c>
      <c r="Y1338" s="62"/>
      <c r="Z1338" s="62"/>
      <c r="AA1338" s="53">
        <v>57.07</v>
      </c>
      <c r="AB1338" s="53">
        <v>57.07</v>
      </c>
      <c r="AC1338" s="53">
        <v>29.161111111111108</v>
      </c>
      <c r="AD1338" s="53">
        <v>43.115555555555545</v>
      </c>
      <c r="AE1338" s="53" t="str">
        <f>_xlfn.XLOOKUP(Master[[#This Row],[cu_id]],'[1]Customer Revenue'!$Q:$Q,'[1]Customer Revenue'!$K:$K, "None")</f>
        <v>None</v>
      </c>
      <c r="AF1338" s="53" t="str">
        <f>_xlfn.XLOOKUP(Master[[#This Row],[cu_id]],'[1]Customer Revenue'!$Q:$Q,'[1]Customer Revenue'!$L:$L, "None")</f>
        <v>None</v>
      </c>
      <c r="AG1338" s="53">
        <v>52.892857142857146</v>
      </c>
      <c r="AH1338" s="53">
        <v>62.707142857142891</v>
      </c>
      <c r="AI1338" s="53">
        <v>57.07</v>
      </c>
      <c r="AJ1338" s="53">
        <v>36.138333333333328</v>
      </c>
      <c r="AK1338" s="53" t="str">
        <f>_xlfn.XLOOKUP(Master[[#This Row],[cu_id]],'[1]Customer Revenue'!$Q:$Q,'[1]Customer Revenue'!$I:$I, "None")</f>
        <v>None</v>
      </c>
      <c r="AL1338" s="53">
        <v>57.800000000000018</v>
      </c>
      <c r="AM1338" s="61">
        <v>0.29166666666666669</v>
      </c>
      <c r="AN1338" s="60">
        <v>0.64583333333333337</v>
      </c>
      <c r="AO1338" s="60" t="s">
        <v>36</v>
      </c>
      <c r="AP1338" s="60" t="s">
        <v>36</v>
      </c>
      <c r="AQ1338" s="58" t="s">
        <v>0</v>
      </c>
      <c r="AR1338" s="58"/>
      <c r="AS1338" s="58"/>
      <c r="AT1338" s="52">
        <v>0</v>
      </c>
      <c r="AU1338" s="52">
        <f>IF(Master[[#This Row],[RSP StopTime override]] &lt;&gt; "",Master[[#This Row],[RSP StopTime override]],IF(Master[[#This Row],[Avg stop time helper]] &lt;&gt; 0, Master[[#This Row],[Avg stop time helper]],Average_Stop_Time))</f>
        <v>10</v>
      </c>
      <c r="AV1338" s="21">
        <v>10</v>
      </c>
      <c r="AW1338" s="20">
        <f>Master[[#This Row],[RSP StopTime override]]-Master[[#This Row],[Avg stop time helper]]</f>
        <v>10</v>
      </c>
    </row>
    <row r="1339" spans="1:49" x14ac:dyDescent="0.3">
      <c r="A1339" s="66" t="s">
        <v>5343</v>
      </c>
      <c r="B1339" s="58">
        <v>8010</v>
      </c>
      <c r="C1339" s="58" t="s">
        <v>43</v>
      </c>
      <c r="D1339" s="65">
        <v>805975</v>
      </c>
      <c r="E1339" s="65" t="s">
        <v>42</v>
      </c>
      <c r="F1339" s="65" t="s">
        <v>178</v>
      </c>
      <c r="G1339" s="65" t="s">
        <v>770</v>
      </c>
      <c r="H1339" s="65" t="s">
        <v>7</v>
      </c>
      <c r="I1339" s="65" t="s">
        <v>689</v>
      </c>
      <c r="J1339" s="65" t="s">
        <v>5</v>
      </c>
      <c r="K1339" s="65" t="s">
        <v>4</v>
      </c>
      <c r="L1339" s="64" t="s">
        <v>77</v>
      </c>
      <c r="M1339" s="58" t="s">
        <v>29</v>
      </c>
      <c r="N1339" s="58" t="s">
        <v>2</v>
      </c>
      <c r="O1339" s="58">
        <v>93</v>
      </c>
      <c r="P1339" s="58">
        <v>0</v>
      </c>
      <c r="Q1339" s="58">
        <v>0</v>
      </c>
      <c r="R1339" s="58">
        <v>0</v>
      </c>
      <c r="S1339" s="58">
        <v>93</v>
      </c>
      <c r="T1339" s="58">
        <v>0</v>
      </c>
      <c r="U1339" s="58">
        <v>21</v>
      </c>
      <c r="V1339" s="62"/>
      <c r="W1339" s="62"/>
      <c r="X1339" s="63">
        <f>IFERROR(1 -(Master[[#This Row],[Avg Garment Scans per Delivery]]/Master[[#This Row],[Garment Inventory]]), 0)</f>
        <v>0</v>
      </c>
      <c r="Y1339" s="62"/>
      <c r="Z1339" s="62"/>
      <c r="AA1339" s="53">
        <v>61.222222222222221</v>
      </c>
      <c r="AB1339" s="53">
        <v>97.804444444444442</v>
      </c>
      <c r="AC1339" s="53">
        <v>79.201999999999998</v>
      </c>
      <c r="AD1339" s="53">
        <v>123.37799999999999</v>
      </c>
      <c r="AE1339" s="53" t="str">
        <f>_xlfn.XLOOKUP(Master[[#This Row],[cu_id]],'[1]Customer Revenue'!$Q:$Q,'[1]Customer Revenue'!$K:$K, "None")</f>
        <v>None</v>
      </c>
      <c r="AF1339" s="53" t="str">
        <f>_xlfn.XLOOKUP(Master[[#This Row],[cu_id]],'[1]Customer Revenue'!$Q:$Q,'[1]Customer Revenue'!$L:$L, "None")</f>
        <v>None</v>
      </c>
      <c r="AG1339" s="53">
        <v>66.368994082840231</v>
      </c>
      <c r="AH1339" s="53">
        <v>99.997159763313618</v>
      </c>
      <c r="AI1339" s="53">
        <v>79.513333333333335</v>
      </c>
      <c r="AJ1339" s="53">
        <v>101.28999999999999</v>
      </c>
      <c r="AK1339" s="53" t="str">
        <f>_xlfn.XLOOKUP(Master[[#This Row],[cu_id]],'[1]Customer Revenue'!$Q:$Q,'[1]Customer Revenue'!$I:$I, "None")</f>
        <v>None</v>
      </c>
      <c r="AL1339" s="53">
        <v>83.183076923076925</v>
      </c>
      <c r="AM1339" s="61">
        <v>0.25</v>
      </c>
      <c r="AN1339" s="60">
        <v>0.89583333333333337</v>
      </c>
      <c r="AO1339" s="60" t="s">
        <v>36</v>
      </c>
      <c r="AP1339" s="60" t="s">
        <v>36</v>
      </c>
      <c r="AQ1339" s="58" t="s">
        <v>308</v>
      </c>
      <c r="AR1339" s="58"/>
      <c r="AS1339" s="58"/>
      <c r="AT1339" s="52">
        <v>0</v>
      </c>
      <c r="AU1339" s="52" t="e">
        <f>IF(Master[[#This Row],[RSP StopTime override]] &lt;&gt; "",Master[[#This Row],[RSP StopTime override]],IF(Master[[#This Row],[Avg stop time helper]] &lt;&gt; 0, Master[[#This Row],[Avg stop time helper]],Average_Stop_Time))</f>
        <v>#DIV/0!</v>
      </c>
      <c r="AV1339" s="21"/>
      <c r="AW1339" s="20">
        <f>Master[[#This Row],[RSP StopTime override]]-Master[[#This Row],[Avg stop time helper]]</f>
        <v>0</v>
      </c>
    </row>
    <row r="1340" spans="1:49" x14ac:dyDescent="0.3">
      <c r="A1340" s="74" t="s">
        <v>5344</v>
      </c>
      <c r="B1340" s="67">
        <v>8010</v>
      </c>
      <c r="C1340" s="67" t="s">
        <v>43</v>
      </c>
      <c r="D1340" s="70">
        <v>806177</v>
      </c>
      <c r="E1340" s="70" t="s">
        <v>42</v>
      </c>
      <c r="F1340" s="70" t="s">
        <v>769</v>
      </c>
      <c r="G1340" s="65" t="s">
        <v>768</v>
      </c>
      <c r="H1340" s="65" t="s">
        <v>7</v>
      </c>
      <c r="I1340" s="65" t="s">
        <v>152</v>
      </c>
      <c r="J1340" s="65" t="s">
        <v>5</v>
      </c>
      <c r="K1340" s="65" t="s">
        <v>4</v>
      </c>
      <c r="L1340" s="64" t="s">
        <v>145</v>
      </c>
      <c r="M1340" s="58" t="s">
        <v>123</v>
      </c>
      <c r="N1340" s="58" t="s">
        <v>144</v>
      </c>
      <c r="O1340" s="58">
        <v>195</v>
      </c>
      <c r="P1340" s="58">
        <v>0</v>
      </c>
      <c r="Q1340" s="58">
        <v>0</v>
      </c>
      <c r="R1340" s="58">
        <v>0</v>
      </c>
      <c r="S1340" s="58">
        <v>195</v>
      </c>
      <c r="T1340" s="58">
        <v>0</v>
      </c>
      <c r="U1340" s="58">
        <v>4</v>
      </c>
      <c r="V1340" s="62"/>
      <c r="W1340" s="62"/>
      <c r="X1340" s="63">
        <f>IFERROR(1 -(Master[[#This Row],[Avg Garment Scans per Delivery]]/Master[[#This Row],[Garment Inventory]]), 0)</f>
        <v>0</v>
      </c>
      <c r="Y1340" s="62"/>
      <c r="Z1340" s="62"/>
      <c r="AA1340" s="53"/>
      <c r="AB1340" s="53"/>
      <c r="AC1340" s="53"/>
      <c r="AD1340" s="53"/>
      <c r="AE1340" s="53" t="str">
        <f>_xlfn.XLOOKUP(Master[[#This Row],[cu_id]],'[1]Customer Revenue'!$Q:$Q,'[1]Customer Revenue'!$K:$K, "None")</f>
        <v>None</v>
      </c>
      <c r="AF1340" s="53" t="str">
        <f>_xlfn.XLOOKUP(Master[[#This Row],[cu_id]],'[1]Customer Revenue'!$Q:$Q,'[1]Customer Revenue'!$L:$L, "None")</f>
        <v>None</v>
      </c>
      <c r="AG1340" s="53">
        <v>34.33</v>
      </c>
      <c r="AH1340" s="53">
        <v>34.33</v>
      </c>
      <c r="AI1340" s="53"/>
      <c r="AJ1340" s="53"/>
      <c r="AK1340" s="53" t="str">
        <f>_xlfn.XLOOKUP(Master[[#This Row],[cu_id]],'[1]Customer Revenue'!$Q:$Q,'[1]Customer Revenue'!$I:$I, "None")</f>
        <v>None</v>
      </c>
      <c r="AL1340" s="53">
        <v>34.33</v>
      </c>
      <c r="AM1340" s="69">
        <v>0.29166666666666669</v>
      </c>
      <c r="AN1340" s="68">
        <v>0.79166666666666663</v>
      </c>
      <c r="AO1340" s="60" t="s">
        <v>36</v>
      </c>
      <c r="AP1340" s="60" t="s">
        <v>36</v>
      </c>
      <c r="AQ1340" s="58" t="s">
        <v>0</v>
      </c>
      <c r="AR1340" s="58"/>
      <c r="AS1340" s="58"/>
      <c r="AT1340" s="52">
        <v>0</v>
      </c>
      <c r="AU1340" s="52" t="e">
        <f>IF(Master[[#This Row],[RSP StopTime override]] &lt;&gt; "",Master[[#This Row],[RSP StopTime override]],IF(Master[[#This Row],[Avg stop time helper]] &lt;&gt; 0, Master[[#This Row],[Avg stop time helper]],Average_Stop_Time))</f>
        <v>#DIV/0!</v>
      </c>
      <c r="AV1340" s="21"/>
      <c r="AW1340" s="20">
        <f>Master[[#This Row],[RSP StopTime override]]-Master[[#This Row],[Avg stop time helper]]</f>
        <v>0</v>
      </c>
    </row>
    <row r="1341" spans="1:49" x14ac:dyDescent="0.3">
      <c r="A1341" s="66" t="s">
        <v>5345</v>
      </c>
      <c r="B1341" s="58">
        <v>8010</v>
      </c>
      <c r="C1341" s="58" t="s">
        <v>43</v>
      </c>
      <c r="D1341" s="65">
        <v>806611</v>
      </c>
      <c r="E1341" s="65" t="s">
        <v>42</v>
      </c>
      <c r="F1341" s="65" t="s">
        <v>767</v>
      </c>
      <c r="G1341" s="65" t="s">
        <v>766</v>
      </c>
      <c r="H1341" s="65" t="s">
        <v>7</v>
      </c>
      <c r="I1341" s="65" t="s">
        <v>689</v>
      </c>
      <c r="J1341" s="65" t="s">
        <v>5</v>
      </c>
      <c r="K1341" s="65" t="s">
        <v>4</v>
      </c>
      <c r="L1341" s="64" t="s">
        <v>124</v>
      </c>
      <c r="M1341" s="58" t="s">
        <v>123</v>
      </c>
      <c r="N1341" s="58" t="s">
        <v>2</v>
      </c>
      <c r="O1341" s="58">
        <v>140</v>
      </c>
      <c r="P1341" s="58">
        <v>0</v>
      </c>
      <c r="Q1341" s="58">
        <v>0</v>
      </c>
      <c r="R1341" s="58">
        <v>0</v>
      </c>
      <c r="S1341" s="58">
        <v>140</v>
      </c>
      <c r="T1341" s="58">
        <v>0</v>
      </c>
      <c r="U1341" s="58">
        <v>10</v>
      </c>
      <c r="V1341" s="62"/>
      <c r="W1341" s="62"/>
      <c r="X1341" s="63">
        <f>IFERROR(1 -(Master[[#This Row],[Avg Garment Scans per Delivery]]/Master[[#This Row],[Garment Inventory]]), 0)</f>
        <v>0</v>
      </c>
      <c r="Y1341" s="62"/>
      <c r="Z1341" s="62"/>
      <c r="AA1341" s="53">
        <v>10</v>
      </c>
      <c r="AB1341" s="53">
        <v>10</v>
      </c>
      <c r="AC1341" s="53">
        <v>5</v>
      </c>
      <c r="AD1341" s="53">
        <v>15</v>
      </c>
      <c r="AE1341" s="53" t="str">
        <f>_xlfn.XLOOKUP(Master[[#This Row],[cu_id]],'[1]Customer Revenue'!$Q:$Q,'[1]Customer Revenue'!$K:$K, "None")</f>
        <v>None</v>
      </c>
      <c r="AF1341" s="53" t="str">
        <f>_xlfn.XLOOKUP(Master[[#This Row],[cu_id]],'[1]Customer Revenue'!$Q:$Q,'[1]Customer Revenue'!$L:$L, "None")</f>
        <v>None</v>
      </c>
      <c r="AG1341" s="53">
        <v>10</v>
      </c>
      <c r="AH1341" s="53">
        <v>10</v>
      </c>
      <c r="AI1341" s="53">
        <v>10</v>
      </c>
      <c r="AJ1341" s="53">
        <v>10</v>
      </c>
      <c r="AK1341" s="53" t="str">
        <f>_xlfn.XLOOKUP(Master[[#This Row],[cu_id]],'[1]Customer Revenue'!$Q:$Q,'[1]Customer Revenue'!$I:$I, "None")</f>
        <v>None</v>
      </c>
      <c r="AL1341" s="53">
        <v>10</v>
      </c>
      <c r="AM1341" s="61">
        <v>0.41666666666666669</v>
      </c>
      <c r="AN1341" s="60">
        <v>0.8125</v>
      </c>
      <c r="AO1341" s="60" t="s">
        <v>36</v>
      </c>
      <c r="AP1341" s="60" t="s">
        <v>36</v>
      </c>
      <c r="AQ1341" s="58" t="s">
        <v>308</v>
      </c>
      <c r="AR1341" s="58"/>
      <c r="AS1341" s="58"/>
      <c r="AT1341" s="52">
        <v>0</v>
      </c>
      <c r="AU1341" s="52" t="e">
        <f>IF(Master[[#This Row],[RSP StopTime override]] &lt;&gt; "",Master[[#This Row],[RSP StopTime override]],IF(Master[[#This Row],[Avg stop time helper]] &lt;&gt; 0, Master[[#This Row],[Avg stop time helper]],Average_Stop_Time))</f>
        <v>#DIV/0!</v>
      </c>
      <c r="AV1341" s="21"/>
      <c r="AW1341" s="20">
        <f>Master[[#This Row],[RSP StopTime override]]-Master[[#This Row],[Avg stop time helper]]</f>
        <v>0</v>
      </c>
    </row>
    <row r="1342" spans="1:49" x14ac:dyDescent="0.3">
      <c r="A1342" s="66" t="s">
        <v>5346</v>
      </c>
      <c r="B1342" s="58">
        <v>8010</v>
      </c>
      <c r="C1342" s="58" t="s">
        <v>43</v>
      </c>
      <c r="D1342" s="65">
        <v>808061</v>
      </c>
      <c r="E1342" s="65" t="s">
        <v>42</v>
      </c>
      <c r="F1342" s="65" t="s">
        <v>765</v>
      </c>
      <c r="G1342" s="65" t="s">
        <v>764</v>
      </c>
      <c r="H1342" s="65" t="s">
        <v>7</v>
      </c>
      <c r="I1342" s="65" t="s">
        <v>152</v>
      </c>
      <c r="J1342" s="65" t="s">
        <v>5</v>
      </c>
      <c r="K1342" s="65" t="s">
        <v>4</v>
      </c>
      <c r="L1342" s="64" t="s">
        <v>77</v>
      </c>
      <c r="M1342" s="58" t="s">
        <v>29</v>
      </c>
      <c r="N1342" s="58" t="s">
        <v>2</v>
      </c>
      <c r="O1342" s="58">
        <v>150</v>
      </c>
      <c r="P1342" s="58">
        <v>0</v>
      </c>
      <c r="Q1342" s="58">
        <v>0</v>
      </c>
      <c r="R1342" s="58">
        <v>0</v>
      </c>
      <c r="S1342" s="58">
        <v>150</v>
      </c>
      <c r="T1342" s="58">
        <v>0</v>
      </c>
      <c r="U1342" s="58">
        <v>21</v>
      </c>
      <c r="V1342" s="62"/>
      <c r="W1342" s="62"/>
      <c r="X1342" s="63">
        <f>IFERROR(1 -(Master[[#This Row],[Avg Garment Scans per Delivery]]/Master[[#This Row],[Garment Inventory]]), 0)</f>
        <v>0</v>
      </c>
      <c r="Y1342" s="62"/>
      <c r="Z1342" s="62"/>
      <c r="AA1342" s="53">
        <v>59.733061224489802</v>
      </c>
      <c r="AB1342" s="53">
        <v>94.19265306122449</v>
      </c>
      <c r="AC1342" s="53">
        <v>60.640816326530611</v>
      </c>
      <c r="AD1342" s="53">
        <v>130.42775510204081</v>
      </c>
      <c r="AE1342" s="53" t="str">
        <f>_xlfn.XLOOKUP(Master[[#This Row],[cu_id]],'[1]Customer Revenue'!$Q:$Q,'[1]Customer Revenue'!$K:$K, "None")</f>
        <v>None</v>
      </c>
      <c r="AF1342" s="53" t="str">
        <f>_xlfn.XLOOKUP(Master[[#This Row],[cu_id]],'[1]Customer Revenue'!$Q:$Q,'[1]Customer Revenue'!$L:$L, "None")</f>
        <v>None</v>
      </c>
      <c r="AG1342" s="53">
        <v>67.556734693877559</v>
      </c>
      <c r="AH1342" s="53">
        <v>123.22897959183675</v>
      </c>
      <c r="AI1342" s="53">
        <v>76.962857142857146</v>
      </c>
      <c r="AJ1342" s="53">
        <v>95.534285714285716</v>
      </c>
      <c r="AK1342" s="53" t="str">
        <f>_xlfn.XLOOKUP(Master[[#This Row],[cu_id]],'[1]Customer Revenue'!$Q:$Q,'[1]Customer Revenue'!$I:$I, "None")</f>
        <v>None</v>
      </c>
      <c r="AL1342" s="53">
        <v>95.392857142857153</v>
      </c>
      <c r="AM1342" s="61">
        <v>0.39583333333333331</v>
      </c>
      <c r="AN1342" s="60">
        <v>0.85416666666666663</v>
      </c>
      <c r="AO1342" s="60" t="s">
        <v>36</v>
      </c>
      <c r="AP1342" s="60" t="s">
        <v>36</v>
      </c>
      <c r="AQ1342" s="58" t="s">
        <v>308</v>
      </c>
      <c r="AR1342" s="58"/>
      <c r="AS1342" s="58"/>
      <c r="AT1342" s="52">
        <v>0</v>
      </c>
      <c r="AU1342" s="52" t="e">
        <f>IF(Master[[#This Row],[RSP StopTime override]] &lt;&gt; "",Master[[#This Row],[RSP StopTime override]],IF(Master[[#This Row],[Avg stop time helper]] &lt;&gt; 0, Master[[#This Row],[Avg stop time helper]],Average_Stop_Time))</f>
        <v>#DIV/0!</v>
      </c>
      <c r="AV1342" s="21"/>
      <c r="AW1342" s="20">
        <f>Master[[#This Row],[RSP StopTime override]]-Master[[#This Row],[Avg stop time helper]]</f>
        <v>0</v>
      </c>
    </row>
    <row r="1343" spans="1:49" x14ac:dyDescent="0.3">
      <c r="A1343" s="66" t="s">
        <v>5347</v>
      </c>
      <c r="B1343" s="58">
        <v>8010</v>
      </c>
      <c r="C1343" s="58" t="s">
        <v>43</v>
      </c>
      <c r="D1343" s="65">
        <v>808071</v>
      </c>
      <c r="E1343" s="65" t="s">
        <v>42</v>
      </c>
      <c r="F1343" s="65" t="s">
        <v>763</v>
      </c>
      <c r="G1343" s="65" t="s">
        <v>762</v>
      </c>
      <c r="H1343" s="65" t="s">
        <v>7</v>
      </c>
      <c r="I1343" s="65" t="s">
        <v>152</v>
      </c>
      <c r="J1343" s="65" t="s">
        <v>5</v>
      </c>
      <c r="K1343" s="65" t="s">
        <v>4</v>
      </c>
      <c r="L1343" s="64" t="s">
        <v>91</v>
      </c>
      <c r="M1343" s="58" t="s">
        <v>90</v>
      </c>
      <c r="N1343" s="58" t="s">
        <v>2</v>
      </c>
      <c r="O1343" s="58">
        <v>40</v>
      </c>
      <c r="P1343" s="58">
        <v>0</v>
      </c>
      <c r="Q1343" s="58">
        <v>0</v>
      </c>
      <c r="R1343" s="58">
        <v>0</v>
      </c>
      <c r="S1343" s="58">
        <v>40</v>
      </c>
      <c r="T1343" s="58">
        <v>0</v>
      </c>
      <c r="U1343" s="58">
        <v>20</v>
      </c>
      <c r="V1343" s="62"/>
      <c r="W1343" s="62"/>
      <c r="X1343" s="63">
        <f>IFERROR(1 -(Master[[#This Row],[Avg Garment Scans per Delivery]]/Master[[#This Row],[Garment Inventory]]), 0)</f>
        <v>0</v>
      </c>
      <c r="Y1343" s="62"/>
      <c r="Z1343" s="62"/>
      <c r="AA1343" s="53">
        <v>124.54979591836735</v>
      </c>
      <c r="AB1343" s="53">
        <v>139.95877551020408</v>
      </c>
      <c r="AC1343" s="53">
        <v>126.65333333333334</v>
      </c>
      <c r="AD1343" s="53">
        <v>129.65333333333334</v>
      </c>
      <c r="AE1343" s="53" t="str">
        <f>_xlfn.XLOOKUP(Master[[#This Row],[cu_id]],'[1]Customer Revenue'!$Q:$Q,'[1]Customer Revenue'!$K:$K, "None")</f>
        <v>None</v>
      </c>
      <c r="AF1343" s="53" t="str">
        <f>_xlfn.XLOOKUP(Master[[#This Row],[cu_id]],'[1]Customer Revenue'!$Q:$Q,'[1]Customer Revenue'!$L:$L, "None")</f>
        <v>None</v>
      </c>
      <c r="AG1343" s="53">
        <v>123.14402366863905</v>
      </c>
      <c r="AH1343" s="53">
        <v>142.82213017751477</v>
      </c>
      <c r="AI1343" s="53">
        <v>132.25428571428571</v>
      </c>
      <c r="AJ1343" s="53">
        <v>128.15333333333334</v>
      </c>
      <c r="AK1343" s="53" t="str">
        <f>_xlfn.XLOOKUP(Master[[#This Row],[cu_id]],'[1]Customer Revenue'!$Q:$Q,'[1]Customer Revenue'!$I:$I, "None")</f>
        <v>None</v>
      </c>
      <c r="AL1343" s="53">
        <v>132.98307692307691</v>
      </c>
      <c r="AM1343" s="61">
        <v>0.29166666666666669</v>
      </c>
      <c r="AN1343" s="60">
        <v>0.6875</v>
      </c>
      <c r="AO1343" s="60" t="s">
        <v>36</v>
      </c>
      <c r="AP1343" s="60" t="s">
        <v>36</v>
      </c>
      <c r="AQ1343" s="58" t="s">
        <v>0</v>
      </c>
      <c r="AR1343" s="58"/>
      <c r="AS1343" s="58"/>
      <c r="AT1343" s="52">
        <v>0</v>
      </c>
      <c r="AU1343" s="52" t="e">
        <f>IF(Master[[#This Row],[RSP StopTime override]] &lt;&gt; "",Master[[#This Row],[RSP StopTime override]],IF(Master[[#This Row],[Avg stop time helper]] &lt;&gt; 0, Master[[#This Row],[Avg stop time helper]],Average_Stop_Time))</f>
        <v>#DIV/0!</v>
      </c>
      <c r="AV1343" s="21"/>
      <c r="AW1343" s="20">
        <f>Master[[#This Row],[RSP StopTime override]]-Master[[#This Row],[Avg stop time helper]]</f>
        <v>0</v>
      </c>
    </row>
    <row r="1344" spans="1:49" x14ac:dyDescent="0.3">
      <c r="A1344" s="66" t="s">
        <v>5348</v>
      </c>
      <c r="B1344" s="58">
        <v>8010</v>
      </c>
      <c r="C1344" s="58" t="s">
        <v>43</v>
      </c>
      <c r="D1344" s="65">
        <v>808072</v>
      </c>
      <c r="E1344" s="65" t="s">
        <v>42</v>
      </c>
      <c r="F1344" s="65" t="s">
        <v>761</v>
      </c>
      <c r="G1344" s="65" t="s">
        <v>760</v>
      </c>
      <c r="H1344" s="65" t="s">
        <v>7</v>
      </c>
      <c r="I1344" s="65" t="s">
        <v>152</v>
      </c>
      <c r="J1344" s="65" t="s">
        <v>5</v>
      </c>
      <c r="K1344" s="65" t="s">
        <v>4</v>
      </c>
      <c r="L1344" s="64" t="s">
        <v>206</v>
      </c>
      <c r="M1344" s="58" t="s">
        <v>205</v>
      </c>
      <c r="N1344" s="58" t="s">
        <v>2</v>
      </c>
      <c r="O1344" s="58">
        <v>137</v>
      </c>
      <c r="P1344" s="58">
        <v>0</v>
      </c>
      <c r="Q1344" s="58">
        <v>0</v>
      </c>
      <c r="R1344" s="58">
        <v>0</v>
      </c>
      <c r="S1344" s="58">
        <v>210</v>
      </c>
      <c r="T1344" s="58">
        <v>0</v>
      </c>
      <c r="U1344" s="58">
        <v>8</v>
      </c>
      <c r="V1344" s="62"/>
      <c r="W1344" s="62"/>
      <c r="X1344" s="63">
        <f>IFERROR(1 -(Master[[#This Row],[Avg Garment Scans per Delivery]]/Master[[#This Row],[Garment Inventory]]), 0)</f>
        <v>0</v>
      </c>
      <c r="Y1344" s="62"/>
      <c r="Z1344" s="62"/>
      <c r="AA1344" s="53">
        <v>25.5</v>
      </c>
      <c r="AB1344" s="53">
        <v>25.5</v>
      </c>
      <c r="AC1344" s="53">
        <v>25.500000000000004</v>
      </c>
      <c r="AD1344" s="53">
        <v>26.680000000000003</v>
      </c>
      <c r="AE1344" s="53" t="str">
        <f>_xlfn.XLOOKUP(Master[[#This Row],[cu_id]],'[1]Customer Revenue'!$Q:$Q,'[1]Customer Revenue'!$K:$K, "None")</f>
        <v>None</v>
      </c>
      <c r="AF1344" s="53" t="str">
        <f>_xlfn.XLOOKUP(Master[[#This Row],[cu_id]],'[1]Customer Revenue'!$Q:$Q,'[1]Customer Revenue'!$L:$L, "None")</f>
        <v>None</v>
      </c>
      <c r="AG1344" s="53">
        <v>19.904444444444447</v>
      </c>
      <c r="AH1344" s="53">
        <v>35.215555555555554</v>
      </c>
      <c r="AI1344" s="53">
        <v>25.5</v>
      </c>
      <c r="AJ1344" s="53">
        <v>26.090000000000003</v>
      </c>
      <c r="AK1344" s="53" t="str">
        <f>_xlfn.XLOOKUP(Master[[#This Row],[cu_id]],'[1]Customer Revenue'!$Q:$Q,'[1]Customer Revenue'!$I:$I, "None")</f>
        <v>None</v>
      </c>
      <c r="AL1344" s="53">
        <v>27.560000000000002</v>
      </c>
      <c r="AM1344" s="61">
        <v>0.33333333333333331</v>
      </c>
      <c r="AN1344" s="60">
        <v>0.41666666666666669</v>
      </c>
      <c r="AO1344" s="60">
        <v>0</v>
      </c>
      <c r="AP1344" s="60">
        <v>0.8125</v>
      </c>
      <c r="AQ1344" s="58" t="s">
        <v>308</v>
      </c>
      <c r="AR1344" s="58"/>
      <c r="AS1344" s="58"/>
      <c r="AT1344" s="52">
        <v>0</v>
      </c>
      <c r="AU1344" s="52" t="e">
        <f>IF(Master[[#This Row],[RSP StopTime override]] &lt;&gt; "",Master[[#This Row],[RSP StopTime override]],IF(Master[[#This Row],[Avg stop time helper]] &lt;&gt; 0, Master[[#This Row],[Avg stop time helper]],Average_Stop_Time))</f>
        <v>#DIV/0!</v>
      </c>
      <c r="AV1344" s="21"/>
      <c r="AW1344" s="20">
        <f>Master[[#This Row],[RSP StopTime override]]-Master[[#This Row],[Avg stop time helper]]</f>
        <v>0</v>
      </c>
    </row>
    <row r="1345" spans="1:49" x14ac:dyDescent="0.3">
      <c r="A1345" s="66" t="s">
        <v>5349</v>
      </c>
      <c r="B1345" s="58">
        <v>8010</v>
      </c>
      <c r="C1345" s="58" t="s">
        <v>43</v>
      </c>
      <c r="D1345" s="65">
        <v>808092</v>
      </c>
      <c r="E1345" s="65" t="s">
        <v>42</v>
      </c>
      <c r="F1345" s="65" t="s">
        <v>759</v>
      </c>
      <c r="G1345" s="65" t="s">
        <v>758</v>
      </c>
      <c r="H1345" s="65" t="s">
        <v>7</v>
      </c>
      <c r="I1345" s="65" t="s">
        <v>712</v>
      </c>
      <c r="J1345" s="65" t="s">
        <v>5</v>
      </c>
      <c r="K1345" s="65" t="s">
        <v>4</v>
      </c>
      <c r="L1345" s="64" t="s">
        <v>67</v>
      </c>
      <c r="M1345" s="58" t="s">
        <v>3</v>
      </c>
      <c r="N1345" s="58" t="s">
        <v>2</v>
      </c>
      <c r="O1345" s="58">
        <v>30</v>
      </c>
      <c r="P1345" s="58">
        <v>0</v>
      </c>
      <c r="Q1345" s="58">
        <v>0</v>
      </c>
      <c r="R1345" s="58">
        <v>0</v>
      </c>
      <c r="S1345" s="58">
        <v>30</v>
      </c>
      <c r="T1345" s="58">
        <v>0</v>
      </c>
      <c r="U1345" s="58">
        <v>40</v>
      </c>
      <c r="V1345" s="62"/>
      <c r="W1345" s="62"/>
      <c r="X1345" s="63">
        <f>IFERROR(1 -(Master[[#This Row],[Avg Garment Scans per Delivery]]/Master[[#This Row],[Garment Inventory]]), 0)</f>
        <v>0</v>
      </c>
      <c r="Y1345" s="62"/>
      <c r="Z1345" s="62"/>
      <c r="AA1345" s="53">
        <v>7.6727810650887545</v>
      </c>
      <c r="AB1345" s="53">
        <v>26.342603550295856</v>
      </c>
      <c r="AC1345" s="53">
        <v>10.489506172839508</v>
      </c>
      <c r="AD1345" s="53">
        <v>43.499382716049382</v>
      </c>
      <c r="AE1345" s="53" t="str">
        <f>_xlfn.XLOOKUP(Master[[#This Row],[cu_id]],'[1]Customer Revenue'!$Q:$Q,'[1]Customer Revenue'!$K:$K, "None")</f>
        <v>None</v>
      </c>
      <c r="AF1345" s="53" t="str">
        <f>_xlfn.XLOOKUP(Master[[#This Row],[cu_id]],'[1]Customer Revenue'!$Q:$Q,'[1]Customer Revenue'!$L:$L, "None")</f>
        <v>None</v>
      </c>
      <c r="AG1345" s="53">
        <v>7.8956104252400579</v>
      </c>
      <c r="AH1345" s="53">
        <v>26.63031550068586</v>
      </c>
      <c r="AI1345" s="53">
        <v>17.007692307692306</v>
      </c>
      <c r="AJ1345" s="53">
        <v>26.994444444444444</v>
      </c>
      <c r="AK1345" s="53" t="str">
        <f>_xlfn.XLOOKUP(Master[[#This Row],[cu_id]],'[1]Customer Revenue'!$Q:$Q,'[1]Customer Revenue'!$I:$I, "None")</f>
        <v>None</v>
      </c>
      <c r="AL1345" s="53">
        <v>17.262962962962959</v>
      </c>
      <c r="AM1345" s="61">
        <v>0.25</v>
      </c>
      <c r="AN1345" s="60">
        <v>0.5625</v>
      </c>
      <c r="AO1345" s="60" t="s">
        <v>36</v>
      </c>
      <c r="AP1345" s="60" t="s">
        <v>36</v>
      </c>
      <c r="AQ1345" s="58" t="s">
        <v>308</v>
      </c>
      <c r="AR1345" s="58"/>
      <c r="AS1345" s="58"/>
      <c r="AT1345" s="52">
        <v>0</v>
      </c>
      <c r="AU1345" s="52" t="e">
        <f>IF(Master[[#This Row],[RSP StopTime override]] &lt;&gt; "",Master[[#This Row],[RSP StopTime override]],IF(Master[[#This Row],[Avg stop time helper]] &lt;&gt; 0, Master[[#This Row],[Avg stop time helper]],Average_Stop_Time))</f>
        <v>#DIV/0!</v>
      </c>
      <c r="AV1345" s="21"/>
      <c r="AW1345" s="20">
        <f>Master[[#This Row],[RSP StopTime override]]-Master[[#This Row],[Avg stop time helper]]</f>
        <v>0</v>
      </c>
    </row>
    <row r="1346" spans="1:49" x14ac:dyDescent="0.3">
      <c r="A1346" s="66" t="s">
        <v>5350</v>
      </c>
      <c r="B1346" s="58">
        <v>8010</v>
      </c>
      <c r="C1346" s="58" t="s">
        <v>43</v>
      </c>
      <c r="D1346" s="65">
        <v>808103</v>
      </c>
      <c r="E1346" s="65" t="s">
        <v>42</v>
      </c>
      <c r="F1346" s="65" t="s">
        <v>757</v>
      </c>
      <c r="G1346" s="65" t="s">
        <v>756</v>
      </c>
      <c r="H1346" s="65" t="s">
        <v>7</v>
      </c>
      <c r="I1346" s="65" t="s">
        <v>712</v>
      </c>
      <c r="J1346" s="65" t="s">
        <v>5</v>
      </c>
      <c r="K1346" s="65" t="s">
        <v>4</v>
      </c>
      <c r="L1346" s="64" t="s">
        <v>67</v>
      </c>
      <c r="M1346" s="58" t="s">
        <v>3</v>
      </c>
      <c r="N1346" s="58" t="s">
        <v>2</v>
      </c>
      <c r="O1346" s="58">
        <v>75</v>
      </c>
      <c r="P1346" s="58">
        <v>0</v>
      </c>
      <c r="Q1346" s="58">
        <v>0</v>
      </c>
      <c r="R1346" s="58">
        <v>0</v>
      </c>
      <c r="S1346" s="58">
        <v>75</v>
      </c>
      <c r="T1346" s="58">
        <v>0</v>
      </c>
      <c r="U1346" s="58">
        <v>40</v>
      </c>
      <c r="V1346" s="62"/>
      <c r="W1346" s="62"/>
      <c r="X1346" s="63">
        <f>IFERROR(1 -(Master[[#This Row],[Avg Garment Scans per Delivery]]/Master[[#This Row],[Garment Inventory]]), 0)</f>
        <v>0</v>
      </c>
      <c r="Y1346" s="62"/>
      <c r="Z1346" s="62"/>
      <c r="AA1346" s="53">
        <v>42.535443786982249</v>
      </c>
      <c r="AB1346" s="53">
        <v>54.592248520710065</v>
      </c>
      <c r="AC1346" s="53">
        <v>31.493491124260359</v>
      </c>
      <c r="AD1346" s="53">
        <v>41.484970414201186</v>
      </c>
      <c r="AE1346" s="53" t="str">
        <f>_xlfn.XLOOKUP(Master[[#This Row],[cu_id]],'[1]Customer Revenue'!$Q:$Q,'[1]Customer Revenue'!$K:$K, "None")</f>
        <v>None</v>
      </c>
      <c r="AF1346" s="53" t="str">
        <f>_xlfn.XLOOKUP(Master[[#This Row],[cu_id]],'[1]Customer Revenue'!$Q:$Q,'[1]Customer Revenue'!$L:$L, "None")</f>
        <v>None</v>
      </c>
      <c r="AG1346" s="53">
        <v>38.706639231824425</v>
      </c>
      <c r="AH1346" s="53">
        <v>49.647434842249666</v>
      </c>
      <c r="AI1346" s="53">
        <v>48.563846153846157</v>
      </c>
      <c r="AJ1346" s="53">
        <v>36.489230769230772</v>
      </c>
      <c r="AK1346" s="53" t="str">
        <f>_xlfn.XLOOKUP(Master[[#This Row],[cu_id]],'[1]Customer Revenue'!$Q:$Q,'[1]Customer Revenue'!$I:$I, "None")</f>
        <v>None</v>
      </c>
      <c r="AL1346" s="53">
        <v>44.177037037037046</v>
      </c>
      <c r="AM1346" s="61">
        <v>0.29166666666666669</v>
      </c>
      <c r="AN1346" s="60">
        <v>0.89583333333333337</v>
      </c>
      <c r="AO1346" s="60" t="s">
        <v>36</v>
      </c>
      <c r="AP1346" s="60" t="s">
        <v>36</v>
      </c>
      <c r="AQ1346" s="58" t="s">
        <v>308</v>
      </c>
      <c r="AR1346" s="58"/>
      <c r="AS1346" s="58"/>
      <c r="AT1346" s="52">
        <v>0</v>
      </c>
      <c r="AU1346" s="52">
        <f>IF(Master[[#This Row],[RSP StopTime override]] &lt;&gt; "",Master[[#This Row],[RSP StopTime override]],IF(Master[[#This Row],[Avg stop time helper]] &lt;&gt; 0, Master[[#This Row],[Avg stop time helper]],Average_Stop_Time))</f>
        <v>10</v>
      </c>
      <c r="AV1346" s="21">
        <v>10</v>
      </c>
      <c r="AW1346" s="20">
        <f>Master[[#This Row],[RSP StopTime override]]-Master[[#This Row],[Avg stop time helper]]</f>
        <v>10</v>
      </c>
    </row>
    <row r="1347" spans="1:49" x14ac:dyDescent="0.3">
      <c r="A1347" s="66" t="s">
        <v>5351</v>
      </c>
      <c r="B1347" s="58">
        <v>8010</v>
      </c>
      <c r="C1347" s="58" t="s">
        <v>43</v>
      </c>
      <c r="D1347" s="65">
        <v>808110</v>
      </c>
      <c r="E1347" s="65" t="s">
        <v>42</v>
      </c>
      <c r="F1347" s="65" t="s">
        <v>755</v>
      </c>
      <c r="G1347" s="65" t="s">
        <v>754</v>
      </c>
      <c r="H1347" s="65" t="s">
        <v>7</v>
      </c>
      <c r="I1347" s="65" t="s">
        <v>6</v>
      </c>
      <c r="J1347" s="65" t="s">
        <v>5</v>
      </c>
      <c r="K1347" s="65" t="s">
        <v>4</v>
      </c>
      <c r="L1347" s="64" t="s">
        <v>67</v>
      </c>
      <c r="M1347" s="58" t="s">
        <v>3</v>
      </c>
      <c r="N1347" s="58" t="s">
        <v>2</v>
      </c>
      <c r="O1347" s="58">
        <v>55</v>
      </c>
      <c r="P1347" s="58">
        <v>0</v>
      </c>
      <c r="Q1347" s="58">
        <v>0</v>
      </c>
      <c r="R1347" s="58">
        <v>0</v>
      </c>
      <c r="S1347" s="58">
        <v>55</v>
      </c>
      <c r="T1347" s="58">
        <v>0</v>
      </c>
      <c r="U1347" s="58">
        <v>40</v>
      </c>
      <c r="V1347" s="62"/>
      <c r="W1347" s="62"/>
      <c r="X1347" s="63">
        <f>IFERROR(1 -(Master[[#This Row],[Avg Garment Scans per Delivery]]/Master[[#This Row],[Garment Inventory]]), 0)</f>
        <v>0</v>
      </c>
      <c r="Y1347" s="62"/>
      <c r="Z1347" s="62"/>
      <c r="AA1347" s="53">
        <v>28.392189349112428</v>
      </c>
      <c r="AB1347" s="53">
        <v>32.893964497041424</v>
      </c>
      <c r="AC1347" s="53">
        <v>35.521597633136096</v>
      </c>
      <c r="AD1347" s="53">
        <v>42.590710059171599</v>
      </c>
      <c r="AE1347" s="53" t="str">
        <f>_xlfn.XLOOKUP(Master[[#This Row],[cu_id]],'[1]Customer Revenue'!$Q:$Q,'[1]Customer Revenue'!$K:$K, "None")</f>
        <v>None</v>
      </c>
      <c r="AF1347" s="53" t="str">
        <f>_xlfn.XLOOKUP(Master[[#This Row],[cu_id]],'[1]Customer Revenue'!$Q:$Q,'[1]Customer Revenue'!$L:$L, "None")</f>
        <v>None</v>
      </c>
      <c r="AG1347" s="53">
        <v>28.824663923182435</v>
      </c>
      <c r="AH1347" s="53">
        <v>33.719039780521236</v>
      </c>
      <c r="AI1347" s="53">
        <v>30.643076923076926</v>
      </c>
      <c r="AJ1347" s="53">
        <v>39.056153846153848</v>
      </c>
      <c r="AK1347" s="53" t="str">
        <f>_xlfn.XLOOKUP(Master[[#This Row],[cu_id]],'[1]Customer Revenue'!$Q:$Q,'[1]Customer Revenue'!$I:$I, "None")</f>
        <v>None</v>
      </c>
      <c r="AL1347" s="53">
        <v>31.271851851851835</v>
      </c>
      <c r="AM1347" s="61">
        <v>0.3125</v>
      </c>
      <c r="AN1347" s="60">
        <v>0.89583333333333337</v>
      </c>
      <c r="AO1347" s="60" t="s">
        <v>36</v>
      </c>
      <c r="AP1347" s="60" t="s">
        <v>36</v>
      </c>
      <c r="AQ1347" s="58" t="s">
        <v>308</v>
      </c>
      <c r="AR1347" s="58"/>
      <c r="AS1347" s="58"/>
      <c r="AT1347" s="52">
        <v>0</v>
      </c>
      <c r="AU1347" s="52" t="e">
        <f>IF(Master[[#This Row],[RSP StopTime override]] &lt;&gt; "",Master[[#This Row],[RSP StopTime override]],IF(Master[[#This Row],[Avg stop time helper]] &lt;&gt; 0, Master[[#This Row],[Avg stop time helper]],Average_Stop_Time))</f>
        <v>#DIV/0!</v>
      </c>
      <c r="AV1347" s="21"/>
      <c r="AW1347" s="20">
        <f>Master[[#This Row],[RSP StopTime override]]-Master[[#This Row],[Avg stop time helper]]</f>
        <v>0</v>
      </c>
    </row>
    <row r="1348" spans="1:49" x14ac:dyDescent="0.3">
      <c r="A1348" s="66" t="s">
        <v>4140</v>
      </c>
      <c r="B1348" s="58">
        <v>8010</v>
      </c>
      <c r="C1348" s="58" t="s">
        <v>43</v>
      </c>
      <c r="D1348" s="65">
        <v>808177</v>
      </c>
      <c r="E1348" s="65" t="s">
        <v>42</v>
      </c>
      <c r="F1348" s="65" t="s">
        <v>753</v>
      </c>
      <c r="G1348" s="65" t="s">
        <v>752</v>
      </c>
      <c r="H1348" s="65" t="s">
        <v>7</v>
      </c>
      <c r="I1348" s="65" t="s">
        <v>152</v>
      </c>
      <c r="J1348" s="65" t="s">
        <v>5</v>
      </c>
      <c r="K1348" s="65" t="s">
        <v>751</v>
      </c>
      <c r="L1348" s="64" t="s">
        <v>67</v>
      </c>
      <c r="M1348" s="58" t="s">
        <v>3</v>
      </c>
      <c r="N1348" s="58" t="s">
        <v>2</v>
      </c>
      <c r="O1348" s="58">
        <v>140</v>
      </c>
      <c r="P1348" s="58">
        <v>0</v>
      </c>
      <c r="Q1348" s="58">
        <v>0</v>
      </c>
      <c r="R1348" s="58">
        <v>0</v>
      </c>
      <c r="S1348" s="58">
        <v>120</v>
      </c>
      <c r="T1348" s="58">
        <v>0</v>
      </c>
      <c r="U1348" s="58">
        <v>39</v>
      </c>
      <c r="V1348" s="62"/>
      <c r="W1348" s="62"/>
      <c r="X1348" s="63">
        <f>IFERROR(1 -(Master[[#This Row],[Avg Garment Scans per Delivery]]/Master[[#This Row],[Garment Inventory]]), 0)</f>
        <v>0</v>
      </c>
      <c r="Y1348" s="62"/>
      <c r="Z1348" s="62"/>
      <c r="AA1348" s="53">
        <v>37.669349112426033</v>
      </c>
      <c r="AB1348" s="53">
        <v>39.041420118343183</v>
      </c>
      <c r="AC1348" s="53">
        <v>25.337820512820521</v>
      </c>
      <c r="AD1348" s="53">
        <v>33.725512820512819</v>
      </c>
      <c r="AE1348" s="53" t="str">
        <f>_xlfn.XLOOKUP(Master[[#This Row],[cu_id]],'[1]Customer Revenue'!$Q:$Q,'[1]Customer Revenue'!$K:$K, "None")</f>
        <v>None</v>
      </c>
      <c r="AF1348" s="53" t="str">
        <f>_xlfn.XLOOKUP(Master[[#This Row],[cu_id]],'[1]Customer Revenue'!$Q:$Q,'[1]Customer Revenue'!$L:$L, "None")</f>
        <v>None</v>
      </c>
      <c r="AG1348" s="53">
        <v>35.748343195266287</v>
      </c>
      <c r="AH1348" s="53">
        <v>41.652426035502984</v>
      </c>
      <c r="AI1348" s="53">
        <v>38.355384615384608</v>
      </c>
      <c r="AJ1348" s="53">
        <v>29.53166666666667</v>
      </c>
      <c r="AK1348" s="53" t="str">
        <f>_xlfn.XLOOKUP(Master[[#This Row],[cu_id]],'[1]Customer Revenue'!$Q:$Q,'[1]Customer Revenue'!$I:$I, "None")</f>
        <v>None</v>
      </c>
      <c r="AL1348" s="53">
        <v>38.700384615384635</v>
      </c>
      <c r="AM1348" s="61">
        <v>0.375</v>
      </c>
      <c r="AN1348" s="60">
        <v>0.89583333333333337</v>
      </c>
      <c r="AO1348" s="60" t="s">
        <v>36</v>
      </c>
      <c r="AP1348" s="60" t="s">
        <v>36</v>
      </c>
      <c r="AQ1348" s="58" t="s">
        <v>308</v>
      </c>
      <c r="AR1348" s="58"/>
      <c r="AS1348" s="58"/>
      <c r="AT1348" s="52">
        <v>0</v>
      </c>
      <c r="AU1348" s="52" t="e">
        <f>IF(Master[[#This Row],[RSP StopTime override]] &lt;&gt; "",Master[[#This Row],[RSP StopTime override]],IF(Master[[#This Row],[Avg stop time helper]] &lt;&gt; 0, Master[[#This Row],[Avg stop time helper]],Average_Stop_Time))</f>
        <v>#DIV/0!</v>
      </c>
      <c r="AV1348" s="21"/>
      <c r="AW1348" s="20">
        <f>Master[[#This Row],[RSP StopTime override]]-Master[[#This Row],[Avg stop time helper]]</f>
        <v>0</v>
      </c>
    </row>
    <row r="1349" spans="1:49" x14ac:dyDescent="0.3">
      <c r="A1349" s="66" t="s">
        <v>5352</v>
      </c>
      <c r="B1349" s="58">
        <v>8010</v>
      </c>
      <c r="C1349" s="58" t="s">
        <v>43</v>
      </c>
      <c r="D1349" s="65">
        <v>808261</v>
      </c>
      <c r="E1349" s="65" t="s">
        <v>42</v>
      </c>
      <c r="F1349" s="65" t="s">
        <v>750</v>
      </c>
      <c r="G1349" s="65" t="s">
        <v>749</v>
      </c>
      <c r="H1349" s="65" t="s">
        <v>7</v>
      </c>
      <c r="I1349" s="65" t="s">
        <v>152</v>
      </c>
      <c r="J1349" s="65" t="s">
        <v>5</v>
      </c>
      <c r="K1349" s="65" t="s">
        <v>4</v>
      </c>
      <c r="L1349" s="64" t="s">
        <v>77</v>
      </c>
      <c r="M1349" s="58" t="s">
        <v>29</v>
      </c>
      <c r="N1349" s="58" t="s">
        <v>2</v>
      </c>
      <c r="O1349" s="58">
        <v>145</v>
      </c>
      <c r="P1349" s="58">
        <v>0</v>
      </c>
      <c r="Q1349" s="58">
        <v>0</v>
      </c>
      <c r="R1349" s="58">
        <v>0</v>
      </c>
      <c r="S1349" s="58">
        <v>145</v>
      </c>
      <c r="T1349" s="58">
        <v>0</v>
      </c>
      <c r="U1349" s="58">
        <v>20</v>
      </c>
      <c r="V1349" s="62"/>
      <c r="W1349" s="62"/>
      <c r="X1349" s="63">
        <f>IFERROR(1 -(Master[[#This Row],[Avg Garment Scans per Delivery]]/Master[[#This Row],[Garment Inventory]]), 0)</f>
        <v>0</v>
      </c>
      <c r="Y1349" s="62"/>
      <c r="Z1349" s="62"/>
      <c r="AA1349" s="53">
        <v>32.65</v>
      </c>
      <c r="AB1349" s="53">
        <v>32.65</v>
      </c>
      <c r="AC1349" s="53">
        <v>19.201428571428572</v>
      </c>
      <c r="AD1349" s="53">
        <v>31.978571428571428</v>
      </c>
      <c r="AE1349" s="53" t="str">
        <f>_xlfn.XLOOKUP(Master[[#This Row],[cu_id]],'[1]Customer Revenue'!$Q:$Q,'[1]Customer Revenue'!$K:$K, "None")</f>
        <v>None</v>
      </c>
      <c r="AF1349" s="53" t="str">
        <f>_xlfn.XLOOKUP(Master[[#This Row],[cu_id]],'[1]Customer Revenue'!$Q:$Q,'[1]Customer Revenue'!$L:$L, "None")</f>
        <v>None</v>
      </c>
      <c r="AG1349" s="53">
        <v>30.469526627218926</v>
      </c>
      <c r="AH1349" s="53">
        <v>36.861242603550281</v>
      </c>
      <c r="AI1349" s="53">
        <v>32.65</v>
      </c>
      <c r="AJ1349" s="53">
        <v>25.59</v>
      </c>
      <c r="AK1349" s="53" t="str">
        <f>_xlfn.XLOOKUP(Master[[#This Row],[cu_id]],'[1]Customer Revenue'!$Q:$Q,'[1]Customer Revenue'!$I:$I, "None")</f>
        <v>None</v>
      </c>
      <c r="AL1349" s="53">
        <v>33.665384615384603</v>
      </c>
      <c r="AM1349" s="61">
        <v>0.39583333333333331</v>
      </c>
      <c r="AN1349" s="60">
        <v>0.85416666666666663</v>
      </c>
      <c r="AO1349" s="60" t="s">
        <v>36</v>
      </c>
      <c r="AP1349" s="60" t="s">
        <v>36</v>
      </c>
      <c r="AQ1349" s="58" t="s">
        <v>308</v>
      </c>
      <c r="AR1349" s="58"/>
      <c r="AS1349" s="58"/>
      <c r="AT1349" s="52">
        <v>0</v>
      </c>
      <c r="AU1349" s="52" t="e">
        <f>IF(Master[[#This Row],[RSP StopTime override]] &lt;&gt; "",Master[[#This Row],[RSP StopTime override]],IF(Master[[#This Row],[Avg stop time helper]] &lt;&gt; 0, Master[[#This Row],[Avg stop time helper]],Average_Stop_Time))</f>
        <v>#DIV/0!</v>
      </c>
      <c r="AV1349" s="21"/>
      <c r="AW1349" s="20">
        <f>Master[[#This Row],[RSP StopTime override]]-Master[[#This Row],[Avg stop time helper]]</f>
        <v>0</v>
      </c>
    </row>
    <row r="1350" spans="1:49" x14ac:dyDescent="0.3">
      <c r="A1350" s="66" t="s">
        <v>5353</v>
      </c>
      <c r="B1350" s="58">
        <v>8010</v>
      </c>
      <c r="C1350" s="58" t="s">
        <v>43</v>
      </c>
      <c r="D1350" s="65">
        <v>808263</v>
      </c>
      <c r="E1350" s="65" t="s">
        <v>42</v>
      </c>
      <c r="F1350" s="65" t="s">
        <v>748</v>
      </c>
      <c r="G1350" s="65" t="s">
        <v>747</v>
      </c>
      <c r="H1350" s="65" t="s">
        <v>7</v>
      </c>
      <c r="I1350" s="65" t="s">
        <v>712</v>
      </c>
      <c r="J1350" s="65" t="s">
        <v>5</v>
      </c>
      <c r="K1350" s="65" t="s">
        <v>746</v>
      </c>
      <c r="L1350" s="64" t="s">
        <v>67</v>
      </c>
      <c r="M1350" s="58" t="s">
        <v>3</v>
      </c>
      <c r="N1350" s="58" t="s">
        <v>2</v>
      </c>
      <c r="O1350" s="58">
        <v>65</v>
      </c>
      <c r="P1350" s="58">
        <v>0</v>
      </c>
      <c r="Q1350" s="58">
        <v>0</v>
      </c>
      <c r="R1350" s="58">
        <v>0</v>
      </c>
      <c r="S1350" s="58">
        <v>65</v>
      </c>
      <c r="T1350" s="58">
        <v>0</v>
      </c>
      <c r="U1350" s="58">
        <v>40</v>
      </c>
      <c r="V1350" s="62">
        <v>13</v>
      </c>
      <c r="W1350" s="62">
        <v>1</v>
      </c>
      <c r="X1350" s="63">
        <f>IFERROR(1 -(Master[[#This Row],[Avg Garment Scans per Delivery]]/Master[[#This Row],[Garment Inventory]]), 0)</f>
        <v>0.92307692307692313</v>
      </c>
      <c r="Y1350" s="62">
        <v>1</v>
      </c>
      <c r="Z1350" s="62">
        <v>9</v>
      </c>
      <c r="AA1350" s="53">
        <v>36.299999999999997</v>
      </c>
      <c r="AB1350" s="53">
        <v>36.300000000000011</v>
      </c>
      <c r="AC1350" s="53">
        <v>35.258343195266264</v>
      </c>
      <c r="AD1350" s="53">
        <v>37.003195266272186</v>
      </c>
      <c r="AE1350" s="53" t="str">
        <f>_xlfn.XLOOKUP(Master[[#This Row],[cu_id]],'[1]Customer Revenue'!$Q:$Q,'[1]Customer Revenue'!$K:$K, "None")</f>
        <v>None</v>
      </c>
      <c r="AF1350" s="53" t="str">
        <f>_xlfn.XLOOKUP(Master[[#This Row],[cu_id]],'[1]Customer Revenue'!$Q:$Q,'[1]Customer Revenue'!$L:$L, "None")</f>
        <v>None</v>
      </c>
      <c r="AG1350" s="53">
        <v>35.951056241426585</v>
      </c>
      <c r="AH1350" s="53">
        <v>36.410425240054863</v>
      </c>
      <c r="AI1350" s="53">
        <v>36.300000000000004</v>
      </c>
      <c r="AJ1350" s="53">
        <v>36.130769230769225</v>
      </c>
      <c r="AK1350" s="53" t="str">
        <f>_xlfn.XLOOKUP(Master[[#This Row],[cu_id]],'[1]Customer Revenue'!$Q:$Q,'[1]Customer Revenue'!$I:$I, "None")</f>
        <v>None</v>
      </c>
      <c r="AL1350" s="53">
        <v>36.180740740740724</v>
      </c>
      <c r="AM1350" s="61">
        <v>0.33333333333333331</v>
      </c>
      <c r="AN1350" s="60">
        <v>0.77083333333333337</v>
      </c>
      <c r="AO1350" s="60" t="s">
        <v>36</v>
      </c>
      <c r="AP1350" s="60" t="s">
        <v>36</v>
      </c>
      <c r="AQ1350" s="58" t="s">
        <v>308</v>
      </c>
      <c r="AR1350" s="58"/>
      <c r="AS1350" s="58"/>
      <c r="AT1350" s="52">
        <v>0</v>
      </c>
      <c r="AU1350" s="52">
        <f>IF(Master[[#This Row],[RSP StopTime override]] &lt;&gt; "",Master[[#This Row],[RSP StopTime override]],IF(Master[[#This Row],[Avg stop time helper]] &lt;&gt; 0, Master[[#This Row],[Avg stop time helper]],Average_Stop_Time))</f>
        <v>10</v>
      </c>
      <c r="AV1350" s="21">
        <v>10</v>
      </c>
      <c r="AW1350" s="20">
        <f>Master[[#This Row],[RSP StopTime override]]-Master[[#This Row],[Avg stop time helper]]</f>
        <v>10</v>
      </c>
    </row>
    <row r="1351" spans="1:49" x14ac:dyDescent="0.3">
      <c r="A1351" s="66" t="s">
        <v>5354</v>
      </c>
      <c r="B1351" s="58">
        <v>8010</v>
      </c>
      <c r="C1351" s="58" t="s">
        <v>43</v>
      </c>
      <c r="D1351" s="65">
        <v>808264</v>
      </c>
      <c r="E1351" s="65" t="s">
        <v>42</v>
      </c>
      <c r="F1351" s="65" t="s">
        <v>745</v>
      </c>
      <c r="G1351" s="65" t="s">
        <v>744</v>
      </c>
      <c r="H1351" s="65" t="s">
        <v>7</v>
      </c>
      <c r="I1351" s="65" t="s">
        <v>712</v>
      </c>
      <c r="J1351" s="65" t="s">
        <v>5</v>
      </c>
      <c r="K1351" s="65" t="s">
        <v>743</v>
      </c>
      <c r="L1351" s="64" t="s">
        <v>67</v>
      </c>
      <c r="M1351" s="58" t="s">
        <v>3</v>
      </c>
      <c r="N1351" s="58" t="s">
        <v>2</v>
      </c>
      <c r="O1351" s="58">
        <v>70</v>
      </c>
      <c r="P1351" s="58">
        <v>0</v>
      </c>
      <c r="Q1351" s="58">
        <v>0</v>
      </c>
      <c r="R1351" s="58">
        <v>0</v>
      </c>
      <c r="S1351" s="58">
        <v>70</v>
      </c>
      <c r="T1351" s="58">
        <v>0</v>
      </c>
      <c r="U1351" s="58">
        <v>40</v>
      </c>
      <c r="V1351" s="62"/>
      <c r="W1351" s="62"/>
      <c r="X1351" s="63">
        <f>IFERROR(1 -(Master[[#This Row],[Avg Garment Scans per Delivery]]/Master[[#This Row],[Garment Inventory]]), 0)</f>
        <v>0</v>
      </c>
      <c r="Y1351" s="62"/>
      <c r="Z1351" s="62"/>
      <c r="AA1351" s="53">
        <v>37.99</v>
      </c>
      <c r="AB1351" s="53">
        <v>37.99</v>
      </c>
      <c r="AC1351" s="53">
        <v>37.885266272189355</v>
      </c>
      <c r="AD1351" s="53">
        <v>39.002426035502964</v>
      </c>
      <c r="AE1351" s="53" t="str">
        <f>_xlfn.XLOOKUP(Master[[#This Row],[cu_id]],'[1]Customer Revenue'!$Q:$Q,'[1]Customer Revenue'!$K:$K, "None")</f>
        <v>None</v>
      </c>
      <c r="AF1351" s="53" t="str">
        <f>_xlfn.XLOOKUP(Master[[#This Row],[cu_id]],'[1]Customer Revenue'!$Q:$Q,'[1]Customer Revenue'!$L:$L, "None")</f>
        <v>None</v>
      </c>
      <c r="AG1351" s="53">
        <v>35.373341836734696</v>
      </c>
      <c r="AH1351" s="53">
        <v>40.606658163265308</v>
      </c>
      <c r="AI1351" s="53">
        <v>37.99</v>
      </c>
      <c r="AJ1351" s="53">
        <v>38.44384615384616</v>
      </c>
      <c r="AK1351" s="53" t="str">
        <f>_xlfn.XLOOKUP(Master[[#This Row],[cu_id]],'[1]Customer Revenue'!$Q:$Q,'[1]Customer Revenue'!$I:$I, "None")</f>
        <v>None</v>
      </c>
      <c r="AL1351" s="53">
        <v>37.99</v>
      </c>
      <c r="AM1351" s="61">
        <v>0.3125</v>
      </c>
      <c r="AN1351" s="60">
        <v>0.6875</v>
      </c>
      <c r="AO1351" s="60" t="s">
        <v>36</v>
      </c>
      <c r="AP1351" s="60" t="s">
        <v>36</v>
      </c>
      <c r="AQ1351" s="58" t="s">
        <v>308</v>
      </c>
      <c r="AR1351" s="58"/>
      <c r="AS1351" s="58"/>
      <c r="AT1351" s="52">
        <v>0</v>
      </c>
      <c r="AU1351" s="52">
        <f>IF(Master[[#This Row],[RSP StopTime override]] &lt;&gt; "",Master[[#This Row],[RSP StopTime override]],IF(Master[[#This Row],[Avg stop time helper]] &lt;&gt; 0, Master[[#This Row],[Avg stop time helper]],Average_Stop_Time))</f>
        <v>15</v>
      </c>
      <c r="AV1351" s="21">
        <v>15</v>
      </c>
      <c r="AW1351" s="20">
        <f>Master[[#This Row],[RSP StopTime override]]-Master[[#This Row],[Avg stop time helper]]</f>
        <v>15</v>
      </c>
    </row>
    <row r="1352" spans="1:49" x14ac:dyDescent="0.3">
      <c r="A1352" s="66" t="s">
        <v>5355</v>
      </c>
      <c r="B1352" s="58">
        <v>8010</v>
      </c>
      <c r="C1352" s="58" t="s">
        <v>43</v>
      </c>
      <c r="D1352" s="65">
        <v>808420</v>
      </c>
      <c r="E1352" s="65" t="s">
        <v>42</v>
      </c>
      <c r="F1352" s="65" t="s">
        <v>742</v>
      </c>
      <c r="G1352" s="65" t="s">
        <v>741</v>
      </c>
      <c r="H1352" s="65" t="s">
        <v>7</v>
      </c>
      <c r="I1352" s="65" t="s">
        <v>152</v>
      </c>
      <c r="J1352" s="65" t="s">
        <v>5</v>
      </c>
      <c r="K1352" s="65" t="s">
        <v>4</v>
      </c>
      <c r="L1352" s="64" t="s">
        <v>77</v>
      </c>
      <c r="M1352" s="58" t="s">
        <v>29</v>
      </c>
      <c r="N1352" s="58" t="s">
        <v>2</v>
      </c>
      <c r="O1352" s="58">
        <v>92</v>
      </c>
      <c r="P1352" s="58">
        <v>0</v>
      </c>
      <c r="Q1352" s="58">
        <v>0</v>
      </c>
      <c r="R1352" s="58">
        <v>0</v>
      </c>
      <c r="S1352" s="58">
        <v>92</v>
      </c>
      <c r="T1352" s="58">
        <v>0</v>
      </c>
      <c r="U1352" s="58">
        <v>18</v>
      </c>
      <c r="V1352" s="62"/>
      <c r="W1352" s="62"/>
      <c r="X1352" s="63">
        <f>IFERROR(1 -(Master[[#This Row],[Avg Garment Scans per Delivery]]/Master[[#This Row],[Garment Inventory]]), 0)</f>
        <v>0</v>
      </c>
      <c r="Y1352" s="62"/>
      <c r="Z1352" s="62"/>
      <c r="AA1352" s="53">
        <v>44.763999999999996</v>
      </c>
      <c r="AB1352" s="53">
        <v>80.884</v>
      </c>
      <c r="AC1352" s="53">
        <v>50.580816326530616</v>
      </c>
      <c r="AD1352" s="53">
        <v>87.162040816326538</v>
      </c>
      <c r="AE1352" s="53" t="str">
        <f>_xlfn.XLOOKUP(Master[[#This Row],[cu_id]],'[1]Customer Revenue'!$Q:$Q,'[1]Customer Revenue'!$K:$K, "None")</f>
        <v>None</v>
      </c>
      <c r="AF1352" s="53" t="str">
        <f>_xlfn.XLOOKUP(Master[[#This Row],[cu_id]],'[1]Customer Revenue'!$Q:$Q,'[1]Customer Revenue'!$L:$L, "None")</f>
        <v>None</v>
      </c>
      <c r="AG1352" s="53">
        <v>47.232100591715977</v>
      </c>
      <c r="AH1352" s="53">
        <v>74.377899408284037</v>
      </c>
      <c r="AI1352" s="53">
        <v>62.823999999999998</v>
      </c>
      <c r="AJ1352" s="53">
        <v>68.871428571428581</v>
      </c>
      <c r="AK1352" s="53" t="str">
        <f>_xlfn.XLOOKUP(Master[[#This Row],[cu_id]],'[1]Customer Revenue'!$Q:$Q,'[1]Customer Revenue'!$I:$I, "None")</f>
        <v>None</v>
      </c>
      <c r="AL1352" s="53">
        <v>60.805000000000007</v>
      </c>
      <c r="AM1352" s="61">
        <v>0.33333333333333331</v>
      </c>
      <c r="AN1352" s="60">
        <v>0.6875</v>
      </c>
      <c r="AO1352" s="60" t="s">
        <v>36</v>
      </c>
      <c r="AP1352" s="60" t="s">
        <v>36</v>
      </c>
      <c r="AQ1352" s="58" t="s">
        <v>0</v>
      </c>
      <c r="AR1352" s="58"/>
      <c r="AS1352" s="58"/>
      <c r="AT1352" s="52">
        <v>0</v>
      </c>
      <c r="AU1352" s="52" t="e">
        <f>IF(Master[[#This Row],[RSP StopTime override]] &lt;&gt; "",Master[[#This Row],[RSP StopTime override]],IF(Master[[#This Row],[Avg stop time helper]] &lt;&gt; 0, Master[[#This Row],[Avg stop time helper]],Average_Stop_Time))</f>
        <v>#DIV/0!</v>
      </c>
      <c r="AV1352" s="21"/>
      <c r="AW1352" s="20">
        <f>Master[[#This Row],[RSP StopTime override]]-Master[[#This Row],[Avg stop time helper]]</f>
        <v>0</v>
      </c>
    </row>
    <row r="1353" spans="1:49" x14ac:dyDescent="0.3">
      <c r="A1353" s="66" t="s">
        <v>5356</v>
      </c>
      <c r="B1353" s="58">
        <v>8010</v>
      </c>
      <c r="C1353" s="58" t="s">
        <v>43</v>
      </c>
      <c r="D1353" s="65">
        <v>808642</v>
      </c>
      <c r="E1353" s="65" t="s">
        <v>42</v>
      </c>
      <c r="F1353" s="65" t="s">
        <v>740</v>
      </c>
      <c r="G1353" s="65" t="s">
        <v>739</v>
      </c>
      <c r="H1353" s="65" t="s">
        <v>7</v>
      </c>
      <c r="I1353" s="65" t="s">
        <v>738</v>
      </c>
      <c r="J1353" s="65" t="s">
        <v>5</v>
      </c>
      <c r="K1353" s="65" t="s">
        <v>737</v>
      </c>
      <c r="L1353" s="64" t="s">
        <v>67</v>
      </c>
      <c r="M1353" s="58" t="s">
        <v>3</v>
      </c>
      <c r="N1353" s="58" t="s">
        <v>2</v>
      </c>
      <c r="O1353" s="58">
        <v>5</v>
      </c>
      <c r="P1353" s="58">
        <v>0</v>
      </c>
      <c r="Q1353" s="58">
        <v>0</v>
      </c>
      <c r="R1353" s="58">
        <v>0</v>
      </c>
      <c r="S1353" s="58">
        <v>5</v>
      </c>
      <c r="T1353" s="58">
        <v>0</v>
      </c>
      <c r="U1353" s="58">
        <v>39</v>
      </c>
      <c r="V1353" s="62"/>
      <c r="W1353" s="62"/>
      <c r="X1353" s="63">
        <f>IFERROR(1 -(Master[[#This Row],[Avg Garment Scans per Delivery]]/Master[[#This Row],[Garment Inventory]]), 0)</f>
        <v>0</v>
      </c>
      <c r="Y1353" s="62"/>
      <c r="Z1353" s="62"/>
      <c r="AA1353" s="53">
        <v>79.742426035502959</v>
      </c>
      <c r="AB1353" s="53">
        <v>94.668343195266274</v>
      </c>
      <c r="AC1353" s="53">
        <v>81.484378698224859</v>
      </c>
      <c r="AD1353" s="53">
        <v>101.04792899408285</v>
      </c>
      <c r="AE1353" s="53" t="str">
        <f>_xlfn.XLOOKUP(Master[[#This Row],[cu_id]],'[1]Customer Revenue'!$Q:$Q,'[1]Customer Revenue'!$K:$K, "None")</f>
        <v>None</v>
      </c>
      <c r="AF1353" s="53" t="str">
        <f>_xlfn.XLOOKUP(Master[[#This Row],[cu_id]],'[1]Customer Revenue'!$Q:$Q,'[1]Customer Revenue'!$L:$L, "None")</f>
        <v>None</v>
      </c>
      <c r="AG1353" s="53">
        <v>77.589289940828394</v>
      </c>
      <c r="AH1353" s="53">
        <v>101.30763313609467</v>
      </c>
      <c r="AI1353" s="53">
        <v>87.205384615384617</v>
      </c>
      <c r="AJ1353" s="53">
        <v>91.266153846153856</v>
      </c>
      <c r="AK1353" s="53" t="str">
        <f>_xlfn.XLOOKUP(Master[[#This Row],[cu_id]],'[1]Customer Revenue'!$Q:$Q,'[1]Customer Revenue'!$I:$I, "None")</f>
        <v>None</v>
      </c>
      <c r="AL1353" s="53">
        <v>89.44846153846153</v>
      </c>
      <c r="AM1353" s="61" t="s">
        <v>36</v>
      </c>
      <c r="AN1353" s="60" t="s">
        <v>36</v>
      </c>
      <c r="AO1353" s="60" t="s">
        <v>36</v>
      </c>
      <c r="AP1353" s="60" t="s">
        <v>36</v>
      </c>
      <c r="AQ1353" s="58" t="s">
        <v>308</v>
      </c>
      <c r="AR1353" s="58"/>
      <c r="AS1353" s="58"/>
      <c r="AT1353" s="52">
        <v>0</v>
      </c>
      <c r="AU1353" s="52" t="e">
        <f>IF(Master[[#This Row],[RSP StopTime override]] &lt;&gt; "",Master[[#This Row],[RSP StopTime override]],IF(Master[[#This Row],[Avg stop time helper]] &lt;&gt; 0, Master[[#This Row],[Avg stop time helper]],Average_Stop_Time))</f>
        <v>#DIV/0!</v>
      </c>
      <c r="AV1353" s="21"/>
      <c r="AW1353" s="20">
        <f>Master[[#This Row],[RSP StopTime override]]-Master[[#This Row],[Avg stop time helper]]</f>
        <v>0</v>
      </c>
    </row>
    <row r="1354" spans="1:49" x14ac:dyDescent="0.3">
      <c r="A1354" s="66" t="s">
        <v>5357</v>
      </c>
      <c r="B1354" s="58">
        <v>8010</v>
      </c>
      <c r="C1354" s="58" t="s">
        <v>43</v>
      </c>
      <c r="D1354" s="65">
        <v>808715</v>
      </c>
      <c r="E1354" s="65" t="s">
        <v>42</v>
      </c>
      <c r="F1354" s="65" t="s">
        <v>736</v>
      </c>
      <c r="G1354" s="65" t="s">
        <v>735</v>
      </c>
      <c r="H1354" s="65" t="s">
        <v>7</v>
      </c>
      <c r="I1354" s="65" t="s">
        <v>6</v>
      </c>
      <c r="J1354" s="65" t="s">
        <v>5</v>
      </c>
      <c r="K1354" s="65" t="s">
        <v>4</v>
      </c>
      <c r="L1354" s="64" t="s">
        <v>67</v>
      </c>
      <c r="M1354" s="58" t="s">
        <v>3</v>
      </c>
      <c r="N1354" s="58" t="s">
        <v>2</v>
      </c>
      <c r="O1354" s="58">
        <v>50</v>
      </c>
      <c r="P1354" s="58">
        <v>0</v>
      </c>
      <c r="Q1354" s="58">
        <v>0</v>
      </c>
      <c r="R1354" s="58">
        <v>0</v>
      </c>
      <c r="S1354" s="58">
        <v>50</v>
      </c>
      <c r="T1354" s="58">
        <v>0</v>
      </c>
      <c r="U1354" s="58">
        <v>40</v>
      </c>
      <c r="V1354" s="62"/>
      <c r="W1354" s="62"/>
      <c r="X1354" s="63">
        <f>IFERROR(1 -(Master[[#This Row],[Avg Garment Scans per Delivery]]/Master[[#This Row],[Garment Inventory]]), 0)</f>
        <v>0</v>
      </c>
      <c r="Y1354" s="62"/>
      <c r="Z1354" s="62"/>
      <c r="AA1354" s="53">
        <v>80.291005917159751</v>
      </c>
      <c r="AB1354" s="53">
        <v>107.49976331360945</v>
      </c>
      <c r="AC1354" s="53">
        <v>82.695384615384611</v>
      </c>
      <c r="AD1354" s="53">
        <v>118.58461538461539</v>
      </c>
      <c r="AE1354" s="53" t="str">
        <f>_xlfn.XLOOKUP(Master[[#This Row],[cu_id]],'[1]Customer Revenue'!$Q:$Q,'[1]Customer Revenue'!$K:$K, "None")</f>
        <v>None</v>
      </c>
      <c r="AF1354" s="53" t="str">
        <f>_xlfn.XLOOKUP(Master[[#This Row],[cu_id]],'[1]Customer Revenue'!$Q:$Q,'[1]Customer Revenue'!$L:$L, "None")</f>
        <v>None</v>
      </c>
      <c r="AG1354" s="53">
        <v>76.303648834019199</v>
      </c>
      <c r="AH1354" s="53">
        <v>103.89042524005485</v>
      </c>
      <c r="AI1354" s="53">
        <v>93.8953846153846</v>
      </c>
      <c r="AJ1354" s="53">
        <v>100.64</v>
      </c>
      <c r="AK1354" s="53" t="str">
        <f>_xlfn.XLOOKUP(Master[[#This Row],[cu_id]],'[1]Customer Revenue'!$Q:$Q,'[1]Customer Revenue'!$I:$I, "None")</f>
        <v>None</v>
      </c>
      <c r="AL1354" s="53">
        <v>90.097037037037026</v>
      </c>
      <c r="AM1354" s="61">
        <v>0.25</v>
      </c>
      <c r="AN1354" s="60">
        <v>0.85416666666666663</v>
      </c>
      <c r="AO1354" s="60" t="s">
        <v>36</v>
      </c>
      <c r="AP1354" s="60" t="s">
        <v>36</v>
      </c>
      <c r="AQ1354" s="58" t="s">
        <v>308</v>
      </c>
      <c r="AR1354" s="58"/>
      <c r="AS1354" s="58"/>
      <c r="AT1354" s="52">
        <v>0</v>
      </c>
      <c r="AU1354" s="52">
        <f>IF(Master[[#This Row],[RSP StopTime override]] &lt;&gt; "",Master[[#This Row],[RSP StopTime override]],IF(Master[[#This Row],[Avg stop time helper]] &lt;&gt; 0, Master[[#This Row],[Avg stop time helper]],Average_Stop_Time))</f>
        <v>25</v>
      </c>
      <c r="AV1354" s="21">
        <v>25</v>
      </c>
      <c r="AW1354" s="20">
        <f>Master[[#This Row],[RSP StopTime override]]-Master[[#This Row],[Avg stop time helper]]</f>
        <v>25</v>
      </c>
    </row>
    <row r="1355" spans="1:49" x14ac:dyDescent="0.3">
      <c r="A1355" s="66" t="s">
        <v>5358</v>
      </c>
      <c r="B1355" s="58">
        <v>8010</v>
      </c>
      <c r="C1355" s="58" t="s">
        <v>43</v>
      </c>
      <c r="D1355" s="65">
        <v>808840</v>
      </c>
      <c r="E1355" s="65" t="s">
        <v>42</v>
      </c>
      <c r="F1355" s="65" t="s">
        <v>734</v>
      </c>
      <c r="G1355" s="65" t="s">
        <v>733</v>
      </c>
      <c r="H1355" s="65" t="s">
        <v>7</v>
      </c>
      <c r="I1355" s="65" t="s">
        <v>152</v>
      </c>
      <c r="J1355" s="65" t="s">
        <v>5</v>
      </c>
      <c r="K1355" s="65" t="s">
        <v>4</v>
      </c>
      <c r="L1355" s="64" t="s">
        <v>77</v>
      </c>
      <c r="M1355" s="58" t="s">
        <v>29</v>
      </c>
      <c r="N1355" s="58" t="s">
        <v>2</v>
      </c>
      <c r="O1355" s="58">
        <v>87</v>
      </c>
      <c r="P1355" s="58">
        <v>0</v>
      </c>
      <c r="Q1355" s="58">
        <v>0</v>
      </c>
      <c r="R1355" s="58">
        <v>0</v>
      </c>
      <c r="S1355" s="58">
        <v>87</v>
      </c>
      <c r="T1355" s="58">
        <v>0</v>
      </c>
      <c r="U1355" s="58">
        <v>19</v>
      </c>
      <c r="V1355" s="62"/>
      <c r="W1355" s="62"/>
      <c r="X1355" s="63">
        <f>IFERROR(1 -(Master[[#This Row],[Avg Garment Scans per Delivery]]/Master[[#This Row],[Garment Inventory]]), 0)</f>
        <v>0</v>
      </c>
      <c r="Y1355" s="62"/>
      <c r="Z1355" s="62"/>
      <c r="AA1355" s="53">
        <v>33.28</v>
      </c>
      <c r="AB1355" s="53">
        <v>33.28</v>
      </c>
      <c r="AC1355" s="53">
        <v>8.0487755102040808</v>
      </c>
      <c r="AD1355" s="53">
        <v>19.262653061224487</v>
      </c>
      <c r="AE1355" s="53" t="str">
        <f>_xlfn.XLOOKUP(Master[[#This Row],[cu_id]],'[1]Customer Revenue'!$Q:$Q,'[1]Customer Revenue'!$K:$K, "None")</f>
        <v>None</v>
      </c>
      <c r="AF1355" s="53" t="str">
        <f>_xlfn.XLOOKUP(Master[[#This Row],[cu_id]],'[1]Customer Revenue'!$Q:$Q,'[1]Customer Revenue'!$L:$L, "None")</f>
        <v>None</v>
      </c>
      <c r="AG1355" s="53">
        <v>23.637396449704131</v>
      </c>
      <c r="AH1355" s="53">
        <v>35.759526627218939</v>
      </c>
      <c r="AI1355" s="53">
        <v>33.28</v>
      </c>
      <c r="AJ1355" s="53">
        <v>13.655714285714284</v>
      </c>
      <c r="AK1355" s="53" t="str">
        <f>_xlfn.XLOOKUP(Master[[#This Row],[cu_id]],'[1]Customer Revenue'!$Q:$Q,'[1]Customer Revenue'!$I:$I, "None")</f>
        <v>None</v>
      </c>
      <c r="AL1355" s="53">
        <v>29.698461538461533</v>
      </c>
      <c r="AM1355" s="61">
        <v>0.33333333333333331</v>
      </c>
      <c r="AN1355" s="60">
        <v>0.6875</v>
      </c>
      <c r="AO1355" s="60" t="s">
        <v>36</v>
      </c>
      <c r="AP1355" s="60" t="s">
        <v>36</v>
      </c>
      <c r="AQ1355" s="58" t="s">
        <v>133</v>
      </c>
      <c r="AR1355" s="58"/>
      <c r="AS1355" s="58"/>
      <c r="AT1355" s="52">
        <v>0</v>
      </c>
      <c r="AU1355" s="52" t="e">
        <f>IF(Master[[#This Row],[RSP StopTime override]] &lt;&gt; "",Master[[#This Row],[RSP StopTime override]],IF(Master[[#This Row],[Avg stop time helper]] &lt;&gt; 0, Master[[#This Row],[Avg stop time helper]],Average_Stop_Time))</f>
        <v>#DIV/0!</v>
      </c>
      <c r="AV1355" s="21"/>
      <c r="AW1355" s="20">
        <f>Master[[#This Row],[RSP StopTime override]]-Master[[#This Row],[Avg stop time helper]]</f>
        <v>0</v>
      </c>
    </row>
    <row r="1356" spans="1:49" x14ac:dyDescent="0.3">
      <c r="A1356" s="66" t="s">
        <v>5359</v>
      </c>
      <c r="B1356" s="58">
        <v>8010</v>
      </c>
      <c r="C1356" s="58" t="s">
        <v>43</v>
      </c>
      <c r="D1356" s="65">
        <v>808847</v>
      </c>
      <c r="E1356" s="65" t="s">
        <v>42</v>
      </c>
      <c r="F1356" s="65" t="s">
        <v>732</v>
      </c>
      <c r="G1356" s="65" t="s">
        <v>731</v>
      </c>
      <c r="H1356" s="65" t="s">
        <v>7</v>
      </c>
      <c r="I1356" s="65" t="s">
        <v>152</v>
      </c>
      <c r="J1356" s="65" t="s">
        <v>5</v>
      </c>
      <c r="K1356" s="65" t="s">
        <v>4</v>
      </c>
      <c r="L1356" s="64" t="s">
        <v>67</v>
      </c>
      <c r="M1356" s="58" t="s">
        <v>3</v>
      </c>
      <c r="N1356" s="58" t="s">
        <v>2</v>
      </c>
      <c r="O1356" s="58">
        <v>90</v>
      </c>
      <c r="P1356" s="58">
        <v>0</v>
      </c>
      <c r="Q1356" s="58">
        <v>0</v>
      </c>
      <c r="R1356" s="58">
        <v>0</v>
      </c>
      <c r="S1356" s="58">
        <v>90</v>
      </c>
      <c r="T1356" s="58">
        <v>0</v>
      </c>
      <c r="U1356" s="58">
        <v>40</v>
      </c>
      <c r="V1356" s="62"/>
      <c r="W1356" s="62"/>
      <c r="X1356" s="63">
        <f>IFERROR(1 -(Master[[#This Row],[Avg Garment Scans per Delivery]]/Master[[#This Row],[Garment Inventory]]), 0)</f>
        <v>0</v>
      </c>
      <c r="Y1356" s="62"/>
      <c r="Z1356" s="62"/>
      <c r="AA1356" s="53">
        <v>73.876331360946736</v>
      </c>
      <c r="AB1356" s="53">
        <v>148.74213017751475</v>
      </c>
      <c r="AC1356" s="53">
        <v>87.537100591715969</v>
      </c>
      <c r="AD1356" s="53">
        <v>149.16597633136092</v>
      </c>
      <c r="AE1356" s="53" t="str">
        <f>_xlfn.XLOOKUP(Master[[#This Row],[cu_id]],'[1]Customer Revenue'!$Q:$Q,'[1]Customer Revenue'!$K:$K, "None")</f>
        <v>None</v>
      </c>
      <c r="AF1356" s="53" t="str">
        <f>_xlfn.XLOOKUP(Master[[#This Row],[cu_id]],'[1]Customer Revenue'!$Q:$Q,'[1]Customer Revenue'!$L:$L, "None")</f>
        <v>None</v>
      </c>
      <c r="AG1356" s="53">
        <v>70.130591715976337</v>
      </c>
      <c r="AH1356" s="53">
        <v>154.52556213017755</v>
      </c>
      <c r="AI1356" s="53">
        <v>111.30923076923075</v>
      </c>
      <c r="AJ1356" s="53">
        <v>118.35153846153845</v>
      </c>
      <c r="AK1356" s="53" t="str">
        <f>_xlfn.XLOOKUP(Master[[#This Row],[cu_id]],'[1]Customer Revenue'!$Q:$Q,'[1]Customer Revenue'!$I:$I, "None")</f>
        <v>None</v>
      </c>
      <c r="AL1356" s="53">
        <v>112.32807692307694</v>
      </c>
      <c r="AM1356" s="61">
        <v>0.39583333333333331</v>
      </c>
      <c r="AN1356" s="60">
        <v>0.85416666666666663</v>
      </c>
      <c r="AO1356" s="60" t="s">
        <v>36</v>
      </c>
      <c r="AP1356" s="60" t="s">
        <v>36</v>
      </c>
      <c r="AQ1356" s="58" t="s">
        <v>308</v>
      </c>
      <c r="AR1356" s="58"/>
      <c r="AS1356" s="58"/>
      <c r="AT1356" s="52">
        <v>0</v>
      </c>
      <c r="AU1356" s="52" t="e">
        <f>IF(Master[[#This Row],[RSP StopTime override]] &lt;&gt; "",Master[[#This Row],[RSP StopTime override]],IF(Master[[#This Row],[Avg stop time helper]] &lt;&gt; 0, Master[[#This Row],[Avg stop time helper]],Average_Stop_Time))</f>
        <v>#DIV/0!</v>
      </c>
      <c r="AV1356" s="21"/>
      <c r="AW1356" s="20">
        <f>Master[[#This Row],[RSP StopTime override]]-Master[[#This Row],[Avg stop time helper]]</f>
        <v>0</v>
      </c>
    </row>
    <row r="1357" spans="1:49" x14ac:dyDescent="0.3">
      <c r="A1357" s="66" t="s">
        <v>5360</v>
      </c>
      <c r="B1357" s="58">
        <v>8010</v>
      </c>
      <c r="C1357" s="58" t="s">
        <v>43</v>
      </c>
      <c r="D1357" s="65">
        <v>808992</v>
      </c>
      <c r="E1357" s="65" t="s">
        <v>42</v>
      </c>
      <c r="F1357" s="65" t="s">
        <v>730</v>
      </c>
      <c r="G1357" s="65" t="s">
        <v>729</v>
      </c>
      <c r="H1357" s="65" t="s">
        <v>7</v>
      </c>
      <c r="I1357" s="65" t="s">
        <v>152</v>
      </c>
      <c r="J1357" s="65" t="s">
        <v>5</v>
      </c>
      <c r="K1357" s="65" t="s">
        <v>4</v>
      </c>
      <c r="L1357" s="64" t="s">
        <v>77</v>
      </c>
      <c r="M1357" s="58" t="s">
        <v>29</v>
      </c>
      <c r="N1357" s="58" t="s">
        <v>2</v>
      </c>
      <c r="O1357" s="58">
        <v>110</v>
      </c>
      <c r="P1357" s="58">
        <v>0</v>
      </c>
      <c r="Q1357" s="58">
        <v>0</v>
      </c>
      <c r="R1357" s="58">
        <v>0</v>
      </c>
      <c r="S1357" s="58">
        <v>110</v>
      </c>
      <c r="T1357" s="58">
        <v>0</v>
      </c>
      <c r="U1357" s="58">
        <v>19</v>
      </c>
      <c r="V1357" s="62"/>
      <c r="W1357" s="62"/>
      <c r="X1357" s="63">
        <f>IFERROR(1 -(Master[[#This Row],[Avg Garment Scans per Delivery]]/Master[[#This Row],[Garment Inventory]]), 0)</f>
        <v>0</v>
      </c>
      <c r="Y1357" s="62"/>
      <c r="Z1357" s="62"/>
      <c r="AA1357" s="53">
        <v>37.445510204081636</v>
      </c>
      <c r="AB1357" s="53">
        <v>61.734489795918371</v>
      </c>
      <c r="AC1357" s="53">
        <v>49.517755102040816</v>
      </c>
      <c r="AD1357" s="53">
        <v>50.673673469387758</v>
      </c>
      <c r="AE1357" s="53" t="str">
        <f>_xlfn.XLOOKUP(Master[[#This Row],[cu_id]],'[1]Customer Revenue'!$Q:$Q,'[1]Customer Revenue'!$K:$K, "None")</f>
        <v>None</v>
      </c>
      <c r="AF1357" s="53" t="str">
        <f>_xlfn.XLOOKUP(Master[[#This Row],[cu_id]],'[1]Customer Revenue'!$Q:$Q,'[1]Customer Revenue'!$L:$L, "None")</f>
        <v>None</v>
      </c>
      <c r="AG1357" s="53">
        <v>43.011734693877578</v>
      </c>
      <c r="AH1357" s="53">
        <v>56.168265306122457</v>
      </c>
      <c r="AI1357" s="53">
        <v>49.59</v>
      </c>
      <c r="AJ1357" s="53">
        <v>50.095714285714287</v>
      </c>
      <c r="AK1357" s="53" t="str">
        <f>_xlfn.XLOOKUP(Master[[#This Row],[cu_id]],'[1]Customer Revenue'!$Q:$Q,'[1]Customer Revenue'!$I:$I, "None")</f>
        <v>None</v>
      </c>
      <c r="AL1357" s="53">
        <v>49.590000000000018</v>
      </c>
      <c r="AM1357" s="61">
        <v>0.375</v>
      </c>
      <c r="AN1357" s="60">
        <v>0.72916666666666663</v>
      </c>
      <c r="AO1357" s="60" t="s">
        <v>36</v>
      </c>
      <c r="AP1357" s="60" t="s">
        <v>36</v>
      </c>
      <c r="AQ1357" s="58" t="s">
        <v>308</v>
      </c>
      <c r="AR1357" s="58"/>
      <c r="AS1357" s="58"/>
      <c r="AT1357" s="52">
        <v>0</v>
      </c>
      <c r="AU1357" s="52" t="e">
        <f>IF(Master[[#This Row],[RSP StopTime override]] &lt;&gt; "",Master[[#This Row],[RSP StopTime override]],IF(Master[[#This Row],[Avg stop time helper]] &lt;&gt; 0, Master[[#This Row],[Avg stop time helper]],Average_Stop_Time))</f>
        <v>#DIV/0!</v>
      </c>
      <c r="AV1357" s="21"/>
      <c r="AW1357" s="20">
        <f>Master[[#This Row],[RSP StopTime override]]-Master[[#This Row],[Avg stop time helper]]</f>
        <v>0</v>
      </c>
    </row>
    <row r="1358" spans="1:49" x14ac:dyDescent="0.3">
      <c r="A1358" s="66" t="s">
        <v>5361</v>
      </c>
      <c r="B1358" s="58">
        <v>8010</v>
      </c>
      <c r="C1358" s="58" t="s">
        <v>43</v>
      </c>
      <c r="D1358" s="65">
        <v>882595</v>
      </c>
      <c r="E1358" s="65" t="s">
        <v>728</v>
      </c>
      <c r="F1358" s="65" t="s">
        <v>292</v>
      </c>
      <c r="G1358" s="65" t="s">
        <v>727</v>
      </c>
      <c r="H1358" s="65" t="s">
        <v>7</v>
      </c>
      <c r="I1358" s="65" t="s">
        <v>6</v>
      </c>
      <c r="J1358" s="65" t="s">
        <v>5</v>
      </c>
      <c r="K1358" s="65" t="s">
        <v>4</v>
      </c>
      <c r="L1358" s="64" t="s">
        <v>67</v>
      </c>
      <c r="M1358" s="58" t="s">
        <v>3</v>
      </c>
      <c r="N1358" s="58" t="s">
        <v>2</v>
      </c>
      <c r="O1358" s="58">
        <v>45</v>
      </c>
      <c r="P1358" s="58">
        <v>0</v>
      </c>
      <c r="Q1358" s="58">
        <v>0</v>
      </c>
      <c r="R1358" s="58">
        <v>0</v>
      </c>
      <c r="S1358" s="58">
        <v>45</v>
      </c>
      <c r="T1358" s="58">
        <v>0</v>
      </c>
      <c r="U1358" s="58">
        <v>39</v>
      </c>
      <c r="V1358" s="62"/>
      <c r="W1358" s="62"/>
      <c r="X1358" s="63">
        <f>IFERROR(1 -(Master[[#This Row],[Avg Garment Scans per Delivery]]/Master[[#This Row],[Garment Inventory]]), 0)</f>
        <v>0</v>
      </c>
      <c r="Y1358" s="62"/>
      <c r="Z1358" s="62"/>
      <c r="AA1358" s="53">
        <v>57.427719658119642</v>
      </c>
      <c r="AB1358" s="53">
        <v>91.95074188034188</v>
      </c>
      <c r="AC1358" s="53">
        <v>71.715266272189339</v>
      </c>
      <c r="AD1358" s="53">
        <v>72.832426035502962</v>
      </c>
      <c r="AE1358" s="53" t="str">
        <f>_xlfn.XLOOKUP(Master[[#This Row],[cu_id]],'[1]Customer Revenue'!$Q:$Q,'[1]Customer Revenue'!$K:$K, "None")</f>
        <v>None</v>
      </c>
      <c r="AF1358" s="53" t="str">
        <f>_xlfn.XLOOKUP(Master[[#This Row],[cu_id]],'[1]Customer Revenue'!$Q:$Q,'[1]Customer Revenue'!$L:$L, "None")</f>
        <v>None</v>
      </c>
      <c r="AG1358" s="53">
        <v>65.492700156985876</v>
      </c>
      <c r="AH1358" s="53">
        <v>85.525761381475661</v>
      </c>
      <c r="AI1358" s="53">
        <v>74.689230769230761</v>
      </c>
      <c r="AJ1358" s="53">
        <v>72.273846153846151</v>
      </c>
      <c r="AK1358" s="53" t="str">
        <f>_xlfn.XLOOKUP(Master[[#This Row],[cu_id]],'[1]Customer Revenue'!$Q:$Q,'[1]Customer Revenue'!$I:$I, "None")</f>
        <v>None</v>
      </c>
      <c r="AL1358" s="53">
        <v>75.509230769230768</v>
      </c>
      <c r="AM1358" s="61">
        <v>0.27083333333333331</v>
      </c>
      <c r="AN1358" s="60">
        <v>0.6875</v>
      </c>
      <c r="AO1358" s="60" t="s">
        <v>36</v>
      </c>
      <c r="AP1358" s="60" t="s">
        <v>36</v>
      </c>
      <c r="AQ1358" s="58" t="s">
        <v>0</v>
      </c>
      <c r="AR1358" s="58"/>
      <c r="AS1358" s="58"/>
      <c r="AT1358" s="52">
        <v>0</v>
      </c>
      <c r="AU1358" s="52">
        <f>IF(Master[[#This Row],[RSP StopTime override]] &lt;&gt; "",Master[[#This Row],[RSP StopTime override]],IF(Master[[#This Row],[Avg stop time helper]] &lt;&gt; 0, Master[[#This Row],[Avg stop time helper]],Average_Stop_Time))</f>
        <v>10</v>
      </c>
      <c r="AV1358" s="21">
        <v>10</v>
      </c>
      <c r="AW1358" s="20">
        <f>Master[[#This Row],[RSP StopTime override]]-Master[[#This Row],[Avg stop time helper]]</f>
        <v>10</v>
      </c>
    </row>
    <row r="1359" spans="1:49" x14ac:dyDescent="0.3">
      <c r="A1359" s="66" t="s">
        <v>5362</v>
      </c>
      <c r="B1359" s="58">
        <v>8010</v>
      </c>
      <c r="C1359" s="58" t="s">
        <v>43</v>
      </c>
      <c r="D1359" s="65">
        <v>882870</v>
      </c>
      <c r="E1359" s="65" t="s">
        <v>726</v>
      </c>
      <c r="F1359" s="65" t="s">
        <v>725</v>
      </c>
      <c r="G1359" s="65" t="s">
        <v>724</v>
      </c>
      <c r="H1359" s="65" t="s">
        <v>7</v>
      </c>
      <c r="I1359" s="65" t="s">
        <v>6</v>
      </c>
      <c r="J1359" s="65" t="s">
        <v>5</v>
      </c>
      <c r="K1359" s="65" t="s">
        <v>4</v>
      </c>
      <c r="L1359" s="64" t="s">
        <v>141</v>
      </c>
      <c r="M1359" s="58" t="s">
        <v>140</v>
      </c>
      <c r="N1359" s="58" t="s">
        <v>2</v>
      </c>
      <c r="O1359" s="58">
        <v>165</v>
      </c>
      <c r="P1359" s="58">
        <v>0</v>
      </c>
      <c r="Q1359" s="58">
        <v>0</v>
      </c>
      <c r="R1359" s="58">
        <v>0</v>
      </c>
      <c r="S1359" s="58">
        <v>165</v>
      </c>
      <c r="T1359" s="58">
        <v>0</v>
      </c>
      <c r="U1359" s="58">
        <v>20</v>
      </c>
      <c r="V1359" s="62"/>
      <c r="W1359" s="62"/>
      <c r="X1359" s="63">
        <f>IFERROR(1 -(Master[[#This Row],[Avg Garment Scans per Delivery]]/Master[[#This Row],[Garment Inventory]]), 0)</f>
        <v>0</v>
      </c>
      <c r="Y1359" s="62"/>
      <c r="Z1359" s="62"/>
      <c r="AA1359" s="53">
        <v>31.72</v>
      </c>
      <c r="AB1359" s="53">
        <v>31.72</v>
      </c>
      <c r="AC1359" s="53">
        <v>31.72</v>
      </c>
      <c r="AD1359" s="53">
        <v>41.19</v>
      </c>
      <c r="AE1359" s="53" t="str">
        <f>_xlfn.XLOOKUP(Master[[#This Row],[cu_id]],'[1]Customer Revenue'!$Q:$Q,'[1]Customer Revenue'!$K:$K, "None")</f>
        <v>None</v>
      </c>
      <c r="AF1359" s="53" t="str">
        <f>_xlfn.XLOOKUP(Master[[#This Row],[cu_id]],'[1]Customer Revenue'!$Q:$Q,'[1]Customer Revenue'!$L:$L, "None")</f>
        <v>None</v>
      </c>
      <c r="AG1359" s="53">
        <v>18.600946745562133</v>
      </c>
      <c r="AH1359" s="53">
        <v>33.835976331360946</v>
      </c>
      <c r="AI1359" s="53">
        <v>31.72</v>
      </c>
      <c r="AJ1359" s="53">
        <v>36.454999999999998</v>
      </c>
      <c r="AK1359" s="53" t="str">
        <f>_xlfn.XLOOKUP(Master[[#This Row],[cu_id]],'[1]Customer Revenue'!$Q:$Q,'[1]Customer Revenue'!$I:$I, "None")</f>
        <v>None</v>
      </c>
      <c r="AL1359" s="53">
        <v>26.21846153846154</v>
      </c>
      <c r="AM1359" s="61">
        <v>0.375</v>
      </c>
      <c r="AN1359" s="60">
        <v>0.6875</v>
      </c>
      <c r="AO1359" s="60" t="s">
        <v>36</v>
      </c>
      <c r="AP1359" s="60" t="s">
        <v>36</v>
      </c>
      <c r="AQ1359" s="58" t="s">
        <v>0</v>
      </c>
      <c r="AR1359" s="58"/>
      <c r="AS1359" s="58"/>
      <c r="AT1359" s="52">
        <v>0</v>
      </c>
      <c r="AU1359" s="52" t="e">
        <f>IF(Master[[#This Row],[RSP StopTime override]] &lt;&gt; "",Master[[#This Row],[RSP StopTime override]],IF(Master[[#This Row],[Avg stop time helper]] &lt;&gt; 0, Master[[#This Row],[Avg stop time helper]],Average_Stop_Time))</f>
        <v>#DIV/0!</v>
      </c>
      <c r="AV1359" s="21"/>
      <c r="AW1359" s="20">
        <f>Master[[#This Row],[RSP StopTime override]]-Master[[#This Row],[Avg stop time helper]]</f>
        <v>0</v>
      </c>
    </row>
    <row r="1360" spans="1:49" x14ac:dyDescent="0.3">
      <c r="A1360" s="66" t="s">
        <v>5363</v>
      </c>
      <c r="B1360" s="58">
        <v>8010</v>
      </c>
      <c r="C1360" s="58" t="s">
        <v>43</v>
      </c>
      <c r="D1360" s="65">
        <v>884502</v>
      </c>
      <c r="E1360" s="65" t="s">
        <v>723</v>
      </c>
      <c r="F1360" s="65" t="s">
        <v>722</v>
      </c>
      <c r="G1360" s="65" t="s">
        <v>721</v>
      </c>
      <c r="H1360" s="65" t="s">
        <v>7</v>
      </c>
      <c r="I1360" s="65" t="s">
        <v>689</v>
      </c>
      <c r="J1360" s="65" t="s">
        <v>5</v>
      </c>
      <c r="K1360" s="65" t="s">
        <v>4</v>
      </c>
      <c r="L1360" s="64" t="s">
        <v>206</v>
      </c>
      <c r="M1360" s="58" t="s">
        <v>205</v>
      </c>
      <c r="N1360" s="58" t="s">
        <v>2</v>
      </c>
      <c r="O1360" s="58">
        <v>170</v>
      </c>
      <c r="P1360" s="58">
        <v>0</v>
      </c>
      <c r="Q1360" s="58">
        <v>0</v>
      </c>
      <c r="R1360" s="58">
        <v>0</v>
      </c>
      <c r="S1360" s="58">
        <v>170</v>
      </c>
      <c r="T1360" s="58">
        <v>0</v>
      </c>
      <c r="U1360" s="58">
        <v>9</v>
      </c>
      <c r="V1360" s="62"/>
      <c r="W1360" s="62"/>
      <c r="X1360" s="63">
        <f>IFERROR(1 -(Master[[#This Row],[Avg Garment Scans per Delivery]]/Master[[#This Row],[Garment Inventory]]), 0)</f>
        <v>0</v>
      </c>
      <c r="Y1360" s="62"/>
      <c r="Z1360" s="62"/>
      <c r="AA1360" s="53">
        <v>60.57</v>
      </c>
      <c r="AB1360" s="53">
        <v>60.57</v>
      </c>
      <c r="AC1360" s="53">
        <v>60.569999999999993</v>
      </c>
      <c r="AD1360" s="53">
        <v>61.75</v>
      </c>
      <c r="AE1360" s="53" t="str">
        <f>_xlfn.XLOOKUP(Master[[#This Row],[cu_id]],'[1]Customer Revenue'!$Q:$Q,'[1]Customer Revenue'!$K:$K, "None")</f>
        <v>None</v>
      </c>
      <c r="AF1360" s="53" t="str">
        <f>_xlfn.XLOOKUP(Master[[#This Row],[cu_id]],'[1]Customer Revenue'!$Q:$Q,'[1]Customer Revenue'!$L:$L, "None")</f>
        <v>None</v>
      </c>
      <c r="AG1360" s="53">
        <v>60.57</v>
      </c>
      <c r="AH1360" s="53">
        <v>60.57</v>
      </c>
      <c r="AI1360" s="53">
        <v>60.57</v>
      </c>
      <c r="AJ1360" s="53">
        <v>61.16</v>
      </c>
      <c r="AK1360" s="53" t="str">
        <f>_xlfn.XLOOKUP(Master[[#This Row],[cu_id]],'[1]Customer Revenue'!$Q:$Q,'[1]Customer Revenue'!$I:$I, "None")</f>
        <v>None</v>
      </c>
      <c r="AL1360" s="53">
        <v>60.57</v>
      </c>
      <c r="AM1360" s="61">
        <v>0.35416666666666669</v>
      </c>
      <c r="AN1360" s="60">
        <v>0.72916666666666663</v>
      </c>
      <c r="AO1360" s="60" t="s">
        <v>36</v>
      </c>
      <c r="AP1360" s="60" t="s">
        <v>36</v>
      </c>
      <c r="AQ1360" s="58" t="s">
        <v>308</v>
      </c>
      <c r="AR1360" s="58"/>
      <c r="AS1360" s="58"/>
      <c r="AT1360" s="52">
        <v>0</v>
      </c>
      <c r="AU1360" s="52" t="e">
        <f>IF(Master[[#This Row],[RSP StopTime override]] &lt;&gt; "",Master[[#This Row],[RSP StopTime override]],IF(Master[[#This Row],[Avg stop time helper]] &lt;&gt; 0, Master[[#This Row],[Avg stop time helper]],Average_Stop_Time))</f>
        <v>#DIV/0!</v>
      </c>
      <c r="AV1360" s="21"/>
      <c r="AW1360" s="20">
        <f>Master[[#This Row],[RSP StopTime override]]-Master[[#This Row],[Avg stop time helper]]</f>
        <v>0</v>
      </c>
    </row>
    <row r="1361" spans="1:49" x14ac:dyDescent="0.3">
      <c r="A1361" s="66" t="s">
        <v>5364</v>
      </c>
      <c r="B1361" s="58">
        <v>8010</v>
      </c>
      <c r="C1361" s="58" t="s">
        <v>43</v>
      </c>
      <c r="D1361" s="65">
        <v>885970</v>
      </c>
      <c r="E1361" s="65" t="s">
        <v>720</v>
      </c>
      <c r="F1361" s="65" t="s">
        <v>438</v>
      </c>
      <c r="G1361" s="65" t="s">
        <v>719</v>
      </c>
      <c r="H1361" s="65" t="s">
        <v>7</v>
      </c>
      <c r="I1361" s="65" t="s">
        <v>712</v>
      </c>
      <c r="J1361" s="65" t="s">
        <v>5</v>
      </c>
      <c r="K1361" s="65" t="s">
        <v>4</v>
      </c>
      <c r="L1361" s="64" t="s">
        <v>194</v>
      </c>
      <c r="M1361" s="58" t="s">
        <v>193</v>
      </c>
      <c r="N1361" s="58" t="s">
        <v>2</v>
      </c>
      <c r="O1361" s="58">
        <v>150</v>
      </c>
      <c r="P1361" s="58">
        <v>0</v>
      </c>
      <c r="Q1361" s="58">
        <v>0</v>
      </c>
      <c r="R1361" s="58">
        <v>0</v>
      </c>
      <c r="S1361" s="58">
        <v>85</v>
      </c>
      <c r="T1361" s="58">
        <v>0</v>
      </c>
      <c r="U1361" s="58">
        <v>10</v>
      </c>
      <c r="V1361" s="62"/>
      <c r="W1361" s="62"/>
      <c r="X1361" s="63">
        <f>IFERROR(1 -(Master[[#This Row],[Avg Garment Scans per Delivery]]/Master[[#This Row],[Garment Inventory]]), 0)</f>
        <v>0</v>
      </c>
      <c r="Y1361" s="62"/>
      <c r="Z1361" s="62"/>
      <c r="AA1361" s="53">
        <v>16.48</v>
      </c>
      <c r="AB1361" s="53">
        <v>16.48</v>
      </c>
      <c r="AC1361" s="53">
        <v>16.364444444444445</v>
      </c>
      <c r="AD1361" s="53">
        <v>17.288888888888891</v>
      </c>
      <c r="AE1361" s="53" t="str">
        <f>_xlfn.XLOOKUP(Master[[#This Row],[cu_id]],'[1]Customer Revenue'!$Q:$Q,'[1]Customer Revenue'!$K:$K, "None")</f>
        <v>None</v>
      </c>
      <c r="AF1361" s="53" t="str">
        <f>_xlfn.XLOOKUP(Master[[#This Row],[cu_id]],'[1]Customer Revenue'!$Q:$Q,'[1]Customer Revenue'!$L:$L, "None")</f>
        <v>None</v>
      </c>
      <c r="AG1361" s="53">
        <v>12.875000000000002</v>
      </c>
      <c r="AH1361" s="53">
        <v>20.085000000000001</v>
      </c>
      <c r="AI1361" s="53">
        <v>16.48</v>
      </c>
      <c r="AJ1361" s="53">
        <v>16.826666666666668</v>
      </c>
      <c r="AK1361" s="53" t="str">
        <f>_xlfn.XLOOKUP(Master[[#This Row],[cu_id]],'[1]Customer Revenue'!$Q:$Q,'[1]Customer Revenue'!$I:$I, "None")</f>
        <v>None</v>
      </c>
      <c r="AL1361" s="53">
        <v>16.48</v>
      </c>
      <c r="AM1361" s="61">
        <v>0.33333333333333331</v>
      </c>
      <c r="AN1361" s="60">
        <v>0.85416666666666663</v>
      </c>
      <c r="AO1361" s="60" t="s">
        <v>36</v>
      </c>
      <c r="AP1361" s="60" t="s">
        <v>36</v>
      </c>
      <c r="AQ1361" s="58" t="s">
        <v>308</v>
      </c>
      <c r="AR1361" s="58"/>
      <c r="AS1361" s="58"/>
      <c r="AT1361" s="52">
        <v>0</v>
      </c>
      <c r="AU1361" s="52" t="e">
        <f>IF(Master[[#This Row],[RSP StopTime override]] &lt;&gt; "",Master[[#This Row],[RSP StopTime override]],IF(Master[[#This Row],[Avg stop time helper]] &lt;&gt; 0, Master[[#This Row],[Avg stop time helper]],Average_Stop_Time))</f>
        <v>#DIV/0!</v>
      </c>
      <c r="AV1361" s="21"/>
      <c r="AW1361" s="20">
        <f>Master[[#This Row],[RSP StopTime override]]-Master[[#This Row],[Avg stop time helper]]</f>
        <v>0</v>
      </c>
    </row>
    <row r="1362" spans="1:49" x14ac:dyDescent="0.3">
      <c r="A1362" s="66" t="s">
        <v>5365</v>
      </c>
      <c r="B1362" s="58">
        <v>8010</v>
      </c>
      <c r="C1362" s="58" t="s">
        <v>43</v>
      </c>
      <c r="D1362" s="65">
        <v>886085</v>
      </c>
      <c r="E1362" s="65" t="s">
        <v>718</v>
      </c>
      <c r="F1362" s="65" t="s">
        <v>3764</v>
      </c>
      <c r="G1362" s="65" t="s">
        <v>717</v>
      </c>
      <c r="H1362" s="65" t="s">
        <v>7</v>
      </c>
      <c r="I1362" s="65" t="s">
        <v>6</v>
      </c>
      <c r="J1362" s="65" t="s">
        <v>5</v>
      </c>
      <c r="K1362" s="65" t="s">
        <v>4</v>
      </c>
      <c r="L1362" s="64" t="s">
        <v>91</v>
      </c>
      <c r="M1362" s="58" t="s">
        <v>90</v>
      </c>
      <c r="N1362" s="58" t="s">
        <v>2</v>
      </c>
      <c r="O1362" s="58">
        <v>85</v>
      </c>
      <c r="P1362" s="58">
        <v>0</v>
      </c>
      <c r="Q1362" s="58">
        <v>0</v>
      </c>
      <c r="R1362" s="58">
        <v>0</v>
      </c>
      <c r="S1362" s="58">
        <v>85</v>
      </c>
      <c r="T1362" s="58">
        <v>0</v>
      </c>
      <c r="U1362" s="58">
        <v>31</v>
      </c>
      <c r="V1362" s="62"/>
      <c r="W1362" s="62"/>
      <c r="X1362" s="63">
        <f>IFERROR(1 -(Master[[#This Row],[Avg Garment Scans per Delivery]]/Master[[#This Row],[Garment Inventory]]), 0)</f>
        <v>0</v>
      </c>
      <c r="Y1362" s="62"/>
      <c r="Z1362" s="62"/>
      <c r="AA1362" s="53">
        <v>29.023076923076925</v>
      </c>
      <c r="AB1362" s="53">
        <v>31.176923076923078</v>
      </c>
      <c r="AC1362" s="53">
        <v>19.122499999999999</v>
      </c>
      <c r="AD1362" s="53">
        <v>32.167500000000004</v>
      </c>
      <c r="AE1362" s="53" t="str">
        <f>_xlfn.XLOOKUP(Master[[#This Row],[cu_id]],'[1]Customer Revenue'!$Q:$Q,'[1]Customer Revenue'!$K:$K, "None")</f>
        <v>None</v>
      </c>
      <c r="AF1362" s="53" t="str">
        <f>_xlfn.XLOOKUP(Master[[#This Row],[cu_id]],'[1]Customer Revenue'!$Q:$Q,'[1]Customer Revenue'!$L:$L, "None")</f>
        <v>None</v>
      </c>
      <c r="AG1362" s="53">
        <v>28.413538461538469</v>
      </c>
      <c r="AH1362" s="53">
        <v>34.090461538461547</v>
      </c>
      <c r="AI1362" s="53">
        <v>30.1</v>
      </c>
      <c r="AJ1362" s="53">
        <v>25.645</v>
      </c>
      <c r="AK1362" s="53" t="str">
        <f>_xlfn.XLOOKUP(Master[[#This Row],[cu_id]],'[1]Customer Revenue'!$Q:$Q,'[1]Customer Revenue'!$I:$I, "None")</f>
        <v>None</v>
      </c>
      <c r="AL1362" s="53">
        <v>31.252000000000006</v>
      </c>
      <c r="AM1362" s="61">
        <v>0.41666666666666669</v>
      </c>
      <c r="AN1362" s="60">
        <v>0.8125</v>
      </c>
      <c r="AO1362" s="60" t="s">
        <v>36</v>
      </c>
      <c r="AP1362" s="60" t="s">
        <v>36</v>
      </c>
      <c r="AQ1362" s="58" t="s">
        <v>308</v>
      </c>
      <c r="AR1362" s="58"/>
      <c r="AS1362" s="58"/>
      <c r="AT1362" s="52">
        <v>0</v>
      </c>
      <c r="AU1362" s="52" t="e">
        <f>IF(Master[[#This Row],[RSP StopTime override]] &lt;&gt; "",Master[[#This Row],[RSP StopTime override]],IF(Master[[#This Row],[Avg stop time helper]] &lt;&gt; 0, Master[[#This Row],[Avg stop time helper]],Average_Stop_Time))</f>
        <v>#DIV/0!</v>
      </c>
      <c r="AV1362" s="21"/>
      <c r="AW1362" s="20">
        <f>Master[[#This Row],[RSP StopTime override]]-Master[[#This Row],[Avg stop time helper]]</f>
        <v>0</v>
      </c>
    </row>
    <row r="1363" spans="1:49" x14ac:dyDescent="0.3">
      <c r="A1363" s="66" t="s">
        <v>5366</v>
      </c>
      <c r="B1363" s="58">
        <v>8010</v>
      </c>
      <c r="C1363" s="58" t="s">
        <v>43</v>
      </c>
      <c r="D1363" s="65">
        <v>886208</v>
      </c>
      <c r="E1363" s="65" t="s">
        <v>716</v>
      </c>
      <c r="F1363" s="65" t="s">
        <v>715</v>
      </c>
      <c r="G1363" s="65" t="s">
        <v>713</v>
      </c>
      <c r="H1363" s="65" t="s">
        <v>7</v>
      </c>
      <c r="I1363" s="65" t="s">
        <v>712</v>
      </c>
      <c r="J1363" s="65" t="s">
        <v>5</v>
      </c>
      <c r="K1363" s="65" t="s">
        <v>4</v>
      </c>
      <c r="L1363" s="64" t="s">
        <v>67</v>
      </c>
      <c r="M1363" s="58" t="s">
        <v>3</v>
      </c>
      <c r="N1363" s="58" t="s">
        <v>2</v>
      </c>
      <c r="O1363" s="58">
        <v>67</v>
      </c>
      <c r="P1363" s="58">
        <v>0</v>
      </c>
      <c r="Q1363" s="58">
        <v>0</v>
      </c>
      <c r="R1363" s="58">
        <v>0</v>
      </c>
      <c r="S1363" s="58">
        <v>160</v>
      </c>
      <c r="T1363" s="58">
        <v>0</v>
      </c>
      <c r="U1363" s="58">
        <v>23</v>
      </c>
      <c r="V1363" s="62"/>
      <c r="W1363" s="62"/>
      <c r="X1363" s="63">
        <f>IFERROR(1 -(Master[[#This Row],[Avg Garment Scans per Delivery]]/Master[[#This Row],[Garment Inventory]]), 0)</f>
        <v>0</v>
      </c>
      <c r="Y1363" s="62"/>
      <c r="Z1363" s="62"/>
      <c r="AA1363" s="53"/>
      <c r="AB1363" s="53"/>
      <c r="AC1363" s="53">
        <v>14.695266272189347</v>
      </c>
      <c r="AD1363" s="53">
        <v>15.812426035502956</v>
      </c>
      <c r="AE1363" s="53" t="str">
        <f>_xlfn.XLOOKUP(Master[[#This Row],[cu_id]],'[1]Customer Revenue'!$Q:$Q,'[1]Customer Revenue'!$K:$K, "None")</f>
        <v>None</v>
      </c>
      <c r="AF1363" s="53" t="str">
        <f>_xlfn.XLOOKUP(Master[[#This Row],[cu_id]],'[1]Customer Revenue'!$Q:$Q,'[1]Customer Revenue'!$L:$L, "None")</f>
        <v>None</v>
      </c>
      <c r="AG1363" s="53">
        <v>12.84369822485208</v>
      </c>
      <c r="AH1363" s="53">
        <v>27.28630177514793</v>
      </c>
      <c r="AI1363" s="53"/>
      <c r="AJ1363" s="53">
        <v>15.253846153846151</v>
      </c>
      <c r="AK1363" s="53" t="str">
        <f>_xlfn.XLOOKUP(Master[[#This Row],[cu_id]],'[1]Customer Revenue'!$Q:$Q,'[1]Customer Revenue'!$I:$I, "None")</f>
        <v>None</v>
      </c>
      <c r="AL1363" s="53">
        <v>20.065000000000005</v>
      </c>
      <c r="AM1363" s="61">
        <v>0.375</v>
      </c>
      <c r="AN1363" s="60">
        <v>0.77083333333333337</v>
      </c>
      <c r="AO1363" s="60" t="s">
        <v>36</v>
      </c>
      <c r="AP1363" s="60" t="s">
        <v>36</v>
      </c>
      <c r="AQ1363" s="58" t="s">
        <v>308</v>
      </c>
      <c r="AR1363" s="58"/>
      <c r="AS1363" s="58"/>
      <c r="AT1363" s="52">
        <v>0</v>
      </c>
      <c r="AU1363" s="52">
        <f>IF(Master[[#This Row],[RSP StopTime override]] &lt;&gt; "",Master[[#This Row],[RSP StopTime override]],IF(Master[[#This Row],[Avg stop time helper]] &lt;&gt; 0, Master[[#This Row],[Avg stop time helper]],Average_Stop_Time))</f>
        <v>5</v>
      </c>
      <c r="AV1363" s="21">
        <v>5</v>
      </c>
      <c r="AW1363" s="20">
        <f>Master[[#This Row],[RSP StopTime override]]-Master[[#This Row],[Avg stop time helper]]</f>
        <v>5</v>
      </c>
    </row>
    <row r="1364" spans="1:49" x14ac:dyDescent="0.3">
      <c r="A1364" s="66" t="s">
        <v>5367</v>
      </c>
      <c r="B1364" s="58">
        <v>8010</v>
      </c>
      <c r="C1364" s="58" t="s">
        <v>43</v>
      </c>
      <c r="D1364" s="65">
        <v>886208</v>
      </c>
      <c r="E1364" s="65" t="s">
        <v>714</v>
      </c>
      <c r="F1364" s="65" t="s">
        <v>249</v>
      </c>
      <c r="G1364" s="65" t="s">
        <v>713</v>
      </c>
      <c r="H1364" s="65" t="s">
        <v>7</v>
      </c>
      <c r="I1364" s="65" t="s">
        <v>712</v>
      </c>
      <c r="J1364" s="65" t="s">
        <v>5</v>
      </c>
      <c r="K1364" s="65" t="s">
        <v>4</v>
      </c>
      <c r="L1364" s="64" t="s">
        <v>67</v>
      </c>
      <c r="M1364" s="58" t="s">
        <v>3</v>
      </c>
      <c r="N1364" s="58" t="s">
        <v>2</v>
      </c>
      <c r="O1364" s="58">
        <v>67</v>
      </c>
      <c r="P1364" s="58">
        <v>0</v>
      </c>
      <c r="Q1364" s="58">
        <v>0</v>
      </c>
      <c r="R1364" s="58">
        <v>0</v>
      </c>
      <c r="S1364" s="58">
        <v>70</v>
      </c>
      <c r="T1364" s="58">
        <v>0</v>
      </c>
      <c r="U1364" s="58">
        <v>39</v>
      </c>
      <c r="V1364" s="62"/>
      <c r="W1364" s="62"/>
      <c r="X1364" s="63">
        <f>IFERROR(1 -(Master[[#This Row],[Avg Garment Scans per Delivery]]/Master[[#This Row],[Garment Inventory]]), 0)</f>
        <v>0</v>
      </c>
      <c r="Y1364" s="62"/>
      <c r="Z1364" s="62"/>
      <c r="AA1364" s="53">
        <v>55.299999999999983</v>
      </c>
      <c r="AB1364" s="53">
        <v>55.3</v>
      </c>
      <c r="AC1364" s="53">
        <v>54.784852071005915</v>
      </c>
      <c r="AD1364" s="53">
        <v>58.876686390532555</v>
      </c>
      <c r="AE1364" s="53" t="str">
        <f>_xlfn.XLOOKUP(Master[[#This Row],[cu_id]],'[1]Customer Revenue'!$Q:$Q,'[1]Customer Revenue'!$K:$K, "None")</f>
        <v>None</v>
      </c>
      <c r="AF1364" s="53" t="str">
        <f>_xlfn.XLOOKUP(Master[[#This Row],[cu_id]],'[1]Customer Revenue'!$Q:$Q,'[1]Customer Revenue'!$L:$L, "None")</f>
        <v>None</v>
      </c>
      <c r="AG1364" s="53">
        <v>51.177600506489362</v>
      </c>
      <c r="AH1364" s="53">
        <v>60.163937955049057</v>
      </c>
      <c r="AI1364" s="53">
        <v>55.29999999999999</v>
      </c>
      <c r="AJ1364" s="53">
        <v>56.830769230769235</v>
      </c>
      <c r="AK1364" s="53" t="str">
        <f>_xlfn.XLOOKUP(Master[[#This Row],[cu_id]],'[1]Customer Revenue'!$Q:$Q,'[1]Customer Revenue'!$I:$I, "None")</f>
        <v>None</v>
      </c>
      <c r="AL1364" s="53">
        <v>55.67076923076921</v>
      </c>
      <c r="AM1364" s="61">
        <v>0.375</v>
      </c>
      <c r="AN1364" s="60">
        <v>0.77083333333333337</v>
      </c>
      <c r="AO1364" s="60" t="s">
        <v>36</v>
      </c>
      <c r="AP1364" s="60" t="s">
        <v>36</v>
      </c>
      <c r="AQ1364" s="58" t="s">
        <v>308</v>
      </c>
      <c r="AR1364" s="58"/>
      <c r="AS1364" s="58"/>
      <c r="AT1364" s="52">
        <v>0</v>
      </c>
      <c r="AU1364" s="52" t="e">
        <f>IF(Master[[#This Row],[RSP StopTime override]] &lt;&gt; "",Master[[#This Row],[RSP StopTime override]],IF(Master[[#This Row],[Avg stop time helper]] &lt;&gt; 0, Master[[#This Row],[Avg stop time helper]],Average_Stop_Time))</f>
        <v>#DIV/0!</v>
      </c>
      <c r="AV1364" s="21"/>
      <c r="AW1364" s="20">
        <f>Master[[#This Row],[RSP StopTime override]]-Master[[#This Row],[Avg stop time helper]]</f>
        <v>0</v>
      </c>
    </row>
    <row r="1365" spans="1:49" x14ac:dyDescent="0.3">
      <c r="A1365" s="66" t="s">
        <v>5368</v>
      </c>
      <c r="B1365" s="58">
        <v>8010</v>
      </c>
      <c r="C1365" s="58" t="s">
        <v>43</v>
      </c>
      <c r="D1365" s="65">
        <v>888100</v>
      </c>
      <c r="E1365" s="65" t="s">
        <v>711</v>
      </c>
      <c r="F1365" s="65" t="s">
        <v>710</v>
      </c>
      <c r="G1365" s="65" t="s">
        <v>709</v>
      </c>
      <c r="H1365" s="65" t="s">
        <v>7</v>
      </c>
      <c r="I1365" s="65" t="s">
        <v>6</v>
      </c>
      <c r="J1365" s="65" t="s">
        <v>5</v>
      </c>
      <c r="K1365" s="65" t="s">
        <v>708</v>
      </c>
      <c r="L1365" s="64" t="s">
        <v>67</v>
      </c>
      <c r="M1365" s="58" t="s">
        <v>3</v>
      </c>
      <c r="N1365" s="58" t="s">
        <v>2</v>
      </c>
      <c r="O1365" s="58">
        <v>20</v>
      </c>
      <c r="P1365" s="58">
        <v>0</v>
      </c>
      <c r="Q1365" s="58">
        <v>0</v>
      </c>
      <c r="R1365" s="58">
        <v>0</v>
      </c>
      <c r="S1365" s="58">
        <v>20</v>
      </c>
      <c r="T1365" s="58">
        <v>0</v>
      </c>
      <c r="U1365" s="58">
        <v>40</v>
      </c>
      <c r="V1365" s="62"/>
      <c r="W1365" s="62"/>
      <c r="X1365" s="63">
        <f>IFERROR(1 -(Master[[#This Row],[Avg Garment Scans per Delivery]]/Master[[#This Row],[Garment Inventory]]), 0)</f>
        <v>0</v>
      </c>
      <c r="Y1365" s="62"/>
      <c r="Z1365" s="62"/>
      <c r="AA1365" s="53">
        <v>58.179999999999971</v>
      </c>
      <c r="AB1365" s="53">
        <v>58.18</v>
      </c>
      <c r="AC1365" s="53">
        <v>46.832222222222235</v>
      </c>
      <c r="AD1365" s="53">
        <v>61.214444444444446</v>
      </c>
      <c r="AE1365" s="53" t="str">
        <f>_xlfn.XLOOKUP(Master[[#This Row],[cu_id]],'[1]Customer Revenue'!$Q:$Q,'[1]Customer Revenue'!$K:$K, "None")</f>
        <v>None</v>
      </c>
      <c r="AF1365" s="53" t="str">
        <f>_xlfn.XLOOKUP(Master[[#This Row],[cu_id]],'[1]Customer Revenue'!$Q:$Q,'[1]Customer Revenue'!$L:$L, "None")</f>
        <v>None</v>
      </c>
      <c r="AG1365" s="53">
        <v>56.478888888888918</v>
      </c>
      <c r="AH1365" s="53">
        <v>77.941111111111155</v>
      </c>
      <c r="AI1365" s="53">
        <v>58.179999999999986</v>
      </c>
      <c r="AJ1365" s="53">
        <v>54.023333333333341</v>
      </c>
      <c r="AK1365" s="53" t="str">
        <f>_xlfn.XLOOKUP(Master[[#This Row],[cu_id]],'[1]Customer Revenue'!$Q:$Q,'[1]Customer Revenue'!$I:$I, "None")</f>
        <v>None</v>
      </c>
      <c r="AL1365" s="53">
        <v>67.210000000000036</v>
      </c>
      <c r="AM1365" s="61" t="s">
        <v>36</v>
      </c>
      <c r="AN1365" s="60" t="s">
        <v>36</v>
      </c>
      <c r="AO1365" s="60" t="s">
        <v>36</v>
      </c>
      <c r="AP1365" s="60" t="s">
        <v>36</v>
      </c>
      <c r="AQ1365" s="58" t="s">
        <v>308</v>
      </c>
      <c r="AR1365" s="58"/>
      <c r="AS1365" s="58"/>
      <c r="AT1365" s="52">
        <v>0</v>
      </c>
      <c r="AU1365" s="52" t="e">
        <f>IF(Master[[#This Row],[RSP StopTime override]] &lt;&gt; "",Master[[#This Row],[RSP StopTime override]],IF(Master[[#This Row],[Avg stop time helper]] &lt;&gt; 0, Master[[#This Row],[Avg stop time helper]],Average_Stop_Time))</f>
        <v>#DIV/0!</v>
      </c>
      <c r="AV1365" s="21"/>
      <c r="AW1365" s="20">
        <f>Master[[#This Row],[RSP StopTime override]]-Master[[#This Row],[Avg stop time helper]]</f>
        <v>0</v>
      </c>
    </row>
    <row r="1366" spans="1:49" x14ac:dyDescent="0.3">
      <c r="A1366" s="66" t="s">
        <v>5369</v>
      </c>
      <c r="B1366" s="58">
        <v>8010</v>
      </c>
      <c r="C1366" s="58" t="s">
        <v>43</v>
      </c>
      <c r="D1366" s="65">
        <v>888100</v>
      </c>
      <c r="E1366" s="65" t="s">
        <v>707</v>
      </c>
      <c r="F1366" s="65" t="s">
        <v>706</v>
      </c>
      <c r="G1366" s="65" t="s">
        <v>705</v>
      </c>
      <c r="H1366" s="65" t="s">
        <v>7</v>
      </c>
      <c r="I1366" s="65" t="s">
        <v>6</v>
      </c>
      <c r="J1366" s="65" t="s">
        <v>5</v>
      </c>
      <c r="K1366" s="65" t="s">
        <v>4</v>
      </c>
      <c r="L1366" s="64" t="s">
        <v>67</v>
      </c>
      <c r="M1366" s="58" t="s">
        <v>3</v>
      </c>
      <c r="N1366" s="58" t="s">
        <v>2</v>
      </c>
      <c r="O1366" s="58">
        <v>125</v>
      </c>
      <c r="P1366" s="58">
        <v>0</v>
      </c>
      <c r="Q1366" s="58">
        <v>0</v>
      </c>
      <c r="R1366" s="58">
        <v>0</v>
      </c>
      <c r="S1366" s="58">
        <v>125</v>
      </c>
      <c r="T1366" s="58">
        <v>0</v>
      </c>
      <c r="U1366" s="58">
        <v>31</v>
      </c>
      <c r="V1366" s="62"/>
      <c r="W1366" s="62"/>
      <c r="X1366" s="63">
        <f>IFERROR(1 -(Master[[#This Row],[Avg Garment Scans per Delivery]]/Master[[#This Row],[Garment Inventory]]), 0)</f>
        <v>0</v>
      </c>
      <c r="Y1366" s="62"/>
      <c r="Z1366" s="62"/>
      <c r="AA1366" s="53">
        <v>24.79</v>
      </c>
      <c r="AB1366" s="53">
        <v>24.79</v>
      </c>
      <c r="AC1366" s="53">
        <v>24.593799999999998</v>
      </c>
      <c r="AD1366" s="53">
        <v>25.380199999999999</v>
      </c>
      <c r="AE1366" s="53" t="str">
        <f>_xlfn.XLOOKUP(Master[[#This Row],[cu_id]],'[1]Customer Revenue'!$Q:$Q,'[1]Customer Revenue'!$K:$K, "None")</f>
        <v>None</v>
      </c>
      <c r="AF1366" s="53" t="str">
        <f>_xlfn.XLOOKUP(Master[[#This Row],[cu_id]],'[1]Customer Revenue'!$Q:$Q,'[1]Customer Revenue'!$L:$L, "None")</f>
        <v>None</v>
      </c>
      <c r="AG1366" s="53">
        <v>21.375325443786984</v>
      </c>
      <c r="AH1366" s="53">
        <v>25.361597633136093</v>
      </c>
      <c r="AI1366" s="53">
        <v>24.79</v>
      </c>
      <c r="AJ1366" s="53">
        <v>24.986999999999998</v>
      </c>
      <c r="AK1366" s="53" t="str">
        <f>_xlfn.XLOOKUP(Master[[#This Row],[cu_id]],'[1]Customer Revenue'!$Q:$Q,'[1]Customer Revenue'!$I:$I, "None")</f>
        <v>None</v>
      </c>
      <c r="AL1366" s="53">
        <v>23.368461538461538</v>
      </c>
      <c r="AM1366" s="61" t="s">
        <v>36</v>
      </c>
      <c r="AN1366" s="60" t="s">
        <v>36</v>
      </c>
      <c r="AO1366" s="60" t="s">
        <v>36</v>
      </c>
      <c r="AP1366" s="60" t="s">
        <v>36</v>
      </c>
      <c r="AQ1366" s="58" t="s">
        <v>308</v>
      </c>
      <c r="AR1366" s="58"/>
      <c r="AS1366" s="58"/>
      <c r="AT1366" s="52">
        <v>0</v>
      </c>
      <c r="AU1366" s="52" t="e">
        <f>IF(Master[[#This Row],[RSP StopTime override]] &lt;&gt; "",Master[[#This Row],[RSP StopTime override]],IF(Master[[#This Row],[Avg stop time helper]] &lt;&gt; 0, Master[[#This Row],[Avg stop time helper]],Average_Stop_Time))</f>
        <v>#DIV/0!</v>
      </c>
      <c r="AV1366" s="21"/>
      <c r="AW1366" s="20">
        <f>Master[[#This Row],[RSP StopTime override]]-Master[[#This Row],[Avg stop time helper]]</f>
        <v>0</v>
      </c>
    </row>
    <row r="1367" spans="1:49" x14ac:dyDescent="0.3">
      <c r="A1367" s="66" t="s">
        <v>5370</v>
      </c>
      <c r="B1367" s="58">
        <v>8010</v>
      </c>
      <c r="C1367" s="58" t="s">
        <v>43</v>
      </c>
      <c r="D1367" s="65">
        <v>888100</v>
      </c>
      <c r="E1367" s="65" t="s">
        <v>704</v>
      </c>
      <c r="F1367" s="65" t="s">
        <v>703</v>
      </c>
      <c r="G1367" s="65" t="s">
        <v>702</v>
      </c>
      <c r="H1367" s="65" t="s">
        <v>7</v>
      </c>
      <c r="I1367" s="65" t="s">
        <v>6</v>
      </c>
      <c r="J1367" s="65" t="s">
        <v>5</v>
      </c>
      <c r="K1367" s="65" t="s">
        <v>701</v>
      </c>
      <c r="L1367" s="64" t="s">
        <v>67</v>
      </c>
      <c r="M1367" s="58" t="s">
        <v>3</v>
      </c>
      <c r="N1367" s="58" t="s">
        <v>2</v>
      </c>
      <c r="O1367" s="58">
        <v>25</v>
      </c>
      <c r="P1367" s="58">
        <v>0</v>
      </c>
      <c r="Q1367" s="58">
        <v>0</v>
      </c>
      <c r="R1367" s="58">
        <v>0</v>
      </c>
      <c r="S1367" s="58">
        <v>25</v>
      </c>
      <c r="T1367" s="58">
        <v>0</v>
      </c>
      <c r="U1367" s="58">
        <v>40</v>
      </c>
      <c r="V1367" s="62"/>
      <c r="W1367" s="62"/>
      <c r="X1367" s="63">
        <f>IFERROR(1 -(Master[[#This Row],[Avg Garment Scans per Delivery]]/Master[[#This Row],[Garment Inventory]]), 0)</f>
        <v>0</v>
      </c>
      <c r="Y1367" s="62"/>
      <c r="Z1367" s="62"/>
      <c r="AA1367" s="53">
        <v>32.29</v>
      </c>
      <c r="AB1367" s="53">
        <v>32.290000000000013</v>
      </c>
      <c r="AC1367" s="53">
        <v>27.323888888888888</v>
      </c>
      <c r="AD1367" s="53">
        <v>33.777777777777779</v>
      </c>
      <c r="AE1367" s="53" t="str">
        <f>_xlfn.XLOOKUP(Master[[#This Row],[cu_id]],'[1]Customer Revenue'!$Q:$Q,'[1]Customer Revenue'!$K:$K, "None")</f>
        <v>None</v>
      </c>
      <c r="AF1367" s="53" t="str">
        <f>_xlfn.XLOOKUP(Master[[#This Row],[cu_id]],'[1]Customer Revenue'!$Q:$Q,'[1]Customer Revenue'!$L:$L, "None")</f>
        <v>None</v>
      </c>
      <c r="AG1367" s="53">
        <v>30.538888888888877</v>
      </c>
      <c r="AH1367" s="53">
        <v>33.081111111111106</v>
      </c>
      <c r="AI1367" s="53">
        <v>32.290000000000006</v>
      </c>
      <c r="AJ1367" s="53">
        <v>30.550833333333333</v>
      </c>
      <c r="AK1367" s="53" t="str">
        <f>_xlfn.XLOOKUP(Master[[#This Row],[cu_id]],'[1]Customer Revenue'!$Q:$Q,'[1]Customer Revenue'!$I:$I, "None")</f>
        <v>None</v>
      </c>
      <c r="AL1367" s="53">
        <v>31.809999999999992</v>
      </c>
      <c r="AM1367" s="61" t="s">
        <v>36</v>
      </c>
      <c r="AN1367" s="60" t="s">
        <v>36</v>
      </c>
      <c r="AO1367" s="60" t="s">
        <v>36</v>
      </c>
      <c r="AP1367" s="60" t="s">
        <v>36</v>
      </c>
      <c r="AQ1367" s="58" t="s">
        <v>308</v>
      </c>
      <c r="AR1367" s="58"/>
      <c r="AS1367" s="58"/>
      <c r="AT1367" s="52">
        <v>0</v>
      </c>
      <c r="AU1367" s="52" t="e">
        <f>IF(Master[[#This Row],[RSP StopTime override]] &lt;&gt; "",Master[[#This Row],[RSP StopTime override]],IF(Master[[#This Row],[Avg stop time helper]] &lt;&gt; 0, Master[[#This Row],[Avg stop time helper]],Average_Stop_Time))</f>
        <v>#DIV/0!</v>
      </c>
      <c r="AV1367" s="21"/>
      <c r="AW1367" s="20">
        <f>Master[[#This Row],[RSP StopTime override]]-Master[[#This Row],[Avg stop time helper]]</f>
        <v>0</v>
      </c>
    </row>
    <row r="1368" spans="1:49" x14ac:dyDescent="0.3">
      <c r="A1368" s="66" t="s">
        <v>5371</v>
      </c>
      <c r="B1368" s="58">
        <v>8010</v>
      </c>
      <c r="C1368" s="58" t="s">
        <v>43</v>
      </c>
      <c r="D1368" s="65">
        <v>889109</v>
      </c>
      <c r="E1368" s="65" t="s">
        <v>700</v>
      </c>
      <c r="F1368" s="65" t="s">
        <v>699</v>
      </c>
      <c r="G1368" s="65" t="s">
        <v>698</v>
      </c>
      <c r="H1368" s="65" t="s">
        <v>7</v>
      </c>
      <c r="I1368" s="65" t="s">
        <v>152</v>
      </c>
      <c r="J1368" s="65" t="s">
        <v>5</v>
      </c>
      <c r="K1368" s="65" t="s">
        <v>4</v>
      </c>
      <c r="L1368" s="64" t="s">
        <v>194</v>
      </c>
      <c r="M1368" s="58" t="s">
        <v>193</v>
      </c>
      <c r="N1368" s="58" t="s">
        <v>2</v>
      </c>
      <c r="O1368" s="58">
        <v>160</v>
      </c>
      <c r="P1368" s="58">
        <v>0</v>
      </c>
      <c r="Q1368" s="58">
        <v>0</v>
      </c>
      <c r="R1368" s="58">
        <v>0</v>
      </c>
      <c r="S1368" s="58">
        <v>160</v>
      </c>
      <c r="T1368" s="58">
        <v>0</v>
      </c>
      <c r="U1368" s="58">
        <v>10</v>
      </c>
      <c r="V1368" s="62"/>
      <c r="W1368" s="62"/>
      <c r="X1368" s="63">
        <f>IFERROR(1 -(Master[[#This Row],[Avg Garment Scans per Delivery]]/Master[[#This Row],[Garment Inventory]]), 0)</f>
        <v>0</v>
      </c>
      <c r="Y1368" s="62"/>
      <c r="Z1368" s="62"/>
      <c r="AA1368" s="53">
        <v>72.811250000000001</v>
      </c>
      <c r="AB1368" s="53">
        <v>80.623750000000001</v>
      </c>
      <c r="AC1368" s="53">
        <v>39.560416666666661</v>
      </c>
      <c r="AD1368" s="53">
        <v>87.032916666666665</v>
      </c>
      <c r="AE1368" s="53" t="str">
        <f>_xlfn.XLOOKUP(Master[[#This Row],[cu_id]],'[1]Customer Revenue'!$Q:$Q,'[1]Customer Revenue'!$K:$K, "None")</f>
        <v>None</v>
      </c>
      <c r="AF1368" s="53" t="str">
        <f>_xlfn.XLOOKUP(Master[[#This Row],[cu_id]],'[1]Customer Revenue'!$Q:$Q,'[1]Customer Revenue'!$L:$L, "None")</f>
        <v>None</v>
      </c>
      <c r="AG1368" s="53">
        <v>54.300535714285708</v>
      </c>
      <c r="AH1368" s="53">
        <v>94.928035714285727</v>
      </c>
      <c r="AI1368" s="53">
        <v>76.717500000000001</v>
      </c>
      <c r="AJ1368" s="53">
        <v>63.29666666666666</v>
      </c>
      <c r="AK1368" s="53" t="str">
        <f>_xlfn.XLOOKUP(Master[[#This Row],[cu_id]],'[1]Customer Revenue'!$Q:$Q,'[1]Customer Revenue'!$I:$I, "None")</f>
        <v>None</v>
      </c>
      <c r="AL1368" s="53">
        <v>74.614285714285714</v>
      </c>
      <c r="AM1368" s="61">
        <v>0.375</v>
      </c>
      <c r="AN1368" s="60">
        <v>0.66666666666666663</v>
      </c>
      <c r="AO1368" s="60" t="s">
        <v>36</v>
      </c>
      <c r="AP1368" s="60" t="s">
        <v>36</v>
      </c>
      <c r="AQ1368" s="58" t="s">
        <v>0</v>
      </c>
      <c r="AR1368" s="58"/>
      <c r="AS1368" s="58"/>
      <c r="AT1368" s="52">
        <v>0</v>
      </c>
      <c r="AU1368" s="52" t="e">
        <f>IF(Master[[#This Row],[RSP StopTime override]] &lt;&gt; "",Master[[#This Row],[RSP StopTime override]],IF(Master[[#This Row],[Avg stop time helper]] &lt;&gt; 0, Master[[#This Row],[Avg stop time helper]],Average_Stop_Time))</f>
        <v>#DIV/0!</v>
      </c>
      <c r="AV1368" s="21"/>
      <c r="AW1368" s="20">
        <f>Master[[#This Row],[RSP StopTime override]]-Master[[#This Row],[Avg stop time helper]]</f>
        <v>0</v>
      </c>
    </row>
    <row r="1369" spans="1:49" x14ac:dyDescent="0.3">
      <c r="A1369" s="66" t="s">
        <v>5372</v>
      </c>
      <c r="B1369" s="58">
        <v>8010</v>
      </c>
      <c r="C1369" s="58" t="s">
        <v>43</v>
      </c>
      <c r="D1369" s="65">
        <v>889109</v>
      </c>
      <c r="E1369" s="65" t="s">
        <v>697</v>
      </c>
      <c r="F1369" s="65" t="s">
        <v>696</v>
      </c>
      <c r="G1369" s="65" t="s">
        <v>693</v>
      </c>
      <c r="H1369" s="65" t="s">
        <v>7</v>
      </c>
      <c r="I1369" s="65" t="s">
        <v>689</v>
      </c>
      <c r="J1369" s="65" t="s">
        <v>5</v>
      </c>
      <c r="K1369" s="65" t="s">
        <v>4</v>
      </c>
      <c r="L1369" s="64" t="s">
        <v>194</v>
      </c>
      <c r="M1369" s="58" t="s">
        <v>193</v>
      </c>
      <c r="N1369" s="58" t="s">
        <v>2</v>
      </c>
      <c r="O1369" s="58">
        <v>125</v>
      </c>
      <c r="P1369" s="58">
        <v>0</v>
      </c>
      <c r="Q1369" s="58">
        <v>0</v>
      </c>
      <c r="R1369" s="58">
        <v>0</v>
      </c>
      <c r="S1369" s="58">
        <v>165</v>
      </c>
      <c r="T1369" s="58">
        <v>0</v>
      </c>
      <c r="U1369" s="58">
        <v>10</v>
      </c>
      <c r="V1369" s="62"/>
      <c r="W1369" s="62"/>
      <c r="X1369" s="63">
        <f>IFERROR(1 -(Master[[#This Row],[Avg Garment Scans per Delivery]]/Master[[#This Row],[Garment Inventory]]), 0)</f>
        <v>0</v>
      </c>
      <c r="Y1369" s="62"/>
      <c r="Z1369" s="62"/>
      <c r="AA1369" s="53">
        <v>114.70999999999998</v>
      </c>
      <c r="AB1369" s="53">
        <v>153.19999999999999</v>
      </c>
      <c r="AC1369" s="53">
        <v>81.423333333333346</v>
      </c>
      <c r="AD1369" s="53">
        <v>108.31666666666666</v>
      </c>
      <c r="AE1369" s="53" t="str">
        <f>_xlfn.XLOOKUP(Master[[#This Row],[cu_id]],'[1]Customer Revenue'!$Q:$Q,'[1]Customer Revenue'!$K:$K, "None")</f>
        <v>None</v>
      </c>
      <c r="AF1369" s="53" t="str">
        <f>_xlfn.XLOOKUP(Master[[#This Row],[cu_id]],'[1]Customer Revenue'!$Q:$Q,'[1]Customer Revenue'!$L:$L, "None")</f>
        <v>None</v>
      </c>
      <c r="AG1369" s="53">
        <v>88.662857142857149</v>
      </c>
      <c r="AH1369" s="53">
        <v>151.18285714285716</v>
      </c>
      <c r="AI1369" s="53">
        <v>133.95499999999998</v>
      </c>
      <c r="AJ1369" s="53">
        <v>94.87</v>
      </c>
      <c r="AK1369" s="53" t="str">
        <f>_xlfn.XLOOKUP(Master[[#This Row],[cu_id]],'[1]Customer Revenue'!$Q:$Q,'[1]Customer Revenue'!$I:$I, "None")</f>
        <v>None</v>
      </c>
      <c r="AL1369" s="53">
        <v>119.92285714285715</v>
      </c>
      <c r="AM1369" s="61">
        <v>0.375</v>
      </c>
      <c r="AN1369" s="60">
        <v>0.66666666666666663</v>
      </c>
      <c r="AO1369" s="60" t="s">
        <v>36</v>
      </c>
      <c r="AP1369" s="60" t="s">
        <v>36</v>
      </c>
      <c r="AQ1369" s="58" t="s">
        <v>0</v>
      </c>
      <c r="AR1369" s="58"/>
      <c r="AS1369" s="58"/>
      <c r="AT1369" s="52">
        <v>0</v>
      </c>
      <c r="AU1369" s="52">
        <f>IF(Master[[#This Row],[RSP StopTime override]] &lt;&gt; "",Master[[#This Row],[RSP StopTime override]],IF(Master[[#This Row],[Avg stop time helper]] &lt;&gt; 0, Master[[#This Row],[Avg stop time helper]],Average_Stop_Time))</f>
        <v>10</v>
      </c>
      <c r="AV1369" s="21">
        <v>10</v>
      </c>
      <c r="AW1369" s="20">
        <f>Master[[#This Row],[RSP StopTime override]]-Master[[#This Row],[Avg stop time helper]]</f>
        <v>10</v>
      </c>
    </row>
    <row r="1370" spans="1:49" x14ac:dyDescent="0.3">
      <c r="A1370" s="66" t="s">
        <v>5373</v>
      </c>
      <c r="B1370" s="58">
        <v>8010</v>
      </c>
      <c r="C1370" s="58" t="s">
        <v>43</v>
      </c>
      <c r="D1370" s="65">
        <v>889109</v>
      </c>
      <c r="E1370" s="65" t="s">
        <v>695</v>
      </c>
      <c r="F1370" s="65" t="s">
        <v>694</v>
      </c>
      <c r="G1370" s="65" t="s">
        <v>693</v>
      </c>
      <c r="H1370" s="65" t="s">
        <v>7</v>
      </c>
      <c r="I1370" s="65" t="s">
        <v>689</v>
      </c>
      <c r="J1370" s="65" t="s">
        <v>5</v>
      </c>
      <c r="K1370" s="65" t="s">
        <v>4</v>
      </c>
      <c r="L1370" s="64" t="s">
        <v>194</v>
      </c>
      <c r="M1370" s="58" t="s">
        <v>193</v>
      </c>
      <c r="N1370" s="58" t="s">
        <v>2</v>
      </c>
      <c r="O1370" s="58">
        <v>120</v>
      </c>
      <c r="P1370" s="58">
        <v>0</v>
      </c>
      <c r="Q1370" s="58">
        <v>0</v>
      </c>
      <c r="R1370" s="58">
        <v>0</v>
      </c>
      <c r="S1370" s="58">
        <v>170</v>
      </c>
      <c r="T1370" s="58">
        <v>0</v>
      </c>
      <c r="U1370" s="58">
        <v>10</v>
      </c>
      <c r="V1370" s="62"/>
      <c r="W1370" s="62"/>
      <c r="X1370" s="63">
        <f>IFERROR(1 -(Master[[#This Row],[Avg Garment Scans per Delivery]]/Master[[#This Row],[Garment Inventory]]), 0)</f>
        <v>0</v>
      </c>
      <c r="Y1370" s="62"/>
      <c r="Z1370" s="62"/>
      <c r="AA1370" s="53">
        <v>23.53</v>
      </c>
      <c r="AB1370" s="53">
        <v>23.53</v>
      </c>
      <c r="AC1370" s="53">
        <v>23.53</v>
      </c>
      <c r="AD1370" s="53">
        <v>23.53</v>
      </c>
      <c r="AE1370" s="53" t="str">
        <f>_xlfn.XLOOKUP(Master[[#This Row],[cu_id]],'[1]Customer Revenue'!$Q:$Q,'[1]Customer Revenue'!$K:$K, "None")</f>
        <v>None</v>
      </c>
      <c r="AF1370" s="53" t="str">
        <f>_xlfn.XLOOKUP(Master[[#This Row],[cu_id]],'[1]Customer Revenue'!$Q:$Q,'[1]Customer Revenue'!$L:$L, "None")</f>
        <v>None</v>
      </c>
      <c r="AG1370" s="53">
        <v>18.3828125</v>
      </c>
      <c r="AH1370" s="53">
        <v>28.677187500000002</v>
      </c>
      <c r="AI1370" s="53">
        <v>23.53</v>
      </c>
      <c r="AJ1370" s="53">
        <v>23.53</v>
      </c>
      <c r="AK1370" s="53" t="str">
        <f>_xlfn.XLOOKUP(Master[[#This Row],[cu_id]],'[1]Customer Revenue'!$Q:$Q,'[1]Customer Revenue'!$I:$I, "None")</f>
        <v>None</v>
      </c>
      <c r="AL1370" s="53">
        <v>23.53</v>
      </c>
      <c r="AM1370" s="61">
        <v>0.375</v>
      </c>
      <c r="AN1370" s="60">
        <v>0.66666666666666663</v>
      </c>
      <c r="AO1370" s="60" t="s">
        <v>36</v>
      </c>
      <c r="AP1370" s="60" t="s">
        <v>36</v>
      </c>
      <c r="AQ1370" s="58" t="s">
        <v>0</v>
      </c>
      <c r="AR1370" s="58"/>
      <c r="AS1370" s="58"/>
      <c r="AT1370" s="52">
        <v>0</v>
      </c>
      <c r="AU1370" s="52">
        <f>IF(Master[[#This Row],[RSP StopTime override]] &lt;&gt; "",Master[[#This Row],[RSP StopTime override]],IF(Master[[#This Row],[Avg stop time helper]] &lt;&gt; 0, Master[[#This Row],[Avg stop time helper]],Average_Stop_Time))</f>
        <v>10</v>
      </c>
      <c r="AV1370" s="21">
        <v>10</v>
      </c>
      <c r="AW1370" s="20">
        <f>Master[[#This Row],[RSP StopTime override]]-Master[[#This Row],[Avg stop time helper]]</f>
        <v>10</v>
      </c>
    </row>
    <row r="1371" spans="1:49" x14ac:dyDescent="0.3">
      <c r="A1371" s="66" t="s">
        <v>5374</v>
      </c>
      <c r="B1371" s="58">
        <v>8010</v>
      </c>
      <c r="C1371" s="58" t="s">
        <v>43</v>
      </c>
      <c r="D1371" s="65">
        <v>889109</v>
      </c>
      <c r="E1371" s="65" t="s">
        <v>692</v>
      </c>
      <c r="F1371" s="65" t="s">
        <v>691</v>
      </c>
      <c r="G1371" s="65" t="s">
        <v>690</v>
      </c>
      <c r="H1371" s="65" t="s">
        <v>7</v>
      </c>
      <c r="I1371" s="65" t="s">
        <v>689</v>
      </c>
      <c r="J1371" s="65" t="s">
        <v>5</v>
      </c>
      <c r="K1371" s="65" t="s">
        <v>4</v>
      </c>
      <c r="L1371" s="64" t="s">
        <v>194</v>
      </c>
      <c r="M1371" s="58" t="s">
        <v>193</v>
      </c>
      <c r="N1371" s="58" t="s">
        <v>2</v>
      </c>
      <c r="O1371" s="58">
        <v>130</v>
      </c>
      <c r="P1371" s="58">
        <v>0</v>
      </c>
      <c r="Q1371" s="58">
        <v>0</v>
      </c>
      <c r="R1371" s="58">
        <v>0</v>
      </c>
      <c r="S1371" s="58">
        <v>175</v>
      </c>
      <c r="T1371" s="58">
        <v>0</v>
      </c>
      <c r="U1371" s="58">
        <v>10</v>
      </c>
      <c r="V1371" s="62"/>
      <c r="W1371" s="62"/>
      <c r="X1371" s="63">
        <f>IFERROR(1 -(Master[[#This Row],[Avg Garment Scans per Delivery]]/Master[[#This Row],[Garment Inventory]]), 0)</f>
        <v>0</v>
      </c>
      <c r="Y1371" s="62"/>
      <c r="Z1371" s="62"/>
      <c r="AA1371" s="53">
        <v>38.57</v>
      </c>
      <c r="AB1371" s="53">
        <v>38.57</v>
      </c>
      <c r="AC1371" s="53">
        <v>33.981111111111112</v>
      </c>
      <c r="AD1371" s="53">
        <v>39.225555555555552</v>
      </c>
      <c r="AE1371" s="53" t="str">
        <f>_xlfn.XLOOKUP(Master[[#This Row],[cu_id]],'[1]Customer Revenue'!$Q:$Q,'[1]Customer Revenue'!$K:$K, "None")</f>
        <v>None</v>
      </c>
      <c r="AF1371" s="53" t="str">
        <f>_xlfn.XLOOKUP(Master[[#This Row],[cu_id]],'[1]Customer Revenue'!$Q:$Q,'[1]Customer Revenue'!$L:$L, "None")</f>
        <v>None</v>
      </c>
      <c r="AG1371" s="53">
        <v>28.815848214285715</v>
      </c>
      <c r="AH1371" s="53">
        <v>44.952723214285719</v>
      </c>
      <c r="AI1371" s="53">
        <v>38.57</v>
      </c>
      <c r="AJ1371" s="53">
        <v>36.603333333333332</v>
      </c>
      <c r="AK1371" s="53" t="str">
        <f>_xlfn.XLOOKUP(Master[[#This Row],[cu_id]],'[1]Customer Revenue'!$Q:$Q,'[1]Customer Revenue'!$I:$I, "None")</f>
        <v>None</v>
      </c>
      <c r="AL1371" s="53">
        <v>36.884285714285717</v>
      </c>
      <c r="AM1371" s="61">
        <v>0.41666666666666669</v>
      </c>
      <c r="AN1371" s="60">
        <v>0.58333333333333337</v>
      </c>
      <c r="AO1371" s="60" t="s">
        <v>36</v>
      </c>
      <c r="AP1371" s="60" t="s">
        <v>36</v>
      </c>
      <c r="AQ1371" s="58" t="s">
        <v>0</v>
      </c>
      <c r="AR1371" s="58"/>
      <c r="AS1371" s="58"/>
      <c r="AT1371" s="52">
        <v>0</v>
      </c>
      <c r="AU1371" s="52">
        <f>IF(Master[[#This Row],[RSP StopTime override]] &lt;&gt; "",Master[[#This Row],[RSP StopTime override]],IF(Master[[#This Row],[Avg stop time helper]] &lt;&gt; 0, Master[[#This Row],[Avg stop time helper]],Average_Stop_Time))</f>
        <v>10</v>
      </c>
      <c r="AV1371" s="21">
        <v>10</v>
      </c>
      <c r="AW1371" s="20">
        <f>Master[[#This Row],[RSP StopTime override]]-Master[[#This Row],[Avg stop time helper]]</f>
        <v>10</v>
      </c>
    </row>
    <row r="1372" spans="1:49" x14ac:dyDescent="0.3">
      <c r="A1372" s="66" t="s">
        <v>5375</v>
      </c>
      <c r="B1372" s="58">
        <v>8010</v>
      </c>
      <c r="C1372" s="58" t="s">
        <v>15</v>
      </c>
      <c r="D1372" s="65">
        <v>99160</v>
      </c>
      <c r="E1372" s="65" t="s">
        <v>42</v>
      </c>
      <c r="F1372" s="65" t="s">
        <v>688</v>
      </c>
      <c r="G1372" s="65" t="s">
        <v>687</v>
      </c>
      <c r="H1372" s="65" t="s">
        <v>7</v>
      </c>
      <c r="I1372" s="65" t="s">
        <v>6</v>
      </c>
      <c r="J1372" s="65" t="s">
        <v>5</v>
      </c>
      <c r="K1372" s="65" t="s">
        <v>68</v>
      </c>
      <c r="L1372" s="64" t="s">
        <v>77</v>
      </c>
      <c r="M1372" s="58" t="s">
        <v>29</v>
      </c>
      <c r="N1372" s="58" t="s">
        <v>2</v>
      </c>
      <c r="O1372" s="58">
        <v>22</v>
      </c>
      <c r="P1372" s="58">
        <v>0</v>
      </c>
      <c r="Q1372" s="58">
        <v>0</v>
      </c>
      <c r="R1372" s="58">
        <v>0</v>
      </c>
      <c r="S1372" s="58">
        <v>0</v>
      </c>
      <c r="T1372" s="58">
        <v>105</v>
      </c>
      <c r="U1372" s="58">
        <v>4</v>
      </c>
      <c r="V1372" s="62"/>
      <c r="W1372" s="62"/>
      <c r="X1372" s="63">
        <f>IFERROR(1 -(Master[[#This Row],[Avg Garment Scans per Delivery]]/Master[[#This Row],[Garment Inventory]]), 0)</f>
        <v>0</v>
      </c>
      <c r="Y1372" s="62"/>
      <c r="Z1372" s="62"/>
      <c r="AA1372" s="53">
        <v>88.117500000000007</v>
      </c>
      <c r="AB1372" s="53">
        <v>153.0325</v>
      </c>
      <c r="AC1372" s="53">
        <v>113.14340136054423</v>
      </c>
      <c r="AD1372" s="53">
        <v>191.90993197278911</v>
      </c>
      <c r="AE1372" s="53" t="str">
        <f>_xlfn.XLOOKUP(Master[[#This Row],[cu_id]],'[1]Customer Revenue'!$Q:$Q,'[1]Customer Revenue'!$K:$K, "None")</f>
        <v>None</v>
      </c>
      <c r="AF1372" s="53" t="str">
        <f>_xlfn.XLOOKUP(Master[[#This Row],[cu_id]],'[1]Customer Revenue'!$Q:$Q,'[1]Customer Revenue'!$L:$L, "None")</f>
        <v>None</v>
      </c>
      <c r="AG1372" s="53">
        <v>88.117500000000007</v>
      </c>
      <c r="AH1372" s="53">
        <v>153.0325</v>
      </c>
      <c r="AI1372" s="53">
        <v>120.575</v>
      </c>
      <c r="AJ1372" s="53">
        <v>152.52666666666667</v>
      </c>
      <c r="AK1372" s="53" t="str">
        <f>_xlfn.XLOOKUP(Master[[#This Row],[cu_id]],'[1]Customer Revenue'!$Q:$Q,'[1]Customer Revenue'!$I:$I, "None")</f>
        <v>None</v>
      </c>
      <c r="AL1372" s="53">
        <v>120.575</v>
      </c>
      <c r="AM1372" s="61">
        <v>0.25</v>
      </c>
      <c r="AN1372" s="60">
        <v>0.8125</v>
      </c>
      <c r="AO1372" s="60" t="s">
        <v>36</v>
      </c>
      <c r="AP1372" s="60" t="s">
        <v>36</v>
      </c>
      <c r="AQ1372" s="58" t="s">
        <v>308</v>
      </c>
      <c r="AR1372" s="58"/>
      <c r="AS1372" s="58"/>
      <c r="AT1372" s="52">
        <v>0</v>
      </c>
      <c r="AU1372" s="52" t="e">
        <f>IF(Master[[#This Row],[RSP StopTime override]] &lt;&gt; "",Master[[#This Row],[RSP StopTime override]],IF(Master[[#This Row],[Avg stop time helper]] &lt;&gt; 0, Master[[#This Row],[Avg stop time helper]],Average_Stop_Time))</f>
        <v>#DIV/0!</v>
      </c>
      <c r="AV1372" s="21"/>
      <c r="AW1372" s="20">
        <f>Master[[#This Row],[RSP StopTime override]]-Master[[#This Row],[Avg stop time helper]]</f>
        <v>0</v>
      </c>
    </row>
    <row r="1373" spans="1:49" x14ac:dyDescent="0.3">
      <c r="A1373" s="66" t="s">
        <v>5376</v>
      </c>
      <c r="B1373" s="58">
        <v>8010</v>
      </c>
      <c r="C1373" s="58" t="s">
        <v>15</v>
      </c>
      <c r="D1373" s="65">
        <v>99160</v>
      </c>
      <c r="E1373" s="65" t="s">
        <v>686</v>
      </c>
      <c r="F1373" s="65" t="s">
        <v>685</v>
      </c>
      <c r="G1373" s="65" t="s">
        <v>684</v>
      </c>
      <c r="H1373" s="65" t="s">
        <v>7</v>
      </c>
      <c r="I1373" s="65" t="s">
        <v>6</v>
      </c>
      <c r="J1373" s="65" t="s">
        <v>5</v>
      </c>
      <c r="K1373" s="65" t="s">
        <v>146</v>
      </c>
      <c r="L1373" s="64" t="s">
        <v>77</v>
      </c>
      <c r="M1373" s="58" t="s">
        <v>29</v>
      </c>
      <c r="N1373" s="58" t="s">
        <v>2</v>
      </c>
      <c r="O1373" s="58">
        <v>49</v>
      </c>
      <c r="P1373" s="58">
        <v>0</v>
      </c>
      <c r="Q1373" s="58">
        <v>0</v>
      </c>
      <c r="R1373" s="58">
        <v>0</v>
      </c>
      <c r="S1373" s="58">
        <v>0</v>
      </c>
      <c r="T1373" s="58">
        <v>47</v>
      </c>
      <c r="U1373" s="58">
        <v>4</v>
      </c>
      <c r="V1373" s="62"/>
      <c r="W1373" s="62"/>
      <c r="X1373" s="63">
        <f>IFERROR(1 -(Master[[#This Row],[Avg Garment Scans per Delivery]]/Master[[#This Row],[Garment Inventory]]), 0)</f>
        <v>0</v>
      </c>
      <c r="Y1373" s="62"/>
      <c r="Z1373" s="62"/>
      <c r="AA1373" s="53">
        <v>123.74000000000001</v>
      </c>
      <c r="AB1373" s="53">
        <v>155.86000000000001</v>
      </c>
      <c r="AC1373" s="53">
        <v>82.14222222222223</v>
      </c>
      <c r="AD1373" s="53">
        <v>190.01777777777778</v>
      </c>
      <c r="AE1373" s="53" t="str">
        <f>_xlfn.XLOOKUP(Master[[#This Row],[cu_id]],'[1]Customer Revenue'!$Q:$Q,'[1]Customer Revenue'!$K:$K, "None")</f>
        <v>None</v>
      </c>
      <c r="AF1373" s="53" t="str">
        <f>_xlfn.XLOOKUP(Master[[#This Row],[cu_id]],'[1]Customer Revenue'!$Q:$Q,'[1]Customer Revenue'!$L:$L, "None")</f>
        <v>None</v>
      </c>
      <c r="AG1373" s="53">
        <v>123.74000000000001</v>
      </c>
      <c r="AH1373" s="53">
        <v>155.86000000000001</v>
      </c>
      <c r="AI1373" s="53">
        <v>139.80000000000001</v>
      </c>
      <c r="AJ1373" s="53">
        <v>136.08000000000001</v>
      </c>
      <c r="AK1373" s="53" t="str">
        <f>_xlfn.XLOOKUP(Master[[#This Row],[cu_id]],'[1]Customer Revenue'!$Q:$Q,'[1]Customer Revenue'!$I:$I, "None")</f>
        <v>None</v>
      </c>
      <c r="AL1373" s="53">
        <v>139.80000000000001</v>
      </c>
      <c r="AM1373" s="61">
        <v>0.3125</v>
      </c>
      <c r="AN1373" s="60">
        <v>0.85416666666666663</v>
      </c>
      <c r="AO1373" s="60" t="s">
        <v>36</v>
      </c>
      <c r="AP1373" s="60" t="s">
        <v>36</v>
      </c>
      <c r="AQ1373" s="58" t="s">
        <v>0</v>
      </c>
      <c r="AR1373" s="58"/>
      <c r="AS1373" s="58"/>
      <c r="AT1373" s="52">
        <v>0</v>
      </c>
      <c r="AU1373" s="52">
        <f>IF(Master[[#This Row],[RSP StopTime override]] &lt;&gt; "",Master[[#This Row],[RSP StopTime override]],IF(Master[[#This Row],[Avg stop time helper]] &lt;&gt; 0, Master[[#This Row],[Avg stop time helper]],Average_Stop_Time))</f>
        <v>10</v>
      </c>
      <c r="AV1373" s="21">
        <v>10</v>
      </c>
      <c r="AW1373" s="20">
        <f>Master[[#This Row],[RSP StopTime override]]-Master[[#This Row],[Avg stop time helper]]</f>
        <v>10</v>
      </c>
    </row>
    <row r="1374" spans="1:49" x14ac:dyDescent="0.3">
      <c r="A1374" s="73" t="s">
        <v>5377</v>
      </c>
      <c r="B1374" s="64">
        <v>8010</v>
      </c>
      <c r="C1374" s="64" t="s">
        <v>15</v>
      </c>
      <c r="D1374" s="65">
        <v>99169</v>
      </c>
      <c r="E1374" s="65" t="s">
        <v>683</v>
      </c>
      <c r="F1374" s="65" t="s">
        <v>682</v>
      </c>
      <c r="G1374" s="65" t="s">
        <v>681</v>
      </c>
      <c r="H1374" s="65" t="s">
        <v>7</v>
      </c>
      <c r="I1374" s="65" t="s">
        <v>6</v>
      </c>
      <c r="J1374" s="65" t="s">
        <v>5</v>
      </c>
      <c r="K1374" s="65" t="s">
        <v>68</v>
      </c>
      <c r="L1374" s="64" t="s">
        <v>67</v>
      </c>
      <c r="M1374" s="65" t="s">
        <v>3</v>
      </c>
      <c r="N1374" s="65" t="s">
        <v>2</v>
      </c>
      <c r="O1374" s="65">
        <v>17</v>
      </c>
      <c r="P1374" s="65">
        <v>0</v>
      </c>
      <c r="Q1374" s="65">
        <v>0</v>
      </c>
      <c r="R1374" s="65">
        <v>0</v>
      </c>
      <c r="S1374" s="65">
        <v>0</v>
      </c>
      <c r="T1374" s="65">
        <v>17</v>
      </c>
      <c r="U1374" s="65">
        <v>3</v>
      </c>
      <c r="V1374" s="65">
        <v>58</v>
      </c>
      <c r="W1374" s="65"/>
      <c r="X1374" s="72">
        <f>IFERROR(1 -(Master[[#This Row],[Avg Garment Scans per Delivery]]/Master[[#This Row],[Garment Inventory]]), 0)</f>
        <v>1</v>
      </c>
      <c r="Y1374" s="65"/>
      <c r="Z1374" s="65"/>
      <c r="AA1374" s="53">
        <v>82</v>
      </c>
      <c r="AB1374" s="53">
        <v>95</v>
      </c>
      <c r="AC1374" s="53">
        <v>82</v>
      </c>
      <c r="AD1374" s="53">
        <v>95</v>
      </c>
      <c r="AE1374" s="53" t="str">
        <f>_xlfn.XLOOKUP(Master[[#This Row],[cu_id]],'[1]Customer Revenue'!$Q:$Q,'[1]Customer Revenue'!$K:$K, "None")</f>
        <v>None</v>
      </c>
      <c r="AF1374" s="53" t="str">
        <f>_xlfn.XLOOKUP(Master[[#This Row],[cu_id]],'[1]Customer Revenue'!$Q:$Q,'[1]Customer Revenue'!$L:$L, "None")</f>
        <v>None</v>
      </c>
      <c r="AG1374" s="53">
        <v>82</v>
      </c>
      <c r="AH1374" s="53">
        <v>95</v>
      </c>
      <c r="AI1374" s="53" t="s">
        <v>680</v>
      </c>
      <c r="AJ1374" s="53" t="s">
        <v>680</v>
      </c>
      <c r="AK1374" s="53" t="str">
        <f>_xlfn.XLOOKUP(Master[[#This Row],[cu_id]],'[1]Customer Revenue'!$Q:$Q,'[1]Customer Revenue'!$I:$I, "None")</f>
        <v>None</v>
      </c>
      <c r="AL1374" s="53" t="s">
        <v>680</v>
      </c>
      <c r="AM1374" s="71" t="s">
        <v>1</v>
      </c>
      <c r="AN1374" s="71" t="s">
        <v>1</v>
      </c>
      <c r="AO1374" s="71" t="s">
        <v>36</v>
      </c>
      <c r="AP1374" s="71" t="s">
        <v>36</v>
      </c>
      <c r="AQ1374" s="64" t="s">
        <v>0</v>
      </c>
      <c r="AR1374" s="64"/>
      <c r="AS1374" s="65"/>
      <c r="AT1374" s="52">
        <v>0</v>
      </c>
      <c r="AU1374" s="52" t="e">
        <f>IF(Master[[#This Row],[RSP StopTime override]] &lt;&gt; "",Master[[#This Row],[RSP StopTime override]],IF(Master[[#This Row],[Avg stop time helper]] &lt;&gt; 0, Master[[#This Row],[Avg stop time helper]],Average_Stop_Time))</f>
        <v>#DIV/0!</v>
      </c>
      <c r="AV1374" s="21"/>
      <c r="AW1374" s="20">
        <f>Master[[#This Row],[RSP StopTime override]]-Master[[#This Row],[Avg stop time helper]]</f>
        <v>0</v>
      </c>
    </row>
    <row r="1375" spans="1:49" x14ac:dyDescent="0.3">
      <c r="A1375" s="66" t="s">
        <v>5378</v>
      </c>
      <c r="B1375" s="58">
        <v>8010</v>
      </c>
      <c r="C1375" s="58" t="s">
        <v>15</v>
      </c>
      <c r="D1375" s="65">
        <v>526647</v>
      </c>
      <c r="E1375" s="65" t="s">
        <v>42</v>
      </c>
      <c r="F1375" s="65" t="s">
        <v>679</v>
      </c>
      <c r="G1375" s="65" t="s">
        <v>678</v>
      </c>
      <c r="H1375" s="65" t="s">
        <v>32</v>
      </c>
      <c r="I1375" s="65" t="s">
        <v>677</v>
      </c>
      <c r="J1375" s="65" t="s">
        <v>5</v>
      </c>
      <c r="K1375" s="65" t="s">
        <v>68</v>
      </c>
      <c r="L1375" s="64" t="s">
        <v>67</v>
      </c>
      <c r="M1375" s="58" t="s">
        <v>3</v>
      </c>
      <c r="N1375" s="58" t="s">
        <v>2</v>
      </c>
      <c r="O1375" s="58">
        <v>67</v>
      </c>
      <c r="P1375" s="58">
        <v>0</v>
      </c>
      <c r="Q1375" s="58">
        <v>0</v>
      </c>
      <c r="R1375" s="58">
        <v>0</v>
      </c>
      <c r="S1375" s="58">
        <v>0</v>
      </c>
      <c r="T1375" s="58">
        <v>67</v>
      </c>
      <c r="U1375" s="58">
        <v>52</v>
      </c>
      <c r="V1375" s="62"/>
      <c r="W1375" s="62"/>
      <c r="X1375" s="63">
        <f>IFERROR(1 -(Master[[#This Row],[Avg Garment Scans per Delivery]]/Master[[#This Row],[Garment Inventory]]), 0)</f>
        <v>0</v>
      </c>
      <c r="Y1375" s="62"/>
      <c r="Z1375" s="62"/>
      <c r="AA1375" s="53">
        <v>57.445088757396448</v>
      </c>
      <c r="AB1375" s="53">
        <v>89.33029585798819</v>
      </c>
      <c r="AC1375" s="53">
        <v>59.967810650887564</v>
      </c>
      <c r="AD1375" s="53">
        <v>98.647573964497042</v>
      </c>
      <c r="AE1375" s="53" t="str">
        <f>_xlfn.XLOOKUP(Master[[#This Row],[cu_id]],'[1]Customer Revenue'!$Q:$Q,'[1]Customer Revenue'!$K:$K, "None")</f>
        <v>None</v>
      </c>
      <c r="AF1375" s="53" t="str">
        <f>_xlfn.XLOOKUP(Master[[#This Row],[cu_id]],'[1]Customer Revenue'!$Q:$Q,'[1]Customer Revenue'!$L:$L, "None")</f>
        <v>None</v>
      </c>
      <c r="AG1375" s="53">
        <v>54.384112426035486</v>
      </c>
      <c r="AH1375" s="53">
        <v>89.832041420118301</v>
      </c>
      <c r="AI1375" s="53">
        <v>73.387692307692319</v>
      </c>
      <c r="AJ1375" s="53">
        <v>79.307692307692307</v>
      </c>
      <c r="AK1375" s="53" t="str">
        <f>_xlfn.XLOOKUP(Master[[#This Row],[cu_id]],'[1]Customer Revenue'!$Q:$Q,'[1]Customer Revenue'!$I:$I, "None")</f>
        <v>None</v>
      </c>
      <c r="AL1375" s="53">
        <v>72.108076923076894</v>
      </c>
      <c r="AM1375" s="61">
        <v>0.39583333333333331</v>
      </c>
      <c r="AN1375" s="60">
        <v>0.79166666666666663</v>
      </c>
      <c r="AO1375" s="60" t="s">
        <v>36</v>
      </c>
      <c r="AP1375" s="60" t="s">
        <v>36</v>
      </c>
      <c r="AQ1375" s="58" t="s">
        <v>589</v>
      </c>
      <c r="AR1375" s="58"/>
      <c r="AS1375" s="58"/>
      <c r="AT1375" s="52">
        <v>0</v>
      </c>
      <c r="AU1375" s="52">
        <f>IF(Master[[#This Row],[RSP StopTime override]] &lt;&gt; "",Master[[#This Row],[RSP StopTime override]],IF(Master[[#This Row],[Avg stop time helper]] &lt;&gt; 0, Master[[#This Row],[Avg stop time helper]],Average_Stop_Time))</f>
        <v>15</v>
      </c>
      <c r="AV1375" s="21">
        <v>15</v>
      </c>
      <c r="AW1375" s="20">
        <f>Master[[#This Row],[RSP StopTime override]]-Master[[#This Row],[Avg stop time helper]]</f>
        <v>15</v>
      </c>
    </row>
    <row r="1376" spans="1:49" x14ac:dyDescent="0.3">
      <c r="A1376" s="66" t="s">
        <v>5379</v>
      </c>
      <c r="B1376" s="58">
        <v>8010</v>
      </c>
      <c r="C1376" s="58" t="s">
        <v>15</v>
      </c>
      <c r="D1376" s="65">
        <v>802119</v>
      </c>
      <c r="E1376" s="65" t="s">
        <v>42</v>
      </c>
      <c r="F1376" s="65" t="s">
        <v>3765</v>
      </c>
      <c r="G1376" s="65" t="s">
        <v>676</v>
      </c>
      <c r="H1376" s="65" t="s">
        <v>7</v>
      </c>
      <c r="I1376" s="65" t="s">
        <v>6</v>
      </c>
      <c r="J1376" s="65" t="s">
        <v>5</v>
      </c>
      <c r="K1376" s="65" t="s">
        <v>675</v>
      </c>
      <c r="L1376" s="64" t="s">
        <v>67</v>
      </c>
      <c r="M1376" s="58" t="s">
        <v>3</v>
      </c>
      <c r="N1376" s="58" t="s">
        <v>2</v>
      </c>
      <c r="O1376" s="58">
        <v>30</v>
      </c>
      <c r="P1376" s="58">
        <v>0</v>
      </c>
      <c r="Q1376" s="58">
        <v>0</v>
      </c>
      <c r="R1376" s="58">
        <v>0</v>
      </c>
      <c r="S1376" s="58">
        <v>0</v>
      </c>
      <c r="T1376" s="58">
        <v>30</v>
      </c>
      <c r="U1376" s="58">
        <v>39</v>
      </c>
      <c r="V1376" s="62"/>
      <c r="W1376" s="62"/>
      <c r="X1376" s="63">
        <f>IFERROR(1 -(Master[[#This Row],[Avg Garment Scans per Delivery]]/Master[[#This Row],[Garment Inventory]]), 0)</f>
        <v>0</v>
      </c>
      <c r="Y1376" s="62"/>
      <c r="Z1376" s="62"/>
      <c r="AA1376" s="53">
        <v>47.702500000000001</v>
      </c>
      <c r="AB1376" s="53">
        <v>58.727500000000006</v>
      </c>
      <c r="AC1376" s="53">
        <v>48.350355029585799</v>
      </c>
      <c r="AD1376" s="53">
        <v>49.35579881656804</v>
      </c>
      <c r="AE1376" s="53" t="str">
        <f>_xlfn.XLOOKUP(Master[[#This Row],[cu_id]],'[1]Customer Revenue'!$Q:$Q,'[1]Customer Revenue'!$K:$K, "None")</f>
        <v>None</v>
      </c>
      <c r="AF1376" s="53" t="str">
        <f>_xlfn.XLOOKUP(Master[[#This Row],[cu_id]],'[1]Customer Revenue'!$Q:$Q,'[1]Customer Revenue'!$L:$L, "None")</f>
        <v>None</v>
      </c>
      <c r="AG1376" s="53">
        <v>43.244195816186526</v>
      </c>
      <c r="AH1376" s="53">
        <v>71.719970850480109</v>
      </c>
      <c r="AI1376" s="53">
        <v>53.215000000000003</v>
      </c>
      <c r="AJ1376" s="53">
        <v>48.85307692307692</v>
      </c>
      <c r="AK1376" s="53" t="str">
        <f>_xlfn.XLOOKUP(Master[[#This Row],[cu_id]],'[1]Customer Revenue'!$Q:$Q,'[1]Customer Revenue'!$I:$I, "None")</f>
        <v>None</v>
      </c>
      <c r="AL1376" s="53">
        <v>57.482083333333321</v>
      </c>
      <c r="AM1376" s="61">
        <v>0.16666666666666666</v>
      </c>
      <c r="AN1376" s="60">
        <v>0.5625</v>
      </c>
      <c r="AO1376" s="60" t="s">
        <v>36</v>
      </c>
      <c r="AP1376" s="60" t="s">
        <v>36</v>
      </c>
      <c r="AQ1376" s="58" t="s">
        <v>308</v>
      </c>
      <c r="AR1376" s="58"/>
      <c r="AS1376" s="58"/>
      <c r="AT1376" s="52">
        <v>0</v>
      </c>
      <c r="AU1376" s="52">
        <f>IF(Master[[#This Row],[RSP StopTime override]] &lt;&gt; "",Master[[#This Row],[RSP StopTime override]],IF(Master[[#This Row],[Avg stop time helper]] &lt;&gt; 0, Master[[#This Row],[Avg stop time helper]],Average_Stop_Time))</f>
        <v>10</v>
      </c>
      <c r="AV1376" s="21">
        <v>10</v>
      </c>
      <c r="AW1376" s="20">
        <f>Master[[#This Row],[RSP StopTime override]]-Master[[#This Row],[Avg stop time helper]]</f>
        <v>10</v>
      </c>
    </row>
    <row r="1377" spans="1:49" x14ac:dyDescent="0.3">
      <c r="A1377" s="66" t="s">
        <v>5380</v>
      </c>
      <c r="B1377" s="58">
        <v>8010</v>
      </c>
      <c r="C1377" s="58" t="s">
        <v>15</v>
      </c>
      <c r="D1377" s="65">
        <v>803846</v>
      </c>
      <c r="E1377" s="65" t="s">
        <v>42</v>
      </c>
      <c r="F1377" s="65" t="s">
        <v>674</v>
      </c>
      <c r="G1377" s="65" t="s">
        <v>673</v>
      </c>
      <c r="H1377" s="65" t="s">
        <v>7</v>
      </c>
      <c r="I1377" s="65" t="s">
        <v>6</v>
      </c>
      <c r="J1377" s="65" t="s">
        <v>5</v>
      </c>
      <c r="K1377" s="65" t="s">
        <v>68</v>
      </c>
      <c r="L1377" s="64" t="s">
        <v>67</v>
      </c>
      <c r="M1377" s="58" t="s">
        <v>3</v>
      </c>
      <c r="N1377" s="58" t="s">
        <v>2</v>
      </c>
      <c r="O1377" s="58">
        <v>15</v>
      </c>
      <c r="P1377" s="58">
        <v>0</v>
      </c>
      <c r="Q1377" s="58">
        <v>0</v>
      </c>
      <c r="R1377" s="58">
        <v>0</v>
      </c>
      <c r="S1377" s="58">
        <v>0</v>
      </c>
      <c r="T1377" s="58">
        <v>15</v>
      </c>
      <c r="U1377" s="58">
        <v>39</v>
      </c>
      <c r="V1377" s="62"/>
      <c r="W1377" s="62"/>
      <c r="X1377" s="63">
        <f>IFERROR(1 -(Master[[#This Row],[Avg Garment Scans per Delivery]]/Master[[#This Row],[Garment Inventory]]), 0)</f>
        <v>0</v>
      </c>
      <c r="Y1377" s="62"/>
      <c r="Z1377" s="62"/>
      <c r="AA1377" s="53">
        <v>58.811666666666667</v>
      </c>
      <c r="AB1377" s="53">
        <v>65.358333333333334</v>
      </c>
      <c r="AC1377" s="53">
        <v>75.980828402366868</v>
      </c>
      <c r="AD1377" s="53">
        <v>80.843786982248517</v>
      </c>
      <c r="AE1377" s="53" t="str">
        <f>_xlfn.XLOOKUP(Master[[#This Row],[cu_id]],'[1]Customer Revenue'!$Q:$Q,'[1]Customer Revenue'!$K:$K, "None")</f>
        <v>None</v>
      </c>
      <c r="AF1377" s="53" t="str">
        <f>_xlfn.XLOOKUP(Master[[#This Row],[cu_id]],'[1]Customer Revenue'!$Q:$Q,'[1]Customer Revenue'!$L:$L, "None")</f>
        <v>None</v>
      </c>
      <c r="AG1377" s="53">
        <v>52.580672000000014</v>
      </c>
      <c r="AH1377" s="53">
        <v>62.692928000000016</v>
      </c>
      <c r="AI1377" s="53">
        <v>62.085000000000001</v>
      </c>
      <c r="AJ1377" s="53">
        <v>78.412307692307692</v>
      </c>
      <c r="AK1377" s="53" t="str">
        <f>_xlfn.XLOOKUP(Master[[#This Row],[cu_id]],'[1]Customer Revenue'!$Q:$Q,'[1]Customer Revenue'!$I:$I, "None")</f>
        <v>None</v>
      </c>
      <c r="AL1377" s="53">
        <v>57.636800000000015</v>
      </c>
      <c r="AM1377" s="61">
        <v>0.25</v>
      </c>
      <c r="AN1377" s="60">
        <v>0.8125</v>
      </c>
      <c r="AO1377" s="60" t="s">
        <v>36</v>
      </c>
      <c r="AP1377" s="60" t="s">
        <v>36</v>
      </c>
      <c r="AQ1377" s="58" t="s">
        <v>308</v>
      </c>
      <c r="AR1377" s="58"/>
      <c r="AS1377" s="58"/>
      <c r="AT1377" s="52">
        <v>0</v>
      </c>
      <c r="AU1377" s="52">
        <f>IF(Master[[#This Row],[RSP StopTime override]] &lt;&gt; "",Master[[#This Row],[RSP StopTime override]],IF(Master[[#This Row],[Avg stop time helper]] &lt;&gt; 0, Master[[#This Row],[Avg stop time helper]],Average_Stop_Time))</f>
        <v>15</v>
      </c>
      <c r="AV1377" s="21">
        <v>15</v>
      </c>
      <c r="AW1377" s="20">
        <f>Master[[#This Row],[RSP StopTime override]]-Master[[#This Row],[Avg stop time helper]]</f>
        <v>15</v>
      </c>
    </row>
    <row r="1378" spans="1:49" x14ac:dyDescent="0.3">
      <c r="A1378" s="66" t="s">
        <v>5381</v>
      </c>
      <c r="B1378" s="58">
        <v>8010</v>
      </c>
      <c r="C1378" s="58" t="s">
        <v>15</v>
      </c>
      <c r="D1378" s="65">
        <v>803998</v>
      </c>
      <c r="E1378" s="65" t="s">
        <v>42</v>
      </c>
      <c r="F1378" s="65" t="s">
        <v>672</v>
      </c>
      <c r="G1378" s="65" t="s">
        <v>671</v>
      </c>
      <c r="H1378" s="65" t="s">
        <v>7</v>
      </c>
      <c r="I1378" s="65" t="s">
        <v>6</v>
      </c>
      <c r="J1378" s="65" t="s">
        <v>5</v>
      </c>
      <c r="K1378" s="65" t="s">
        <v>146</v>
      </c>
      <c r="L1378" s="64" t="s">
        <v>67</v>
      </c>
      <c r="M1378" s="58" t="s">
        <v>3</v>
      </c>
      <c r="N1378" s="58" t="s">
        <v>2</v>
      </c>
      <c r="O1378" s="58">
        <v>5</v>
      </c>
      <c r="P1378" s="58">
        <v>0</v>
      </c>
      <c r="Q1378" s="58">
        <v>0</v>
      </c>
      <c r="R1378" s="58">
        <v>0</v>
      </c>
      <c r="S1378" s="58">
        <v>0</v>
      </c>
      <c r="T1378" s="58">
        <v>10</v>
      </c>
      <c r="U1378" s="58">
        <v>40</v>
      </c>
      <c r="V1378" s="62"/>
      <c r="W1378" s="62"/>
      <c r="X1378" s="63">
        <f>IFERROR(1 -(Master[[#This Row],[Avg Garment Scans per Delivery]]/Master[[#This Row],[Garment Inventory]]), 0)</f>
        <v>0</v>
      </c>
      <c r="Y1378" s="62"/>
      <c r="Z1378" s="62"/>
      <c r="AA1378" s="53">
        <v>53.714444444444439</v>
      </c>
      <c r="AB1378" s="53">
        <v>87.092222222222205</v>
      </c>
      <c r="AC1378" s="53">
        <v>44.717573964497042</v>
      </c>
      <c r="AD1378" s="53">
        <v>81.431656804733734</v>
      </c>
      <c r="AE1378" s="53" t="str">
        <f>_xlfn.XLOOKUP(Master[[#This Row],[cu_id]],'[1]Customer Revenue'!$Q:$Q,'[1]Customer Revenue'!$K:$K, "None")</f>
        <v>None</v>
      </c>
      <c r="AF1378" s="53" t="str">
        <f>_xlfn.XLOOKUP(Master[[#This Row],[cu_id]],'[1]Customer Revenue'!$Q:$Q,'[1]Customer Revenue'!$L:$L, "None")</f>
        <v>None</v>
      </c>
      <c r="AG1378" s="53">
        <v>59.530368000000017</v>
      </c>
      <c r="AH1378" s="53">
        <v>88.418432000000024</v>
      </c>
      <c r="AI1378" s="53">
        <v>70.403333333333322</v>
      </c>
      <c r="AJ1378" s="53">
        <v>63.074615384615385</v>
      </c>
      <c r="AK1378" s="53" t="str">
        <f>_xlfn.XLOOKUP(Master[[#This Row],[cu_id]],'[1]Customer Revenue'!$Q:$Q,'[1]Customer Revenue'!$I:$I, "None")</f>
        <v>None</v>
      </c>
      <c r="AL1378" s="53">
        <v>73.974400000000017</v>
      </c>
      <c r="AM1378" s="61" t="s">
        <v>36</v>
      </c>
      <c r="AN1378" s="60">
        <v>0.85416666666666663</v>
      </c>
      <c r="AO1378" s="60" t="s">
        <v>36</v>
      </c>
      <c r="AP1378" s="60" t="s">
        <v>36</v>
      </c>
      <c r="AQ1378" s="58" t="s">
        <v>308</v>
      </c>
      <c r="AR1378" s="58"/>
      <c r="AS1378" s="58"/>
      <c r="AT1378" s="52">
        <v>0</v>
      </c>
      <c r="AU1378" s="52" t="e">
        <f>IF(Master[[#This Row],[RSP StopTime override]] &lt;&gt; "",Master[[#This Row],[RSP StopTime override]],IF(Master[[#This Row],[Avg stop time helper]] &lt;&gt; 0, Master[[#This Row],[Avg stop time helper]],Average_Stop_Time))</f>
        <v>#DIV/0!</v>
      </c>
      <c r="AV1378" s="21"/>
      <c r="AW1378" s="20">
        <f>Master[[#This Row],[RSP StopTime override]]-Master[[#This Row],[Avg stop time helper]]</f>
        <v>0</v>
      </c>
    </row>
    <row r="1379" spans="1:49" x14ac:dyDescent="0.3">
      <c r="A1379" s="66" t="s">
        <v>5382</v>
      </c>
      <c r="B1379" s="58">
        <v>8010</v>
      </c>
      <c r="C1379" s="58" t="s">
        <v>15</v>
      </c>
      <c r="D1379" s="65">
        <v>804030</v>
      </c>
      <c r="E1379" s="65" t="s">
        <v>42</v>
      </c>
      <c r="F1379" s="65" t="s">
        <v>670</v>
      </c>
      <c r="G1379" s="65" t="s">
        <v>669</v>
      </c>
      <c r="H1379" s="65" t="s">
        <v>7</v>
      </c>
      <c r="I1379" s="65" t="s">
        <v>6</v>
      </c>
      <c r="J1379" s="65" t="s">
        <v>5</v>
      </c>
      <c r="K1379" s="65" t="s">
        <v>68</v>
      </c>
      <c r="L1379" s="64" t="s">
        <v>91</v>
      </c>
      <c r="M1379" s="58" t="s">
        <v>90</v>
      </c>
      <c r="N1379" s="58" t="s">
        <v>2</v>
      </c>
      <c r="O1379" s="58">
        <v>25</v>
      </c>
      <c r="P1379" s="58">
        <v>0</v>
      </c>
      <c r="Q1379" s="58">
        <v>0</v>
      </c>
      <c r="R1379" s="58">
        <v>0</v>
      </c>
      <c r="S1379" s="58">
        <v>0</v>
      </c>
      <c r="T1379" s="58">
        <v>25</v>
      </c>
      <c r="U1379" s="58">
        <v>19</v>
      </c>
      <c r="V1379" s="62"/>
      <c r="W1379" s="62"/>
      <c r="X1379" s="63">
        <f>IFERROR(1 -(Master[[#This Row],[Avg Garment Scans per Delivery]]/Master[[#This Row],[Garment Inventory]]), 0)</f>
        <v>0</v>
      </c>
      <c r="Y1379" s="62"/>
      <c r="Z1379" s="62"/>
      <c r="AA1379" s="53">
        <v>21.7</v>
      </c>
      <c r="AB1379" s="53">
        <v>21.7</v>
      </c>
      <c r="AC1379" s="53">
        <v>21.588571428571431</v>
      </c>
      <c r="AD1379" s="53">
        <v>22.331428571428578</v>
      </c>
      <c r="AE1379" s="53" t="str">
        <f>_xlfn.XLOOKUP(Master[[#This Row],[cu_id]],'[1]Customer Revenue'!$Q:$Q,'[1]Customer Revenue'!$K:$K, "None")</f>
        <v>None</v>
      </c>
      <c r="AF1379" s="53" t="str">
        <f>_xlfn.XLOOKUP(Master[[#This Row],[cu_id]],'[1]Customer Revenue'!$Q:$Q,'[1]Customer Revenue'!$L:$L, "None")</f>
        <v>None</v>
      </c>
      <c r="AG1379" s="53">
        <v>19.586805555555546</v>
      </c>
      <c r="AH1379" s="53">
        <v>22.321527777777778</v>
      </c>
      <c r="AI1379" s="53">
        <v>21.7</v>
      </c>
      <c r="AJ1379" s="53">
        <v>21.960000000000004</v>
      </c>
      <c r="AK1379" s="53" t="str">
        <f>_xlfn.XLOOKUP(Master[[#This Row],[cu_id]],'[1]Customer Revenue'!$Q:$Q,'[1]Customer Revenue'!$I:$I, "None")</f>
        <v>None</v>
      </c>
      <c r="AL1379" s="53">
        <v>20.954166666666662</v>
      </c>
      <c r="AM1379" s="61">
        <v>0.20833333333333334</v>
      </c>
      <c r="AN1379" s="60">
        <v>0.83333333333333337</v>
      </c>
      <c r="AO1379" s="60" t="s">
        <v>36</v>
      </c>
      <c r="AP1379" s="60" t="s">
        <v>36</v>
      </c>
      <c r="AQ1379" s="58" t="s">
        <v>308</v>
      </c>
      <c r="AR1379" s="58"/>
      <c r="AS1379" s="58"/>
      <c r="AT1379" s="52">
        <v>0</v>
      </c>
      <c r="AU1379" s="52">
        <f>IF(Master[[#This Row],[RSP StopTime override]] &lt;&gt; "",Master[[#This Row],[RSP StopTime override]],IF(Master[[#This Row],[Avg stop time helper]] &lt;&gt; 0, Master[[#This Row],[Avg stop time helper]],Average_Stop_Time))</f>
        <v>10</v>
      </c>
      <c r="AV1379" s="21">
        <v>10</v>
      </c>
      <c r="AW1379" s="20">
        <f>Master[[#This Row],[RSP StopTime override]]-Master[[#This Row],[Avg stop time helper]]</f>
        <v>10</v>
      </c>
    </row>
    <row r="1380" spans="1:49" x14ac:dyDescent="0.3">
      <c r="A1380" s="66" t="s">
        <v>5383</v>
      </c>
      <c r="B1380" s="58">
        <v>8010</v>
      </c>
      <c r="C1380" s="58" t="s">
        <v>15</v>
      </c>
      <c r="D1380" s="65">
        <v>804155</v>
      </c>
      <c r="E1380" s="65" t="s">
        <v>42</v>
      </c>
      <c r="F1380" s="65" t="s">
        <v>668</v>
      </c>
      <c r="G1380" s="65" t="s">
        <v>667</v>
      </c>
      <c r="H1380" s="65" t="s">
        <v>7</v>
      </c>
      <c r="I1380" s="65" t="s">
        <v>6</v>
      </c>
      <c r="J1380" s="65" t="s">
        <v>5</v>
      </c>
      <c r="K1380" s="65" t="s">
        <v>146</v>
      </c>
      <c r="L1380" s="64" t="s">
        <v>77</v>
      </c>
      <c r="M1380" s="58" t="s">
        <v>29</v>
      </c>
      <c r="N1380" s="58" t="s">
        <v>2</v>
      </c>
      <c r="O1380" s="58">
        <v>60</v>
      </c>
      <c r="P1380" s="58">
        <v>0</v>
      </c>
      <c r="Q1380" s="58">
        <v>0</v>
      </c>
      <c r="R1380" s="58">
        <v>0</v>
      </c>
      <c r="S1380" s="58">
        <v>0</v>
      </c>
      <c r="T1380" s="58">
        <v>60</v>
      </c>
      <c r="U1380" s="58">
        <v>20</v>
      </c>
      <c r="V1380" s="62"/>
      <c r="W1380" s="62"/>
      <c r="X1380" s="63">
        <f>IFERROR(1 -(Master[[#This Row],[Avg Garment Scans per Delivery]]/Master[[#This Row],[Garment Inventory]]), 0)</f>
        <v>0</v>
      </c>
      <c r="Y1380" s="62"/>
      <c r="Z1380" s="62"/>
      <c r="AA1380" s="53">
        <v>120.87</v>
      </c>
      <c r="AB1380" s="53">
        <v>120.87</v>
      </c>
      <c r="AC1380" s="53">
        <v>16.826666666666675</v>
      </c>
      <c r="AD1380" s="53">
        <v>120.87</v>
      </c>
      <c r="AE1380" s="53" t="str">
        <f>_xlfn.XLOOKUP(Master[[#This Row],[cu_id]],'[1]Customer Revenue'!$Q:$Q,'[1]Customer Revenue'!$K:$K, "None")</f>
        <v>None</v>
      </c>
      <c r="AF1380" s="53" t="str">
        <f>_xlfn.XLOOKUP(Master[[#This Row],[cu_id]],'[1]Customer Revenue'!$Q:$Q,'[1]Customer Revenue'!$L:$L, "None")</f>
        <v>None</v>
      </c>
      <c r="AG1380" s="53">
        <v>77.449289940828365</v>
      </c>
      <c r="AH1380" s="53">
        <v>132.03532544378697</v>
      </c>
      <c r="AI1380" s="53">
        <v>120.87</v>
      </c>
      <c r="AJ1380" s="53">
        <v>68.848333333333343</v>
      </c>
      <c r="AK1380" s="53" t="str">
        <f>_xlfn.XLOOKUP(Master[[#This Row],[cu_id]],'[1]Customer Revenue'!$Q:$Q,'[1]Customer Revenue'!$I:$I, "None")</f>
        <v>None</v>
      </c>
      <c r="AL1380" s="53">
        <v>104.74230769230766</v>
      </c>
      <c r="AM1380" s="61">
        <v>0.375</v>
      </c>
      <c r="AN1380" s="60">
        <v>0.69791666666666663</v>
      </c>
      <c r="AO1380" s="60" t="s">
        <v>36</v>
      </c>
      <c r="AP1380" s="60" t="s">
        <v>36</v>
      </c>
      <c r="AQ1380" s="58" t="s">
        <v>308</v>
      </c>
      <c r="AR1380" s="58"/>
      <c r="AS1380" s="58"/>
      <c r="AT1380" s="52">
        <v>0</v>
      </c>
      <c r="AU1380" s="52">
        <f>IF(Master[[#This Row],[RSP StopTime override]] &lt;&gt; "",Master[[#This Row],[RSP StopTime override]],IF(Master[[#This Row],[Avg stop time helper]] &lt;&gt; 0, Master[[#This Row],[Avg stop time helper]],Average_Stop_Time))</f>
        <v>10</v>
      </c>
      <c r="AV1380" s="21">
        <v>10</v>
      </c>
      <c r="AW1380" s="20">
        <f>Master[[#This Row],[RSP StopTime override]]-Master[[#This Row],[Avg stop time helper]]</f>
        <v>10</v>
      </c>
    </row>
    <row r="1381" spans="1:49" x14ac:dyDescent="0.3">
      <c r="A1381" s="66" t="s">
        <v>5384</v>
      </c>
      <c r="B1381" s="58">
        <v>8010</v>
      </c>
      <c r="C1381" s="58" t="s">
        <v>15</v>
      </c>
      <c r="D1381" s="65">
        <v>804307</v>
      </c>
      <c r="E1381" s="65" t="s">
        <v>42</v>
      </c>
      <c r="F1381" s="65" t="s">
        <v>666</v>
      </c>
      <c r="G1381" s="65" t="s">
        <v>665</v>
      </c>
      <c r="H1381" s="65" t="s">
        <v>7</v>
      </c>
      <c r="I1381" s="65" t="s">
        <v>6</v>
      </c>
      <c r="J1381" s="65" t="s">
        <v>5</v>
      </c>
      <c r="K1381" s="65" t="s">
        <v>146</v>
      </c>
      <c r="L1381" s="64" t="s">
        <v>67</v>
      </c>
      <c r="M1381" s="58" t="s">
        <v>3</v>
      </c>
      <c r="N1381" s="58" t="s">
        <v>2</v>
      </c>
      <c r="O1381" s="58">
        <v>50</v>
      </c>
      <c r="P1381" s="58">
        <v>0</v>
      </c>
      <c r="Q1381" s="58">
        <v>0</v>
      </c>
      <c r="R1381" s="58">
        <v>0</v>
      </c>
      <c r="S1381" s="58">
        <v>0</v>
      </c>
      <c r="T1381" s="58">
        <v>50</v>
      </c>
      <c r="U1381" s="58">
        <v>39</v>
      </c>
      <c r="V1381" s="62">
        <v>153</v>
      </c>
      <c r="W1381" s="62">
        <v>11</v>
      </c>
      <c r="X1381" s="63">
        <f>IFERROR(1 -(Master[[#This Row],[Avg Garment Scans per Delivery]]/Master[[#This Row],[Garment Inventory]]), 0)</f>
        <v>0.92810457516339873</v>
      </c>
      <c r="Y1381" s="62">
        <v>13</v>
      </c>
      <c r="Z1381" s="62">
        <v>148</v>
      </c>
      <c r="AA1381" s="53">
        <v>92.197916666666686</v>
      </c>
      <c r="AB1381" s="53">
        <v>178.04375000000005</v>
      </c>
      <c r="AC1381" s="53">
        <v>101.08360282574567</v>
      </c>
      <c r="AD1381" s="53">
        <v>255.908704866562</v>
      </c>
      <c r="AE1381" s="53" t="str">
        <f>_xlfn.XLOOKUP(Master[[#This Row],[cu_id]],'[1]Customer Revenue'!$Q:$Q,'[1]Customer Revenue'!$K:$K, "None")</f>
        <v>None</v>
      </c>
      <c r="AF1381" s="53" t="str">
        <f>_xlfn.XLOOKUP(Master[[#This Row],[cu_id]],'[1]Customer Revenue'!$Q:$Q,'[1]Customer Revenue'!$L:$L, "None")</f>
        <v>None</v>
      </c>
      <c r="AG1381" s="53">
        <v>92.794111999999984</v>
      </c>
      <c r="AH1381" s="53">
        <v>211.43468799999988</v>
      </c>
      <c r="AI1381" s="53">
        <v>135.12083333333337</v>
      </c>
      <c r="AJ1381" s="53">
        <v>178.49615384615385</v>
      </c>
      <c r="AK1381" s="53" t="str">
        <f>_xlfn.XLOOKUP(Master[[#This Row],[cu_id]],'[1]Customer Revenue'!$Q:$Q,'[1]Customer Revenue'!$I:$I, "None")</f>
        <v>None</v>
      </c>
      <c r="AL1381" s="53">
        <v>152.11439999999993</v>
      </c>
      <c r="AM1381" s="61">
        <v>0.33333333333333331</v>
      </c>
      <c r="AN1381" s="60">
        <v>0.66666666666666663</v>
      </c>
      <c r="AO1381" s="60" t="s">
        <v>36</v>
      </c>
      <c r="AP1381" s="60" t="s">
        <v>36</v>
      </c>
      <c r="AQ1381" s="58" t="s">
        <v>308</v>
      </c>
      <c r="AR1381" s="58"/>
      <c r="AS1381" s="58"/>
      <c r="AT1381" s="52">
        <v>0</v>
      </c>
      <c r="AU1381" s="52" t="e">
        <f>IF(Master[[#This Row],[RSP StopTime override]] &lt;&gt; "",Master[[#This Row],[RSP StopTime override]],IF(Master[[#This Row],[Avg stop time helper]] &lt;&gt; 0, Master[[#This Row],[Avg stop time helper]],Average_Stop_Time))</f>
        <v>#DIV/0!</v>
      </c>
      <c r="AV1381" s="21"/>
      <c r="AW1381" s="20">
        <f>Master[[#This Row],[RSP StopTime override]]-Master[[#This Row],[Avg stop time helper]]</f>
        <v>0</v>
      </c>
    </row>
    <row r="1382" spans="1:49" x14ac:dyDescent="0.3">
      <c r="A1382" s="66" t="s">
        <v>5385</v>
      </c>
      <c r="B1382" s="58">
        <v>8010</v>
      </c>
      <c r="C1382" s="58" t="s">
        <v>15</v>
      </c>
      <c r="D1382" s="65">
        <v>804400</v>
      </c>
      <c r="E1382" s="65" t="s">
        <v>42</v>
      </c>
      <c r="F1382" s="65" t="s">
        <v>664</v>
      </c>
      <c r="G1382" s="65" t="s">
        <v>663</v>
      </c>
      <c r="H1382" s="65" t="s">
        <v>7</v>
      </c>
      <c r="I1382" s="65" t="s">
        <v>6</v>
      </c>
      <c r="J1382" s="65" t="s">
        <v>5</v>
      </c>
      <c r="K1382" s="65" t="s">
        <v>68</v>
      </c>
      <c r="L1382" s="64" t="s">
        <v>67</v>
      </c>
      <c r="M1382" s="58" t="s">
        <v>3</v>
      </c>
      <c r="N1382" s="58" t="s">
        <v>2</v>
      </c>
      <c r="O1382" s="58">
        <v>10</v>
      </c>
      <c r="P1382" s="58">
        <v>0</v>
      </c>
      <c r="Q1382" s="58">
        <v>0</v>
      </c>
      <c r="R1382" s="58">
        <v>0</v>
      </c>
      <c r="S1382" s="58">
        <v>0</v>
      </c>
      <c r="T1382" s="58">
        <v>5</v>
      </c>
      <c r="U1382" s="58">
        <v>39</v>
      </c>
      <c r="V1382" s="62"/>
      <c r="W1382" s="62"/>
      <c r="X1382" s="63">
        <f>IFERROR(1 -(Master[[#This Row],[Avg Garment Scans per Delivery]]/Master[[#This Row],[Garment Inventory]]), 0)</f>
        <v>0</v>
      </c>
      <c r="Y1382" s="62"/>
      <c r="Z1382" s="62"/>
      <c r="AA1382" s="53">
        <v>24.118333333333332</v>
      </c>
      <c r="AB1382" s="53">
        <v>39.521666666666675</v>
      </c>
      <c r="AC1382" s="53">
        <v>29.220236686390532</v>
      </c>
      <c r="AD1382" s="53">
        <v>45.164378698224859</v>
      </c>
      <c r="AE1382" s="53" t="str">
        <f>_xlfn.XLOOKUP(Master[[#This Row],[cu_id]],'[1]Customer Revenue'!$Q:$Q,'[1]Customer Revenue'!$K:$K, "None")</f>
        <v>None</v>
      </c>
      <c r="AF1382" s="53" t="str">
        <f>_xlfn.XLOOKUP(Master[[#This Row],[cu_id]],'[1]Customer Revenue'!$Q:$Q,'[1]Customer Revenue'!$L:$L, "None")</f>
        <v>None</v>
      </c>
      <c r="AG1382" s="53">
        <v>24.591120000000004</v>
      </c>
      <c r="AH1382" s="53">
        <v>39.913680000000014</v>
      </c>
      <c r="AI1382" s="53">
        <v>31.820000000000004</v>
      </c>
      <c r="AJ1382" s="53">
        <v>37.192307692307693</v>
      </c>
      <c r="AK1382" s="53" t="str">
        <f>_xlfn.XLOOKUP(Master[[#This Row],[cu_id]],'[1]Customer Revenue'!$Q:$Q,'[1]Customer Revenue'!$I:$I, "None")</f>
        <v>None</v>
      </c>
      <c r="AL1382" s="53">
        <v>32.252400000000009</v>
      </c>
      <c r="AM1382" s="61">
        <v>0.25</v>
      </c>
      <c r="AN1382" s="60">
        <v>0.78125</v>
      </c>
      <c r="AO1382" s="60" t="s">
        <v>36</v>
      </c>
      <c r="AP1382" s="60" t="s">
        <v>36</v>
      </c>
      <c r="AQ1382" s="58" t="s">
        <v>308</v>
      </c>
      <c r="AR1382" s="58"/>
      <c r="AS1382" s="58"/>
      <c r="AT1382" s="52">
        <v>0</v>
      </c>
      <c r="AU1382" s="52">
        <f>IF(Master[[#This Row],[RSP StopTime override]] &lt;&gt; "",Master[[#This Row],[RSP StopTime override]],IF(Master[[#This Row],[Avg stop time helper]] &lt;&gt; 0, Master[[#This Row],[Avg stop time helper]],Average_Stop_Time))</f>
        <v>10</v>
      </c>
      <c r="AV1382" s="21">
        <v>10</v>
      </c>
      <c r="AW1382" s="20">
        <f>Master[[#This Row],[RSP StopTime override]]-Master[[#This Row],[Avg stop time helper]]</f>
        <v>10</v>
      </c>
    </row>
    <row r="1383" spans="1:49" x14ac:dyDescent="0.3">
      <c r="A1383" s="66" t="s">
        <v>5386</v>
      </c>
      <c r="B1383" s="58">
        <v>8010</v>
      </c>
      <c r="C1383" s="58" t="s">
        <v>15</v>
      </c>
      <c r="D1383" s="65">
        <v>804418</v>
      </c>
      <c r="E1383" s="65" t="s">
        <v>42</v>
      </c>
      <c r="F1383" s="65" t="s">
        <v>662</v>
      </c>
      <c r="G1383" s="65" t="s">
        <v>661</v>
      </c>
      <c r="H1383" s="65" t="s">
        <v>7</v>
      </c>
      <c r="I1383" s="65" t="s">
        <v>6</v>
      </c>
      <c r="J1383" s="65" t="s">
        <v>5</v>
      </c>
      <c r="K1383" s="65" t="s">
        <v>68</v>
      </c>
      <c r="L1383" s="64" t="s">
        <v>67</v>
      </c>
      <c r="M1383" s="58" t="s">
        <v>3</v>
      </c>
      <c r="N1383" s="58" t="s">
        <v>2</v>
      </c>
      <c r="O1383" s="58">
        <v>65</v>
      </c>
      <c r="P1383" s="58">
        <v>0</v>
      </c>
      <c r="Q1383" s="58">
        <v>0</v>
      </c>
      <c r="R1383" s="58">
        <v>0</v>
      </c>
      <c r="S1383" s="58">
        <v>0</v>
      </c>
      <c r="T1383" s="58">
        <v>65</v>
      </c>
      <c r="U1383" s="58">
        <v>40</v>
      </c>
      <c r="V1383" s="62"/>
      <c r="W1383" s="62"/>
      <c r="X1383" s="63">
        <f>IFERROR(1 -(Master[[#This Row],[Avg Garment Scans per Delivery]]/Master[[#This Row],[Garment Inventory]]), 0)</f>
        <v>0</v>
      </c>
      <c r="Y1383" s="62"/>
      <c r="Z1383" s="62"/>
      <c r="AA1383" s="53">
        <v>153.48277777777776</v>
      </c>
      <c r="AB1383" s="53">
        <v>182.76055555555553</v>
      </c>
      <c r="AC1383" s="53">
        <v>93.181840397923821</v>
      </c>
      <c r="AD1383" s="53">
        <v>208.84190960207613</v>
      </c>
      <c r="AE1383" s="53" t="str">
        <f>_xlfn.XLOOKUP(Master[[#This Row],[cu_id]],'[1]Customer Revenue'!$Q:$Q,'[1]Customer Revenue'!$K:$K, "None")</f>
        <v>None</v>
      </c>
      <c r="AF1383" s="53" t="str">
        <f>_xlfn.XLOOKUP(Master[[#This Row],[cu_id]],'[1]Customer Revenue'!$Q:$Q,'[1]Customer Revenue'!$L:$L, "None")</f>
        <v>None</v>
      </c>
      <c r="AG1383" s="53">
        <v>150.19944000000001</v>
      </c>
      <c r="AH1383" s="53">
        <v>181.53256000000002</v>
      </c>
      <c r="AI1383" s="53">
        <v>168.12166666666664</v>
      </c>
      <c r="AJ1383" s="53">
        <v>151.01187499999997</v>
      </c>
      <c r="AK1383" s="53" t="str">
        <f>_xlfn.XLOOKUP(Master[[#This Row],[cu_id]],'[1]Customer Revenue'!$Q:$Q,'[1]Customer Revenue'!$I:$I, "None")</f>
        <v>None</v>
      </c>
      <c r="AL1383" s="53">
        <v>165.86600000000001</v>
      </c>
      <c r="AM1383" s="61">
        <v>0.375</v>
      </c>
      <c r="AN1383" s="60">
        <v>0.82291666666666663</v>
      </c>
      <c r="AO1383" s="60" t="s">
        <v>36</v>
      </c>
      <c r="AP1383" s="60" t="s">
        <v>36</v>
      </c>
      <c r="AQ1383" s="58" t="s">
        <v>308</v>
      </c>
      <c r="AR1383" s="58"/>
      <c r="AS1383" s="58"/>
      <c r="AT1383" s="52">
        <v>0</v>
      </c>
      <c r="AU1383" s="52" t="e">
        <f>IF(Master[[#This Row],[RSP StopTime override]] &lt;&gt; "",Master[[#This Row],[RSP StopTime override]],IF(Master[[#This Row],[Avg stop time helper]] &lt;&gt; 0, Master[[#This Row],[Avg stop time helper]],Average_Stop_Time))</f>
        <v>#DIV/0!</v>
      </c>
      <c r="AV1383" s="21"/>
      <c r="AW1383" s="20">
        <f>Master[[#This Row],[RSP StopTime override]]-Master[[#This Row],[Avg stop time helper]]</f>
        <v>0</v>
      </c>
    </row>
    <row r="1384" spans="1:49" x14ac:dyDescent="0.3">
      <c r="A1384" s="66" t="s">
        <v>5387</v>
      </c>
      <c r="B1384" s="58">
        <v>8010</v>
      </c>
      <c r="C1384" s="58" t="s">
        <v>15</v>
      </c>
      <c r="D1384" s="65">
        <v>804550</v>
      </c>
      <c r="E1384" s="65" t="s">
        <v>42</v>
      </c>
      <c r="F1384" s="65" t="s">
        <v>660</v>
      </c>
      <c r="G1384" s="65" t="s">
        <v>659</v>
      </c>
      <c r="H1384" s="65" t="s">
        <v>7</v>
      </c>
      <c r="I1384" s="65" t="s">
        <v>6</v>
      </c>
      <c r="J1384" s="65" t="s">
        <v>5</v>
      </c>
      <c r="K1384" s="65" t="s">
        <v>68</v>
      </c>
      <c r="L1384" s="64" t="s">
        <v>194</v>
      </c>
      <c r="M1384" s="58" t="s">
        <v>193</v>
      </c>
      <c r="N1384" s="58" t="s">
        <v>2</v>
      </c>
      <c r="O1384" s="58">
        <v>116</v>
      </c>
      <c r="P1384" s="58">
        <v>0</v>
      </c>
      <c r="Q1384" s="58">
        <v>0</v>
      </c>
      <c r="R1384" s="58">
        <v>0</v>
      </c>
      <c r="S1384" s="58">
        <v>0</v>
      </c>
      <c r="T1384" s="58">
        <v>116</v>
      </c>
      <c r="U1384" s="58">
        <v>9</v>
      </c>
      <c r="V1384" s="62"/>
      <c r="W1384" s="62"/>
      <c r="X1384" s="63">
        <f>IFERROR(1 -(Master[[#This Row],[Avg Garment Scans per Delivery]]/Master[[#This Row],[Garment Inventory]]), 0)</f>
        <v>0</v>
      </c>
      <c r="Y1384" s="62"/>
      <c r="Z1384" s="62"/>
      <c r="AA1384" s="53">
        <v>51.22</v>
      </c>
      <c r="AB1384" s="53">
        <v>51.22</v>
      </c>
      <c r="AC1384" s="53">
        <v>51.072499999999998</v>
      </c>
      <c r="AD1384" s="53">
        <v>51.957500000000003</v>
      </c>
      <c r="AE1384" s="53" t="str">
        <f>_xlfn.XLOOKUP(Master[[#This Row],[cu_id]],'[1]Customer Revenue'!$Q:$Q,'[1]Customer Revenue'!$K:$K, "None")</f>
        <v>None</v>
      </c>
      <c r="AF1384" s="53" t="str">
        <f>_xlfn.XLOOKUP(Master[[#This Row],[cu_id]],'[1]Customer Revenue'!$Q:$Q,'[1]Customer Revenue'!$L:$L, "None")</f>
        <v>None</v>
      </c>
      <c r="AG1384" s="53">
        <v>38.676326530612258</v>
      </c>
      <c r="AH1384" s="53">
        <v>63.763673469387754</v>
      </c>
      <c r="AI1384" s="53">
        <v>51.22</v>
      </c>
      <c r="AJ1384" s="53">
        <v>51.515000000000001</v>
      </c>
      <c r="AK1384" s="53" t="str">
        <f>_xlfn.XLOOKUP(Master[[#This Row],[cu_id]],'[1]Customer Revenue'!$Q:$Q,'[1]Customer Revenue'!$I:$I, "None")</f>
        <v>None</v>
      </c>
      <c r="AL1384" s="53">
        <v>51.220000000000006</v>
      </c>
      <c r="AM1384" s="61" t="s">
        <v>36</v>
      </c>
      <c r="AN1384" s="60" t="s">
        <v>36</v>
      </c>
      <c r="AO1384" s="60" t="s">
        <v>36</v>
      </c>
      <c r="AP1384" s="60" t="s">
        <v>36</v>
      </c>
      <c r="AQ1384" s="58" t="s">
        <v>308</v>
      </c>
      <c r="AR1384" s="58"/>
      <c r="AS1384" s="58"/>
      <c r="AT1384" s="52">
        <v>0</v>
      </c>
      <c r="AU1384" s="52" t="e">
        <f>IF(Master[[#This Row],[RSP StopTime override]] &lt;&gt; "",Master[[#This Row],[RSP StopTime override]],IF(Master[[#This Row],[Avg stop time helper]] &lt;&gt; 0, Master[[#This Row],[Avg stop time helper]],Average_Stop_Time))</f>
        <v>#DIV/0!</v>
      </c>
      <c r="AV1384" s="21"/>
      <c r="AW1384" s="20">
        <f>Master[[#This Row],[RSP StopTime override]]-Master[[#This Row],[Avg stop time helper]]</f>
        <v>0</v>
      </c>
    </row>
    <row r="1385" spans="1:49" x14ac:dyDescent="0.3">
      <c r="A1385" s="66" t="s">
        <v>5388</v>
      </c>
      <c r="B1385" s="58">
        <v>8010</v>
      </c>
      <c r="C1385" s="58" t="s">
        <v>15</v>
      </c>
      <c r="D1385" s="65">
        <v>804556</v>
      </c>
      <c r="E1385" s="65" t="s">
        <v>42</v>
      </c>
      <c r="F1385" s="65" t="s">
        <v>658</v>
      </c>
      <c r="G1385" s="65" t="s">
        <v>657</v>
      </c>
      <c r="H1385" s="65" t="s">
        <v>7</v>
      </c>
      <c r="I1385" s="65" t="s">
        <v>6</v>
      </c>
      <c r="J1385" s="65" t="s">
        <v>5</v>
      </c>
      <c r="K1385" s="65" t="s">
        <v>68</v>
      </c>
      <c r="L1385" s="64" t="s">
        <v>141</v>
      </c>
      <c r="M1385" s="58" t="s">
        <v>140</v>
      </c>
      <c r="N1385" s="58" t="s">
        <v>2</v>
      </c>
      <c r="O1385" s="58">
        <v>42</v>
      </c>
      <c r="P1385" s="58">
        <v>0</v>
      </c>
      <c r="Q1385" s="58">
        <v>0</v>
      </c>
      <c r="R1385" s="58">
        <v>0</v>
      </c>
      <c r="S1385" s="58">
        <v>0</v>
      </c>
      <c r="T1385" s="58">
        <v>105</v>
      </c>
      <c r="U1385" s="58">
        <v>10</v>
      </c>
      <c r="V1385" s="62"/>
      <c r="W1385" s="62"/>
      <c r="X1385" s="63">
        <f>IFERROR(1 -(Master[[#This Row],[Avg Garment Scans per Delivery]]/Master[[#This Row],[Garment Inventory]]), 0)</f>
        <v>0</v>
      </c>
      <c r="Y1385" s="62"/>
      <c r="Z1385" s="62"/>
      <c r="AA1385" s="53">
        <v>94.02</v>
      </c>
      <c r="AB1385" s="53">
        <v>94.02</v>
      </c>
      <c r="AC1385" s="53">
        <v>88.288888888888891</v>
      </c>
      <c r="AD1385" s="53">
        <v>89.097777777777765</v>
      </c>
      <c r="AE1385" s="53" t="str">
        <f>_xlfn.XLOOKUP(Master[[#This Row],[cu_id]],'[1]Customer Revenue'!$Q:$Q,'[1]Customer Revenue'!$K:$K, "None")</f>
        <v>None</v>
      </c>
      <c r="AF1385" s="53" t="str">
        <f>_xlfn.XLOOKUP(Master[[#This Row],[cu_id]],'[1]Customer Revenue'!$Q:$Q,'[1]Customer Revenue'!$L:$L, "None")</f>
        <v>None</v>
      </c>
      <c r="AG1385" s="53">
        <v>60.992998236331573</v>
      </c>
      <c r="AH1385" s="53">
        <v>125.438430335097</v>
      </c>
      <c r="AI1385" s="53">
        <v>94.02</v>
      </c>
      <c r="AJ1385" s="53">
        <v>88.693333333333328</v>
      </c>
      <c r="AK1385" s="53" t="str">
        <f>_xlfn.XLOOKUP(Master[[#This Row],[cu_id]],'[1]Customer Revenue'!$Q:$Q,'[1]Customer Revenue'!$I:$I, "None")</f>
        <v>None</v>
      </c>
      <c r="AL1385" s="53">
        <v>93.215714285714284</v>
      </c>
      <c r="AM1385" s="61">
        <v>0.35416666666666669</v>
      </c>
      <c r="AN1385" s="60">
        <v>0</v>
      </c>
      <c r="AO1385" s="60">
        <v>0.54166666666666663</v>
      </c>
      <c r="AP1385" s="60">
        <v>0.6875</v>
      </c>
      <c r="AQ1385" s="58" t="s">
        <v>0</v>
      </c>
      <c r="AR1385" s="58"/>
      <c r="AS1385" s="58"/>
      <c r="AT1385" s="52">
        <v>0</v>
      </c>
      <c r="AU1385" s="52" t="e">
        <f>IF(Master[[#This Row],[RSP StopTime override]] &lt;&gt; "",Master[[#This Row],[RSP StopTime override]],IF(Master[[#This Row],[Avg stop time helper]] &lt;&gt; 0, Master[[#This Row],[Avg stop time helper]],Average_Stop_Time))</f>
        <v>#DIV/0!</v>
      </c>
      <c r="AV1385" s="21"/>
      <c r="AW1385" s="20">
        <f>Master[[#This Row],[RSP StopTime override]]-Master[[#This Row],[Avg stop time helper]]</f>
        <v>0</v>
      </c>
    </row>
    <row r="1386" spans="1:49" x14ac:dyDescent="0.3">
      <c r="A1386" s="66" t="s">
        <v>5389</v>
      </c>
      <c r="B1386" s="58">
        <v>8010</v>
      </c>
      <c r="C1386" s="58" t="s">
        <v>15</v>
      </c>
      <c r="D1386" s="65">
        <v>804592</v>
      </c>
      <c r="E1386" s="65" t="s">
        <v>42</v>
      </c>
      <c r="F1386" s="65" t="s">
        <v>656</v>
      </c>
      <c r="G1386" s="65" t="s">
        <v>655</v>
      </c>
      <c r="H1386" s="65" t="s">
        <v>7</v>
      </c>
      <c r="I1386" s="65" t="s">
        <v>6</v>
      </c>
      <c r="J1386" s="65" t="s">
        <v>5</v>
      </c>
      <c r="K1386" s="65" t="s">
        <v>68</v>
      </c>
      <c r="L1386" s="64" t="s">
        <v>141</v>
      </c>
      <c r="M1386" s="58" t="s">
        <v>140</v>
      </c>
      <c r="N1386" s="58" t="s">
        <v>2</v>
      </c>
      <c r="O1386" s="58">
        <v>46</v>
      </c>
      <c r="P1386" s="58">
        <v>0</v>
      </c>
      <c r="Q1386" s="58">
        <v>0</v>
      </c>
      <c r="R1386" s="58">
        <v>0</v>
      </c>
      <c r="S1386" s="58">
        <v>0</v>
      </c>
      <c r="T1386" s="58">
        <v>70</v>
      </c>
      <c r="U1386" s="58">
        <v>10</v>
      </c>
      <c r="V1386" s="62"/>
      <c r="W1386" s="62"/>
      <c r="X1386" s="63">
        <f>IFERROR(1 -(Master[[#This Row],[Avg Garment Scans per Delivery]]/Master[[#This Row],[Garment Inventory]]), 0)</f>
        <v>0</v>
      </c>
      <c r="Y1386" s="62"/>
      <c r="Z1386" s="62"/>
      <c r="AA1386" s="53">
        <v>27.54</v>
      </c>
      <c r="AB1386" s="53">
        <v>27.540000000000006</v>
      </c>
      <c r="AC1386" s="53">
        <v>27.408888888888889</v>
      </c>
      <c r="AD1386" s="53">
        <v>28.457777777777778</v>
      </c>
      <c r="AE1386" s="53" t="str">
        <f>_xlfn.XLOOKUP(Master[[#This Row],[cu_id]],'[1]Customer Revenue'!$Q:$Q,'[1]Customer Revenue'!$K:$K, "None")</f>
        <v>None</v>
      </c>
      <c r="AF1386" s="53" t="str">
        <f>_xlfn.XLOOKUP(Master[[#This Row],[cu_id]],'[1]Customer Revenue'!$Q:$Q,'[1]Customer Revenue'!$L:$L, "None")</f>
        <v>None</v>
      </c>
      <c r="AG1386" s="53">
        <v>16.581785714285708</v>
      </c>
      <c r="AH1386" s="53">
        <v>33.486785714285716</v>
      </c>
      <c r="AI1386" s="53">
        <v>27.540000000000003</v>
      </c>
      <c r="AJ1386" s="53">
        <v>27.933333333333334</v>
      </c>
      <c r="AK1386" s="53" t="str">
        <f>_xlfn.XLOOKUP(Master[[#This Row],[cu_id]],'[1]Customer Revenue'!$Q:$Q,'[1]Customer Revenue'!$I:$I, "None")</f>
        <v>None</v>
      </c>
      <c r="AL1386" s="53">
        <v>25.034285714285712</v>
      </c>
      <c r="AM1386" s="61">
        <v>0.33333333333333331</v>
      </c>
      <c r="AN1386" s="60">
        <v>0.6875</v>
      </c>
      <c r="AO1386" s="60" t="s">
        <v>36</v>
      </c>
      <c r="AP1386" s="60" t="s">
        <v>36</v>
      </c>
      <c r="AQ1386" s="58" t="s">
        <v>0</v>
      </c>
      <c r="AR1386" s="58"/>
      <c r="AS1386" s="58"/>
      <c r="AT1386" s="52">
        <v>0</v>
      </c>
      <c r="AU1386" s="52" t="e">
        <f>IF(Master[[#This Row],[RSP StopTime override]] &lt;&gt; "",Master[[#This Row],[RSP StopTime override]],IF(Master[[#This Row],[Avg stop time helper]] &lt;&gt; 0, Master[[#This Row],[Avg stop time helper]],Average_Stop_Time))</f>
        <v>#DIV/0!</v>
      </c>
      <c r="AV1386" s="21"/>
      <c r="AW1386" s="20">
        <f>Master[[#This Row],[RSP StopTime override]]-Master[[#This Row],[Avg stop time helper]]</f>
        <v>0</v>
      </c>
    </row>
    <row r="1387" spans="1:49" x14ac:dyDescent="0.3">
      <c r="A1387" s="66" t="s">
        <v>5390</v>
      </c>
      <c r="B1387" s="58">
        <v>8010</v>
      </c>
      <c r="C1387" s="58" t="s">
        <v>15</v>
      </c>
      <c r="D1387" s="65">
        <v>804594</v>
      </c>
      <c r="E1387" s="65" t="s">
        <v>42</v>
      </c>
      <c r="F1387" s="65" t="s">
        <v>654</v>
      </c>
      <c r="G1387" s="65" t="s">
        <v>653</v>
      </c>
      <c r="H1387" s="65" t="s">
        <v>7</v>
      </c>
      <c r="I1387" s="65" t="s">
        <v>6</v>
      </c>
      <c r="J1387" s="65" t="s">
        <v>5</v>
      </c>
      <c r="K1387" s="65" t="s">
        <v>68</v>
      </c>
      <c r="L1387" s="64" t="s">
        <v>77</v>
      </c>
      <c r="M1387" s="58" t="s">
        <v>29</v>
      </c>
      <c r="N1387" s="58" t="s">
        <v>2</v>
      </c>
      <c r="O1387" s="58">
        <v>47</v>
      </c>
      <c r="P1387" s="58">
        <v>0</v>
      </c>
      <c r="Q1387" s="58">
        <v>0</v>
      </c>
      <c r="R1387" s="58">
        <v>0</v>
      </c>
      <c r="S1387" s="58">
        <v>0</v>
      </c>
      <c r="T1387" s="58">
        <v>110</v>
      </c>
      <c r="U1387" s="58">
        <v>20</v>
      </c>
      <c r="V1387" s="62">
        <v>3</v>
      </c>
      <c r="W1387" s="62"/>
      <c r="X1387" s="63">
        <f>IFERROR(1 -(Master[[#This Row],[Avg Garment Scans per Delivery]]/Master[[#This Row],[Garment Inventory]]), 0)</f>
        <v>1</v>
      </c>
      <c r="Y1387" s="62"/>
      <c r="Z1387" s="62"/>
      <c r="AA1387" s="53">
        <v>25</v>
      </c>
      <c r="AB1387" s="53">
        <v>28.28</v>
      </c>
      <c r="AC1387" s="53">
        <v>28.153333333333336</v>
      </c>
      <c r="AD1387" s="53">
        <v>30.78</v>
      </c>
      <c r="AE1387" s="53" t="str">
        <f>_xlfn.XLOOKUP(Master[[#This Row],[cu_id]],'[1]Customer Revenue'!$Q:$Q,'[1]Customer Revenue'!$K:$K, "None")</f>
        <v>None</v>
      </c>
      <c r="AF1387" s="53" t="str">
        <f>_xlfn.XLOOKUP(Master[[#This Row],[cu_id]],'[1]Customer Revenue'!$Q:$Q,'[1]Customer Revenue'!$L:$L, "None")</f>
        <v>None</v>
      </c>
      <c r="AG1387" s="53">
        <v>24.592426035502953</v>
      </c>
      <c r="AH1387" s="53">
        <v>26.921420118343185</v>
      </c>
      <c r="AI1387" s="53">
        <v>26.64</v>
      </c>
      <c r="AJ1387" s="53">
        <v>29.466666666666669</v>
      </c>
      <c r="AK1387" s="53" t="str">
        <f>_xlfn.XLOOKUP(Master[[#This Row],[cu_id]],'[1]Customer Revenue'!$Q:$Q,'[1]Customer Revenue'!$I:$I, "None")</f>
        <v>None</v>
      </c>
      <c r="AL1387" s="53">
        <v>25.756923076923069</v>
      </c>
      <c r="AM1387" s="61" t="s">
        <v>36</v>
      </c>
      <c r="AN1387" s="60" t="s">
        <v>36</v>
      </c>
      <c r="AO1387" s="60" t="s">
        <v>36</v>
      </c>
      <c r="AP1387" s="60" t="s">
        <v>36</v>
      </c>
      <c r="AQ1387" s="58" t="s">
        <v>308</v>
      </c>
      <c r="AR1387" s="58"/>
      <c r="AS1387" s="58"/>
      <c r="AT1387" s="52">
        <v>0</v>
      </c>
      <c r="AU1387" s="52" t="e">
        <f>IF(Master[[#This Row],[RSP StopTime override]] &lt;&gt; "",Master[[#This Row],[RSP StopTime override]],IF(Master[[#This Row],[Avg stop time helper]] &lt;&gt; 0, Master[[#This Row],[Avg stop time helper]],Average_Stop_Time))</f>
        <v>#DIV/0!</v>
      </c>
      <c r="AV1387" s="21"/>
      <c r="AW1387" s="20">
        <f>Master[[#This Row],[RSP StopTime override]]-Master[[#This Row],[Avg stop time helper]]</f>
        <v>0</v>
      </c>
    </row>
    <row r="1388" spans="1:49" x14ac:dyDescent="0.3">
      <c r="A1388" s="66" t="s">
        <v>5391</v>
      </c>
      <c r="B1388" s="58">
        <v>8010</v>
      </c>
      <c r="C1388" s="58" t="s">
        <v>15</v>
      </c>
      <c r="D1388" s="65">
        <v>806007</v>
      </c>
      <c r="E1388" s="65" t="s">
        <v>42</v>
      </c>
      <c r="F1388" s="65" t="s">
        <v>652</v>
      </c>
      <c r="G1388" s="65" t="s">
        <v>651</v>
      </c>
      <c r="H1388" s="65" t="s">
        <v>7</v>
      </c>
      <c r="I1388" s="65" t="s">
        <v>6</v>
      </c>
      <c r="J1388" s="65" t="s">
        <v>5</v>
      </c>
      <c r="K1388" s="65" t="s">
        <v>68</v>
      </c>
      <c r="L1388" s="64" t="s">
        <v>67</v>
      </c>
      <c r="M1388" s="58" t="s">
        <v>3</v>
      </c>
      <c r="N1388" s="58" t="s">
        <v>2</v>
      </c>
      <c r="O1388" s="58">
        <v>100</v>
      </c>
      <c r="P1388" s="58">
        <v>0</v>
      </c>
      <c r="Q1388" s="58">
        <v>0</v>
      </c>
      <c r="R1388" s="58">
        <v>0</v>
      </c>
      <c r="S1388" s="58">
        <v>0</v>
      </c>
      <c r="T1388" s="58">
        <v>95</v>
      </c>
      <c r="U1388" s="58">
        <v>31</v>
      </c>
      <c r="V1388" s="62"/>
      <c r="W1388" s="62"/>
      <c r="X1388" s="63">
        <f>IFERROR(1 -(Master[[#This Row],[Avg Garment Scans per Delivery]]/Master[[#This Row],[Garment Inventory]]), 0)</f>
        <v>0</v>
      </c>
      <c r="Y1388" s="62"/>
      <c r="Z1388" s="62"/>
      <c r="AA1388" s="53">
        <v>35.261173570019722</v>
      </c>
      <c r="AB1388" s="53">
        <v>49.695493096646942</v>
      </c>
      <c r="AC1388" s="53">
        <v>38.053178963893238</v>
      </c>
      <c r="AD1388" s="53">
        <v>49.692974882260593</v>
      </c>
      <c r="AE1388" s="53" t="str">
        <f>_xlfn.XLOOKUP(Master[[#This Row],[cu_id]],'[1]Customer Revenue'!$Q:$Q,'[1]Customer Revenue'!$K:$K, "None")</f>
        <v>None</v>
      </c>
      <c r="AF1388" s="53" t="str">
        <f>_xlfn.XLOOKUP(Master[[#This Row],[cu_id]],'[1]Customer Revenue'!$Q:$Q,'[1]Customer Revenue'!$L:$L, "None")</f>
        <v>None</v>
      </c>
      <c r="AG1388" s="53">
        <v>38.65767512077295</v>
      </c>
      <c r="AH1388" s="53">
        <v>47.104064009661826</v>
      </c>
      <c r="AI1388" s="53">
        <v>42.478333333333332</v>
      </c>
      <c r="AJ1388" s="53">
        <v>43.873076923076916</v>
      </c>
      <c r="AK1388" s="53" t="str">
        <f>_xlfn.XLOOKUP(Master[[#This Row],[cu_id]],'[1]Customer Revenue'!$Q:$Q,'[1]Customer Revenue'!$I:$I, "None")</f>
        <v>None</v>
      </c>
      <c r="AL1388" s="53">
        <v>42.880869565217388</v>
      </c>
      <c r="AM1388" s="61">
        <v>0.375</v>
      </c>
      <c r="AN1388" s="60">
        <v>0</v>
      </c>
      <c r="AO1388" s="60">
        <v>0.54166666666666663</v>
      </c>
      <c r="AP1388" s="60">
        <v>0.6875</v>
      </c>
      <c r="AQ1388" s="58" t="s">
        <v>0</v>
      </c>
      <c r="AR1388" s="58"/>
      <c r="AS1388" s="58"/>
      <c r="AT1388" s="52">
        <v>0</v>
      </c>
      <c r="AU1388" s="52">
        <f>IF(Master[[#This Row],[RSP StopTime override]] &lt;&gt; "",Master[[#This Row],[RSP StopTime override]],IF(Master[[#This Row],[Avg stop time helper]] &lt;&gt; 0, Master[[#This Row],[Avg stop time helper]],Average_Stop_Time))</f>
        <v>15</v>
      </c>
      <c r="AV1388" s="21">
        <v>15</v>
      </c>
      <c r="AW1388" s="20">
        <f>Master[[#This Row],[RSP StopTime override]]-Master[[#This Row],[Avg stop time helper]]</f>
        <v>15</v>
      </c>
    </row>
    <row r="1389" spans="1:49" x14ac:dyDescent="0.3">
      <c r="A1389" s="66" t="s">
        <v>5392</v>
      </c>
      <c r="B1389" s="58">
        <v>8010</v>
      </c>
      <c r="C1389" s="58" t="s">
        <v>15</v>
      </c>
      <c r="D1389" s="65">
        <v>806011</v>
      </c>
      <c r="E1389" s="65" t="s">
        <v>42</v>
      </c>
      <c r="F1389" s="65" t="s">
        <v>650</v>
      </c>
      <c r="G1389" s="65" t="s">
        <v>649</v>
      </c>
      <c r="H1389" s="65" t="s">
        <v>7</v>
      </c>
      <c r="I1389" s="65" t="s">
        <v>6</v>
      </c>
      <c r="J1389" s="65" t="s">
        <v>5</v>
      </c>
      <c r="K1389" s="65" t="s">
        <v>68</v>
      </c>
      <c r="L1389" s="64" t="s">
        <v>67</v>
      </c>
      <c r="M1389" s="58" t="s">
        <v>3</v>
      </c>
      <c r="N1389" s="58" t="s">
        <v>2</v>
      </c>
      <c r="O1389" s="58">
        <v>80</v>
      </c>
      <c r="P1389" s="58">
        <v>0</v>
      </c>
      <c r="Q1389" s="58">
        <v>0</v>
      </c>
      <c r="R1389" s="58">
        <v>0</v>
      </c>
      <c r="S1389" s="58">
        <v>0</v>
      </c>
      <c r="T1389" s="58">
        <v>80</v>
      </c>
      <c r="U1389" s="58">
        <v>39</v>
      </c>
      <c r="V1389" s="62">
        <v>174</v>
      </c>
      <c r="W1389" s="62">
        <v>12</v>
      </c>
      <c r="X1389" s="63">
        <f>IFERROR(1 -(Master[[#This Row],[Avg Garment Scans per Delivery]]/Master[[#This Row],[Garment Inventory]]), 0)</f>
        <v>0.93103448275862066</v>
      </c>
      <c r="Y1389" s="62">
        <v>10</v>
      </c>
      <c r="Z1389" s="62">
        <v>145</v>
      </c>
      <c r="AA1389" s="53">
        <v>92.114999999999995</v>
      </c>
      <c r="AB1389" s="53">
        <v>113.64166666666667</v>
      </c>
      <c r="AC1389" s="53">
        <v>94.121868131868126</v>
      </c>
      <c r="AD1389" s="53">
        <v>130.29043956043955</v>
      </c>
      <c r="AE1389" s="53" t="str">
        <f>_xlfn.XLOOKUP(Master[[#This Row],[cu_id]],'[1]Customer Revenue'!$Q:$Q,'[1]Customer Revenue'!$K:$K, "None")</f>
        <v>None</v>
      </c>
      <c r="AF1389" s="53" t="str">
        <f>_xlfn.XLOOKUP(Master[[#This Row],[cu_id]],'[1]Customer Revenue'!$Q:$Q,'[1]Customer Revenue'!$L:$L, "None")</f>
        <v>None</v>
      </c>
      <c r="AG1389" s="53">
        <v>86.915552000000019</v>
      </c>
      <c r="AH1389" s="53">
        <v>109.58204800000001</v>
      </c>
      <c r="AI1389" s="53">
        <v>102.87833333333333</v>
      </c>
      <c r="AJ1389" s="53">
        <v>112.20615384615384</v>
      </c>
      <c r="AK1389" s="53" t="str">
        <f>_xlfn.XLOOKUP(Master[[#This Row],[cu_id]],'[1]Customer Revenue'!$Q:$Q,'[1]Customer Revenue'!$I:$I, "None")</f>
        <v>None</v>
      </c>
      <c r="AL1389" s="53">
        <v>98.248800000000017</v>
      </c>
      <c r="AM1389" s="61">
        <v>0.3125</v>
      </c>
      <c r="AN1389" s="60">
        <v>0.6875</v>
      </c>
      <c r="AO1389" s="60" t="s">
        <v>36</v>
      </c>
      <c r="AP1389" s="60" t="s">
        <v>36</v>
      </c>
      <c r="AQ1389" s="58" t="s">
        <v>0</v>
      </c>
      <c r="AR1389" s="58"/>
      <c r="AS1389" s="58"/>
      <c r="AT1389" s="52">
        <v>0</v>
      </c>
      <c r="AU1389" s="52">
        <f>IF(Master[[#This Row],[RSP StopTime override]] &lt;&gt; "",Master[[#This Row],[RSP StopTime override]],IF(Master[[#This Row],[Avg stop time helper]] &lt;&gt; 0, Master[[#This Row],[Avg stop time helper]],Average_Stop_Time))</f>
        <v>15</v>
      </c>
      <c r="AV1389" s="21">
        <v>15</v>
      </c>
      <c r="AW1389" s="20">
        <f>Master[[#This Row],[RSP StopTime override]]-Master[[#This Row],[Avg stop time helper]]</f>
        <v>15</v>
      </c>
    </row>
    <row r="1390" spans="1:49" x14ac:dyDescent="0.3">
      <c r="A1390" s="66" t="s">
        <v>5393</v>
      </c>
      <c r="B1390" s="58">
        <v>8010</v>
      </c>
      <c r="C1390" s="58" t="s">
        <v>15</v>
      </c>
      <c r="D1390" s="65">
        <v>806012</v>
      </c>
      <c r="E1390" s="65" t="s">
        <v>42</v>
      </c>
      <c r="F1390" s="65" t="s">
        <v>648</v>
      </c>
      <c r="G1390" s="65" t="s">
        <v>647</v>
      </c>
      <c r="H1390" s="65" t="s">
        <v>7</v>
      </c>
      <c r="I1390" s="65" t="s">
        <v>6</v>
      </c>
      <c r="J1390" s="65" t="s">
        <v>5</v>
      </c>
      <c r="K1390" s="65" t="s">
        <v>68</v>
      </c>
      <c r="L1390" s="64" t="s">
        <v>67</v>
      </c>
      <c r="M1390" s="58" t="s">
        <v>3</v>
      </c>
      <c r="N1390" s="58" t="s">
        <v>2</v>
      </c>
      <c r="O1390" s="58">
        <v>35</v>
      </c>
      <c r="P1390" s="58">
        <v>0</v>
      </c>
      <c r="Q1390" s="58">
        <v>0</v>
      </c>
      <c r="R1390" s="58">
        <v>0</v>
      </c>
      <c r="S1390" s="58">
        <v>0</v>
      </c>
      <c r="T1390" s="58">
        <v>35</v>
      </c>
      <c r="U1390" s="58">
        <v>39</v>
      </c>
      <c r="V1390" s="62"/>
      <c r="W1390" s="62"/>
      <c r="X1390" s="63">
        <f>IFERROR(1 -(Master[[#This Row],[Avg Garment Scans per Delivery]]/Master[[#This Row],[Garment Inventory]]), 0)</f>
        <v>0</v>
      </c>
      <c r="Y1390" s="62"/>
      <c r="Z1390" s="62"/>
      <c r="AA1390" s="53">
        <v>316.75</v>
      </c>
      <c r="AB1390" s="53">
        <v>316.75</v>
      </c>
      <c r="AC1390" s="53">
        <v>243.82472136752125</v>
      </c>
      <c r="AD1390" s="53">
        <v>390.40143247863244</v>
      </c>
      <c r="AE1390" s="53" t="str">
        <f>_xlfn.XLOOKUP(Master[[#This Row],[cu_id]],'[1]Customer Revenue'!$Q:$Q,'[1]Customer Revenue'!$K:$K, "None")</f>
        <v>None</v>
      </c>
      <c r="AF1390" s="53" t="str">
        <f>_xlfn.XLOOKUP(Master[[#This Row],[cu_id]],'[1]Customer Revenue'!$Q:$Q,'[1]Customer Revenue'!$L:$L, "None")</f>
        <v>None</v>
      </c>
      <c r="AG1390" s="53">
        <v>314.45483200000001</v>
      </c>
      <c r="AH1390" s="53">
        <v>317.47396800000001</v>
      </c>
      <c r="AI1390" s="53">
        <v>316.75</v>
      </c>
      <c r="AJ1390" s="53">
        <v>317.11307692307685</v>
      </c>
      <c r="AK1390" s="53" t="str">
        <f>_xlfn.XLOOKUP(Master[[#This Row],[cu_id]],'[1]Customer Revenue'!$Q:$Q,'[1]Customer Revenue'!$I:$I, "None")</f>
        <v>None</v>
      </c>
      <c r="AL1390" s="53">
        <v>315.96440000000001</v>
      </c>
      <c r="AM1390" s="61">
        <v>0.3125</v>
      </c>
      <c r="AN1390" s="60">
        <v>0.91666666666666663</v>
      </c>
      <c r="AO1390" s="60" t="s">
        <v>36</v>
      </c>
      <c r="AP1390" s="60" t="s">
        <v>36</v>
      </c>
      <c r="AQ1390" s="58" t="s">
        <v>308</v>
      </c>
      <c r="AR1390" s="58"/>
      <c r="AS1390" s="58"/>
      <c r="AT1390" s="52">
        <v>0</v>
      </c>
      <c r="AU1390" s="52" t="e">
        <f>IF(Master[[#This Row],[RSP StopTime override]] &lt;&gt; "",Master[[#This Row],[RSP StopTime override]],IF(Master[[#This Row],[Avg stop time helper]] &lt;&gt; 0, Master[[#This Row],[Avg stop time helper]],Average_Stop_Time))</f>
        <v>#DIV/0!</v>
      </c>
      <c r="AV1390" s="21"/>
      <c r="AW1390" s="20">
        <f>Master[[#This Row],[RSP StopTime override]]-Master[[#This Row],[Avg stop time helper]]</f>
        <v>0</v>
      </c>
    </row>
    <row r="1391" spans="1:49" x14ac:dyDescent="0.3">
      <c r="A1391" s="66" t="s">
        <v>5394</v>
      </c>
      <c r="B1391" s="58">
        <v>8010</v>
      </c>
      <c r="C1391" s="58" t="s">
        <v>15</v>
      </c>
      <c r="D1391" s="65">
        <v>806014</v>
      </c>
      <c r="E1391" s="65" t="s">
        <v>42</v>
      </c>
      <c r="F1391" s="65" t="s">
        <v>646</v>
      </c>
      <c r="G1391" s="65" t="s">
        <v>645</v>
      </c>
      <c r="H1391" s="65" t="s">
        <v>7</v>
      </c>
      <c r="I1391" s="65" t="s">
        <v>6</v>
      </c>
      <c r="J1391" s="65" t="s">
        <v>5</v>
      </c>
      <c r="K1391" s="65" t="s">
        <v>68</v>
      </c>
      <c r="L1391" s="64" t="s">
        <v>91</v>
      </c>
      <c r="M1391" s="58" t="s">
        <v>90</v>
      </c>
      <c r="N1391" s="58" t="s">
        <v>2</v>
      </c>
      <c r="O1391" s="58">
        <v>20</v>
      </c>
      <c r="P1391" s="58">
        <v>0</v>
      </c>
      <c r="Q1391" s="58">
        <v>0</v>
      </c>
      <c r="R1391" s="58">
        <v>0</v>
      </c>
      <c r="S1391" s="58">
        <v>0</v>
      </c>
      <c r="T1391" s="58">
        <v>20</v>
      </c>
      <c r="U1391" s="58">
        <v>18</v>
      </c>
      <c r="V1391" s="62"/>
      <c r="W1391" s="62"/>
      <c r="X1391" s="63">
        <f>IFERROR(1 -(Master[[#This Row],[Avg Garment Scans per Delivery]]/Master[[#This Row],[Garment Inventory]]), 0)</f>
        <v>0</v>
      </c>
      <c r="Y1391" s="62"/>
      <c r="Z1391" s="62"/>
      <c r="AA1391" s="53">
        <v>28.65</v>
      </c>
      <c r="AB1391" s="53">
        <v>28.650000000000006</v>
      </c>
      <c r="AC1391" s="53">
        <v>28.505510204081631</v>
      </c>
      <c r="AD1391" s="53">
        <v>29.468775510204075</v>
      </c>
      <c r="AE1391" s="53" t="str">
        <f>_xlfn.XLOOKUP(Master[[#This Row],[cu_id]],'[1]Customer Revenue'!$Q:$Q,'[1]Customer Revenue'!$K:$K, "None")</f>
        <v>None</v>
      </c>
      <c r="AF1391" s="53" t="str">
        <f>_xlfn.XLOOKUP(Master[[#This Row],[cu_id]],'[1]Customer Revenue'!$Q:$Q,'[1]Customer Revenue'!$L:$L, "None")</f>
        <v>None</v>
      </c>
      <c r="AG1391" s="53">
        <v>24.272916666666664</v>
      </c>
      <c r="AH1391" s="53">
        <v>33.02708333333333</v>
      </c>
      <c r="AI1391" s="53">
        <v>28.650000000000002</v>
      </c>
      <c r="AJ1391" s="53">
        <v>28.987142857142853</v>
      </c>
      <c r="AK1391" s="53" t="str">
        <f>_xlfn.XLOOKUP(Master[[#This Row],[cu_id]],'[1]Customer Revenue'!$Q:$Q,'[1]Customer Revenue'!$I:$I, "None")</f>
        <v>None</v>
      </c>
      <c r="AL1391" s="53">
        <v>28.65</v>
      </c>
      <c r="AM1391" s="61">
        <v>0.35416666666666669</v>
      </c>
      <c r="AN1391" s="60">
        <v>0.6875</v>
      </c>
      <c r="AO1391" s="60" t="s">
        <v>36</v>
      </c>
      <c r="AP1391" s="60" t="s">
        <v>36</v>
      </c>
      <c r="AQ1391" s="58" t="s">
        <v>0</v>
      </c>
      <c r="AR1391" s="58"/>
      <c r="AS1391" s="58"/>
      <c r="AT1391" s="52">
        <v>0</v>
      </c>
      <c r="AU1391" s="52">
        <f>IF(Master[[#This Row],[RSP StopTime override]] &lt;&gt; "",Master[[#This Row],[RSP StopTime override]],IF(Master[[#This Row],[Avg stop time helper]] &lt;&gt; 0, Master[[#This Row],[Avg stop time helper]],Average_Stop_Time))</f>
        <v>10</v>
      </c>
      <c r="AV1391" s="21">
        <v>10</v>
      </c>
      <c r="AW1391" s="20">
        <f>Master[[#This Row],[RSP StopTime override]]-Master[[#This Row],[Avg stop time helper]]</f>
        <v>10</v>
      </c>
    </row>
    <row r="1392" spans="1:49" x14ac:dyDescent="0.3">
      <c r="A1392" s="66" t="s">
        <v>5395</v>
      </c>
      <c r="B1392" s="58">
        <v>8010</v>
      </c>
      <c r="C1392" s="58" t="s">
        <v>15</v>
      </c>
      <c r="D1392" s="65">
        <v>806026</v>
      </c>
      <c r="E1392" s="65" t="s">
        <v>42</v>
      </c>
      <c r="F1392" s="65" t="s">
        <v>644</v>
      </c>
      <c r="G1392" s="65" t="s">
        <v>643</v>
      </c>
      <c r="H1392" s="65" t="s">
        <v>7</v>
      </c>
      <c r="I1392" s="65" t="s">
        <v>6</v>
      </c>
      <c r="J1392" s="65" t="s">
        <v>5</v>
      </c>
      <c r="K1392" s="65" t="s">
        <v>68</v>
      </c>
      <c r="L1392" s="64" t="s">
        <v>67</v>
      </c>
      <c r="M1392" s="58" t="s">
        <v>3</v>
      </c>
      <c r="N1392" s="58" t="s">
        <v>2</v>
      </c>
      <c r="O1392" s="58">
        <v>90</v>
      </c>
      <c r="P1392" s="58">
        <v>0</v>
      </c>
      <c r="Q1392" s="58">
        <v>0</v>
      </c>
      <c r="R1392" s="58">
        <v>0</v>
      </c>
      <c r="S1392" s="58">
        <v>0</v>
      </c>
      <c r="T1392" s="58">
        <v>90</v>
      </c>
      <c r="U1392" s="58">
        <v>39</v>
      </c>
      <c r="V1392" s="62">
        <v>72</v>
      </c>
      <c r="W1392" s="62">
        <v>2</v>
      </c>
      <c r="X1392" s="63">
        <f>IFERROR(1 -(Master[[#This Row],[Avg Garment Scans per Delivery]]/Master[[#This Row],[Garment Inventory]]), 0)</f>
        <v>0.97222222222222221</v>
      </c>
      <c r="Y1392" s="62">
        <v>3</v>
      </c>
      <c r="Z1392" s="62">
        <v>63</v>
      </c>
      <c r="AA1392" s="53">
        <v>15.812499999999996</v>
      </c>
      <c r="AB1392" s="53">
        <v>69.817499999999981</v>
      </c>
      <c r="AC1392" s="53">
        <v>25.931734693877551</v>
      </c>
      <c r="AD1392" s="53">
        <v>77.928265306122427</v>
      </c>
      <c r="AE1392" s="53" t="str">
        <f>_xlfn.XLOOKUP(Master[[#This Row],[cu_id]],'[1]Customer Revenue'!$Q:$Q,'[1]Customer Revenue'!$K:$K, "None")</f>
        <v>None</v>
      </c>
      <c r="AF1392" s="53" t="str">
        <f>_xlfn.XLOOKUP(Master[[#This Row],[cu_id]],'[1]Customer Revenue'!$Q:$Q,'[1]Customer Revenue'!$L:$L, "None")</f>
        <v>None</v>
      </c>
      <c r="AG1392" s="53">
        <v>14.643712000000011</v>
      </c>
      <c r="AH1392" s="53">
        <v>67.945088000000027</v>
      </c>
      <c r="AI1392" s="53">
        <v>42.814999999999991</v>
      </c>
      <c r="AJ1392" s="53">
        <v>51.929999999999993</v>
      </c>
      <c r="AK1392" s="53" t="str">
        <f>_xlfn.XLOOKUP(Master[[#This Row],[cu_id]],'[1]Customer Revenue'!$Q:$Q,'[1]Customer Revenue'!$I:$I, "None")</f>
        <v>None</v>
      </c>
      <c r="AL1392" s="53">
        <v>41.294400000000017</v>
      </c>
      <c r="AM1392" s="61">
        <v>0.33333333333333331</v>
      </c>
      <c r="AN1392" s="60">
        <v>0.6875</v>
      </c>
      <c r="AO1392" s="60" t="s">
        <v>36</v>
      </c>
      <c r="AP1392" s="60" t="s">
        <v>36</v>
      </c>
      <c r="AQ1392" s="58" t="s">
        <v>0</v>
      </c>
      <c r="AR1392" s="58"/>
      <c r="AS1392" s="58"/>
      <c r="AT1392" s="52">
        <v>0</v>
      </c>
      <c r="AU1392" s="52">
        <f>IF(Master[[#This Row],[RSP StopTime override]] &lt;&gt; "",Master[[#This Row],[RSP StopTime override]],IF(Master[[#This Row],[Avg stop time helper]] &lt;&gt; 0, Master[[#This Row],[Avg stop time helper]],Average_Stop_Time))</f>
        <v>10</v>
      </c>
      <c r="AV1392" s="21">
        <v>10</v>
      </c>
      <c r="AW1392" s="20">
        <f>Master[[#This Row],[RSP StopTime override]]-Master[[#This Row],[Avg stop time helper]]</f>
        <v>10</v>
      </c>
    </row>
    <row r="1393" spans="1:49" x14ac:dyDescent="0.3">
      <c r="A1393" s="66" t="s">
        <v>5396</v>
      </c>
      <c r="B1393" s="58">
        <v>8010</v>
      </c>
      <c r="C1393" s="58" t="s">
        <v>15</v>
      </c>
      <c r="D1393" s="65">
        <v>806350</v>
      </c>
      <c r="E1393" s="65" t="s">
        <v>42</v>
      </c>
      <c r="F1393" s="65" t="s">
        <v>642</v>
      </c>
      <c r="G1393" s="65" t="s">
        <v>641</v>
      </c>
      <c r="H1393" s="65" t="s">
        <v>7</v>
      </c>
      <c r="I1393" s="65" t="s">
        <v>6</v>
      </c>
      <c r="J1393" s="65" t="s">
        <v>5</v>
      </c>
      <c r="K1393" s="65" t="s">
        <v>115</v>
      </c>
      <c r="L1393" s="64" t="s">
        <v>67</v>
      </c>
      <c r="M1393" s="58" t="s">
        <v>3</v>
      </c>
      <c r="N1393" s="58" t="s">
        <v>2</v>
      </c>
      <c r="O1393" s="58">
        <v>12</v>
      </c>
      <c r="P1393" s="58">
        <v>0</v>
      </c>
      <c r="Q1393" s="58">
        <v>0</v>
      </c>
      <c r="R1393" s="58">
        <v>0</v>
      </c>
      <c r="S1393" s="58">
        <v>0</v>
      </c>
      <c r="T1393" s="58">
        <v>85</v>
      </c>
      <c r="U1393" s="58">
        <v>39</v>
      </c>
      <c r="V1393" s="62"/>
      <c r="W1393" s="62"/>
      <c r="X1393" s="63">
        <f>IFERROR(1 -(Master[[#This Row],[Avg Garment Scans per Delivery]]/Master[[#This Row],[Garment Inventory]]), 0)</f>
        <v>0</v>
      </c>
      <c r="Y1393" s="62"/>
      <c r="Z1393" s="62"/>
      <c r="AA1393" s="53">
        <v>29.74</v>
      </c>
      <c r="AB1393" s="53">
        <v>29.740000000000013</v>
      </c>
      <c r="AC1393" s="53">
        <v>29.663076923076922</v>
      </c>
      <c r="AD1393" s="53">
        <v>30.216923076923074</v>
      </c>
      <c r="AE1393" s="53" t="str">
        <f>_xlfn.XLOOKUP(Master[[#This Row],[cu_id]],'[1]Customer Revenue'!$Q:$Q,'[1]Customer Revenue'!$K:$K, "None")</f>
        <v>None</v>
      </c>
      <c r="AF1393" s="53" t="str">
        <f>_xlfn.XLOOKUP(Master[[#This Row],[cu_id]],'[1]Customer Revenue'!$Q:$Q,'[1]Customer Revenue'!$L:$L, "None")</f>
        <v>None</v>
      </c>
      <c r="AG1393" s="53">
        <v>29.74</v>
      </c>
      <c r="AH1393" s="53">
        <v>29.740000000000013</v>
      </c>
      <c r="AI1393" s="53">
        <v>29.740000000000006</v>
      </c>
      <c r="AJ1393" s="53">
        <v>29.939999999999998</v>
      </c>
      <c r="AK1393" s="53" t="str">
        <f>_xlfn.XLOOKUP(Master[[#This Row],[cu_id]],'[1]Customer Revenue'!$Q:$Q,'[1]Customer Revenue'!$I:$I, "None")</f>
        <v>None</v>
      </c>
      <c r="AL1393" s="53">
        <v>29.740000000000006</v>
      </c>
      <c r="AM1393" s="61">
        <v>0.27083333333333331</v>
      </c>
      <c r="AN1393" s="60">
        <v>0.91666666666666663</v>
      </c>
      <c r="AO1393" s="60" t="s">
        <v>36</v>
      </c>
      <c r="AP1393" s="60" t="s">
        <v>36</v>
      </c>
      <c r="AQ1393" s="58" t="s">
        <v>308</v>
      </c>
      <c r="AR1393" s="58"/>
      <c r="AS1393" s="58"/>
      <c r="AT1393" s="52">
        <v>0</v>
      </c>
      <c r="AU1393" s="52">
        <f>IF(Master[[#This Row],[RSP StopTime override]] &lt;&gt; "",Master[[#This Row],[RSP StopTime override]],IF(Master[[#This Row],[Avg stop time helper]] &lt;&gt; 0, Master[[#This Row],[Avg stop time helper]],Average_Stop_Time))</f>
        <v>10</v>
      </c>
      <c r="AV1393" s="21">
        <v>10</v>
      </c>
      <c r="AW1393" s="20">
        <f>Master[[#This Row],[RSP StopTime override]]-Master[[#This Row],[Avg stop time helper]]</f>
        <v>10</v>
      </c>
    </row>
    <row r="1394" spans="1:49" x14ac:dyDescent="0.3">
      <c r="A1394" s="66" t="s">
        <v>5397</v>
      </c>
      <c r="B1394" s="58">
        <v>8010</v>
      </c>
      <c r="C1394" s="58" t="s">
        <v>15</v>
      </c>
      <c r="D1394" s="65">
        <v>806795</v>
      </c>
      <c r="E1394" s="65" t="s">
        <v>42</v>
      </c>
      <c r="F1394" s="65" t="s">
        <v>640</v>
      </c>
      <c r="G1394" s="65" t="s">
        <v>639</v>
      </c>
      <c r="H1394" s="65" t="s">
        <v>7</v>
      </c>
      <c r="I1394" s="65" t="s">
        <v>6</v>
      </c>
      <c r="J1394" s="65" t="s">
        <v>5</v>
      </c>
      <c r="K1394" s="65" t="s">
        <v>146</v>
      </c>
      <c r="L1394" s="64" t="s">
        <v>67</v>
      </c>
      <c r="M1394" s="58" t="s">
        <v>3</v>
      </c>
      <c r="N1394" s="58" t="s">
        <v>2</v>
      </c>
      <c r="O1394" s="58">
        <v>75</v>
      </c>
      <c r="P1394" s="58">
        <v>0</v>
      </c>
      <c r="Q1394" s="58">
        <v>0</v>
      </c>
      <c r="R1394" s="58">
        <v>0</v>
      </c>
      <c r="S1394" s="58">
        <v>0</v>
      </c>
      <c r="T1394" s="58">
        <v>75</v>
      </c>
      <c r="U1394" s="58">
        <v>40</v>
      </c>
      <c r="V1394" s="62">
        <v>66</v>
      </c>
      <c r="W1394" s="62">
        <v>5</v>
      </c>
      <c r="X1394" s="63">
        <f>IFERROR(1 -(Master[[#This Row],[Avg Garment Scans per Delivery]]/Master[[#This Row],[Garment Inventory]]), 0)</f>
        <v>0.9242424242424242</v>
      </c>
      <c r="Y1394" s="62">
        <v>3</v>
      </c>
      <c r="Z1394" s="62">
        <v>69</v>
      </c>
      <c r="AA1394" s="53">
        <v>44.727777777777774</v>
      </c>
      <c r="AB1394" s="53">
        <v>48.705555555555549</v>
      </c>
      <c r="AC1394" s="53">
        <v>38.036491365777081</v>
      </c>
      <c r="AD1394" s="53">
        <v>50.008124018838302</v>
      </c>
      <c r="AE1394" s="53" t="str">
        <f>_xlfn.XLOOKUP(Master[[#This Row],[cu_id]],'[1]Customer Revenue'!$Q:$Q,'[1]Customer Revenue'!$K:$K, "None")</f>
        <v>None</v>
      </c>
      <c r="AF1394" s="53" t="str">
        <f>_xlfn.XLOOKUP(Master[[#This Row],[cu_id]],'[1]Customer Revenue'!$Q:$Q,'[1]Customer Revenue'!$L:$L, "None")</f>
        <v>None</v>
      </c>
      <c r="AG1394" s="53">
        <v>46.372783999999996</v>
      </c>
      <c r="AH1394" s="53">
        <v>50.589616000000007</v>
      </c>
      <c r="AI1394" s="53">
        <v>46.716666666666661</v>
      </c>
      <c r="AJ1394" s="53">
        <v>44.022307692307692</v>
      </c>
      <c r="AK1394" s="53" t="str">
        <f>_xlfn.XLOOKUP(Master[[#This Row],[cu_id]],'[1]Customer Revenue'!$Q:$Q,'[1]Customer Revenue'!$I:$I, "None")</f>
        <v>None</v>
      </c>
      <c r="AL1394" s="53">
        <v>48.481200000000001</v>
      </c>
      <c r="AM1394" s="61">
        <v>0.3125</v>
      </c>
      <c r="AN1394" s="60">
        <v>0</v>
      </c>
      <c r="AO1394" s="60">
        <v>0.54166666666666663</v>
      </c>
      <c r="AP1394" s="60">
        <v>0.6875</v>
      </c>
      <c r="AQ1394" s="58" t="s">
        <v>0</v>
      </c>
      <c r="AR1394" s="58"/>
      <c r="AS1394" s="58"/>
      <c r="AT1394" s="52">
        <v>0</v>
      </c>
      <c r="AU1394" s="52" t="e">
        <f>IF(Master[[#This Row],[RSP StopTime override]] &lt;&gt; "",Master[[#This Row],[RSP StopTime override]],IF(Master[[#This Row],[Avg stop time helper]] &lt;&gt; 0, Master[[#This Row],[Avg stop time helper]],Average_Stop_Time))</f>
        <v>#DIV/0!</v>
      </c>
      <c r="AV1394" s="21"/>
      <c r="AW1394" s="20">
        <f>Master[[#This Row],[RSP StopTime override]]-Master[[#This Row],[Avg stop time helper]]</f>
        <v>0</v>
      </c>
    </row>
    <row r="1395" spans="1:49" x14ac:dyDescent="0.3">
      <c r="A1395" s="66" t="s">
        <v>5398</v>
      </c>
      <c r="B1395" s="58">
        <v>8010</v>
      </c>
      <c r="C1395" s="58" t="s">
        <v>15</v>
      </c>
      <c r="D1395" s="65">
        <v>806796</v>
      </c>
      <c r="E1395" s="65" t="s">
        <v>42</v>
      </c>
      <c r="F1395" s="65" t="s">
        <v>638</v>
      </c>
      <c r="G1395" s="65" t="s">
        <v>637</v>
      </c>
      <c r="H1395" s="65" t="s">
        <v>7</v>
      </c>
      <c r="I1395" s="65" t="s">
        <v>6</v>
      </c>
      <c r="J1395" s="65" t="s">
        <v>5</v>
      </c>
      <c r="K1395" s="65" t="s">
        <v>146</v>
      </c>
      <c r="L1395" s="64" t="s">
        <v>77</v>
      </c>
      <c r="M1395" s="58" t="s">
        <v>29</v>
      </c>
      <c r="N1395" s="58" t="s">
        <v>2</v>
      </c>
      <c r="O1395" s="58">
        <v>55</v>
      </c>
      <c r="P1395" s="58">
        <v>0</v>
      </c>
      <c r="Q1395" s="58">
        <v>0</v>
      </c>
      <c r="R1395" s="58">
        <v>0</v>
      </c>
      <c r="S1395" s="58">
        <v>0</v>
      </c>
      <c r="T1395" s="58">
        <v>55</v>
      </c>
      <c r="U1395" s="58">
        <v>20</v>
      </c>
      <c r="V1395" s="62"/>
      <c r="W1395" s="62"/>
      <c r="X1395" s="63">
        <f>IFERROR(1 -(Master[[#This Row],[Avg Garment Scans per Delivery]]/Master[[#This Row],[Garment Inventory]]), 0)</f>
        <v>0</v>
      </c>
      <c r="Y1395" s="62"/>
      <c r="Z1395" s="62"/>
      <c r="AA1395" s="53">
        <v>25.9</v>
      </c>
      <c r="AB1395" s="53">
        <v>25.900000000000006</v>
      </c>
      <c r="AC1395" s="53">
        <v>25.768888888888888</v>
      </c>
      <c r="AD1395" s="53">
        <v>26.817777777777778</v>
      </c>
      <c r="AE1395" s="53" t="str">
        <f>_xlfn.XLOOKUP(Master[[#This Row],[cu_id]],'[1]Customer Revenue'!$Q:$Q,'[1]Customer Revenue'!$K:$K, "None")</f>
        <v>None</v>
      </c>
      <c r="AF1395" s="53" t="str">
        <f>_xlfn.XLOOKUP(Master[[#This Row],[cu_id]],'[1]Customer Revenue'!$Q:$Q,'[1]Customer Revenue'!$L:$L, "None")</f>
        <v>None</v>
      </c>
      <c r="AG1395" s="53">
        <v>24.608284023668631</v>
      </c>
      <c r="AH1395" s="53">
        <v>26.284023668639051</v>
      </c>
      <c r="AI1395" s="53">
        <v>25.900000000000002</v>
      </c>
      <c r="AJ1395" s="53">
        <v>26.293333333333333</v>
      </c>
      <c r="AK1395" s="53" t="str">
        <f>_xlfn.XLOOKUP(Master[[#This Row],[cu_id]],'[1]Customer Revenue'!$Q:$Q,'[1]Customer Revenue'!$I:$I, "None")</f>
        <v>None</v>
      </c>
      <c r="AL1395" s="53">
        <v>25.446153846153841</v>
      </c>
      <c r="AM1395" s="61">
        <v>0.33333333333333331</v>
      </c>
      <c r="AN1395" s="60">
        <v>0.6875</v>
      </c>
      <c r="AO1395" s="60" t="s">
        <v>36</v>
      </c>
      <c r="AP1395" s="60" t="s">
        <v>36</v>
      </c>
      <c r="AQ1395" s="58" t="s">
        <v>0</v>
      </c>
      <c r="AR1395" s="58"/>
      <c r="AS1395" s="58"/>
      <c r="AT1395" s="52">
        <v>0</v>
      </c>
      <c r="AU1395" s="52" t="e">
        <f>IF(Master[[#This Row],[RSP StopTime override]] &lt;&gt; "",Master[[#This Row],[RSP StopTime override]],IF(Master[[#This Row],[Avg stop time helper]] &lt;&gt; 0, Master[[#This Row],[Avg stop time helper]],Average_Stop_Time))</f>
        <v>#DIV/0!</v>
      </c>
      <c r="AV1395" s="21"/>
      <c r="AW1395" s="20">
        <f>Master[[#This Row],[RSP StopTime override]]-Master[[#This Row],[Avg stop time helper]]</f>
        <v>0</v>
      </c>
    </row>
    <row r="1396" spans="1:49" x14ac:dyDescent="0.3">
      <c r="A1396" s="66" t="s">
        <v>5399</v>
      </c>
      <c r="B1396" s="58">
        <v>8010</v>
      </c>
      <c r="C1396" s="58" t="s">
        <v>15</v>
      </c>
      <c r="D1396" s="65">
        <v>807804</v>
      </c>
      <c r="E1396" s="65" t="s">
        <v>42</v>
      </c>
      <c r="F1396" s="65" t="s">
        <v>636</v>
      </c>
      <c r="G1396" s="65" t="s">
        <v>635</v>
      </c>
      <c r="H1396" s="65" t="s">
        <v>7</v>
      </c>
      <c r="I1396" s="65" t="s">
        <v>6</v>
      </c>
      <c r="J1396" s="65" t="s">
        <v>5</v>
      </c>
      <c r="K1396" s="65" t="s">
        <v>68</v>
      </c>
      <c r="L1396" s="64" t="s">
        <v>67</v>
      </c>
      <c r="M1396" s="58" t="s">
        <v>3</v>
      </c>
      <c r="N1396" s="58" t="s">
        <v>2</v>
      </c>
      <c r="O1396" s="58">
        <v>40</v>
      </c>
      <c r="P1396" s="58">
        <v>0</v>
      </c>
      <c r="Q1396" s="58">
        <v>0</v>
      </c>
      <c r="R1396" s="58">
        <v>0</v>
      </c>
      <c r="S1396" s="58">
        <v>0</v>
      </c>
      <c r="T1396" s="58">
        <v>40</v>
      </c>
      <c r="U1396" s="58">
        <v>39</v>
      </c>
      <c r="V1396" s="62">
        <v>264</v>
      </c>
      <c r="W1396" s="62">
        <v>8</v>
      </c>
      <c r="X1396" s="63">
        <f>IFERROR(1 -(Master[[#This Row],[Avg Garment Scans per Delivery]]/Master[[#This Row],[Garment Inventory]]), 0)</f>
        <v>0.96969696969696972</v>
      </c>
      <c r="Y1396" s="62">
        <v>10</v>
      </c>
      <c r="Z1396" s="62">
        <v>223</v>
      </c>
      <c r="AA1396" s="53">
        <v>160.21680555555557</v>
      </c>
      <c r="AB1396" s="53">
        <v>179.54152777777782</v>
      </c>
      <c r="AC1396" s="53">
        <v>162.23724489795919</v>
      </c>
      <c r="AD1396" s="53">
        <v>211.86275510204084</v>
      </c>
      <c r="AE1396" s="53" t="str">
        <f>_xlfn.XLOOKUP(Master[[#This Row],[cu_id]],'[1]Customer Revenue'!$Q:$Q,'[1]Customer Revenue'!$K:$K, "None")</f>
        <v>None</v>
      </c>
      <c r="AF1396" s="53" t="str">
        <f>_xlfn.XLOOKUP(Master[[#This Row],[cu_id]],'[1]Customer Revenue'!$Q:$Q,'[1]Customer Revenue'!$L:$L, "None")</f>
        <v>None</v>
      </c>
      <c r="AG1396" s="53">
        <v>143.31461538461542</v>
      </c>
      <c r="AH1396" s="53">
        <v>170.42153846153849</v>
      </c>
      <c r="AI1396" s="53">
        <v>169.87916666666669</v>
      </c>
      <c r="AJ1396" s="53">
        <v>187.05</v>
      </c>
      <c r="AK1396" s="53" t="str">
        <f>_xlfn.XLOOKUP(Master[[#This Row],[cu_id]],'[1]Customer Revenue'!$Q:$Q,'[1]Customer Revenue'!$I:$I, "None")</f>
        <v>None</v>
      </c>
      <c r="AL1396" s="53">
        <v>156.86807692307696</v>
      </c>
      <c r="AM1396" s="61">
        <v>0.33333333333333331</v>
      </c>
      <c r="AN1396" s="60">
        <v>0</v>
      </c>
      <c r="AO1396" s="60">
        <v>0.54166666666666663</v>
      </c>
      <c r="AP1396" s="60">
        <v>0.6875</v>
      </c>
      <c r="AQ1396" s="58" t="s">
        <v>0</v>
      </c>
      <c r="AR1396" s="58"/>
      <c r="AS1396" s="58"/>
      <c r="AT1396" s="52">
        <v>0</v>
      </c>
      <c r="AU1396" s="52" t="e">
        <f>IF(Master[[#This Row],[RSP StopTime override]] &lt;&gt; "",Master[[#This Row],[RSP StopTime override]],IF(Master[[#This Row],[Avg stop time helper]] &lt;&gt; 0, Master[[#This Row],[Avg stop time helper]],Average_Stop_Time))</f>
        <v>#DIV/0!</v>
      </c>
      <c r="AV1396" s="21"/>
      <c r="AW1396" s="20">
        <f>Master[[#This Row],[RSP StopTime override]]-Master[[#This Row],[Avg stop time helper]]</f>
        <v>0</v>
      </c>
    </row>
    <row r="1397" spans="1:49" x14ac:dyDescent="0.3">
      <c r="A1397" s="66" t="s">
        <v>5400</v>
      </c>
      <c r="B1397" s="58">
        <v>8010</v>
      </c>
      <c r="C1397" s="58" t="s">
        <v>15</v>
      </c>
      <c r="D1397" s="65">
        <v>807806</v>
      </c>
      <c r="E1397" s="65" t="s">
        <v>42</v>
      </c>
      <c r="F1397" s="65" t="s">
        <v>634</v>
      </c>
      <c r="G1397" s="65" t="s">
        <v>633</v>
      </c>
      <c r="H1397" s="65" t="s">
        <v>7</v>
      </c>
      <c r="I1397" s="65" t="s">
        <v>6</v>
      </c>
      <c r="J1397" s="65" t="s">
        <v>5</v>
      </c>
      <c r="K1397" s="65" t="s">
        <v>68</v>
      </c>
      <c r="L1397" s="64" t="s">
        <v>67</v>
      </c>
      <c r="M1397" s="58" t="s">
        <v>3</v>
      </c>
      <c r="N1397" s="58" t="s">
        <v>2</v>
      </c>
      <c r="O1397" s="58">
        <v>95</v>
      </c>
      <c r="P1397" s="58">
        <v>0</v>
      </c>
      <c r="Q1397" s="58">
        <v>0</v>
      </c>
      <c r="R1397" s="58">
        <v>0</v>
      </c>
      <c r="S1397" s="58">
        <v>0</v>
      </c>
      <c r="T1397" s="58">
        <v>100</v>
      </c>
      <c r="U1397" s="58">
        <v>39</v>
      </c>
      <c r="V1397" s="62"/>
      <c r="W1397" s="62"/>
      <c r="X1397" s="63">
        <f>IFERROR(1 -(Master[[#This Row],[Avg Garment Scans per Delivery]]/Master[[#This Row],[Garment Inventory]]), 0)</f>
        <v>0</v>
      </c>
      <c r="Y1397" s="62"/>
      <c r="Z1397" s="62"/>
      <c r="AA1397" s="53">
        <v>52.953333333333347</v>
      </c>
      <c r="AB1397" s="53">
        <v>102.03666666666666</v>
      </c>
      <c r="AC1397" s="53">
        <v>92.0096449704142</v>
      </c>
      <c r="AD1397" s="53">
        <v>167.60112426035502</v>
      </c>
      <c r="AE1397" s="53" t="str">
        <f>_xlfn.XLOOKUP(Master[[#This Row],[cu_id]],'[1]Customer Revenue'!$Q:$Q,'[1]Customer Revenue'!$K:$K, "None")</f>
        <v>None</v>
      </c>
      <c r="AF1397" s="53" t="str">
        <f>_xlfn.XLOOKUP(Master[[#This Row],[cu_id]],'[1]Customer Revenue'!$Q:$Q,'[1]Customer Revenue'!$L:$L, "None")</f>
        <v>None</v>
      </c>
      <c r="AG1397" s="53">
        <v>47.612268666666658</v>
      </c>
      <c r="AH1397" s="53">
        <v>112.72356466666668</v>
      </c>
      <c r="AI1397" s="53">
        <v>77.495000000000005</v>
      </c>
      <c r="AJ1397" s="53">
        <v>129.80538461538461</v>
      </c>
      <c r="AK1397" s="53" t="str">
        <f>_xlfn.XLOOKUP(Master[[#This Row],[cu_id]],'[1]Customer Revenue'!$Q:$Q,'[1]Customer Revenue'!$I:$I, "None")</f>
        <v>None</v>
      </c>
      <c r="AL1397" s="53">
        <v>80.16791666666667</v>
      </c>
      <c r="AM1397" s="61">
        <v>0.33333333333333331</v>
      </c>
      <c r="AN1397" s="60">
        <v>0.6875</v>
      </c>
      <c r="AO1397" s="60" t="s">
        <v>36</v>
      </c>
      <c r="AP1397" s="60" t="s">
        <v>36</v>
      </c>
      <c r="AQ1397" s="58" t="s">
        <v>0</v>
      </c>
      <c r="AR1397" s="58"/>
      <c r="AS1397" s="58"/>
      <c r="AT1397" s="52">
        <v>0</v>
      </c>
      <c r="AU1397" s="52" t="e">
        <f>IF(Master[[#This Row],[RSP StopTime override]] &lt;&gt; "",Master[[#This Row],[RSP StopTime override]],IF(Master[[#This Row],[Avg stop time helper]] &lt;&gt; 0, Master[[#This Row],[Avg stop time helper]],Average_Stop_Time))</f>
        <v>#DIV/0!</v>
      </c>
      <c r="AV1397" s="21"/>
      <c r="AW1397" s="20">
        <f>Master[[#This Row],[RSP StopTime override]]-Master[[#This Row],[Avg stop time helper]]</f>
        <v>0</v>
      </c>
    </row>
    <row r="1398" spans="1:49" x14ac:dyDescent="0.3">
      <c r="A1398" s="66" t="s">
        <v>5401</v>
      </c>
      <c r="B1398" s="58">
        <v>8010</v>
      </c>
      <c r="C1398" s="58" t="s">
        <v>15</v>
      </c>
      <c r="D1398" s="65">
        <v>807879</v>
      </c>
      <c r="E1398" s="65" t="s">
        <v>42</v>
      </c>
      <c r="F1398" s="65" t="s">
        <v>632</v>
      </c>
      <c r="G1398" s="65" t="s">
        <v>631</v>
      </c>
      <c r="H1398" s="65" t="s">
        <v>7</v>
      </c>
      <c r="I1398" s="65" t="s">
        <v>6</v>
      </c>
      <c r="J1398" s="65" t="s">
        <v>5</v>
      </c>
      <c r="K1398" s="65" t="s">
        <v>68</v>
      </c>
      <c r="L1398" s="64" t="s">
        <v>67</v>
      </c>
      <c r="M1398" s="58" t="s">
        <v>3</v>
      </c>
      <c r="N1398" s="58" t="s">
        <v>2</v>
      </c>
      <c r="O1398" s="58">
        <v>45</v>
      </c>
      <c r="P1398" s="58">
        <v>0</v>
      </c>
      <c r="Q1398" s="58">
        <v>0</v>
      </c>
      <c r="R1398" s="58">
        <v>0</v>
      </c>
      <c r="S1398" s="58">
        <v>0</v>
      </c>
      <c r="T1398" s="58">
        <v>45</v>
      </c>
      <c r="U1398" s="58">
        <v>39</v>
      </c>
      <c r="V1398" s="62">
        <v>33</v>
      </c>
      <c r="W1398" s="62">
        <v>3</v>
      </c>
      <c r="X1398" s="63">
        <f>IFERROR(1 -(Master[[#This Row],[Avg Garment Scans per Delivery]]/Master[[#This Row],[Garment Inventory]]), 0)</f>
        <v>0.90909090909090906</v>
      </c>
      <c r="Y1398" s="62">
        <v>1</v>
      </c>
      <c r="Z1398" s="62">
        <v>30</v>
      </c>
      <c r="AA1398" s="53">
        <v>21.016388888888891</v>
      </c>
      <c r="AB1398" s="53">
        <v>21.780277777777783</v>
      </c>
      <c r="AC1398" s="53">
        <v>21.132485207100594</v>
      </c>
      <c r="AD1398" s="53">
        <v>22.742899408284025</v>
      </c>
      <c r="AE1398" s="53" t="str">
        <f>_xlfn.XLOOKUP(Master[[#This Row],[cu_id]],'[1]Customer Revenue'!$Q:$Q,'[1]Customer Revenue'!$K:$K, "None")</f>
        <v>None</v>
      </c>
      <c r="AF1398" s="53" t="str">
        <f>_xlfn.XLOOKUP(Master[[#This Row],[cu_id]],'[1]Customer Revenue'!$Q:$Q,'[1]Customer Revenue'!$L:$L, "None")</f>
        <v>None</v>
      </c>
      <c r="AG1398" s="53">
        <v>18.64584</v>
      </c>
      <c r="AH1398" s="53">
        <v>21.930959999999999</v>
      </c>
      <c r="AI1398" s="53">
        <v>21.398333333333337</v>
      </c>
      <c r="AJ1398" s="53">
        <v>21.937692307692309</v>
      </c>
      <c r="AK1398" s="53" t="str">
        <f>_xlfn.XLOOKUP(Master[[#This Row],[cu_id]],'[1]Customer Revenue'!$Q:$Q,'[1]Customer Revenue'!$I:$I, "None")</f>
        <v>None</v>
      </c>
      <c r="AL1398" s="53">
        <v>20.288399999999999</v>
      </c>
      <c r="AM1398" s="61">
        <v>0.29166666666666669</v>
      </c>
      <c r="AN1398" s="60">
        <v>0.6875</v>
      </c>
      <c r="AO1398" s="60" t="s">
        <v>36</v>
      </c>
      <c r="AP1398" s="60" t="s">
        <v>36</v>
      </c>
      <c r="AQ1398" s="58" t="s">
        <v>0</v>
      </c>
      <c r="AR1398" s="58"/>
      <c r="AS1398" s="58"/>
      <c r="AT1398" s="52">
        <v>0</v>
      </c>
      <c r="AU1398" s="52" t="e">
        <f>IF(Master[[#This Row],[RSP StopTime override]] &lt;&gt; "",Master[[#This Row],[RSP StopTime override]],IF(Master[[#This Row],[Avg stop time helper]] &lt;&gt; 0, Master[[#This Row],[Avg stop time helper]],Average_Stop_Time))</f>
        <v>#DIV/0!</v>
      </c>
      <c r="AV1398" s="21"/>
      <c r="AW1398" s="20">
        <f>Master[[#This Row],[RSP StopTime override]]-Master[[#This Row],[Avg stop time helper]]</f>
        <v>0</v>
      </c>
    </row>
    <row r="1399" spans="1:49" x14ac:dyDescent="0.3">
      <c r="A1399" s="66" t="s">
        <v>5402</v>
      </c>
      <c r="B1399" s="58">
        <v>8010</v>
      </c>
      <c r="C1399" s="58" t="s">
        <v>15</v>
      </c>
      <c r="D1399" s="65">
        <v>807880</v>
      </c>
      <c r="E1399" s="65" t="s">
        <v>42</v>
      </c>
      <c r="F1399" s="65" t="s">
        <v>630</v>
      </c>
      <c r="G1399" s="65" t="s">
        <v>629</v>
      </c>
      <c r="H1399" s="65" t="s">
        <v>7</v>
      </c>
      <c r="I1399" s="65" t="s">
        <v>6</v>
      </c>
      <c r="J1399" s="65" t="s">
        <v>5</v>
      </c>
      <c r="K1399" s="65" t="s">
        <v>68</v>
      </c>
      <c r="L1399" s="64" t="s">
        <v>67</v>
      </c>
      <c r="M1399" s="58" t="s">
        <v>3</v>
      </c>
      <c r="N1399" s="58" t="s">
        <v>2</v>
      </c>
      <c r="O1399" s="58">
        <v>20</v>
      </c>
      <c r="P1399" s="58">
        <v>0</v>
      </c>
      <c r="Q1399" s="58">
        <v>0</v>
      </c>
      <c r="R1399" s="58">
        <v>0</v>
      </c>
      <c r="S1399" s="58">
        <v>0</v>
      </c>
      <c r="T1399" s="58">
        <v>20</v>
      </c>
      <c r="U1399" s="58">
        <v>41</v>
      </c>
      <c r="V1399" s="62"/>
      <c r="W1399" s="62"/>
      <c r="X1399" s="63">
        <f>IFERROR(1 -(Master[[#This Row],[Avg Garment Scans per Delivery]]/Master[[#This Row],[Garment Inventory]]), 0)</f>
        <v>0</v>
      </c>
      <c r="Y1399" s="62"/>
      <c r="Z1399" s="62"/>
      <c r="AA1399" s="53">
        <v>103.61166666666668</v>
      </c>
      <c r="AB1399" s="53">
        <v>156.16833333333335</v>
      </c>
      <c r="AC1399" s="53">
        <v>91.640769230769237</v>
      </c>
      <c r="AD1399" s="53">
        <v>176.21923076923076</v>
      </c>
      <c r="AE1399" s="53" t="str">
        <f>_xlfn.XLOOKUP(Master[[#This Row],[cu_id]],'[1]Customer Revenue'!$Q:$Q,'[1]Customer Revenue'!$K:$K, "None")</f>
        <v>None</v>
      </c>
      <c r="AF1399" s="53" t="str">
        <f>_xlfn.XLOOKUP(Master[[#This Row],[cu_id]],'[1]Customer Revenue'!$Q:$Q,'[1]Customer Revenue'!$L:$L, "None")</f>
        <v>None</v>
      </c>
      <c r="AG1399" s="53">
        <v>95.522954732510257</v>
      </c>
      <c r="AH1399" s="53">
        <v>196.56904526748968</v>
      </c>
      <c r="AI1399" s="53">
        <v>129.89000000000001</v>
      </c>
      <c r="AJ1399" s="53">
        <v>133.93</v>
      </c>
      <c r="AK1399" s="53" t="str">
        <f>_xlfn.XLOOKUP(Master[[#This Row],[cu_id]],'[1]Customer Revenue'!$Q:$Q,'[1]Customer Revenue'!$I:$I, "None")</f>
        <v>None</v>
      </c>
      <c r="AL1399" s="53">
        <v>146.04599999999996</v>
      </c>
      <c r="AM1399" s="61" t="s">
        <v>36</v>
      </c>
      <c r="AN1399" s="60" t="s">
        <v>36</v>
      </c>
      <c r="AO1399" s="60" t="s">
        <v>36</v>
      </c>
      <c r="AP1399" s="60" t="s">
        <v>36</v>
      </c>
      <c r="AQ1399" s="58" t="s">
        <v>308</v>
      </c>
      <c r="AR1399" s="58"/>
      <c r="AS1399" s="58"/>
      <c r="AT1399" s="52">
        <v>0</v>
      </c>
      <c r="AU1399" s="52" t="e">
        <f>IF(Master[[#This Row],[RSP StopTime override]] &lt;&gt; "",Master[[#This Row],[RSP StopTime override]],IF(Master[[#This Row],[Avg stop time helper]] &lt;&gt; 0, Master[[#This Row],[Avg stop time helper]],Average_Stop_Time))</f>
        <v>#DIV/0!</v>
      </c>
      <c r="AV1399" s="21"/>
      <c r="AW1399" s="20">
        <f>Master[[#This Row],[RSP StopTime override]]-Master[[#This Row],[Avg stop time helper]]</f>
        <v>0</v>
      </c>
    </row>
    <row r="1400" spans="1:49" x14ac:dyDescent="0.3">
      <c r="A1400" s="66" t="s">
        <v>5403</v>
      </c>
      <c r="B1400" s="58">
        <v>8010</v>
      </c>
      <c r="C1400" s="58" t="s">
        <v>15</v>
      </c>
      <c r="D1400" s="65">
        <v>809404</v>
      </c>
      <c r="E1400" s="65" t="s">
        <v>42</v>
      </c>
      <c r="F1400" s="65" t="s">
        <v>628</v>
      </c>
      <c r="G1400" s="65" t="s">
        <v>627</v>
      </c>
      <c r="H1400" s="65" t="s">
        <v>7</v>
      </c>
      <c r="I1400" s="65" t="s">
        <v>6</v>
      </c>
      <c r="J1400" s="65" t="s">
        <v>5</v>
      </c>
      <c r="K1400" s="65" t="s">
        <v>151</v>
      </c>
      <c r="L1400" s="64" t="s">
        <v>67</v>
      </c>
      <c r="M1400" s="58" t="s">
        <v>3</v>
      </c>
      <c r="N1400" s="58" t="s">
        <v>2</v>
      </c>
      <c r="O1400" s="58">
        <v>25</v>
      </c>
      <c r="P1400" s="58">
        <v>0</v>
      </c>
      <c r="Q1400" s="58">
        <v>0</v>
      </c>
      <c r="R1400" s="58">
        <v>0</v>
      </c>
      <c r="S1400" s="58">
        <v>0</v>
      </c>
      <c r="T1400" s="58">
        <v>25</v>
      </c>
      <c r="U1400" s="58">
        <v>41</v>
      </c>
      <c r="V1400" s="62"/>
      <c r="W1400" s="62"/>
      <c r="X1400" s="63">
        <f>IFERROR(1 -(Master[[#This Row],[Avg Garment Scans per Delivery]]/Master[[#This Row],[Garment Inventory]]), 0)</f>
        <v>0</v>
      </c>
      <c r="Y1400" s="62"/>
      <c r="Z1400" s="62"/>
      <c r="AA1400" s="53">
        <v>244.65333333333342</v>
      </c>
      <c r="AB1400" s="53">
        <v>289.31666666666672</v>
      </c>
      <c r="AC1400" s="53">
        <v>244.80834319526619</v>
      </c>
      <c r="AD1400" s="53">
        <v>292.04857988165674</v>
      </c>
      <c r="AE1400" s="53" t="str">
        <f>_xlfn.XLOOKUP(Master[[#This Row],[cu_id]],'[1]Customer Revenue'!$Q:$Q,'[1]Customer Revenue'!$K:$K, "None")</f>
        <v>None</v>
      </c>
      <c r="AF1400" s="53" t="str">
        <f>_xlfn.XLOOKUP(Master[[#This Row],[cu_id]],'[1]Customer Revenue'!$Q:$Q,'[1]Customer Revenue'!$L:$L, "None")</f>
        <v>None</v>
      </c>
      <c r="AG1400" s="53">
        <v>239.9342011834319</v>
      </c>
      <c r="AH1400" s="53">
        <v>281.13656804733722</v>
      </c>
      <c r="AI1400" s="53">
        <v>266.98500000000007</v>
      </c>
      <c r="AJ1400" s="53">
        <v>268.42846153846148</v>
      </c>
      <c r="AK1400" s="53" t="str">
        <f>_xlfn.XLOOKUP(Master[[#This Row],[cu_id]],'[1]Customer Revenue'!$Q:$Q,'[1]Customer Revenue'!$I:$I, "None")</f>
        <v>None</v>
      </c>
      <c r="AL1400" s="53">
        <v>260.53538461538454</v>
      </c>
      <c r="AM1400" s="61" t="s">
        <v>36</v>
      </c>
      <c r="AN1400" s="60" t="s">
        <v>36</v>
      </c>
      <c r="AO1400" s="60" t="s">
        <v>36</v>
      </c>
      <c r="AP1400" s="60" t="s">
        <v>36</v>
      </c>
      <c r="AQ1400" s="58" t="s">
        <v>308</v>
      </c>
      <c r="AR1400" s="58"/>
      <c r="AS1400" s="58"/>
      <c r="AT1400" s="52">
        <v>0</v>
      </c>
      <c r="AU1400" s="52">
        <f>IF(Master[[#This Row],[RSP StopTime override]] &lt;&gt; "",Master[[#This Row],[RSP StopTime override]],IF(Master[[#This Row],[Avg stop time helper]] &lt;&gt; 0, Master[[#This Row],[Avg stop time helper]],Average_Stop_Time))</f>
        <v>25</v>
      </c>
      <c r="AV1400" s="21">
        <v>25</v>
      </c>
      <c r="AW1400" s="20">
        <f>Master[[#This Row],[RSP StopTime override]]-Master[[#This Row],[Avg stop time helper]]</f>
        <v>25</v>
      </c>
    </row>
    <row r="1401" spans="1:49" x14ac:dyDescent="0.3">
      <c r="A1401" s="66" t="s">
        <v>5404</v>
      </c>
      <c r="B1401" s="58">
        <v>8010</v>
      </c>
      <c r="C1401" s="58" t="s">
        <v>15</v>
      </c>
      <c r="D1401" s="65">
        <v>884502</v>
      </c>
      <c r="E1401" s="65" t="s">
        <v>626</v>
      </c>
      <c r="F1401" s="65" t="s">
        <v>625</v>
      </c>
      <c r="G1401" s="65" t="s">
        <v>624</v>
      </c>
      <c r="H1401" s="65" t="s">
        <v>623</v>
      </c>
      <c r="I1401" s="65" t="s">
        <v>6</v>
      </c>
      <c r="J1401" s="65" t="s">
        <v>5</v>
      </c>
      <c r="K1401" s="65" t="s">
        <v>68</v>
      </c>
      <c r="L1401" s="64" t="s">
        <v>124</v>
      </c>
      <c r="M1401" s="58" t="s">
        <v>123</v>
      </c>
      <c r="N1401" s="58" t="s">
        <v>2</v>
      </c>
      <c r="O1401" s="58">
        <v>48</v>
      </c>
      <c r="P1401" s="58">
        <v>0</v>
      </c>
      <c r="Q1401" s="58">
        <v>0</v>
      </c>
      <c r="R1401" s="58">
        <v>0</v>
      </c>
      <c r="S1401" s="58">
        <v>0</v>
      </c>
      <c r="T1401" s="58">
        <v>95</v>
      </c>
      <c r="U1401" s="58">
        <v>9</v>
      </c>
      <c r="V1401" s="62"/>
      <c r="W1401" s="62"/>
      <c r="X1401" s="63">
        <f>IFERROR(1 -(Master[[#This Row],[Avg Garment Scans per Delivery]]/Master[[#This Row],[Garment Inventory]]), 0)</f>
        <v>0</v>
      </c>
      <c r="Y1401" s="62"/>
      <c r="Z1401" s="62"/>
      <c r="AA1401" s="53">
        <v>45.919999999999987</v>
      </c>
      <c r="AB1401" s="53">
        <v>45.92</v>
      </c>
      <c r="AC1401" s="53">
        <v>45.788888888888891</v>
      </c>
      <c r="AD1401" s="53">
        <v>46.837777777777774</v>
      </c>
      <c r="AE1401" s="53" t="str">
        <f>_xlfn.XLOOKUP(Master[[#This Row],[cu_id]],'[1]Customer Revenue'!$Q:$Q,'[1]Customer Revenue'!$K:$K, "None")</f>
        <v>None</v>
      </c>
      <c r="AF1401" s="53" t="str">
        <f>_xlfn.XLOOKUP(Master[[#This Row],[cu_id]],'[1]Customer Revenue'!$Q:$Q,'[1]Customer Revenue'!$L:$L, "None")</f>
        <v>None</v>
      </c>
      <c r="AG1401" s="53">
        <v>45.92</v>
      </c>
      <c r="AH1401" s="53">
        <v>45.920000000000016</v>
      </c>
      <c r="AI1401" s="53">
        <v>45.919999999999995</v>
      </c>
      <c r="AJ1401" s="53">
        <v>46.313333333333333</v>
      </c>
      <c r="AK1401" s="53" t="str">
        <f>_xlfn.XLOOKUP(Master[[#This Row],[cu_id]],'[1]Customer Revenue'!$Q:$Q,'[1]Customer Revenue'!$I:$I, "None")</f>
        <v>None</v>
      </c>
      <c r="AL1401" s="53">
        <v>45.920000000000009</v>
      </c>
      <c r="AM1401" s="61">
        <v>0.33333333333333331</v>
      </c>
      <c r="AN1401" s="60">
        <v>0</v>
      </c>
      <c r="AO1401" s="60" t="s">
        <v>36</v>
      </c>
      <c r="AP1401" s="60" t="s">
        <v>36</v>
      </c>
      <c r="AQ1401" s="58" t="s">
        <v>0</v>
      </c>
      <c r="AR1401" s="58"/>
      <c r="AS1401" s="58"/>
      <c r="AT1401" s="52">
        <v>0</v>
      </c>
      <c r="AU1401" s="52" t="e">
        <f>IF(Master[[#This Row],[RSP StopTime override]] &lt;&gt; "",Master[[#This Row],[RSP StopTime override]],IF(Master[[#This Row],[Avg stop time helper]] &lt;&gt; 0, Master[[#This Row],[Avg stop time helper]],Average_Stop_Time))</f>
        <v>#DIV/0!</v>
      </c>
      <c r="AV1401" s="21"/>
      <c r="AW1401" s="20">
        <f>Master[[#This Row],[RSP StopTime override]]-Master[[#This Row],[Avg stop time helper]]</f>
        <v>0</v>
      </c>
    </row>
    <row r="1402" spans="1:49" x14ac:dyDescent="0.3">
      <c r="A1402" s="66" t="s">
        <v>5405</v>
      </c>
      <c r="B1402" s="58">
        <v>8010</v>
      </c>
      <c r="C1402" s="58" t="s">
        <v>15</v>
      </c>
      <c r="D1402" s="65">
        <v>886085</v>
      </c>
      <c r="E1402" s="65" t="s">
        <v>622</v>
      </c>
      <c r="F1402" s="65" t="s">
        <v>3766</v>
      </c>
      <c r="G1402" s="65" t="s">
        <v>621</v>
      </c>
      <c r="H1402" s="65" t="s">
        <v>7</v>
      </c>
      <c r="I1402" s="65" t="s">
        <v>6</v>
      </c>
      <c r="J1402" s="65" t="s">
        <v>5</v>
      </c>
      <c r="K1402" s="65" t="s">
        <v>146</v>
      </c>
      <c r="L1402" s="64" t="s">
        <v>91</v>
      </c>
      <c r="M1402" s="58" t="s">
        <v>90</v>
      </c>
      <c r="N1402" s="58" t="s">
        <v>2</v>
      </c>
      <c r="O1402" s="58">
        <v>70</v>
      </c>
      <c r="P1402" s="58">
        <v>0</v>
      </c>
      <c r="Q1402" s="58">
        <v>0</v>
      </c>
      <c r="R1402" s="58">
        <v>0</v>
      </c>
      <c r="S1402" s="58">
        <v>0</v>
      </c>
      <c r="T1402" s="58">
        <v>70</v>
      </c>
      <c r="U1402" s="58">
        <v>30</v>
      </c>
      <c r="V1402" s="62"/>
      <c r="W1402" s="62"/>
      <c r="X1402" s="63">
        <f>IFERROR(1 -(Master[[#This Row],[Avg Garment Scans per Delivery]]/Master[[#This Row],[Garment Inventory]]), 0)</f>
        <v>0</v>
      </c>
      <c r="Y1402" s="62"/>
      <c r="Z1402" s="62"/>
      <c r="AA1402" s="53">
        <v>21.197222222222223</v>
      </c>
      <c r="AB1402" s="53">
        <v>28.136111111111113</v>
      </c>
      <c r="AC1402" s="53">
        <v>14.087330246913577</v>
      </c>
      <c r="AD1402" s="53">
        <v>25.140169753086415</v>
      </c>
      <c r="AE1402" s="53" t="str">
        <f>_xlfn.XLOOKUP(Master[[#This Row],[cu_id]],'[1]Customer Revenue'!$Q:$Q,'[1]Customer Revenue'!$K:$K, "None")</f>
        <v>None</v>
      </c>
      <c r="AF1402" s="53" t="str">
        <f>_xlfn.XLOOKUP(Master[[#This Row],[cu_id]],'[1]Customer Revenue'!$Q:$Q,'[1]Customer Revenue'!$L:$L, "None")</f>
        <v>None</v>
      </c>
      <c r="AG1402" s="53">
        <v>19.844234404536863</v>
      </c>
      <c r="AH1402" s="53">
        <v>26.407939508506622</v>
      </c>
      <c r="AI1402" s="53">
        <v>24.666666666666668</v>
      </c>
      <c r="AJ1402" s="53">
        <v>19.613749999999996</v>
      </c>
      <c r="AK1402" s="53" t="str">
        <f>_xlfn.XLOOKUP(Master[[#This Row],[cu_id]],'[1]Customer Revenue'!$Q:$Q,'[1]Customer Revenue'!$I:$I, "None")</f>
        <v>None</v>
      </c>
      <c r="AL1402" s="53">
        <v>23.126086956521743</v>
      </c>
      <c r="AM1402" s="61">
        <v>0.41666666666666669</v>
      </c>
      <c r="AN1402" s="60">
        <v>0.8125</v>
      </c>
      <c r="AO1402" s="60" t="s">
        <v>36</v>
      </c>
      <c r="AP1402" s="60" t="s">
        <v>36</v>
      </c>
      <c r="AQ1402" s="58" t="s">
        <v>308</v>
      </c>
      <c r="AR1402" s="58"/>
      <c r="AS1402" s="58"/>
      <c r="AT1402" s="52">
        <v>0</v>
      </c>
      <c r="AU1402" s="52" t="e">
        <f>IF(Master[[#This Row],[RSP StopTime override]] &lt;&gt; "",Master[[#This Row],[RSP StopTime override]],IF(Master[[#This Row],[Avg stop time helper]] &lt;&gt; 0, Master[[#This Row],[Avg stop time helper]],Average_Stop_Time))</f>
        <v>#DIV/0!</v>
      </c>
      <c r="AV1402" s="21"/>
      <c r="AW1402" s="20">
        <f>Master[[#This Row],[RSP StopTime override]]-Master[[#This Row],[Avg stop time helper]]</f>
        <v>0</v>
      </c>
    </row>
    <row r="1403" spans="1:49" x14ac:dyDescent="0.3">
      <c r="A1403" s="66" t="s">
        <v>5406</v>
      </c>
      <c r="B1403" s="58">
        <v>8040</v>
      </c>
      <c r="C1403" s="58" t="s">
        <v>15</v>
      </c>
      <c r="D1403" s="65">
        <v>888010</v>
      </c>
      <c r="E1403" s="65" t="s">
        <v>620</v>
      </c>
      <c r="F1403" s="65" t="s">
        <v>619</v>
      </c>
      <c r="G1403" s="65" t="s">
        <v>573</v>
      </c>
      <c r="H1403" s="65" t="s">
        <v>7</v>
      </c>
      <c r="I1403" s="65" t="s">
        <v>6</v>
      </c>
      <c r="J1403" s="65" t="s">
        <v>5</v>
      </c>
      <c r="K1403" s="65" t="s">
        <v>115</v>
      </c>
      <c r="L1403" s="64" t="s">
        <v>67</v>
      </c>
      <c r="M1403" s="58" t="s">
        <v>3</v>
      </c>
      <c r="N1403" s="58" t="s">
        <v>2</v>
      </c>
      <c r="O1403" s="58">
        <v>5</v>
      </c>
      <c r="P1403" s="58">
        <v>0</v>
      </c>
      <c r="Q1403" s="58">
        <v>0</v>
      </c>
      <c r="R1403" s="58">
        <v>0</v>
      </c>
      <c r="S1403" s="58">
        <v>0</v>
      </c>
      <c r="T1403" s="58">
        <v>5</v>
      </c>
      <c r="U1403" s="58">
        <v>35</v>
      </c>
      <c r="V1403" s="62">
        <v>110</v>
      </c>
      <c r="W1403" s="62">
        <v>8</v>
      </c>
      <c r="X1403" s="63">
        <f>IFERROR(1 -(Master[[#This Row],[Avg Garment Scans per Delivery]]/Master[[#This Row],[Garment Inventory]]), 0)</f>
        <v>0.92727272727272725</v>
      </c>
      <c r="Y1403" s="62">
        <v>7</v>
      </c>
      <c r="Z1403" s="62">
        <v>85</v>
      </c>
      <c r="AA1403" s="53">
        <v>66.664161735700205</v>
      </c>
      <c r="AB1403" s="53">
        <v>103.74250493096646</v>
      </c>
      <c r="AC1403" s="53">
        <v>48.826707692307693</v>
      </c>
      <c r="AD1403" s="53">
        <v>87.917907692307679</v>
      </c>
      <c r="AE1403" s="53" t="str">
        <f>_xlfn.XLOOKUP(Master[[#This Row],[cu_id]],'[1]Customer Revenue'!$Q:$Q,'[1]Customer Revenue'!$K:$K, "None")</f>
        <v>None</v>
      </c>
      <c r="AF1403" s="53" t="str">
        <f>_xlfn.XLOOKUP(Master[[#This Row],[cu_id]],'[1]Customer Revenue'!$Q:$Q,'[1]Customer Revenue'!$L:$L, "None")</f>
        <v>None</v>
      </c>
      <c r="AG1403" s="53">
        <v>61.322780461621086</v>
      </c>
      <c r="AH1403" s="53">
        <v>109.61808910359636</v>
      </c>
      <c r="AI1403" s="53">
        <v>85.203333333333333</v>
      </c>
      <c r="AJ1403" s="53">
        <v>68.372307692307686</v>
      </c>
      <c r="AK1403" s="53" t="str">
        <f>_xlfn.XLOOKUP(Master[[#This Row],[cu_id]],'[1]Customer Revenue'!$Q:$Q,'[1]Customer Revenue'!$I:$I, "None")</f>
        <v>None</v>
      </c>
      <c r="AL1403" s="53">
        <v>85.47043478260872</v>
      </c>
      <c r="AM1403" s="61" t="s">
        <v>36</v>
      </c>
      <c r="AN1403" s="60" t="s">
        <v>36</v>
      </c>
      <c r="AO1403" s="60" t="s">
        <v>36</v>
      </c>
      <c r="AP1403" s="60" t="s">
        <v>36</v>
      </c>
      <c r="AQ1403" s="58" t="s">
        <v>0</v>
      </c>
      <c r="AR1403" s="58"/>
      <c r="AS1403" s="58"/>
      <c r="AT1403" s="52">
        <v>0</v>
      </c>
      <c r="AU1403" s="52">
        <f>IF(Master[[#This Row],[RSP StopTime override]] &lt;&gt; "",Master[[#This Row],[RSP StopTime override]],IF(Master[[#This Row],[Avg stop time helper]] &lt;&gt; 0, Master[[#This Row],[Avg stop time helper]],Average_Stop_Time))</f>
        <v>30</v>
      </c>
      <c r="AV1403" s="21">
        <v>30</v>
      </c>
      <c r="AW1403" s="20">
        <f>Master[[#This Row],[RSP StopTime override]]-Master[[#This Row],[Avg stop time helper]]</f>
        <v>30</v>
      </c>
    </row>
    <row r="1404" spans="1:49" x14ac:dyDescent="0.3">
      <c r="A1404" s="66" t="s">
        <v>5407</v>
      </c>
      <c r="B1404" s="58">
        <v>8040</v>
      </c>
      <c r="C1404" s="58" t="s">
        <v>10</v>
      </c>
      <c r="D1404" s="65">
        <v>888010</v>
      </c>
      <c r="E1404" s="65" t="s">
        <v>618</v>
      </c>
      <c r="F1404" s="65" t="s">
        <v>230</v>
      </c>
      <c r="G1404" s="65" t="s">
        <v>617</v>
      </c>
      <c r="H1404" s="65" t="s">
        <v>7</v>
      </c>
      <c r="I1404" s="65" t="s">
        <v>6</v>
      </c>
      <c r="J1404" s="65" t="s">
        <v>5</v>
      </c>
      <c r="K1404" s="65" t="s">
        <v>68</v>
      </c>
      <c r="L1404" s="64" t="s">
        <v>67</v>
      </c>
      <c r="M1404" s="58" t="s">
        <v>3</v>
      </c>
      <c r="N1404" s="58" t="s">
        <v>2</v>
      </c>
      <c r="O1404" s="58">
        <v>3</v>
      </c>
      <c r="P1404" s="58">
        <v>0</v>
      </c>
      <c r="Q1404" s="58">
        <v>0</v>
      </c>
      <c r="R1404" s="58">
        <v>15</v>
      </c>
      <c r="S1404" s="58">
        <v>0</v>
      </c>
      <c r="T1404" s="58">
        <v>0</v>
      </c>
      <c r="U1404" s="58">
        <v>35</v>
      </c>
      <c r="V1404" s="62"/>
      <c r="W1404" s="62"/>
      <c r="X1404" s="63">
        <f>IFERROR(1 -(Master[[#This Row],[Avg Garment Scans per Delivery]]/Master[[#This Row],[Garment Inventory]]), 0)</f>
        <v>0</v>
      </c>
      <c r="Y1404" s="62"/>
      <c r="Z1404" s="62"/>
      <c r="AA1404" s="53">
        <v>215.91461538461539</v>
      </c>
      <c r="AB1404" s="53">
        <v>274.82538461538462</v>
      </c>
      <c r="AC1404" s="53">
        <v>143.9994674556213</v>
      </c>
      <c r="AD1404" s="53">
        <v>231.89130177514795</v>
      </c>
      <c r="AE1404" s="53" t="str">
        <f>_xlfn.XLOOKUP(Master[[#This Row],[cu_id]],'[1]Customer Revenue'!$Q:$Q,'[1]Customer Revenue'!$K:$K, "None")</f>
        <v>None</v>
      </c>
      <c r="AF1404" s="53" t="str">
        <f>_xlfn.XLOOKUP(Master[[#This Row],[cu_id]],'[1]Customer Revenue'!$Q:$Q,'[1]Customer Revenue'!$L:$L, "None")</f>
        <v>None</v>
      </c>
      <c r="AG1404" s="53">
        <v>192.49931213017746</v>
      </c>
      <c r="AH1404" s="53">
        <v>285.06818786982245</v>
      </c>
      <c r="AI1404" s="53">
        <v>245.37</v>
      </c>
      <c r="AJ1404" s="53">
        <v>187.94538461538463</v>
      </c>
      <c r="AK1404" s="53" t="str">
        <f>_xlfn.XLOOKUP(Master[[#This Row],[cu_id]],'[1]Customer Revenue'!$Q:$Q,'[1]Customer Revenue'!$I:$I, "None")</f>
        <v>None</v>
      </c>
      <c r="AL1404" s="53">
        <v>238.78374999999997</v>
      </c>
      <c r="AM1404" s="61" t="s">
        <v>36</v>
      </c>
      <c r="AN1404" s="60" t="s">
        <v>36</v>
      </c>
      <c r="AO1404" s="60" t="s">
        <v>36</v>
      </c>
      <c r="AP1404" s="60" t="s">
        <v>36</v>
      </c>
      <c r="AQ1404" s="58" t="s">
        <v>0</v>
      </c>
      <c r="AR1404" s="58"/>
      <c r="AS1404" s="58"/>
      <c r="AT1404" s="52">
        <v>0</v>
      </c>
      <c r="AU1404" s="52">
        <f>IF(Master[[#This Row],[RSP StopTime override]] &lt;&gt; "",Master[[#This Row],[RSP StopTime override]],IF(Master[[#This Row],[Avg stop time helper]] &lt;&gt; 0, Master[[#This Row],[Avg stop time helper]],Average_Stop_Time))</f>
        <v>30</v>
      </c>
      <c r="AV1404" s="21">
        <v>30</v>
      </c>
      <c r="AW1404" s="20">
        <f>Master[[#This Row],[RSP StopTime override]]-Master[[#This Row],[Avg stop time helper]]</f>
        <v>30</v>
      </c>
    </row>
    <row r="1405" spans="1:49" x14ac:dyDescent="0.3">
      <c r="A1405" s="66" t="s">
        <v>5408</v>
      </c>
      <c r="B1405" s="58">
        <v>8040</v>
      </c>
      <c r="C1405" s="58" t="s">
        <v>15</v>
      </c>
      <c r="D1405" s="65">
        <v>806886</v>
      </c>
      <c r="E1405" s="65" t="s">
        <v>42</v>
      </c>
      <c r="F1405" s="65" t="s">
        <v>616</v>
      </c>
      <c r="G1405" s="65" t="s">
        <v>615</v>
      </c>
      <c r="H1405" s="65" t="s">
        <v>7</v>
      </c>
      <c r="I1405" s="65" t="s">
        <v>165</v>
      </c>
      <c r="J1405" s="65" t="s">
        <v>5</v>
      </c>
      <c r="K1405" s="65" t="s">
        <v>115</v>
      </c>
      <c r="L1405" s="64" t="s">
        <v>67</v>
      </c>
      <c r="M1405" s="58" t="s">
        <v>3</v>
      </c>
      <c r="N1405" s="58" t="s">
        <v>2</v>
      </c>
      <c r="O1405" s="58">
        <v>35</v>
      </c>
      <c r="P1405" s="58">
        <v>0</v>
      </c>
      <c r="Q1405" s="58">
        <v>0</v>
      </c>
      <c r="R1405" s="58">
        <v>0</v>
      </c>
      <c r="S1405" s="58">
        <v>0</v>
      </c>
      <c r="T1405" s="58">
        <v>35</v>
      </c>
      <c r="U1405" s="58">
        <v>37</v>
      </c>
      <c r="V1405" s="62">
        <v>0</v>
      </c>
      <c r="W1405" s="62">
        <v>0</v>
      </c>
      <c r="X1405" s="63">
        <f>IFERROR(1 -(Master[[#This Row],[Avg Garment Scans per Delivery]]/Master[[#This Row],[Garment Inventory]]), 0)</f>
        <v>0</v>
      </c>
      <c r="Y1405" s="62">
        <v>2</v>
      </c>
      <c r="Z1405" s="62">
        <v>3</v>
      </c>
      <c r="AA1405" s="53">
        <v>49.40958333333333</v>
      </c>
      <c r="AB1405" s="53">
        <v>179.20541666666668</v>
      </c>
      <c r="AC1405" s="53">
        <v>49.062509401709406</v>
      </c>
      <c r="AD1405" s="53">
        <v>189.30979829059831</v>
      </c>
      <c r="AE1405" s="53" t="str">
        <f>_xlfn.XLOOKUP(Master[[#This Row],[cu_id]],'[1]Customer Revenue'!$Q:$Q,'[1]Customer Revenue'!$K:$K, "None")</f>
        <v>None</v>
      </c>
      <c r="AF1405" s="53" t="str">
        <f>_xlfn.XLOOKUP(Master[[#This Row],[cu_id]],'[1]Customer Revenue'!$Q:$Q,'[1]Customer Revenue'!$L:$L, "None")</f>
        <v>None</v>
      </c>
      <c r="AG1405" s="53">
        <v>39.321615646258508</v>
      </c>
      <c r="AH1405" s="53">
        <v>175.41921768707482</v>
      </c>
      <c r="AI1405" s="53">
        <v>114.3075</v>
      </c>
      <c r="AJ1405" s="53">
        <v>119.18615384615386</v>
      </c>
      <c r="AK1405" s="53" t="str">
        <f>_xlfn.XLOOKUP(Master[[#This Row],[cu_id]],'[1]Customer Revenue'!$Q:$Q,'[1]Customer Revenue'!$I:$I, "None")</f>
        <v>None</v>
      </c>
      <c r="AL1405" s="53">
        <v>107.37041666666666</v>
      </c>
      <c r="AM1405" s="61">
        <v>0.25</v>
      </c>
      <c r="AN1405" s="60">
        <v>0.70833333333333337</v>
      </c>
      <c r="AO1405" s="60" t="s">
        <v>36</v>
      </c>
      <c r="AP1405" s="60" t="s">
        <v>36</v>
      </c>
      <c r="AQ1405" s="58" t="s">
        <v>0</v>
      </c>
      <c r="AR1405" s="58"/>
      <c r="AS1405" s="58"/>
      <c r="AT1405" s="52">
        <v>0</v>
      </c>
      <c r="AU1405" s="52">
        <f>IF(Master[[#This Row],[RSP StopTime override]] &lt;&gt; "",Master[[#This Row],[RSP StopTime override]],IF(Master[[#This Row],[Avg stop time helper]] &lt;&gt; 0, Master[[#This Row],[Avg stop time helper]],Average_Stop_Time))</f>
        <v>25</v>
      </c>
      <c r="AV1405" s="21">
        <v>25</v>
      </c>
      <c r="AW1405" s="20">
        <f>Master[[#This Row],[RSP StopTime override]]-Master[[#This Row],[Avg stop time helper]]</f>
        <v>25</v>
      </c>
    </row>
    <row r="1406" spans="1:49" x14ac:dyDescent="0.3">
      <c r="A1406" s="66" t="s">
        <v>5409</v>
      </c>
      <c r="B1406" s="58">
        <v>8040</v>
      </c>
      <c r="C1406" s="58" t="s">
        <v>15</v>
      </c>
      <c r="D1406" s="65">
        <v>888010</v>
      </c>
      <c r="E1406" s="65" t="s">
        <v>614</v>
      </c>
      <c r="F1406" s="65" t="s">
        <v>580</v>
      </c>
      <c r="G1406" s="65" t="s">
        <v>579</v>
      </c>
      <c r="H1406" s="65" t="s">
        <v>7</v>
      </c>
      <c r="I1406" s="65" t="s">
        <v>6</v>
      </c>
      <c r="J1406" s="65" t="s">
        <v>5</v>
      </c>
      <c r="K1406" s="65" t="s">
        <v>115</v>
      </c>
      <c r="L1406" s="64" t="s">
        <v>67</v>
      </c>
      <c r="M1406" s="58" t="s">
        <v>3</v>
      </c>
      <c r="N1406" s="58" t="s">
        <v>2</v>
      </c>
      <c r="O1406" s="58">
        <v>15</v>
      </c>
      <c r="P1406" s="58">
        <v>0</v>
      </c>
      <c r="Q1406" s="58">
        <v>0</v>
      </c>
      <c r="R1406" s="58">
        <v>0</v>
      </c>
      <c r="S1406" s="58">
        <v>0</v>
      </c>
      <c r="T1406" s="58">
        <v>15</v>
      </c>
      <c r="U1406" s="58">
        <v>36</v>
      </c>
      <c r="V1406" s="62">
        <v>11</v>
      </c>
      <c r="W1406" s="62">
        <v>1</v>
      </c>
      <c r="X1406" s="63">
        <f>IFERROR(1 -(Master[[#This Row],[Avg Garment Scans per Delivery]]/Master[[#This Row],[Garment Inventory]]), 0)</f>
        <v>0.90909090909090906</v>
      </c>
      <c r="Y1406" s="62">
        <v>1</v>
      </c>
      <c r="Z1406" s="62">
        <v>11</v>
      </c>
      <c r="AA1406" s="53">
        <v>5.9399999999999968</v>
      </c>
      <c r="AB1406" s="53">
        <v>5.94</v>
      </c>
      <c r="AC1406" s="53">
        <v>4.0391999999999975</v>
      </c>
      <c r="AD1406" s="53">
        <v>7.8407999999999998</v>
      </c>
      <c r="AE1406" s="53" t="str">
        <f>_xlfn.XLOOKUP(Master[[#This Row],[cu_id]],'[1]Customer Revenue'!$Q:$Q,'[1]Customer Revenue'!$K:$K, "None")</f>
        <v>None</v>
      </c>
      <c r="AF1406" s="53" t="str">
        <f>_xlfn.XLOOKUP(Master[[#This Row],[cu_id]],'[1]Customer Revenue'!$Q:$Q,'[1]Customer Revenue'!$L:$L, "None")</f>
        <v>None</v>
      </c>
      <c r="AG1406" s="53">
        <v>4.7273964497041394</v>
      </c>
      <c r="AH1406" s="53">
        <v>7.1526035502958578</v>
      </c>
      <c r="AI1406" s="53">
        <v>5.9399999999999986</v>
      </c>
      <c r="AJ1406" s="53">
        <v>5.9399999999999986</v>
      </c>
      <c r="AK1406" s="53" t="str">
        <f>_xlfn.XLOOKUP(Master[[#This Row],[cu_id]],'[1]Customer Revenue'!$Q:$Q,'[1]Customer Revenue'!$I:$I, "None")</f>
        <v>None</v>
      </c>
      <c r="AL1406" s="53">
        <v>5.9399999999999986</v>
      </c>
      <c r="AM1406" s="61" t="s">
        <v>36</v>
      </c>
      <c r="AN1406" s="60" t="s">
        <v>36</v>
      </c>
      <c r="AO1406" s="60" t="s">
        <v>36</v>
      </c>
      <c r="AP1406" s="60" t="s">
        <v>36</v>
      </c>
      <c r="AQ1406" s="58" t="s">
        <v>0</v>
      </c>
      <c r="AR1406" s="58"/>
      <c r="AS1406" s="58"/>
      <c r="AT1406" s="52">
        <v>0</v>
      </c>
      <c r="AU1406" s="52">
        <f>IF(Master[[#This Row],[RSP StopTime override]] &lt;&gt; "",Master[[#This Row],[RSP StopTime override]],IF(Master[[#This Row],[Avg stop time helper]] &lt;&gt; 0, Master[[#This Row],[Avg stop time helper]],Average_Stop_Time))</f>
        <v>30</v>
      </c>
      <c r="AV1406" s="21">
        <v>30</v>
      </c>
      <c r="AW1406" s="20">
        <f>Master[[#This Row],[RSP StopTime override]]-Master[[#This Row],[Avg stop time helper]]</f>
        <v>30</v>
      </c>
    </row>
    <row r="1407" spans="1:49" x14ac:dyDescent="0.3">
      <c r="A1407" s="66" t="s">
        <v>5410</v>
      </c>
      <c r="B1407" s="58">
        <v>8040</v>
      </c>
      <c r="C1407" s="58" t="s">
        <v>24</v>
      </c>
      <c r="D1407" s="65">
        <v>885730</v>
      </c>
      <c r="E1407" s="65" t="s">
        <v>613</v>
      </c>
      <c r="F1407" s="65" t="s">
        <v>219</v>
      </c>
      <c r="G1407" s="65" t="s">
        <v>218</v>
      </c>
      <c r="H1407" s="65" t="s">
        <v>7</v>
      </c>
      <c r="I1407" s="65" t="s">
        <v>6</v>
      </c>
      <c r="J1407" s="65" t="s">
        <v>5</v>
      </c>
      <c r="K1407" s="65" t="s">
        <v>301</v>
      </c>
      <c r="L1407" s="64" t="s">
        <v>67</v>
      </c>
      <c r="M1407" s="58" t="s">
        <v>3</v>
      </c>
      <c r="N1407" s="58" t="s">
        <v>2</v>
      </c>
      <c r="O1407" s="58">
        <v>195</v>
      </c>
      <c r="P1407" s="58">
        <v>195</v>
      </c>
      <c r="Q1407" s="58">
        <v>0</v>
      </c>
      <c r="R1407" s="58">
        <v>0</v>
      </c>
      <c r="S1407" s="58">
        <v>0</v>
      </c>
      <c r="T1407" s="58">
        <v>0</v>
      </c>
      <c r="U1407" s="58">
        <v>42</v>
      </c>
      <c r="V1407" s="62">
        <v>0</v>
      </c>
      <c r="W1407" s="62"/>
      <c r="X1407" s="63">
        <f>IFERROR(1 -(Master[[#This Row],[Avg Garment Scans per Delivery]]/Master[[#This Row],[Garment Inventory]]), 0)</f>
        <v>0</v>
      </c>
      <c r="Y1407" s="62"/>
      <c r="Z1407" s="62"/>
      <c r="AA1407" s="53">
        <v>121.60266272189347</v>
      </c>
      <c r="AB1407" s="53">
        <v>161.85733727810651</v>
      </c>
      <c r="AC1407" s="53">
        <v>126.06821036106749</v>
      </c>
      <c r="AD1407" s="53">
        <v>164.63025117739403</v>
      </c>
      <c r="AE1407" s="53" t="str">
        <f>_xlfn.XLOOKUP(Master[[#This Row],[cu_id]],'[1]Customer Revenue'!$Q:$Q,'[1]Customer Revenue'!$K:$K, "None")</f>
        <v>None</v>
      </c>
      <c r="AF1407" s="53" t="str">
        <f>_xlfn.XLOOKUP(Master[[#This Row],[cu_id]],'[1]Customer Revenue'!$Q:$Q,'[1]Customer Revenue'!$L:$L, "None")</f>
        <v>None</v>
      </c>
      <c r="AG1407" s="53">
        <v>66.236610082304537</v>
      </c>
      <c r="AH1407" s="53">
        <v>163.44088991769547</v>
      </c>
      <c r="AI1407" s="53">
        <v>141.72999999999999</v>
      </c>
      <c r="AJ1407" s="53">
        <v>145.34923076923076</v>
      </c>
      <c r="AK1407" s="53" t="str">
        <f>_xlfn.XLOOKUP(Master[[#This Row],[cu_id]],'[1]Customer Revenue'!$Q:$Q,'[1]Customer Revenue'!$I:$I, "None")</f>
        <v>None</v>
      </c>
      <c r="AL1407" s="53">
        <v>114.83875</v>
      </c>
      <c r="AM1407" s="61">
        <v>0.33333333333333331</v>
      </c>
      <c r="AN1407" s="60">
        <v>0.6875</v>
      </c>
      <c r="AO1407" s="60" t="s">
        <v>36</v>
      </c>
      <c r="AP1407" s="60" t="s">
        <v>36</v>
      </c>
      <c r="AQ1407" s="58" t="s">
        <v>0</v>
      </c>
      <c r="AR1407" s="58"/>
      <c r="AS1407" s="58"/>
      <c r="AT1407" s="52">
        <v>0</v>
      </c>
      <c r="AU1407" s="52">
        <f>IF(Master[[#This Row],[RSP StopTime override]] &lt;&gt; "",Master[[#This Row],[RSP StopTime override]],IF(Master[[#This Row],[Avg stop time helper]] &lt;&gt; 0, Master[[#This Row],[Avg stop time helper]],Average_Stop_Time))</f>
        <v>30</v>
      </c>
      <c r="AV1407" s="21">
        <v>30</v>
      </c>
      <c r="AW1407" s="20">
        <f>Master[[#This Row],[RSP StopTime override]]-Master[[#This Row],[Avg stop time helper]]</f>
        <v>30</v>
      </c>
    </row>
    <row r="1408" spans="1:49" x14ac:dyDescent="0.3">
      <c r="A1408" s="66" t="s">
        <v>5411</v>
      </c>
      <c r="B1408" s="58">
        <v>8040</v>
      </c>
      <c r="C1408" s="58" t="s">
        <v>24</v>
      </c>
      <c r="D1408" s="65">
        <v>99033</v>
      </c>
      <c r="E1408" s="65" t="s">
        <v>612</v>
      </c>
      <c r="F1408" s="65" t="s">
        <v>611</v>
      </c>
      <c r="G1408" s="65" t="s">
        <v>610</v>
      </c>
      <c r="H1408" s="65" t="s">
        <v>7</v>
      </c>
      <c r="I1408" s="65" t="s">
        <v>6</v>
      </c>
      <c r="J1408" s="65" t="s">
        <v>5</v>
      </c>
      <c r="K1408" s="65" t="s">
        <v>68</v>
      </c>
      <c r="L1408" s="64" t="s">
        <v>67</v>
      </c>
      <c r="M1408" s="58" t="s">
        <v>3</v>
      </c>
      <c r="N1408" s="58" t="s">
        <v>2</v>
      </c>
      <c r="O1408" s="58">
        <v>15</v>
      </c>
      <c r="P1408" s="58">
        <v>15</v>
      </c>
      <c r="Q1408" s="58">
        <v>0</v>
      </c>
      <c r="R1408" s="58">
        <v>0</v>
      </c>
      <c r="S1408" s="58">
        <v>0</v>
      </c>
      <c r="T1408" s="58">
        <v>0</v>
      </c>
      <c r="U1408" s="58">
        <v>30</v>
      </c>
      <c r="V1408" s="62"/>
      <c r="W1408" s="62"/>
      <c r="X1408" s="63">
        <f>IFERROR(1 -(Master[[#This Row],[Avg Garment Scans per Delivery]]/Master[[#This Row],[Garment Inventory]]), 0)</f>
        <v>0</v>
      </c>
      <c r="Y1408" s="62"/>
      <c r="Z1408" s="62"/>
      <c r="AA1408" s="53">
        <v>56.446938775510226</v>
      </c>
      <c r="AB1408" s="53">
        <v>73.713061224489792</v>
      </c>
      <c r="AC1408" s="53">
        <v>32.824469696969715</v>
      </c>
      <c r="AD1408" s="53">
        <v>44.662803030303039</v>
      </c>
      <c r="AE1408" s="53" t="str">
        <f>_xlfn.XLOOKUP(Master[[#This Row],[cu_id]],'[1]Customer Revenue'!$Q:$Q,'[1]Customer Revenue'!$K:$K, "None")</f>
        <v>None</v>
      </c>
      <c r="AF1408" s="53" t="str">
        <f>_xlfn.XLOOKUP(Master[[#This Row],[cu_id]],'[1]Customer Revenue'!$Q:$Q,'[1]Customer Revenue'!$L:$L, "None")</f>
        <v>None</v>
      </c>
      <c r="AG1408" s="53">
        <v>48.653772290809307</v>
      </c>
      <c r="AH1408" s="53">
        <v>81.506227709190654</v>
      </c>
      <c r="AI1408" s="53">
        <v>65.080000000000013</v>
      </c>
      <c r="AJ1408" s="53">
        <v>38.743636363636377</v>
      </c>
      <c r="AK1408" s="53" t="str">
        <f>_xlfn.XLOOKUP(Master[[#This Row],[cu_id]],'[1]Customer Revenue'!$Q:$Q,'[1]Customer Revenue'!$I:$I, "None")</f>
        <v>None</v>
      </c>
      <c r="AL1408" s="53">
        <v>65.079999999999984</v>
      </c>
      <c r="AM1408" s="61" t="s">
        <v>36</v>
      </c>
      <c r="AN1408" s="60" t="s">
        <v>36</v>
      </c>
      <c r="AO1408" s="60" t="s">
        <v>36</v>
      </c>
      <c r="AP1408" s="60" t="s">
        <v>36</v>
      </c>
      <c r="AQ1408" s="58" t="s">
        <v>0</v>
      </c>
      <c r="AR1408" s="58"/>
      <c r="AS1408" s="58"/>
      <c r="AT1408" s="52">
        <v>0</v>
      </c>
      <c r="AU1408" s="52">
        <f>IF(Master[[#This Row],[RSP StopTime override]] &lt;&gt; "",Master[[#This Row],[RSP StopTime override]],IF(Master[[#This Row],[Avg stop time helper]] &lt;&gt; 0, Master[[#This Row],[Avg stop time helper]],Average_Stop_Time))</f>
        <v>20</v>
      </c>
      <c r="AV1408" s="21">
        <v>20</v>
      </c>
      <c r="AW1408" s="20">
        <f>Master[[#This Row],[RSP StopTime override]]-Master[[#This Row],[Avg stop time helper]]</f>
        <v>20</v>
      </c>
    </row>
    <row r="1409" spans="1:49" x14ac:dyDescent="0.3">
      <c r="A1409" s="66" t="s">
        <v>5412</v>
      </c>
      <c r="B1409" s="58">
        <v>8040</v>
      </c>
      <c r="C1409" s="58" t="s">
        <v>35</v>
      </c>
      <c r="D1409" s="65">
        <v>804693</v>
      </c>
      <c r="E1409" s="65" t="s">
        <v>42</v>
      </c>
      <c r="F1409" s="65" t="s">
        <v>609</v>
      </c>
      <c r="G1409" s="65" t="s">
        <v>608</v>
      </c>
      <c r="H1409" s="65" t="s">
        <v>7</v>
      </c>
      <c r="I1409" s="65" t="s">
        <v>6</v>
      </c>
      <c r="J1409" s="65" t="s">
        <v>5</v>
      </c>
      <c r="K1409" s="65" t="s">
        <v>68</v>
      </c>
      <c r="L1409" s="64" t="s">
        <v>124</v>
      </c>
      <c r="M1409" s="58" t="s">
        <v>123</v>
      </c>
      <c r="N1409" s="58" t="s">
        <v>2</v>
      </c>
      <c r="O1409" s="58">
        <v>160</v>
      </c>
      <c r="P1409" s="58">
        <v>0</v>
      </c>
      <c r="Q1409" s="58">
        <v>160</v>
      </c>
      <c r="R1409" s="58">
        <v>0</v>
      </c>
      <c r="S1409" s="58">
        <v>0</v>
      </c>
      <c r="T1409" s="58">
        <v>0</v>
      </c>
      <c r="U1409" s="58">
        <v>10</v>
      </c>
      <c r="V1409" s="62"/>
      <c r="W1409" s="62"/>
      <c r="X1409" s="63">
        <f>IFERROR(1 -(Master[[#This Row],[Avg Garment Scans per Delivery]]/Master[[#This Row],[Garment Inventory]]), 0)</f>
        <v>0</v>
      </c>
      <c r="Y1409" s="62"/>
      <c r="Z1409" s="62"/>
      <c r="AA1409" s="53">
        <v>25</v>
      </c>
      <c r="AB1409" s="53">
        <v>25</v>
      </c>
      <c r="AC1409" s="53">
        <v>25</v>
      </c>
      <c r="AD1409" s="53">
        <v>25</v>
      </c>
      <c r="AE1409" s="53" t="str">
        <f>_xlfn.XLOOKUP(Master[[#This Row],[cu_id]],'[1]Customer Revenue'!$Q:$Q,'[1]Customer Revenue'!$K:$K, "None")</f>
        <v>None</v>
      </c>
      <c r="AF1409" s="53" t="str">
        <f>_xlfn.XLOOKUP(Master[[#This Row],[cu_id]],'[1]Customer Revenue'!$Q:$Q,'[1]Customer Revenue'!$L:$L, "None")</f>
        <v>None</v>
      </c>
      <c r="AG1409" s="53">
        <v>25</v>
      </c>
      <c r="AH1409" s="53">
        <v>25</v>
      </c>
      <c r="AI1409" s="53">
        <v>25</v>
      </c>
      <c r="AJ1409" s="53">
        <v>25</v>
      </c>
      <c r="AK1409" s="53" t="str">
        <f>_xlfn.XLOOKUP(Master[[#This Row],[cu_id]],'[1]Customer Revenue'!$Q:$Q,'[1]Customer Revenue'!$I:$I, "None")</f>
        <v>None</v>
      </c>
      <c r="AL1409" s="53">
        <v>25</v>
      </c>
      <c r="AM1409" s="61">
        <v>0.41666666666666669</v>
      </c>
      <c r="AN1409" s="60">
        <v>0.72916666666666663</v>
      </c>
      <c r="AO1409" s="60" t="s">
        <v>36</v>
      </c>
      <c r="AP1409" s="60" t="s">
        <v>36</v>
      </c>
      <c r="AQ1409" s="58" t="s">
        <v>308</v>
      </c>
      <c r="AR1409" s="58"/>
      <c r="AS1409" s="58"/>
      <c r="AT1409" s="52">
        <v>0</v>
      </c>
      <c r="AU1409" s="52">
        <f>IF(Master[[#This Row],[RSP StopTime override]] &lt;&gt; "",Master[[#This Row],[RSP StopTime override]],IF(Master[[#This Row],[Avg stop time helper]] &lt;&gt; 0, Master[[#This Row],[Avg stop time helper]],Average_Stop_Time))</f>
        <v>5</v>
      </c>
      <c r="AV1409" s="21">
        <v>5</v>
      </c>
      <c r="AW1409" s="20">
        <f>Master[[#This Row],[RSP StopTime override]]-Master[[#This Row],[Avg stop time helper]]</f>
        <v>5</v>
      </c>
    </row>
    <row r="1410" spans="1:49" x14ac:dyDescent="0.3">
      <c r="A1410" s="66" t="s">
        <v>5413</v>
      </c>
      <c r="B1410" s="58">
        <v>8040</v>
      </c>
      <c r="C1410" s="58" t="s">
        <v>43</v>
      </c>
      <c r="D1410" s="65">
        <v>807505</v>
      </c>
      <c r="E1410" s="65" t="s">
        <v>42</v>
      </c>
      <c r="F1410" s="65" t="s">
        <v>607</v>
      </c>
      <c r="G1410" s="65" t="s">
        <v>556</v>
      </c>
      <c r="H1410" s="65" t="s">
        <v>606</v>
      </c>
      <c r="I1410" s="65" t="s">
        <v>6</v>
      </c>
      <c r="J1410" s="65" t="s">
        <v>5</v>
      </c>
      <c r="K1410" s="65" t="s">
        <v>146</v>
      </c>
      <c r="L1410" s="64" t="s">
        <v>77</v>
      </c>
      <c r="M1410" s="58" t="s">
        <v>29</v>
      </c>
      <c r="N1410" s="58" t="s">
        <v>2</v>
      </c>
      <c r="O1410" s="58">
        <v>18</v>
      </c>
      <c r="P1410" s="58">
        <v>0</v>
      </c>
      <c r="Q1410" s="58">
        <v>0</v>
      </c>
      <c r="R1410" s="58">
        <v>0</v>
      </c>
      <c r="S1410" s="58">
        <v>18</v>
      </c>
      <c r="T1410" s="58">
        <v>0</v>
      </c>
      <c r="U1410" s="58">
        <v>15</v>
      </c>
      <c r="V1410" s="62"/>
      <c r="W1410" s="62"/>
      <c r="X1410" s="63">
        <f>IFERROR(1 -(Master[[#This Row],[Avg Garment Scans per Delivery]]/Master[[#This Row],[Garment Inventory]]), 0)</f>
        <v>0</v>
      </c>
      <c r="Y1410" s="62"/>
      <c r="Z1410" s="62"/>
      <c r="AA1410" s="53">
        <v>36.75</v>
      </c>
      <c r="AB1410" s="53">
        <v>36.75</v>
      </c>
      <c r="AC1410" s="53">
        <v>36.75</v>
      </c>
      <c r="AD1410" s="53">
        <v>36.75</v>
      </c>
      <c r="AE1410" s="53" t="str">
        <f>_xlfn.XLOOKUP(Master[[#This Row],[cu_id]],'[1]Customer Revenue'!$Q:$Q,'[1]Customer Revenue'!$K:$K, "None")</f>
        <v>None</v>
      </c>
      <c r="AF1410" s="53" t="str">
        <f>_xlfn.XLOOKUP(Master[[#This Row],[cu_id]],'[1]Customer Revenue'!$Q:$Q,'[1]Customer Revenue'!$L:$L, "None")</f>
        <v>None</v>
      </c>
      <c r="AG1410" s="53">
        <v>36.75</v>
      </c>
      <c r="AH1410" s="53">
        <v>36.75</v>
      </c>
      <c r="AI1410" s="53">
        <v>36.75</v>
      </c>
      <c r="AJ1410" s="53">
        <v>36.75</v>
      </c>
      <c r="AK1410" s="53" t="str">
        <f>_xlfn.XLOOKUP(Master[[#This Row],[cu_id]],'[1]Customer Revenue'!$Q:$Q,'[1]Customer Revenue'!$I:$I, "None")</f>
        <v>None</v>
      </c>
      <c r="AL1410" s="53">
        <v>36.75</v>
      </c>
      <c r="AM1410" s="61">
        <v>0.29166666666666669</v>
      </c>
      <c r="AN1410" s="60">
        <v>0.70833333333333337</v>
      </c>
      <c r="AO1410" s="60" t="s">
        <v>36</v>
      </c>
      <c r="AP1410" s="60" t="s">
        <v>36</v>
      </c>
      <c r="AQ1410" s="58" t="s">
        <v>0</v>
      </c>
      <c r="AR1410" s="58"/>
      <c r="AS1410" s="58"/>
      <c r="AT1410" s="52">
        <v>0</v>
      </c>
      <c r="AU1410" s="52">
        <f>IF(Master[[#This Row],[RSP StopTime override]] &lt;&gt; "",Master[[#This Row],[RSP StopTime override]],IF(Master[[#This Row],[Avg stop time helper]] &lt;&gt; 0, Master[[#This Row],[Avg stop time helper]],Average_Stop_Time))</f>
        <v>15</v>
      </c>
      <c r="AV1410" s="21">
        <v>15</v>
      </c>
      <c r="AW1410" s="20">
        <f>Master[[#This Row],[RSP StopTime override]]-Master[[#This Row],[Avg stop time helper]]</f>
        <v>15</v>
      </c>
    </row>
    <row r="1411" spans="1:49" x14ac:dyDescent="0.3">
      <c r="A1411" s="66" t="s">
        <v>5414</v>
      </c>
      <c r="B1411" s="58">
        <v>8040</v>
      </c>
      <c r="C1411" s="58" t="s">
        <v>24</v>
      </c>
      <c r="D1411" s="65">
        <v>804100</v>
      </c>
      <c r="E1411" s="65" t="s">
        <v>42</v>
      </c>
      <c r="F1411" s="65" t="s">
        <v>605</v>
      </c>
      <c r="G1411" s="65" t="s">
        <v>604</v>
      </c>
      <c r="H1411" s="65" t="s">
        <v>7</v>
      </c>
      <c r="I1411" s="65" t="s">
        <v>6</v>
      </c>
      <c r="J1411" s="65" t="s">
        <v>5</v>
      </c>
      <c r="K1411" s="65" t="s">
        <v>151</v>
      </c>
      <c r="L1411" s="64" t="s">
        <v>67</v>
      </c>
      <c r="M1411" s="58" t="s">
        <v>3</v>
      </c>
      <c r="N1411" s="58" t="s">
        <v>2</v>
      </c>
      <c r="O1411" s="58">
        <v>80</v>
      </c>
      <c r="P1411" s="58">
        <v>80</v>
      </c>
      <c r="Q1411" s="58">
        <v>0</v>
      </c>
      <c r="R1411" s="58">
        <v>0</v>
      </c>
      <c r="S1411" s="58">
        <v>0</v>
      </c>
      <c r="T1411" s="58">
        <v>0</v>
      </c>
      <c r="U1411" s="58">
        <v>40</v>
      </c>
      <c r="V1411" s="62"/>
      <c r="W1411" s="62"/>
      <c r="X1411" s="63">
        <f>IFERROR(1 -(Master[[#This Row],[Avg Garment Scans per Delivery]]/Master[[#This Row],[Garment Inventory]]), 0)</f>
        <v>0</v>
      </c>
      <c r="Y1411" s="62"/>
      <c r="Z1411" s="62"/>
      <c r="AA1411" s="53">
        <v>72.671301775147953</v>
      </c>
      <c r="AB1411" s="53">
        <v>120.87485207100593</v>
      </c>
      <c r="AC1411" s="53">
        <v>45.230494505494491</v>
      </c>
      <c r="AD1411" s="53">
        <v>111.86335164835164</v>
      </c>
      <c r="AE1411" s="53" t="str">
        <f>_xlfn.XLOOKUP(Master[[#This Row],[cu_id]],'[1]Customer Revenue'!$Q:$Q,'[1]Customer Revenue'!$K:$K, "None")</f>
        <v>None</v>
      </c>
      <c r="AF1411" s="53" t="str">
        <f>_xlfn.XLOOKUP(Master[[#This Row],[cu_id]],'[1]Customer Revenue'!$Q:$Q,'[1]Customer Revenue'!$L:$L, "None")</f>
        <v>None</v>
      </c>
      <c r="AG1411" s="53">
        <v>68.934897119341557</v>
      </c>
      <c r="AH1411" s="53">
        <v>114.45621399176953</v>
      </c>
      <c r="AI1411" s="53">
        <v>96.773076923076943</v>
      </c>
      <c r="AJ1411" s="53">
        <v>78.546923076923065</v>
      </c>
      <c r="AK1411" s="53" t="str">
        <f>_xlfn.XLOOKUP(Master[[#This Row],[cu_id]],'[1]Customer Revenue'!$Q:$Q,'[1]Customer Revenue'!$I:$I, "None")</f>
        <v>None</v>
      </c>
      <c r="AL1411" s="53">
        <v>91.695555555555543</v>
      </c>
      <c r="AM1411" s="61">
        <v>0.45833333333333331</v>
      </c>
      <c r="AN1411" s="60">
        <v>0.75</v>
      </c>
      <c r="AO1411" s="60" t="s">
        <v>36</v>
      </c>
      <c r="AP1411" s="60" t="s">
        <v>36</v>
      </c>
      <c r="AQ1411" s="58" t="s">
        <v>308</v>
      </c>
      <c r="AR1411" s="58"/>
      <c r="AS1411" s="58"/>
      <c r="AT1411" s="52">
        <v>0</v>
      </c>
      <c r="AU1411" s="52">
        <f>IF(Master[[#This Row],[RSP StopTime override]] &lt;&gt; "",Master[[#This Row],[RSP StopTime override]],IF(Master[[#This Row],[Avg stop time helper]] &lt;&gt; 0, Master[[#This Row],[Avg stop time helper]],Average_Stop_Time))</f>
        <v>15</v>
      </c>
      <c r="AV1411" s="21">
        <v>15</v>
      </c>
      <c r="AW1411" s="20">
        <f>Master[[#This Row],[RSP StopTime override]]-Master[[#This Row],[Avg stop time helper]]</f>
        <v>15</v>
      </c>
    </row>
    <row r="1412" spans="1:49" x14ac:dyDescent="0.3">
      <c r="A1412" s="66" t="s">
        <v>5415</v>
      </c>
      <c r="B1412" s="58">
        <v>8040</v>
      </c>
      <c r="C1412" s="58" t="s">
        <v>15</v>
      </c>
      <c r="D1412" s="65">
        <v>809840</v>
      </c>
      <c r="E1412" s="65" t="s">
        <v>42</v>
      </c>
      <c r="F1412" s="65" t="s">
        <v>603</v>
      </c>
      <c r="G1412" s="65" t="s">
        <v>602</v>
      </c>
      <c r="H1412" s="65" t="s">
        <v>7</v>
      </c>
      <c r="I1412" s="65" t="s">
        <v>6</v>
      </c>
      <c r="J1412" s="65" t="s">
        <v>5</v>
      </c>
      <c r="K1412" s="65" t="s">
        <v>115</v>
      </c>
      <c r="L1412" s="64" t="s">
        <v>67</v>
      </c>
      <c r="M1412" s="58" t="s">
        <v>3</v>
      </c>
      <c r="N1412" s="58" t="s">
        <v>2</v>
      </c>
      <c r="O1412" s="58">
        <v>40</v>
      </c>
      <c r="P1412" s="58">
        <v>0</v>
      </c>
      <c r="Q1412" s="58">
        <v>0</v>
      </c>
      <c r="R1412" s="58">
        <v>0</v>
      </c>
      <c r="S1412" s="58">
        <v>0</v>
      </c>
      <c r="T1412" s="58">
        <v>40</v>
      </c>
      <c r="U1412" s="58">
        <v>38</v>
      </c>
      <c r="V1412" s="62"/>
      <c r="W1412" s="62"/>
      <c r="X1412" s="63">
        <f>IFERROR(1 -(Master[[#This Row],[Avg Garment Scans per Delivery]]/Master[[#This Row],[Garment Inventory]]), 0)</f>
        <v>0</v>
      </c>
      <c r="Y1412" s="62"/>
      <c r="Z1412" s="62"/>
      <c r="AA1412" s="53">
        <v>23.231011296395916</v>
      </c>
      <c r="AB1412" s="53">
        <v>55.054443249058636</v>
      </c>
      <c r="AC1412" s="53">
        <v>39.208757396449684</v>
      </c>
      <c r="AD1412" s="53">
        <v>49.234319526627218</v>
      </c>
      <c r="AE1412" s="53" t="str">
        <f>_xlfn.XLOOKUP(Master[[#This Row],[cu_id]],'[1]Customer Revenue'!$Q:$Q,'[1]Customer Revenue'!$K:$K, "None")</f>
        <v>None</v>
      </c>
      <c r="AF1412" s="53" t="str">
        <f>_xlfn.XLOOKUP(Master[[#This Row],[cu_id]],'[1]Customer Revenue'!$Q:$Q,'[1]Customer Revenue'!$L:$L, "None")</f>
        <v>None</v>
      </c>
      <c r="AG1412" s="53">
        <v>27.321149519890263</v>
      </c>
      <c r="AH1412" s="53">
        <v>51.282850480109737</v>
      </c>
      <c r="AI1412" s="53">
        <v>39.142727272727278</v>
      </c>
      <c r="AJ1412" s="53">
        <v>44.221538461538451</v>
      </c>
      <c r="AK1412" s="53" t="str">
        <f>_xlfn.XLOOKUP(Master[[#This Row],[cu_id]],'[1]Customer Revenue'!$Q:$Q,'[1]Customer Revenue'!$I:$I, "None")</f>
        <v>None</v>
      </c>
      <c r="AL1412" s="53">
        <v>39.302</v>
      </c>
      <c r="AM1412" s="61">
        <v>0.33333333333333331</v>
      </c>
      <c r="AN1412" s="60">
        <v>0.70833333333333337</v>
      </c>
      <c r="AO1412" s="60" t="s">
        <v>36</v>
      </c>
      <c r="AP1412" s="60" t="s">
        <v>36</v>
      </c>
      <c r="AQ1412" s="58" t="s">
        <v>0</v>
      </c>
      <c r="AR1412" s="58"/>
      <c r="AS1412" s="58"/>
      <c r="AT1412" s="52">
        <v>0</v>
      </c>
      <c r="AU1412" s="52">
        <f>IF(Master[[#This Row],[RSP StopTime override]] &lt;&gt; "",Master[[#This Row],[RSP StopTime override]],IF(Master[[#This Row],[Avg stop time helper]] &lt;&gt; 0, Master[[#This Row],[Avg stop time helper]],Average_Stop_Time))</f>
        <v>15</v>
      </c>
      <c r="AV1412" s="21">
        <v>15</v>
      </c>
      <c r="AW1412" s="20">
        <f>Master[[#This Row],[RSP StopTime override]]-Master[[#This Row],[Avg stop time helper]]</f>
        <v>15</v>
      </c>
    </row>
    <row r="1413" spans="1:49" x14ac:dyDescent="0.3">
      <c r="A1413" s="66" t="s">
        <v>5416</v>
      </c>
      <c r="B1413" s="58">
        <v>8040</v>
      </c>
      <c r="C1413" s="58" t="s">
        <v>24</v>
      </c>
      <c r="D1413" s="65">
        <v>809977</v>
      </c>
      <c r="E1413" s="65" t="s">
        <v>42</v>
      </c>
      <c r="F1413" s="65" t="s">
        <v>601</v>
      </c>
      <c r="G1413" s="65" t="s">
        <v>600</v>
      </c>
      <c r="H1413" s="65" t="s">
        <v>7</v>
      </c>
      <c r="I1413" s="65" t="s">
        <v>6</v>
      </c>
      <c r="J1413" s="65" t="s">
        <v>5</v>
      </c>
      <c r="K1413" s="65" t="s">
        <v>115</v>
      </c>
      <c r="L1413" s="64" t="s">
        <v>77</v>
      </c>
      <c r="M1413" s="58" t="s">
        <v>29</v>
      </c>
      <c r="N1413" s="58" t="s">
        <v>2</v>
      </c>
      <c r="O1413" s="58">
        <v>110</v>
      </c>
      <c r="P1413" s="58">
        <v>110</v>
      </c>
      <c r="Q1413" s="58">
        <v>0</v>
      </c>
      <c r="R1413" s="58">
        <v>0</v>
      </c>
      <c r="S1413" s="58">
        <v>0</v>
      </c>
      <c r="T1413" s="58">
        <v>0</v>
      </c>
      <c r="U1413" s="58">
        <v>18</v>
      </c>
      <c r="V1413" s="62">
        <v>0</v>
      </c>
      <c r="W1413" s="62"/>
      <c r="X1413" s="63">
        <f>IFERROR(1 -(Master[[#This Row],[Avg Garment Scans per Delivery]]/Master[[#This Row],[Garment Inventory]]), 0)</f>
        <v>0</v>
      </c>
      <c r="Y1413" s="62">
        <v>1</v>
      </c>
      <c r="Z1413" s="62">
        <v>5</v>
      </c>
      <c r="AA1413" s="53">
        <v>31.789333333333332</v>
      </c>
      <c r="AB1413" s="53">
        <v>59.662666666666667</v>
      </c>
      <c r="AC1413" s="53">
        <v>34.893061224489799</v>
      </c>
      <c r="AD1413" s="53">
        <v>46.912653061224489</v>
      </c>
      <c r="AE1413" s="53" t="str">
        <f>_xlfn.XLOOKUP(Master[[#This Row],[cu_id]],'[1]Customer Revenue'!$Q:$Q,'[1]Customer Revenue'!$K:$K, "None")</f>
        <v>None</v>
      </c>
      <c r="AF1413" s="53" t="str">
        <f>_xlfn.XLOOKUP(Master[[#This Row],[cu_id]],'[1]Customer Revenue'!$Q:$Q,'[1]Customer Revenue'!$L:$L, "None")</f>
        <v>None</v>
      </c>
      <c r="AG1413" s="53">
        <v>42.811858974358969</v>
      </c>
      <c r="AH1413" s="53">
        <v>102.63647435897435</v>
      </c>
      <c r="AI1413" s="53">
        <v>45.725999999999999</v>
      </c>
      <c r="AJ1413" s="53">
        <v>40.902857142857144</v>
      </c>
      <c r="AK1413" s="53" t="str">
        <f>_xlfn.XLOOKUP(Master[[#This Row],[cu_id]],'[1]Customer Revenue'!$Q:$Q,'[1]Customer Revenue'!$I:$I, "None")</f>
        <v>None</v>
      </c>
      <c r="AL1413" s="53">
        <v>72.724166666666662</v>
      </c>
      <c r="AM1413" s="61">
        <v>0.375</v>
      </c>
      <c r="AN1413" s="60">
        <v>0.70833333333333337</v>
      </c>
      <c r="AO1413" s="60" t="s">
        <v>36</v>
      </c>
      <c r="AP1413" s="60" t="s">
        <v>36</v>
      </c>
      <c r="AQ1413" s="58" t="s">
        <v>0</v>
      </c>
      <c r="AR1413" s="58"/>
      <c r="AS1413" s="58"/>
      <c r="AT1413" s="52">
        <v>0</v>
      </c>
      <c r="AU1413" s="52">
        <f>IF(Master[[#This Row],[RSP StopTime override]] &lt;&gt; "",Master[[#This Row],[RSP StopTime override]],IF(Master[[#This Row],[Avg stop time helper]] &lt;&gt; 0, Master[[#This Row],[Avg stop time helper]],Average_Stop_Time))</f>
        <v>15</v>
      </c>
      <c r="AV1413" s="21">
        <v>15</v>
      </c>
      <c r="AW1413" s="20">
        <f>Master[[#This Row],[RSP StopTime override]]-Master[[#This Row],[Avg stop time helper]]</f>
        <v>15</v>
      </c>
    </row>
    <row r="1414" spans="1:49" x14ac:dyDescent="0.3">
      <c r="A1414" s="66" t="s">
        <v>5417</v>
      </c>
      <c r="B1414" s="58">
        <v>8040</v>
      </c>
      <c r="C1414" s="58" t="s">
        <v>35</v>
      </c>
      <c r="D1414" s="65">
        <v>804795</v>
      </c>
      <c r="E1414" s="65" t="s">
        <v>42</v>
      </c>
      <c r="F1414" s="65" t="s">
        <v>599</v>
      </c>
      <c r="G1414" s="65" t="s">
        <v>598</v>
      </c>
      <c r="H1414" s="65" t="s">
        <v>7</v>
      </c>
      <c r="I1414" s="65" t="s">
        <v>6</v>
      </c>
      <c r="J1414" s="65" t="s">
        <v>5</v>
      </c>
      <c r="K1414" s="65" t="s">
        <v>68</v>
      </c>
      <c r="L1414" s="64" t="s">
        <v>67</v>
      </c>
      <c r="M1414" s="58" t="s">
        <v>3</v>
      </c>
      <c r="N1414" s="58" t="s">
        <v>2</v>
      </c>
      <c r="O1414" s="58">
        <v>120</v>
      </c>
      <c r="P1414" s="58">
        <v>0</v>
      </c>
      <c r="Q1414" s="58">
        <v>120</v>
      </c>
      <c r="R1414" s="58">
        <v>0</v>
      </c>
      <c r="S1414" s="58">
        <v>0</v>
      </c>
      <c r="T1414" s="58">
        <v>0</v>
      </c>
      <c r="U1414" s="58">
        <v>39</v>
      </c>
      <c r="V1414" s="62"/>
      <c r="W1414" s="62"/>
      <c r="X1414" s="63">
        <f>IFERROR(1 -(Master[[#This Row],[Avg Garment Scans per Delivery]]/Master[[#This Row],[Garment Inventory]]), 0)</f>
        <v>0</v>
      </c>
      <c r="Y1414" s="62"/>
      <c r="Z1414" s="62"/>
      <c r="AA1414" s="53">
        <v>18.560118343195256</v>
      </c>
      <c r="AB1414" s="53">
        <v>79.473727810650914</v>
      </c>
      <c r="AC1414" s="53">
        <v>20.837751479289942</v>
      </c>
      <c r="AD1414" s="53">
        <v>43.86994082840237</v>
      </c>
      <c r="AE1414" s="53" t="str">
        <f>_xlfn.XLOOKUP(Master[[#This Row],[cu_id]],'[1]Customer Revenue'!$Q:$Q,'[1]Customer Revenue'!$K:$K, "None")</f>
        <v>None</v>
      </c>
      <c r="AF1414" s="53" t="str">
        <f>_xlfn.XLOOKUP(Master[[#This Row],[cu_id]],'[1]Customer Revenue'!$Q:$Q,'[1]Customer Revenue'!$L:$L, "None")</f>
        <v>None</v>
      </c>
      <c r="AG1414" s="53">
        <v>18.112071005917162</v>
      </c>
      <c r="AH1414" s="53">
        <v>70.578698224852076</v>
      </c>
      <c r="AI1414" s="53">
        <v>49.016923076923085</v>
      </c>
      <c r="AJ1414" s="53">
        <v>32.353846153846156</v>
      </c>
      <c r="AK1414" s="53" t="str">
        <f>_xlfn.XLOOKUP(Master[[#This Row],[cu_id]],'[1]Customer Revenue'!$Q:$Q,'[1]Customer Revenue'!$I:$I, "None")</f>
        <v>None</v>
      </c>
      <c r="AL1414" s="53">
        <v>44.345384615384617</v>
      </c>
      <c r="AM1414" s="61">
        <v>0.33333333333333331</v>
      </c>
      <c r="AN1414" s="60">
        <v>0.95833333333333337</v>
      </c>
      <c r="AO1414" s="60" t="s">
        <v>36</v>
      </c>
      <c r="AP1414" s="60" t="s">
        <v>36</v>
      </c>
      <c r="AQ1414" s="58" t="s">
        <v>44</v>
      </c>
      <c r="AR1414" s="58"/>
      <c r="AS1414" s="58"/>
      <c r="AT1414" s="52">
        <v>0</v>
      </c>
      <c r="AU1414" s="52">
        <f>IF(Master[[#This Row],[RSP StopTime override]] &lt;&gt; "",Master[[#This Row],[RSP StopTime override]],IF(Master[[#This Row],[Avg stop time helper]] &lt;&gt; 0, Master[[#This Row],[Avg stop time helper]],Average_Stop_Time))</f>
        <v>10</v>
      </c>
      <c r="AV1414" s="21">
        <v>10</v>
      </c>
      <c r="AW1414" s="20">
        <f>Master[[#This Row],[RSP StopTime override]]-Master[[#This Row],[Avg stop time helper]]</f>
        <v>10</v>
      </c>
    </row>
    <row r="1415" spans="1:49" x14ac:dyDescent="0.3">
      <c r="A1415" s="66" t="s">
        <v>5418</v>
      </c>
      <c r="B1415" s="58">
        <v>8040</v>
      </c>
      <c r="C1415" s="58" t="s">
        <v>43</v>
      </c>
      <c r="D1415" s="65">
        <v>885730</v>
      </c>
      <c r="E1415" s="65" t="s">
        <v>597</v>
      </c>
      <c r="F1415" s="65" t="s">
        <v>313</v>
      </c>
      <c r="G1415" s="65" t="s">
        <v>218</v>
      </c>
      <c r="H1415" s="65" t="s">
        <v>7</v>
      </c>
      <c r="I1415" s="65" t="s">
        <v>6</v>
      </c>
      <c r="J1415" s="65" t="s">
        <v>5</v>
      </c>
      <c r="K1415" s="65" t="s">
        <v>301</v>
      </c>
      <c r="L1415" s="64" t="s">
        <v>67</v>
      </c>
      <c r="M1415" s="58" t="s">
        <v>3</v>
      </c>
      <c r="N1415" s="58" t="s">
        <v>2</v>
      </c>
      <c r="O1415" s="58">
        <v>126</v>
      </c>
      <c r="P1415" s="58">
        <v>0</v>
      </c>
      <c r="Q1415" s="58">
        <v>0</v>
      </c>
      <c r="R1415" s="58">
        <v>0</v>
      </c>
      <c r="S1415" s="58">
        <v>126</v>
      </c>
      <c r="T1415" s="58">
        <v>0</v>
      </c>
      <c r="U1415" s="58">
        <v>35</v>
      </c>
      <c r="V1415" s="62">
        <v>0</v>
      </c>
      <c r="W1415" s="62"/>
      <c r="X1415" s="63">
        <f>IFERROR(1 -(Master[[#This Row],[Avg Garment Scans per Delivery]]/Master[[#This Row],[Garment Inventory]]), 0)</f>
        <v>0</v>
      </c>
      <c r="Y1415" s="62">
        <v>1</v>
      </c>
      <c r="Z1415" s="62">
        <v>2</v>
      </c>
      <c r="AA1415" s="53">
        <v>198.38591715976332</v>
      </c>
      <c r="AB1415" s="53">
        <v>208.23254437869826</v>
      </c>
      <c r="AC1415" s="53">
        <v>190.10603550295858</v>
      </c>
      <c r="AD1415" s="53">
        <v>253.91242603550288</v>
      </c>
      <c r="AE1415" s="53" t="str">
        <f>_xlfn.XLOOKUP(Master[[#This Row],[cu_id]],'[1]Customer Revenue'!$Q:$Q,'[1]Customer Revenue'!$K:$K, "None")</f>
        <v>None</v>
      </c>
      <c r="AF1415" s="53" t="str">
        <f>_xlfn.XLOOKUP(Master[[#This Row],[cu_id]],'[1]Customer Revenue'!$Q:$Q,'[1]Customer Revenue'!$L:$L, "None")</f>
        <v>None</v>
      </c>
      <c r="AG1415" s="53">
        <v>131.47675632060248</v>
      </c>
      <c r="AH1415" s="53">
        <v>246.1741527703067</v>
      </c>
      <c r="AI1415" s="53">
        <v>203.30923076923079</v>
      </c>
      <c r="AJ1415" s="53">
        <v>222.00923076923073</v>
      </c>
      <c r="AK1415" s="53" t="str">
        <f>_xlfn.XLOOKUP(Master[[#This Row],[cu_id]],'[1]Customer Revenue'!$Q:$Q,'[1]Customer Revenue'!$I:$I, "None")</f>
        <v>None</v>
      </c>
      <c r="AL1415" s="53">
        <v>188.82545454545459</v>
      </c>
      <c r="AM1415" s="61">
        <v>0.33333333333333331</v>
      </c>
      <c r="AN1415" s="60">
        <v>0.70833333333333337</v>
      </c>
      <c r="AO1415" s="60" t="s">
        <v>36</v>
      </c>
      <c r="AP1415" s="60" t="s">
        <v>36</v>
      </c>
      <c r="AQ1415" s="58" t="s">
        <v>0</v>
      </c>
      <c r="AR1415" s="58"/>
      <c r="AS1415" s="58"/>
      <c r="AT1415" s="52">
        <v>0</v>
      </c>
      <c r="AU1415" s="52">
        <f>IF(Master[[#This Row],[RSP StopTime override]] &lt;&gt; "",Master[[#This Row],[RSP StopTime override]],IF(Master[[#This Row],[Avg stop time helper]] &lt;&gt; 0, Master[[#This Row],[Avg stop time helper]],Average_Stop_Time))</f>
        <v>15</v>
      </c>
      <c r="AV1415" s="21">
        <v>15</v>
      </c>
      <c r="AW1415" s="20">
        <f>Master[[#This Row],[RSP StopTime override]]-Master[[#This Row],[Avg stop time helper]]</f>
        <v>15</v>
      </c>
    </row>
    <row r="1416" spans="1:49" x14ac:dyDescent="0.3">
      <c r="A1416" s="66" t="s">
        <v>5419</v>
      </c>
      <c r="B1416" s="58">
        <v>8040</v>
      </c>
      <c r="C1416" s="58" t="s">
        <v>43</v>
      </c>
      <c r="D1416" s="65">
        <v>885730</v>
      </c>
      <c r="E1416" s="65" t="s">
        <v>596</v>
      </c>
      <c r="F1416" s="65" t="s">
        <v>303</v>
      </c>
      <c r="G1416" s="65" t="s">
        <v>302</v>
      </c>
      <c r="H1416" s="65" t="s">
        <v>7</v>
      </c>
      <c r="I1416" s="65" t="s">
        <v>6</v>
      </c>
      <c r="J1416" s="65" t="s">
        <v>5</v>
      </c>
      <c r="K1416" s="65" t="s">
        <v>301</v>
      </c>
      <c r="L1416" s="64" t="s">
        <v>67</v>
      </c>
      <c r="M1416" s="58" t="s">
        <v>3</v>
      </c>
      <c r="N1416" s="58" t="s">
        <v>2</v>
      </c>
      <c r="O1416" s="58">
        <v>60</v>
      </c>
      <c r="P1416" s="58">
        <v>0</v>
      </c>
      <c r="Q1416" s="58">
        <v>0</v>
      </c>
      <c r="R1416" s="58">
        <v>0</v>
      </c>
      <c r="S1416" s="58">
        <v>60</v>
      </c>
      <c r="T1416" s="58">
        <v>0</v>
      </c>
      <c r="U1416" s="58">
        <v>24</v>
      </c>
      <c r="V1416" s="62">
        <v>184</v>
      </c>
      <c r="W1416" s="62">
        <v>0</v>
      </c>
      <c r="X1416" s="63">
        <f>IFERROR(1 -(Master[[#This Row],[Avg Garment Scans per Delivery]]/Master[[#This Row],[Garment Inventory]]), 0)</f>
        <v>1</v>
      </c>
      <c r="Y1416" s="62">
        <v>1</v>
      </c>
      <c r="Z1416" s="62">
        <v>1</v>
      </c>
      <c r="AA1416" s="53">
        <v>158.35301775147934</v>
      </c>
      <c r="AB1416" s="53">
        <v>199.83467455621303</v>
      </c>
      <c r="AC1416" s="53">
        <v>167.2736094674556</v>
      </c>
      <c r="AD1416" s="53">
        <v>237.20023668639053</v>
      </c>
      <c r="AE1416" s="53" t="str">
        <f>_xlfn.XLOOKUP(Master[[#This Row],[cu_id]],'[1]Customer Revenue'!$Q:$Q,'[1]Customer Revenue'!$K:$K, "None")</f>
        <v>None</v>
      </c>
      <c r="AF1416" s="53" t="str">
        <f>_xlfn.XLOOKUP(Master[[#This Row],[cu_id]],'[1]Customer Revenue'!$Q:$Q,'[1]Customer Revenue'!$L:$L, "None")</f>
        <v>None</v>
      </c>
      <c r="AG1416" s="53">
        <v>109.09792181069957</v>
      </c>
      <c r="AH1416" s="53">
        <v>219.15207818930037</v>
      </c>
      <c r="AI1416" s="53">
        <v>179.09384615384619</v>
      </c>
      <c r="AJ1416" s="53">
        <v>202.23692307692306</v>
      </c>
      <c r="AK1416" s="53" t="str">
        <f>_xlfn.XLOOKUP(Master[[#This Row],[cu_id]],'[1]Customer Revenue'!$Q:$Q,'[1]Customer Revenue'!$I:$I, "None")</f>
        <v>None</v>
      </c>
      <c r="AL1416" s="53">
        <v>164.12499999999997</v>
      </c>
      <c r="AM1416" s="61" t="s">
        <v>36</v>
      </c>
      <c r="AN1416" s="60" t="s">
        <v>36</v>
      </c>
      <c r="AO1416" s="60" t="s">
        <v>36</v>
      </c>
      <c r="AP1416" s="60" t="s">
        <v>36</v>
      </c>
      <c r="AQ1416" s="58" t="s">
        <v>0</v>
      </c>
      <c r="AR1416" s="58"/>
      <c r="AS1416" s="58"/>
      <c r="AT1416" s="52">
        <v>0</v>
      </c>
      <c r="AU1416" s="52">
        <f>IF(Master[[#This Row],[RSP StopTime override]] &lt;&gt; "",Master[[#This Row],[RSP StopTime override]],IF(Master[[#This Row],[Avg stop time helper]] &lt;&gt; 0, Master[[#This Row],[Avg stop time helper]],Average_Stop_Time))</f>
        <v>35</v>
      </c>
      <c r="AV1416" s="21">
        <v>35</v>
      </c>
      <c r="AW1416" s="20">
        <f>Master[[#This Row],[RSP StopTime override]]-Master[[#This Row],[Avg stop time helper]]</f>
        <v>35</v>
      </c>
    </row>
    <row r="1417" spans="1:49" x14ac:dyDescent="0.3">
      <c r="A1417" s="66" t="s">
        <v>5420</v>
      </c>
      <c r="B1417" s="58">
        <v>8040</v>
      </c>
      <c r="C1417" s="58" t="s">
        <v>35</v>
      </c>
      <c r="D1417" s="65">
        <v>882731</v>
      </c>
      <c r="E1417" s="65" t="s">
        <v>595</v>
      </c>
      <c r="F1417" s="65" t="s">
        <v>594</v>
      </c>
      <c r="G1417" s="65" t="s">
        <v>521</v>
      </c>
      <c r="H1417" s="65" t="s">
        <v>7</v>
      </c>
      <c r="I1417" s="65" t="s">
        <v>6</v>
      </c>
      <c r="J1417" s="65" t="s">
        <v>5</v>
      </c>
      <c r="K1417" s="65" t="s">
        <v>68</v>
      </c>
      <c r="L1417" s="64" t="s">
        <v>141</v>
      </c>
      <c r="M1417" s="58" t="s">
        <v>140</v>
      </c>
      <c r="N1417" s="58" t="s">
        <v>2</v>
      </c>
      <c r="O1417" s="58">
        <v>125</v>
      </c>
      <c r="P1417" s="58">
        <v>0</v>
      </c>
      <c r="Q1417" s="58">
        <v>125</v>
      </c>
      <c r="R1417" s="58">
        <v>0</v>
      </c>
      <c r="S1417" s="58">
        <v>0</v>
      </c>
      <c r="T1417" s="58">
        <v>0</v>
      </c>
      <c r="U1417" s="58">
        <v>10</v>
      </c>
      <c r="V1417" s="62"/>
      <c r="W1417" s="62"/>
      <c r="X1417" s="63">
        <f>IFERROR(1 -(Master[[#This Row],[Avg Garment Scans per Delivery]]/Master[[#This Row],[Garment Inventory]]), 0)</f>
        <v>0</v>
      </c>
      <c r="Y1417" s="62"/>
      <c r="Z1417" s="62"/>
      <c r="AA1417" s="53">
        <v>58.576249999999995</v>
      </c>
      <c r="AB1417" s="53">
        <v>144.14375000000001</v>
      </c>
      <c r="AC1417" s="53">
        <v>62.533333333333324</v>
      </c>
      <c r="AD1417" s="53">
        <v>81.946666666666658</v>
      </c>
      <c r="AE1417" s="53" t="str">
        <f>_xlfn.XLOOKUP(Master[[#This Row],[cu_id]],'[1]Customer Revenue'!$Q:$Q,'[1]Customer Revenue'!$K:$K, "None")</f>
        <v>None</v>
      </c>
      <c r="AF1417" s="53" t="str">
        <f>_xlfn.XLOOKUP(Master[[#This Row],[cu_id]],'[1]Customer Revenue'!$Q:$Q,'[1]Customer Revenue'!$L:$L, "None")</f>
        <v>None</v>
      </c>
      <c r="AG1417" s="53">
        <v>72.109118165784793</v>
      </c>
      <c r="AH1417" s="53">
        <v>155.02516754850089</v>
      </c>
      <c r="AI1417" s="53">
        <v>101.36</v>
      </c>
      <c r="AJ1417" s="53">
        <v>72.239999999999995</v>
      </c>
      <c r="AK1417" s="53" t="str">
        <f>_xlfn.XLOOKUP(Master[[#This Row],[cu_id]],'[1]Customer Revenue'!$Q:$Q,'[1]Customer Revenue'!$I:$I, "None")</f>
        <v>None</v>
      </c>
      <c r="AL1417" s="53">
        <v>113.56714285714284</v>
      </c>
      <c r="AM1417" s="61">
        <v>0.41666666666666669</v>
      </c>
      <c r="AN1417" s="60">
        <v>0.70833333333333337</v>
      </c>
      <c r="AO1417" s="60" t="s">
        <v>36</v>
      </c>
      <c r="AP1417" s="60" t="s">
        <v>36</v>
      </c>
      <c r="AQ1417" s="58" t="s">
        <v>0</v>
      </c>
      <c r="AR1417" s="58"/>
      <c r="AS1417" s="58"/>
      <c r="AT1417" s="52">
        <v>0</v>
      </c>
      <c r="AU1417" s="52">
        <f>IF(Master[[#This Row],[RSP StopTime override]] &lt;&gt; "",Master[[#This Row],[RSP StopTime override]],IF(Master[[#This Row],[Avg stop time helper]] &lt;&gt; 0, Master[[#This Row],[Avg stop time helper]],Average_Stop_Time))</f>
        <v>15</v>
      </c>
      <c r="AV1417" s="21">
        <v>15</v>
      </c>
      <c r="AW1417" s="20">
        <f>Master[[#This Row],[RSP StopTime override]]-Master[[#This Row],[Avg stop time helper]]</f>
        <v>15</v>
      </c>
    </row>
    <row r="1418" spans="1:49" x14ac:dyDescent="0.3">
      <c r="A1418" s="66" t="s">
        <v>5421</v>
      </c>
      <c r="B1418" s="58">
        <v>8040</v>
      </c>
      <c r="C1418" s="58" t="s">
        <v>10</v>
      </c>
      <c r="D1418" s="65">
        <v>807808</v>
      </c>
      <c r="E1418" s="65" t="s">
        <v>42</v>
      </c>
      <c r="F1418" s="65" t="s">
        <v>593</v>
      </c>
      <c r="G1418" s="65" t="s">
        <v>592</v>
      </c>
      <c r="H1418" s="65" t="s">
        <v>7</v>
      </c>
      <c r="I1418" s="65" t="s">
        <v>158</v>
      </c>
      <c r="J1418" s="65" t="s">
        <v>5</v>
      </c>
      <c r="K1418" s="65" t="s">
        <v>146</v>
      </c>
      <c r="L1418" s="64" t="s">
        <v>67</v>
      </c>
      <c r="M1418" s="58" t="s">
        <v>3</v>
      </c>
      <c r="N1418" s="58" t="s">
        <v>2</v>
      </c>
      <c r="O1418" s="58">
        <v>45</v>
      </c>
      <c r="P1418" s="58">
        <v>0</v>
      </c>
      <c r="Q1418" s="58">
        <v>0</v>
      </c>
      <c r="R1418" s="58">
        <v>90</v>
      </c>
      <c r="S1418" s="58">
        <v>0</v>
      </c>
      <c r="T1418" s="58">
        <v>0</v>
      </c>
      <c r="U1418" s="58">
        <v>39</v>
      </c>
      <c r="V1418" s="62"/>
      <c r="W1418" s="62"/>
      <c r="X1418" s="63">
        <f>IFERROR(1 -(Master[[#This Row],[Avg Garment Scans per Delivery]]/Master[[#This Row],[Garment Inventory]]), 0)</f>
        <v>0</v>
      </c>
      <c r="Y1418" s="62"/>
      <c r="Z1418" s="62"/>
      <c r="AA1418" s="53">
        <v>30.700961538461545</v>
      </c>
      <c r="AB1418" s="53">
        <v>40.86403846153847</v>
      </c>
      <c r="AC1418" s="53">
        <v>34.454911242603544</v>
      </c>
      <c r="AD1418" s="53">
        <v>40.252781065088755</v>
      </c>
      <c r="AE1418" s="53" t="str">
        <f>_xlfn.XLOOKUP(Master[[#This Row],[cu_id]],'[1]Customer Revenue'!$Q:$Q,'[1]Customer Revenue'!$K:$K, "None")</f>
        <v>None</v>
      </c>
      <c r="AF1418" s="53" t="str">
        <f>_xlfn.XLOOKUP(Master[[#This Row],[cu_id]],'[1]Customer Revenue'!$Q:$Q,'[1]Customer Revenue'!$L:$L, "None")</f>
        <v>None</v>
      </c>
      <c r="AG1418" s="53">
        <v>32.525647337278109</v>
      </c>
      <c r="AH1418" s="53">
        <v>40.389552662721904</v>
      </c>
      <c r="AI1418" s="53">
        <v>35.782500000000006</v>
      </c>
      <c r="AJ1418" s="53">
        <v>37.353846153846149</v>
      </c>
      <c r="AK1418" s="53" t="str">
        <f>_xlfn.XLOOKUP(Master[[#This Row],[cu_id]],'[1]Customer Revenue'!$Q:$Q,'[1]Customer Revenue'!$I:$I, "None")</f>
        <v>None</v>
      </c>
      <c r="AL1418" s="53">
        <v>36.457600000000006</v>
      </c>
      <c r="AM1418" s="61">
        <v>0.41666666666666669</v>
      </c>
      <c r="AN1418" s="60">
        <v>0.79166666666666663</v>
      </c>
      <c r="AO1418" s="60" t="s">
        <v>36</v>
      </c>
      <c r="AP1418" s="60" t="s">
        <v>36</v>
      </c>
      <c r="AQ1418" s="58" t="s">
        <v>0</v>
      </c>
      <c r="AR1418" s="58"/>
      <c r="AS1418" s="58"/>
      <c r="AT1418" s="52">
        <v>0</v>
      </c>
      <c r="AU1418" s="52">
        <f>IF(Master[[#This Row],[RSP StopTime override]] &lt;&gt; "",Master[[#This Row],[RSP StopTime override]],IF(Master[[#This Row],[Avg stop time helper]] &lt;&gt; 0, Master[[#This Row],[Avg stop time helper]],Average_Stop_Time))</f>
        <v>15</v>
      </c>
      <c r="AV1418" s="21">
        <v>15</v>
      </c>
      <c r="AW1418" s="20">
        <f>Master[[#This Row],[RSP StopTime override]]-Master[[#This Row],[Avg stop time helper]]</f>
        <v>15</v>
      </c>
    </row>
    <row r="1419" spans="1:49" x14ac:dyDescent="0.3">
      <c r="A1419" s="66" t="s">
        <v>5422</v>
      </c>
      <c r="B1419" s="58">
        <v>8040</v>
      </c>
      <c r="C1419" s="58" t="s">
        <v>10</v>
      </c>
      <c r="D1419" s="65">
        <v>803969</v>
      </c>
      <c r="E1419" s="65" t="s">
        <v>42</v>
      </c>
      <c r="F1419" s="65" t="s">
        <v>591</v>
      </c>
      <c r="G1419" s="65" t="s">
        <v>590</v>
      </c>
      <c r="H1419" s="65" t="s">
        <v>7</v>
      </c>
      <c r="I1419" s="65" t="s">
        <v>6</v>
      </c>
      <c r="J1419" s="65" t="s">
        <v>5</v>
      </c>
      <c r="K1419" s="65" t="s">
        <v>68</v>
      </c>
      <c r="L1419" s="64" t="s">
        <v>91</v>
      </c>
      <c r="M1419" s="58" t="s">
        <v>90</v>
      </c>
      <c r="N1419" s="58" t="s">
        <v>2</v>
      </c>
      <c r="O1419" s="58">
        <v>180</v>
      </c>
      <c r="P1419" s="58">
        <v>0</v>
      </c>
      <c r="Q1419" s="58">
        <v>0</v>
      </c>
      <c r="R1419" s="58">
        <v>180</v>
      </c>
      <c r="S1419" s="58">
        <v>0</v>
      </c>
      <c r="T1419" s="58">
        <v>0</v>
      </c>
      <c r="U1419" s="58">
        <v>17</v>
      </c>
      <c r="V1419" s="62"/>
      <c r="W1419" s="62"/>
      <c r="X1419" s="63">
        <f>IFERROR(1 -(Master[[#This Row],[Avg Garment Scans per Delivery]]/Master[[#This Row],[Garment Inventory]]), 0)</f>
        <v>0</v>
      </c>
      <c r="Y1419" s="62"/>
      <c r="Z1419" s="62"/>
      <c r="AA1419" s="53">
        <v>13.5932</v>
      </c>
      <c r="AB1419" s="53">
        <v>26.386799999999997</v>
      </c>
      <c r="AC1419" s="53">
        <v>19.990000000000002</v>
      </c>
      <c r="AD1419" s="53">
        <v>20.9</v>
      </c>
      <c r="AE1419" s="53" t="str">
        <f>_xlfn.XLOOKUP(Master[[#This Row],[cu_id]],'[1]Customer Revenue'!$Q:$Q,'[1]Customer Revenue'!$K:$K, "None")</f>
        <v>None</v>
      </c>
      <c r="AF1419" s="53" t="str">
        <f>_xlfn.XLOOKUP(Master[[#This Row],[cu_id]],'[1]Customer Revenue'!$Q:$Q,'[1]Customer Revenue'!$L:$L, "None")</f>
        <v>None</v>
      </c>
      <c r="AG1419" s="53">
        <v>14.437222222222228</v>
      </c>
      <c r="AH1419" s="53">
        <v>25.542777777777776</v>
      </c>
      <c r="AI1419" s="53">
        <v>19.989999999999998</v>
      </c>
      <c r="AJ1419" s="53">
        <v>20.445</v>
      </c>
      <c r="AK1419" s="53" t="str">
        <f>_xlfn.XLOOKUP(Master[[#This Row],[cu_id]],'[1]Customer Revenue'!$Q:$Q,'[1]Customer Revenue'!$I:$I, "None")</f>
        <v>None</v>
      </c>
      <c r="AL1419" s="53">
        <v>19.990000000000002</v>
      </c>
      <c r="AM1419" s="61">
        <v>0.33333333333333331</v>
      </c>
      <c r="AN1419" s="60">
        <v>0.70833333333333337</v>
      </c>
      <c r="AO1419" s="60" t="s">
        <v>36</v>
      </c>
      <c r="AP1419" s="60" t="s">
        <v>36</v>
      </c>
      <c r="AQ1419" s="58" t="s">
        <v>589</v>
      </c>
      <c r="AR1419" s="58"/>
      <c r="AS1419" s="58"/>
      <c r="AT1419" s="52">
        <v>0</v>
      </c>
      <c r="AU1419" s="52">
        <f>IF(Master[[#This Row],[RSP StopTime override]] &lt;&gt; "",Master[[#This Row],[RSP StopTime override]],IF(Master[[#This Row],[Avg stop time helper]] &lt;&gt; 0, Master[[#This Row],[Avg stop time helper]],Average_Stop_Time))</f>
        <v>15</v>
      </c>
      <c r="AV1419" s="21">
        <v>15</v>
      </c>
      <c r="AW1419" s="20">
        <f>Master[[#This Row],[RSP StopTime override]]-Master[[#This Row],[Avg stop time helper]]</f>
        <v>15</v>
      </c>
    </row>
    <row r="1420" spans="1:49" x14ac:dyDescent="0.3">
      <c r="A1420" s="66" t="s">
        <v>5423</v>
      </c>
      <c r="B1420" s="58">
        <v>8040</v>
      </c>
      <c r="C1420" s="58" t="s">
        <v>15</v>
      </c>
      <c r="D1420" s="65">
        <v>806691</v>
      </c>
      <c r="E1420" s="65" t="s">
        <v>42</v>
      </c>
      <c r="F1420" s="65" t="s">
        <v>588</v>
      </c>
      <c r="G1420" s="65" t="s">
        <v>587</v>
      </c>
      <c r="H1420" s="65" t="s">
        <v>7</v>
      </c>
      <c r="I1420" s="65" t="s">
        <v>6</v>
      </c>
      <c r="J1420" s="65" t="s">
        <v>5</v>
      </c>
      <c r="K1420" s="65" t="s">
        <v>586</v>
      </c>
      <c r="L1420" s="64" t="s">
        <v>77</v>
      </c>
      <c r="M1420" s="58" t="s">
        <v>29</v>
      </c>
      <c r="N1420" s="58" t="s">
        <v>2</v>
      </c>
      <c r="O1420" s="58">
        <v>85</v>
      </c>
      <c r="P1420" s="58">
        <v>0</v>
      </c>
      <c r="Q1420" s="58">
        <v>0</v>
      </c>
      <c r="R1420" s="58">
        <v>0</v>
      </c>
      <c r="S1420" s="58">
        <v>0</v>
      </c>
      <c r="T1420" s="58">
        <v>85</v>
      </c>
      <c r="U1420" s="58">
        <v>35</v>
      </c>
      <c r="V1420" s="62"/>
      <c r="W1420" s="62"/>
      <c r="X1420" s="63">
        <f>IFERROR(1 -(Master[[#This Row],[Avg Garment Scans per Delivery]]/Master[[#This Row],[Garment Inventory]]), 0)</f>
        <v>0</v>
      </c>
      <c r="Y1420" s="62"/>
      <c r="Z1420" s="62"/>
      <c r="AA1420" s="53">
        <v>68.246875000000003</v>
      </c>
      <c r="AB1420" s="53">
        <v>128.24062500000002</v>
      </c>
      <c r="AC1420" s="53">
        <v>103.64944444444446</v>
      </c>
      <c r="AD1420" s="53">
        <v>113.49388888888889</v>
      </c>
      <c r="AE1420" s="53" t="str">
        <f>_xlfn.XLOOKUP(Master[[#This Row],[cu_id]],'[1]Customer Revenue'!$Q:$Q,'[1]Customer Revenue'!$K:$K, "None")</f>
        <v>None</v>
      </c>
      <c r="AF1420" s="53" t="str">
        <f>_xlfn.XLOOKUP(Master[[#This Row],[cu_id]],'[1]Customer Revenue'!$Q:$Q,'[1]Customer Revenue'!$L:$L, "None")</f>
        <v>None</v>
      </c>
      <c r="AG1420" s="53">
        <v>46.513424036281151</v>
      </c>
      <c r="AH1420" s="53">
        <v>113.89038548752833</v>
      </c>
      <c r="AI1420" s="53">
        <v>98.243750000000006</v>
      </c>
      <c r="AJ1420" s="53">
        <v>108.57166666666667</v>
      </c>
      <c r="AK1420" s="53" t="str">
        <f>_xlfn.XLOOKUP(Master[[#This Row],[cu_id]],'[1]Customer Revenue'!$Q:$Q,'[1]Customer Revenue'!$I:$I, "None")</f>
        <v>None</v>
      </c>
      <c r="AL1420" s="53">
        <v>80.201904761904743</v>
      </c>
      <c r="AM1420" s="61">
        <v>0.29166666666666669</v>
      </c>
      <c r="AN1420" s="60">
        <v>0.83333333333333337</v>
      </c>
      <c r="AO1420" s="60" t="s">
        <v>36</v>
      </c>
      <c r="AP1420" s="60" t="s">
        <v>36</v>
      </c>
      <c r="AQ1420" s="58" t="s">
        <v>0</v>
      </c>
      <c r="AR1420" s="58"/>
      <c r="AS1420" s="58"/>
      <c r="AT1420" s="52">
        <v>0</v>
      </c>
      <c r="AU1420" s="52">
        <f>IF(Master[[#This Row],[RSP StopTime override]] &lt;&gt; "",Master[[#This Row],[RSP StopTime override]],IF(Master[[#This Row],[Avg stop time helper]] &lt;&gt; 0, Master[[#This Row],[Avg stop time helper]],Average_Stop_Time))</f>
        <v>20</v>
      </c>
      <c r="AV1420" s="21">
        <v>20</v>
      </c>
      <c r="AW1420" s="20">
        <f>Master[[#This Row],[RSP StopTime override]]-Master[[#This Row],[Avg stop time helper]]</f>
        <v>20</v>
      </c>
    </row>
    <row r="1421" spans="1:49" x14ac:dyDescent="0.3">
      <c r="A1421" s="66" t="s">
        <v>5424</v>
      </c>
      <c r="B1421" s="58">
        <v>8040</v>
      </c>
      <c r="C1421" s="58" t="s">
        <v>24</v>
      </c>
      <c r="D1421" s="65">
        <v>882351</v>
      </c>
      <c r="E1421" s="65" t="s">
        <v>585</v>
      </c>
      <c r="F1421" s="65" t="s">
        <v>113</v>
      </c>
      <c r="G1421" s="65" t="s">
        <v>584</v>
      </c>
      <c r="H1421" s="65" t="s">
        <v>7</v>
      </c>
      <c r="I1421" s="65" t="s">
        <v>6</v>
      </c>
      <c r="J1421" s="65" t="s">
        <v>5</v>
      </c>
      <c r="K1421" s="65" t="s">
        <v>151</v>
      </c>
      <c r="L1421" s="64" t="s">
        <v>67</v>
      </c>
      <c r="M1421" s="58" t="s">
        <v>3</v>
      </c>
      <c r="N1421" s="58" t="s">
        <v>2</v>
      </c>
      <c r="O1421" s="58">
        <v>40</v>
      </c>
      <c r="P1421" s="58">
        <v>40</v>
      </c>
      <c r="Q1421" s="58">
        <v>0</v>
      </c>
      <c r="R1421" s="58">
        <v>0</v>
      </c>
      <c r="S1421" s="58">
        <v>0</v>
      </c>
      <c r="T1421" s="58">
        <v>0</v>
      </c>
      <c r="U1421" s="58">
        <v>33</v>
      </c>
      <c r="V1421" s="62">
        <v>3</v>
      </c>
      <c r="W1421" s="62"/>
      <c r="X1421" s="63">
        <f>IFERROR(1 -(Master[[#This Row],[Avg Garment Scans per Delivery]]/Master[[#This Row],[Garment Inventory]]), 0)</f>
        <v>1</v>
      </c>
      <c r="Y1421" s="62"/>
      <c r="Z1421" s="62"/>
      <c r="AA1421" s="53">
        <v>13.265306122448978</v>
      </c>
      <c r="AB1421" s="53">
        <v>26.734693877551024</v>
      </c>
      <c r="AC1421" s="53">
        <v>20</v>
      </c>
      <c r="AD1421" s="53">
        <v>20</v>
      </c>
      <c r="AE1421" s="53" t="str">
        <f>_xlfn.XLOOKUP(Master[[#This Row],[cu_id]],'[1]Customer Revenue'!$Q:$Q,'[1]Customer Revenue'!$K:$K, "None")</f>
        <v>None</v>
      </c>
      <c r="AF1421" s="53" t="str">
        <f>_xlfn.XLOOKUP(Master[[#This Row],[cu_id]],'[1]Customer Revenue'!$Q:$Q,'[1]Customer Revenue'!$L:$L, "None")</f>
        <v>None</v>
      </c>
      <c r="AG1421" s="53">
        <v>13.964334705075448</v>
      </c>
      <c r="AH1421" s="53">
        <v>26.035665294924552</v>
      </c>
      <c r="AI1421" s="53">
        <v>20</v>
      </c>
      <c r="AJ1421" s="53">
        <v>20</v>
      </c>
      <c r="AK1421" s="53" t="str">
        <f>_xlfn.XLOOKUP(Master[[#This Row],[cu_id]],'[1]Customer Revenue'!$Q:$Q,'[1]Customer Revenue'!$I:$I, "None")</f>
        <v>None</v>
      </c>
      <c r="AL1421" s="53">
        <v>20</v>
      </c>
      <c r="AM1421" s="61" t="s">
        <v>36</v>
      </c>
      <c r="AN1421" s="60" t="s">
        <v>36</v>
      </c>
      <c r="AO1421" s="60" t="s">
        <v>36</v>
      </c>
      <c r="AP1421" s="60" t="s">
        <v>36</v>
      </c>
      <c r="AQ1421" s="58" t="s">
        <v>0</v>
      </c>
      <c r="AR1421" s="58"/>
      <c r="AS1421" s="58"/>
      <c r="AT1421" s="52">
        <v>0</v>
      </c>
      <c r="AU1421" s="52">
        <f>IF(Master[[#This Row],[RSP StopTime override]] &lt;&gt; "",Master[[#This Row],[RSP StopTime override]],IF(Master[[#This Row],[Avg stop time helper]] &lt;&gt; 0, Master[[#This Row],[Avg stop time helper]],Average_Stop_Time))</f>
        <v>10</v>
      </c>
      <c r="AV1421" s="21">
        <v>10</v>
      </c>
      <c r="AW1421" s="20">
        <f>Master[[#This Row],[RSP StopTime override]]-Master[[#This Row],[Avg stop time helper]]</f>
        <v>10</v>
      </c>
    </row>
    <row r="1422" spans="1:49" x14ac:dyDescent="0.3">
      <c r="A1422" s="66" t="s">
        <v>5425</v>
      </c>
      <c r="B1422" s="58">
        <v>8040</v>
      </c>
      <c r="C1422" s="58" t="s">
        <v>10</v>
      </c>
      <c r="D1422" s="65">
        <v>888010</v>
      </c>
      <c r="E1422" s="65" t="s">
        <v>583</v>
      </c>
      <c r="F1422" s="65" t="s">
        <v>582</v>
      </c>
      <c r="G1422" s="65" t="s">
        <v>229</v>
      </c>
      <c r="H1422" s="65" t="s">
        <v>7</v>
      </c>
      <c r="I1422" s="65" t="s">
        <v>6</v>
      </c>
      <c r="J1422" s="65" t="s">
        <v>5</v>
      </c>
      <c r="K1422" s="65" t="s">
        <v>68</v>
      </c>
      <c r="L1422" s="64" t="s">
        <v>67</v>
      </c>
      <c r="M1422" s="58" t="s">
        <v>3</v>
      </c>
      <c r="N1422" s="58" t="s">
        <v>2</v>
      </c>
      <c r="O1422" s="58">
        <v>1</v>
      </c>
      <c r="P1422" s="58">
        <v>0</v>
      </c>
      <c r="Q1422" s="58">
        <v>0</v>
      </c>
      <c r="R1422" s="58">
        <v>5</v>
      </c>
      <c r="S1422" s="58">
        <v>0</v>
      </c>
      <c r="T1422" s="58">
        <v>0</v>
      </c>
      <c r="U1422" s="58">
        <v>38</v>
      </c>
      <c r="V1422" s="62">
        <v>193</v>
      </c>
      <c r="W1422" s="62">
        <v>18</v>
      </c>
      <c r="X1422" s="63">
        <f>IFERROR(1 -(Master[[#This Row],[Avg Garment Scans per Delivery]]/Master[[#This Row],[Garment Inventory]]), 0)</f>
        <v>0.90673575129533679</v>
      </c>
      <c r="Y1422" s="62">
        <v>9</v>
      </c>
      <c r="Z1422" s="62">
        <v>179</v>
      </c>
      <c r="AA1422" s="53">
        <v>71.030473372781074</v>
      </c>
      <c r="AB1422" s="53">
        <v>79.977218934911264</v>
      </c>
      <c r="AC1422" s="53">
        <v>79.699112426035498</v>
      </c>
      <c r="AD1422" s="53">
        <v>82.539349112426066</v>
      </c>
      <c r="AE1422" s="53" t="str">
        <f>_xlfn.XLOOKUP(Master[[#This Row],[cu_id]],'[1]Customer Revenue'!$Q:$Q,'[1]Customer Revenue'!$K:$K, "None")</f>
        <v>None</v>
      </c>
      <c r="AF1422" s="53" t="str">
        <f>_xlfn.XLOOKUP(Master[[#This Row],[cu_id]],'[1]Customer Revenue'!$Q:$Q,'[1]Customer Revenue'!$L:$L, "None")</f>
        <v>None</v>
      </c>
      <c r="AG1422" s="53">
        <v>70.328260355029528</v>
      </c>
      <c r="AH1422" s="53">
        <v>85.97973964497038</v>
      </c>
      <c r="AI1422" s="53">
        <v>75.503846153846169</v>
      </c>
      <c r="AJ1422" s="53">
        <v>81.119230769230782</v>
      </c>
      <c r="AK1422" s="53" t="str">
        <f>_xlfn.XLOOKUP(Master[[#This Row],[cu_id]],'[1]Customer Revenue'!$Q:$Q,'[1]Customer Revenue'!$I:$I, "None")</f>
        <v>None</v>
      </c>
      <c r="AL1422" s="53">
        <v>78.153999999999954</v>
      </c>
      <c r="AM1422" s="61" t="s">
        <v>36</v>
      </c>
      <c r="AN1422" s="60" t="s">
        <v>36</v>
      </c>
      <c r="AO1422" s="60" t="s">
        <v>36</v>
      </c>
      <c r="AP1422" s="60" t="s">
        <v>36</v>
      </c>
      <c r="AQ1422" s="58" t="s">
        <v>0</v>
      </c>
      <c r="AR1422" s="58"/>
      <c r="AS1422" s="58"/>
      <c r="AT1422" s="52">
        <v>0</v>
      </c>
      <c r="AU1422" s="52">
        <f>IF(Master[[#This Row],[RSP StopTime override]] &lt;&gt; "",Master[[#This Row],[RSP StopTime override]],IF(Master[[#This Row],[Avg stop time helper]] &lt;&gt; 0, Master[[#This Row],[Avg stop time helper]],Average_Stop_Time))</f>
        <v>10</v>
      </c>
      <c r="AV1422" s="21">
        <v>10</v>
      </c>
      <c r="AW1422" s="20">
        <f>Master[[#This Row],[RSP StopTime override]]-Master[[#This Row],[Avg stop time helper]]</f>
        <v>10</v>
      </c>
    </row>
    <row r="1423" spans="1:49" x14ac:dyDescent="0.3">
      <c r="A1423" s="66" t="s">
        <v>5426</v>
      </c>
      <c r="B1423" s="58">
        <v>8040</v>
      </c>
      <c r="C1423" s="58" t="s">
        <v>15</v>
      </c>
      <c r="D1423" s="65">
        <v>888010</v>
      </c>
      <c r="E1423" s="65" t="s">
        <v>581</v>
      </c>
      <c r="F1423" s="65" t="s">
        <v>580</v>
      </c>
      <c r="G1423" s="65" t="s">
        <v>579</v>
      </c>
      <c r="H1423" s="65" t="s">
        <v>7</v>
      </c>
      <c r="I1423" s="65" t="s">
        <v>6</v>
      </c>
      <c r="J1423" s="65" t="s">
        <v>5</v>
      </c>
      <c r="K1423" s="65" t="s">
        <v>115</v>
      </c>
      <c r="L1423" s="64" t="s">
        <v>67</v>
      </c>
      <c r="M1423" s="58" t="s">
        <v>3</v>
      </c>
      <c r="N1423" s="58" t="s">
        <v>2</v>
      </c>
      <c r="O1423" s="58">
        <v>20</v>
      </c>
      <c r="P1423" s="58">
        <v>0</v>
      </c>
      <c r="Q1423" s="58">
        <v>0</v>
      </c>
      <c r="R1423" s="58">
        <v>0</v>
      </c>
      <c r="S1423" s="58">
        <v>0</v>
      </c>
      <c r="T1423" s="58">
        <v>20</v>
      </c>
      <c r="U1423" s="58">
        <v>35</v>
      </c>
      <c r="V1423" s="62"/>
      <c r="W1423" s="62"/>
      <c r="X1423" s="63">
        <f>IFERROR(1 -(Master[[#This Row],[Avg Garment Scans per Delivery]]/Master[[#This Row],[Garment Inventory]]), 0)</f>
        <v>0</v>
      </c>
      <c r="Y1423" s="62"/>
      <c r="Z1423" s="62"/>
      <c r="AA1423" s="53">
        <v>329.46000000000004</v>
      </c>
      <c r="AB1423" s="53">
        <v>337.57000000000005</v>
      </c>
      <c r="AC1423" s="53">
        <v>280.51825641025647</v>
      </c>
      <c r="AD1423" s="53">
        <v>449.87558974358973</v>
      </c>
      <c r="AE1423" s="53" t="str">
        <f>_xlfn.XLOOKUP(Master[[#This Row],[cu_id]],'[1]Customer Revenue'!$Q:$Q,'[1]Customer Revenue'!$K:$K, "None")</f>
        <v>None</v>
      </c>
      <c r="AF1423" s="53" t="str">
        <f>_xlfn.XLOOKUP(Master[[#This Row],[cu_id]],'[1]Customer Revenue'!$Q:$Q,'[1]Customer Revenue'!$L:$L, "None")</f>
        <v>None</v>
      </c>
      <c r="AG1423" s="53">
        <v>265.41102649858493</v>
      </c>
      <c r="AH1423" s="53">
        <v>401.56984306663236</v>
      </c>
      <c r="AI1423" s="53">
        <v>333.51500000000004</v>
      </c>
      <c r="AJ1423" s="53">
        <v>365.1969230769231</v>
      </c>
      <c r="AK1423" s="53" t="str">
        <f>_xlfn.XLOOKUP(Master[[#This Row],[cu_id]],'[1]Customer Revenue'!$Q:$Q,'[1]Customer Revenue'!$I:$I, "None")</f>
        <v>None</v>
      </c>
      <c r="AL1423" s="53">
        <v>333.49043478260865</v>
      </c>
      <c r="AM1423" s="61" t="s">
        <v>36</v>
      </c>
      <c r="AN1423" s="60" t="s">
        <v>36</v>
      </c>
      <c r="AO1423" s="60" t="s">
        <v>36</v>
      </c>
      <c r="AP1423" s="60" t="s">
        <v>36</v>
      </c>
      <c r="AQ1423" s="58" t="s">
        <v>0</v>
      </c>
      <c r="AR1423" s="58"/>
      <c r="AS1423" s="58"/>
      <c r="AT1423" s="52">
        <v>0</v>
      </c>
      <c r="AU1423" s="52">
        <f>IF(Master[[#This Row],[RSP StopTime override]] &lt;&gt; "",Master[[#This Row],[RSP StopTime override]],IF(Master[[#This Row],[Avg stop time helper]] &lt;&gt; 0, Master[[#This Row],[Avg stop time helper]],Average_Stop_Time))</f>
        <v>10</v>
      </c>
      <c r="AV1423" s="21">
        <v>10</v>
      </c>
      <c r="AW1423" s="20">
        <f>Master[[#This Row],[RSP StopTime override]]-Master[[#This Row],[Avg stop time helper]]</f>
        <v>10</v>
      </c>
    </row>
    <row r="1424" spans="1:49" x14ac:dyDescent="0.3">
      <c r="A1424" s="66" t="s">
        <v>5427</v>
      </c>
      <c r="B1424" s="58">
        <v>8040</v>
      </c>
      <c r="C1424" s="58" t="s">
        <v>10</v>
      </c>
      <c r="D1424" s="65">
        <v>802017</v>
      </c>
      <c r="E1424" s="65" t="s">
        <v>42</v>
      </c>
      <c r="F1424" s="65" t="s">
        <v>578</v>
      </c>
      <c r="G1424" s="65" t="s">
        <v>577</v>
      </c>
      <c r="H1424" s="65" t="s">
        <v>7</v>
      </c>
      <c r="I1424" s="65" t="s">
        <v>6</v>
      </c>
      <c r="J1424" s="65" t="s">
        <v>5</v>
      </c>
      <c r="K1424" s="65" t="s">
        <v>576</v>
      </c>
      <c r="L1424" s="64" t="s">
        <v>141</v>
      </c>
      <c r="M1424" s="58" t="s">
        <v>140</v>
      </c>
      <c r="N1424" s="58" t="s">
        <v>2</v>
      </c>
      <c r="O1424" s="58">
        <v>85</v>
      </c>
      <c r="P1424" s="58">
        <v>0</v>
      </c>
      <c r="Q1424" s="58">
        <v>0</v>
      </c>
      <c r="R1424" s="58">
        <v>130</v>
      </c>
      <c r="S1424" s="58">
        <v>0</v>
      </c>
      <c r="T1424" s="58">
        <v>0</v>
      </c>
      <c r="U1424" s="58">
        <v>9</v>
      </c>
      <c r="V1424" s="62"/>
      <c r="W1424" s="62"/>
      <c r="X1424" s="63">
        <f>IFERROR(1 -(Master[[#This Row],[Avg Garment Scans per Delivery]]/Master[[#This Row],[Garment Inventory]]), 0)</f>
        <v>0</v>
      </c>
      <c r="Y1424" s="62"/>
      <c r="Z1424" s="62"/>
      <c r="AA1424" s="53">
        <v>19.239999999999998</v>
      </c>
      <c r="AB1424" s="53">
        <v>19.239999999999998</v>
      </c>
      <c r="AC1424" s="53">
        <v>19.108888888888888</v>
      </c>
      <c r="AD1424" s="53">
        <v>20.157777777777778</v>
      </c>
      <c r="AE1424" s="53" t="str">
        <f>_xlfn.XLOOKUP(Master[[#This Row],[cu_id]],'[1]Customer Revenue'!$Q:$Q,'[1]Customer Revenue'!$K:$K, "None")</f>
        <v>None</v>
      </c>
      <c r="AF1424" s="53" t="str">
        <f>_xlfn.XLOOKUP(Master[[#This Row],[cu_id]],'[1]Customer Revenue'!$Q:$Q,'[1]Customer Revenue'!$L:$L, "None")</f>
        <v>None</v>
      </c>
      <c r="AG1424" s="53">
        <v>12.024999999999999</v>
      </c>
      <c r="AH1424" s="53">
        <v>26.454999999999998</v>
      </c>
      <c r="AI1424" s="53">
        <v>19.239999999999998</v>
      </c>
      <c r="AJ1424" s="53">
        <v>19.633333333333333</v>
      </c>
      <c r="AK1424" s="53" t="str">
        <f>_xlfn.XLOOKUP(Master[[#This Row],[cu_id]],'[1]Customer Revenue'!$Q:$Q,'[1]Customer Revenue'!$I:$I, "None")</f>
        <v>None</v>
      </c>
      <c r="AL1424" s="53">
        <v>19.239999999999998</v>
      </c>
      <c r="AM1424" s="61">
        <v>0.375</v>
      </c>
      <c r="AN1424" s="60">
        <v>0.66666666666666663</v>
      </c>
      <c r="AO1424" s="60" t="s">
        <v>36</v>
      </c>
      <c r="AP1424" s="60" t="s">
        <v>36</v>
      </c>
      <c r="AQ1424" s="58" t="s">
        <v>133</v>
      </c>
      <c r="AR1424" s="58"/>
      <c r="AS1424" s="58"/>
      <c r="AT1424" s="52">
        <v>0</v>
      </c>
      <c r="AU1424" s="52">
        <f>IF(Master[[#This Row],[RSP StopTime override]] &lt;&gt; "",Master[[#This Row],[RSP StopTime override]],IF(Master[[#This Row],[Avg stop time helper]] &lt;&gt; 0, Master[[#This Row],[Avg stop time helper]],Average_Stop_Time))</f>
        <v>10</v>
      </c>
      <c r="AV1424" s="21">
        <v>10</v>
      </c>
      <c r="AW1424" s="20">
        <f>Master[[#This Row],[RSP StopTime override]]-Master[[#This Row],[Avg stop time helper]]</f>
        <v>10</v>
      </c>
    </row>
    <row r="1425" spans="1:49" x14ac:dyDescent="0.3">
      <c r="A1425" s="66" t="s">
        <v>5428</v>
      </c>
      <c r="B1425" s="58">
        <v>8040</v>
      </c>
      <c r="C1425" s="58" t="s">
        <v>15</v>
      </c>
      <c r="D1425" s="65">
        <v>888010</v>
      </c>
      <c r="E1425" s="65" t="s">
        <v>575</v>
      </c>
      <c r="F1425" s="65" t="s">
        <v>574</v>
      </c>
      <c r="G1425" s="65" t="s">
        <v>573</v>
      </c>
      <c r="H1425" s="65" t="s">
        <v>7</v>
      </c>
      <c r="I1425" s="65" t="s">
        <v>572</v>
      </c>
      <c r="J1425" s="65" t="s">
        <v>5</v>
      </c>
      <c r="K1425" s="65" t="s">
        <v>115</v>
      </c>
      <c r="L1425" s="64" t="s">
        <v>67</v>
      </c>
      <c r="M1425" s="58" t="s">
        <v>3</v>
      </c>
      <c r="N1425" s="58" t="s">
        <v>2</v>
      </c>
      <c r="O1425" s="58">
        <v>10</v>
      </c>
      <c r="P1425" s="58">
        <v>0</v>
      </c>
      <c r="Q1425" s="58">
        <v>0</v>
      </c>
      <c r="R1425" s="58">
        <v>0</v>
      </c>
      <c r="S1425" s="58">
        <v>0</v>
      </c>
      <c r="T1425" s="58">
        <v>10</v>
      </c>
      <c r="U1425" s="58">
        <v>36</v>
      </c>
      <c r="V1425" s="62"/>
      <c r="W1425" s="62"/>
      <c r="X1425" s="63">
        <f>IFERROR(1 -(Master[[#This Row],[Avg Garment Scans per Delivery]]/Master[[#This Row],[Garment Inventory]]), 0)</f>
        <v>0</v>
      </c>
      <c r="Y1425" s="62"/>
      <c r="Z1425" s="62"/>
      <c r="AA1425" s="53">
        <v>835.07190476190533</v>
      </c>
      <c r="AB1425" s="53">
        <v>1384.1347619047619</v>
      </c>
      <c r="AC1425" s="53">
        <v>586.49851562499975</v>
      </c>
      <c r="AD1425" s="53">
        <v>1490.1714843749999</v>
      </c>
      <c r="AE1425" s="53" t="str">
        <f>_xlfn.XLOOKUP(Master[[#This Row],[cu_id]],'[1]Customer Revenue'!$Q:$Q,'[1]Customer Revenue'!$K:$K, "None")</f>
        <v>None</v>
      </c>
      <c r="AF1425" s="53" t="str">
        <f>_xlfn.XLOOKUP(Master[[#This Row],[cu_id]],'[1]Customer Revenue'!$Q:$Q,'[1]Customer Revenue'!$L:$L, "None")</f>
        <v>None</v>
      </c>
      <c r="AG1425" s="53">
        <v>775.44908052351389</v>
      </c>
      <c r="AH1425" s="53">
        <v>1423.1100499112692</v>
      </c>
      <c r="AI1425" s="53">
        <v>1109.6033333333337</v>
      </c>
      <c r="AJ1425" s="53">
        <v>1038.3349999999998</v>
      </c>
      <c r="AK1425" s="53" t="str">
        <f>_xlfn.XLOOKUP(Master[[#This Row],[cu_id]],'[1]Customer Revenue'!$Q:$Q,'[1]Customer Revenue'!$I:$I, "None")</f>
        <v>None</v>
      </c>
      <c r="AL1425" s="53">
        <v>1099.2795652173916</v>
      </c>
      <c r="AM1425" s="61" t="s">
        <v>36</v>
      </c>
      <c r="AN1425" s="60" t="s">
        <v>36</v>
      </c>
      <c r="AO1425" s="60" t="s">
        <v>36</v>
      </c>
      <c r="AP1425" s="60" t="s">
        <v>36</v>
      </c>
      <c r="AQ1425" s="58" t="s">
        <v>0</v>
      </c>
      <c r="AR1425" s="58"/>
      <c r="AS1425" s="58"/>
      <c r="AT1425" s="52">
        <v>0</v>
      </c>
      <c r="AU1425" s="52">
        <f>IF(Master[[#This Row],[RSP StopTime override]] &lt;&gt; "",Master[[#This Row],[RSP StopTime override]],IF(Master[[#This Row],[Avg stop time helper]] &lt;&gt; 0, Master[[#This Row],[Avg stop time helper]],Average_Stop_Time))</f>
        <v>10</v>
      </c>
      <c r="AV1425" s="21">
        <v>10</v>
      </c>
      <c r="AW1425" s="20">
        <f>Master[[#This Row],[RSP StopTime override]]-Master[[#This Row],[Avg stop time helper]]</f>
        <v>10</v>
      </c>
    </row>
    <row r="1426" spans="1:49" x14ac:dyDescent="0.3">
      <c r="A1426" s="66" t="s">
        <v>5429</v>
      </c>
      <c r="B1426" s="58">
        <v>8040</v>
      </c>
      <c r="C1426" s="58" t="s">
        <v>10</v>
      </c>
      <c r="D1426" s="65">
        <v>888010</v>
      </c>
      <c r="E1426" s="65" t="s">
        <v>571</v>
      </c>
      <c r="F1426" s="65" t="s">
        <v>230</v>
      </c>
      <c r="G1426" s="65" t="s">
        <v>570</v>
      </c>
      <c r="H1426" s="65" t="s">
        <v>7</v>
      </c>
      <c r="I1426" s="65" t="s">
        <v>6</v>
      </c>
      <c r="J1426" s="65" t="s">
        <v>5</v>
      </c>
      <c r="K1426" s="65" t="s">
        <v>68</v>
      </c>
      <c r="L1426" s="64" t="s">
        <v>67</v>
      </c>
      <c r="M1426" s="58" t="s">
        <v>3</v>
      </c>
      <c r="N1426" s="58" t="s">
        <v>2</v>
      </c>
      <c r="O1426" s="58">
        <v>2</v>
      </c>
      <c r="P1426" s="58">
        <v>0</v>
      </c>
      <c r="Q1426" s="58">
        <v>0</v>
      </c>
      <c r="R1426" s="58">
        <v>10</v>
      </c>
      <c r="S1426" s="58">
        <v>0</v>
      </c>
      <c r="T1426" s="58">
        <v>0</v>
      </c>
      <c r="U1426" s="58">
        <v>37</v>
      </c>
      <c r="V1426" s="62"/>
      <c r="W1426" s="62"/>
      <c r="X1426" s="63">
        <f>IFERROR(1 -(Master[[#This Row],[Avg Garment Scans per Delivery]]/Master[[#This Row],[Garment Inventory]]), 0)</f>
        <v>0</v>
      </c>
      <c r="Y1426" s="62"/>
      <c r="Z1426" s="62"/>
      <c r="AA1426" s="53">
        <v>51.34</v>
      </c>
      <c r="AB1426" s="53">
        <v>51.340000000000046</v>
      </c>
      <c r="AC1426" s="53">
        <v>51.235266272189357</v>
      </c>
      <c r="AD1426" s="53">
        <v>52.352426035502965</v>
      </c>
      <c r="AE1426" s="53" t="str">
        <f>_xlfn.XLOOKUP(Master[[#This Row],[cu_id]],'[1]Customer Revenue'!$Q:$Q,'[1]Customer Revenue'!$K:$K, "None")</f>
        <v>None</v>
      </c>
      <c r="AF1426" s="53" t="str">
        <f>_xlfn.XLOOKUP(Master[[#This Row],[cu_id]],'[1]Customer Revenue'!$Q:$Q,'[1]Customer Revenue'!$L:$L, "None")</f>
        <v>None</v>
      </c>
      <c r="AG1426" s="53">
        <v>44.049112426035499</v>
      </c>
      <c r="AH1426" s="53">
        <v>58.630887573964507</v>
      </c>
      <c r="AI1426" s="53">
        <v>51.340000000000025</v>
      </c>
      <c r="AJ1426" s="53">
        <v>51.793846153846161</v>
      </c>
      <c r="AK1426" s="53" t="str">
        <f>_xlfn.XLOOKUP(Master[[#This Row],[cu_id]],'[1]Customer Revenue'!$Q:$Q,'[1]Customer Revenue'!$I:$I, "None")</f>
        <v>None</v>
      </c>
      <c r="AL1426" s="53">
        <v>51.34</v>
      </c>
      <c r="AM1426" s="61" t="s">
        <v>36</v>
      </c>
      <c r="AN1426" s="60" t="s">
        <v>36</v>
      </c>
      <c r="AO1426" s="60" t="s">
        <v>36</v>
      </c>
      <c r="AP1426" s="60" t="s">
        <v>36</v>
      </c>
      <c r="AQ1426" s="58" t="s">
        <v>0</v>
      </c>
      <c r="AR1426" s="58"/>
      <c r="AS1426" s="58"/>
      <c r="AT1426" s="52">
        <v>0</v>
      </c>
      <c r="AU1426" s="52">
        <f>IF(Master[[#This Row],[RSP StopTime override]] &lt;&gt; "",Master[[#This Row],[RSP StopTime override]],IF(Master[[#This Row],[Avg stop time helper]] &lt;&gt; 0, Master[[#This Row],[Avg stop time helper]],Average_Stop_Time))</f>
        <v>10</v>
      </c>
      <c r="AV1426" s="21">
        <v>10</v>
      </c>
      <c r="AW1426" s="20">
        <f>Master[[#This Row],[RSP StopTime override]]-Master[[#This Row],[Avg stop time helper]]</f>
        <v>10</v>
      </c>
    </row>
    <row r="1427" spans="1:49" x14ac:dyDescent="0.3">
      <c r="A1427" s="66" t="s">
        <v>5430</v>
      </c>
      <c r="B1427" s="58">
        <v>8040</v>
      </c>
      <c r="C1427" s="58" t="s">
        <v>35</v>
      </c>
      <c r="D1427" s="65">
        <v>805976</v>
      </c>
      <c r="E1427" s="65" t="s">
        <v>42</v>
      </c>
      <c r="F1427" s="65" t="s">
        <v>569</v>
      </c>
      <c r="G1427" s="65" t="s">
        <v>568</v>
      </c>
      <c r="H1427" s="65" t="s">
        <v>7</v>
      </c>
      <c r="I1427" s="65" t="s">
        <v>6</v>
      </c>
      <c r="J1427" s="65" t="s">
        <v>5</v>
      </c>
      <c r="K1427" s="65" t="s">
        <v>68</v>
      </c>
      <c r="L1427" s="64" t="s">
        <v>91</v>
      </c>
      <c r="M1427" s="58" t="s">
        <v>90</v>
      </c>
      <c r="N1427" s="58" t="s">
        <v>2</v>
      </c>
      <c r="O1427" s="58">
        <v>95</v>
      </c>
      <c r="P1427" s="58">
        <v>0</v>
      </c>
      <c r="Q1427" s="58">
        <v>95</v>
      </c>
      <c r="R1427" s="58">
        <v>0</v>
      </c>
      <c r="S1427" s="58">
        <v>0</v>
      </c>
      <c r="T1427" s="58">
        <v>0</v>
      </c>
      <c r="U1427" s="58">
        <v>20</v>
      </c>
      <c r="V1427" s="62"/>
      <c r="W1427" s="62"/>
      <c r="X1427" s="63">
        <f>IFERROR(1 -(Master[[#This Row],[Avg Garment Scans per Delivery]]/Master[[#This Row],[Garment Inventory]]), 0)</f>
        <v>0</v>
      </c>
      <c r="Y1427" s="62"/>
      <c r="Z1427" s="62"/>
      <c r="AA1427" s="53">
        <v>48.067589285714291</v>
      </c>
      <c r="AB1427" s="53">
        <v>126.06383928571429</v>
      </c>
      <c r="AC1427" s="53">
        <v>78.223333333333329</v>
      </c>
      <c r="AD1427" s="53">
        <v>115.11666666666667</v>
      </c>
      <c r="AE1427" s="53" t="str">
        <f>_xlfn.XLOOKUP(Master[[#This Row],[cu_id]],'[1]Customer Revenue'!$Q:$Q,'[1]Customer Revenue'!$K:$K, "None")</f>
        <v>None</v>
      </c>
      <c r="AF1427" s="53" t="str">
        <f>_xlfn.XLOOKUP(Master[[#This Row],[cu_id]],'[1]Customer Revenue'!$Q:$Q,'[1]Customer Revenue'!$L:$L, "None")</f>
        <v>None</v>
      </c>
      <c r="AG1427" s="53">
        <v>52.77092621664049</v>
      </c>
      <c r="AH1427" s="53">
        <v>110.9521507064364</v>
      </c>
      <c r="AI1427" s="53">
        <v>87.065714285714293</v>
      </c>
      <c r="AJ1427" s="53">
        <v>96.67</v>
      </c>
      <c r="AK1427" s="53" t="str">
        <f>_xlfn.XLOOKUP(Master[[#This Row],[cu_id]],'[1]Customer Revenue'!$Q:$Q,'[1]Customer Revenue'!$I:$I, "None")</f>
        <v>None</v>
      </c>
      <c r="AL1427" s="53">
        <v>81.861538461538444</v>
      </c>
      <c r="AM1427" s="61">
        <v>0.29166666666666669</v>
      </c>
      <c r="AN1427" s="60">
        <v>0.83333333333333337</v>
      </c>
      <c r="AO1427" s="60" t="s">
        <v>36</v>
      </c>
      <c r="AP1427" s="60" t="s">
        <v>36</v>
      </c>
      <c r="AQ1427" s="58" t="s">
        <v>0</v>
      </c>
      <c r="AR1427" s="58"/>
      <c r="AS1427" s="58"/>
      <c r="AT1427" s="52">
        <v>0</v>
      </c>
      <c r="AU1427" s="52">
        <f>IF(Master[[#This Row],[RSP StopTime override]] &lt;&gt; "",Master[[#This Row],[RSP StopTime override]],IF(Master[[#This Row],[Avg stop time helper]] &lt;&gt; 0, Master[[#This Row],[Avg stop time helper]],Average_Stop_Time))</f>
        <v>7</v>
      </c>
      <c r="AV1427" s="21">
        <v>7</v>
      </c>
      <c r="AW1427" s="20">
        <f>Master[[#This Row],[RSP StopTime override]]-Master[[#This Row],[Avg stop time helper]]</f>
        <v>7</v>
      </c>
    </row>
    <row r="1428" spans="1:49" x14ac:dyDescent="0.3">
      <c r="A1428" s="66" t="s">
        <v>5431</v>
      </c>
      <c r="B1428" s="58">
        <v>8040</v>
      </c>
      <c r="C1428" s="58" t="s">
        <v>15</v>
      </c>
      <c r="D1428" s="65">
        <v>806381</v>
      </c>
      <c r="E1428" s="65" t="s">
        <v>42</v>
      </c>
      <c r="F1428" s="65" t="s">
        <v>567</v>
      </c>
      <c r="G1428" s="65" t="s">
        <v>566</v>
      </c>
      <c r="H1428" s="65" t="s">
        <v>7</v>
      </c>
      <c r="I1428" s="65" t="s">
        <v>6</v>
      </c>
      <c r="J1428" s="65" t="s">
        <v>5</v>
      </c>
      <c r="K1428" s="65" t="s">
        <v>115</v>
      </c>
      <c r="L1428" s="64" t="s">
        <v>67</v>
      </c>
      <c r="M1428" s="58" t="s">
        <v>3</v>
      </c>
      <c r="N1428" s="58" t="s">
        <v>2</v>
      </c>
      <c r="O1428" s="58">
        <v>25</v>
      </c>
      <c r="P1428" s="58">
        <v>0</v>
      </c>
      <c r="Q1428" s="58">
        <v>0</v>
      </c>
      <c r="R1428" s="58">
        <v>0</v>
      </c>
      <c r="S1428" s="58">
        <v>0</v>
      </c>
      <c r="T1428" s="58">
        <v>25</v>
      </c>
      <c r="U1428" s="58">
        <v>37</v>
      </c>
      <c r="V1428" s="62">
        <v>22</v>
      </c>
      <c r="W1428" s="62">
        <v>3</v>
      </c>
      <c r="X1428" s="63">
        <f>IFERROR(1 -(Master[[#This Row],[Avg Garment Scans per Delivery]]/Master[[#This Row],[Garment Inventory]]), 0)</f>
        <v>0.86363636363636365</v>
      </c>
      <c r="Y1428" s="62">
        <v>1</v>
      </c>
      <c r="Z1428" s="62">
        <v>24</v>
      </c>
      <c r="AA1428" s="53">
        <v>16.32030303030303</v>
      </c>
      <c r="AB1428" s="53">
        <v>41.2469696969697</v>
      </c>
      <c r="AC1428" s="53">
        <v>15.784970414201185</v>
      </c>
      <c r="AD1428" s="53">
        <v>42.48579881656805</v>
      </c>
      <c r="AE1428" s="53" t="str">
        <f>_xlfn.XLOOKUP(Master[[#This Row],[cu_id]],'[1]Customer Revenue'!$Q:$Q,'[1]Customer Revenue'!$K:$K, "None")</f>
        <v>None</v>
      </c>
      <c r="AF1428" s="53" t="str">
        <f>_xlfn.XLOOKUP(Master[[#This Row],[cu_id]],'[1]Customer Revenue'!$Q:$Q,'[1]Customer Revenue'!$L:$L, "None")</f>
        <v>None</v>
      </c>
      <c r="AG1428" s="53">
        <v>15.561743304347825</v>
      </c>
      <c r="AH1428" s="53">
        <v>38.113039304347822</v>
      </c>
      <c r="AI1428" s="53">
        <v>28.783636363636365</v>
      </c>
      <c r="AJ1428" s="53">
        <v>29.135384615384616</v>
      </c>
      <c r="AK1428" s="53" t="str">
        <f>_xlfn.XLOOKUP(Master[[#This Row],[cu_id]],'[1]Customer Revenue'!$Q:$Q,'[1]Customer Revenue'!$I:$I, "None")</f>
        <v>None</v>
      </c>
      <c r="AL1428" s="53">
        <v>26.837391304347825</v>
      </c>
      <c r="AM1428" s="61">
        <v>0.3125</v>
      </c>
      <c r="AN1428" s="60">
        <v>0.70833333333333337</v>
      </c>
      <c r="AO1428" s="60" t="s">
        <v>36</v>
      </c>
      <c r="AP1428" s="60" t="s">
        <v>36</v>
      </c>
      <c r="AQ1428" s="58" t="s">
        <v>0</v>
      </c>
      <c r="AR1428" s="58"/>
      <c r="AS1428" s="58"/>
      <c r="AT1428" s="52">
        <v>0</v>
      </c>
      <c r="AU1428" s="52">
        <f>IF(Master[[#This Row],[RSP StopTime override]] &lt;&gt; "",Master[[#This Row],[RSP StopTime override]],IF(Master[[#This Row],[Avg stop time helper]] &lt;&gt; 0, Master[[#This Row],[Avg stop time helper]],Average_Stop_Time))</f>
        <v>7</v>
      </c>
      <c r="AV1428" s="21">
        <v>7</v>
      </c>
      <c r="AW1428" s="20">
        <f>Master[[#This Row],[RSP StopTime override]]-Master[[#This Row],[Avg stop time helper]]</f>
        <v>7</v>
      </c>
    </row>
    <row r="1429" spans="1:49" x14ac:dyDescent="0.3">
      <c r="A1429" s="66" t="s">
        <v>5432</v>
      </c>
      <c r="B1429" s="58">
        <v>8040</v>
      </c>
      <c r="C1429" s="58" t="s">
        <v>24</v>
      </c>
      <c r="D1429" s="65">
        <v>805605</v>
      </c>
      <c r="E1429" s="65" t="s">
        <v>42</v>
      </c>
      <c r="F1429" s="65" t="s">
        <v>565</v>
      </c>
      <c r="G1429" s="65" t="s">
        <v>564</v>
      </c>
      <c r="H1429" s="65" t="s">
        <v>7</v>
      </c>
      <c r="I1429" s="65" t="s">
        <v>6</v>
      </c>
      <c r="J1429" s="65" t="s">
        <v>5</v>
      </c>
      <c r="K1429" s="65" t="s">
        <v>115</v>
      </c>
      <c r="L1429" s="64" t="s">
        <v>67</v>
      </c>
      <c r="M1429" s="58" t="s">
        <v>3</v>
      </c>
      <c r="N1429" s="58" t="s">
        <v>2</v>
      </c>
      <c r="O1429" s="58">
        <v>86</v>
      </c>
      <c r="P1429" s="58">
        <v>86</v>
      </c>
      <c r="Q1429" s="58">
        <v>0</v>
      </c>
      <c r="R1429" s="58">
        <v>0</v>
      </c>
      <c r="S1429" s="58">
        <v>0</v>
      </c>
      <c r="T1429" s="58">
        <v>0</v>
      </c>
      <c r="U1429" s="58">
        <v>40</v>
      </c>
      <c r="V1429" s="62">
        <v>0</v>
      </c>
      <c r="W1429" s="62">
        <v>0</v>
      </c>
      <c r="X1429" s="63">
        <f>IFERROR(1 -(Master[[#This Row],[Avg Garment Scans per Delivery]]/Master[[#This Row],[Garment Inventory]]), 0)</f>
        <v>0</v>
      </c>
      <c r="Y1429" s="62">
        <v>1</v>
      </c>
      <c r="Z1429" s="62">
        <v>6</v>
      </c>
      <c r="AA1429" s="53">
        <v>23.587747252747256</v>
      </c>
      <c r="AB1429" s="53">
        <v>41.149175824175821</v>
      </c>
      <c r="AC1429" s="53">
        <v>27.718956043956055</v>
      </c>
      <c r="AD1429" s="53">
        <v>50.451813186813197</v>
      </c>
      <c r="AE1429" s="53" t="str">
        <f>_xlfn.XLOOKUP(Master[[#This Row],[cu_id]],'[1]Customer Revenue'!$Q:$Q,'[1]Customer Revenue'!$K:$K, "None")</f>
        <v>None</v>
      </c>
      <c r="AF1429" s="53" t="str">
        <f>_xlfn.XLOOKUP(Master[[#This Row],[cu_id]],'[1]Customer Revenue'!$Q:$Q,'[1]Customer Revenue'!$L:$L, "None")</f>
        <v>None</v>
      </c>
      <c r="AG1429" s="53">
        <v>16.852408990186774</v>
      </c>
      <c r="AH1429" s="53">
        <v>42.319898702120931</v>
      </c>
      <c r="AI1429" s="53">
        <v>32.368461538461538</v>
      </c>
      <c r="AJ1429" s="53">
        <v>39.085384615384626</v>
      </c>
      <c r="AK1429" s="53" t="str">
        <f>_xlfn.XLOOKUP(Master[[#This Row],[cu_id]],'[1]Customer Revenue'!$Q:$Q,'[1]Customer Revenue'!$I:$I, "None")</f>
        <v>None</v>
      </c>
      <c r="AL1429" s="53">
        <v>29.586153846153852</v>
      </c>
      <c r="AM1429" s="61">
        <v>0.33333333333333331</v>
      </c>
      <c r="AN1429" s="60">
        <v>0.70833333333333337</v>
      </c>
      <c r="AO1429" s="60" t="s">
        <v>36</v>
      </c>
      <c r="AP1429" s="60" t="s">
        <v>36</v>
      </c>
      <c r="AQ1429" s="58" t="s">
        <v>0</v>
      </c>
      <c r="AR1429" s="58"/>
      <c r="AS1429" s="58"/>
      <c r="AT1429" s="52">
        <v>0</v>
      </c>
      <c r="AU1429" s="52">
        <f>IF(Master[[#This Row],[RSP StopTime override]] &lt;&gt; "",Master[[#This Row],[RSP StopTime override]],IF(Master[[#This Row],[Avg stop time helper]] &lt;&gt; 0, Master[[#This Row],[Avg stop time helper]],Average_Stop_Time))</f>
        <v>15</v>
      </c>
      <c r="AV1429" s="21">
        <v>15</v>
      </c>
      <c r="AW1429" s="20">
        <f>Master[[#This Row],[RSP StopTime override]]-Master[[#This Row],[Avg stop time helper]]</f>
        <v>15</v>
      </c>
    </row>
    <row r="1430" spans="1:49" x14ac:dyDescent="0.3">
      <c r="A1430" s="66" t="s">
        <v>5433</v>
      </c>
      <c r="B1430" s="58">
        <v>8040</v>
      </c>
      <c r="C1430" s="58" t="s">
        <v>43</v>
      </c>
      <c r="D1430" s="65">
        <v>805735</v>
      </c>
      <c r="E1430" s="65" t="s">
        <v>42</v>
      </c>
      <c r="F1430" s="65" t="s">
        <v>563</v>
      </c>
      <c r="G1430" s="65" t="s">
        <v>537</v>
      </c>
      <c r="H1430" s="65" t="s">
        <v>536</v>
      </c>
      <c r="I1430" s="65" t="s">
        <v>6</v>
      </c>
      <c r="J1430" s="65" t="s">
        <v>5</v>
      </c>
      <c r="K1430" s="65" t="s">
        <v>68</v>
      </c>
      <c r="L1430" s="64" t="s">
        <v>124</v>
      </c>
      <c r="M1430" s="58" t="s">
        <v>123</v>
      </c>
      <c r="N1430" s="58" t="s">
        <v>2</v>
      </c>
      <c r="O1430" s="58">
        <v>50</v>
      </c>
      <c r="P1430" s="58">
        <v>0</v>
      </c>
      <c r="Q1430" s="58">
        <v>0</v>
      </c>
      <c r="R1430" s="58">
        <v>0</v>
      </c>
      <c r="S1430" s="58">
        <v>50</v>
      </c>
      <c r="T1430" s="58">
        <v>0</v>
      </c>
      <c r="U1430" s="58">
        <v>10</v>
      </c>
      <c r="V1430" s="62"/>
      <c r="W1430" s="62"/>
      <c r="X1430" s="63">
        <f>IFERROR(1 -(Master[[#This Row],[Avg Garment Scans per Delivery]]/Master[[#This Row],[Garment Inventory]]), 0)</f>
        <v>0</v>
      </c>
      <c r="Y1430" s="62"/>
      <c r="Z1430" s="62"/>
      <c r="AA1430" s="53">
        <v>49.83</v>
      </c>
      <c r="AB1430" s="53">
        <v>49.830000000000013</v>
      </c>
      <c r="AC1430" s="53">
        <v>49.698888888888888</v>
      </c>
      <c r="AD1430" s="53">
        <v>50.74777777777777</v>
      </c>
      <c r="AE1430" s="53" t="str">
        <f>_xlfn.XLOOKUP(Master[[#This Row],[cu_id]],'[1]Customer Revenue'!$Q:$Q,'[1]Customer Revenue'!$K:$K, "None")</f>
        <v>None</v>
      </c>
      <c r="AF1430" s="53" t="str">
        <f>_xlfn.XLOOKUP(Master[[#This Row],[cu_id]],'[1]Customer Revenue'!$Q:$Q,'[1]Customer Revenue'!$L:$L, "None")</f>
        <v>None</v>
      </c>
      <c r="AG1430" s="53">
        <v>49.829999999999984</v>
      </c>
      <c r="AH1430" s="53">
        <v>49.83</v>
      </c>
      <c r="AI1430" s="53">
        <v>49.830000000000005</v>
      </c>
      <c r="AJ1430" s="53">
        <v>50.223333333333329</v>
      </c>
      <c r="AK1430" s="53" t="str">
        <f>_xlfn.XLOOKUP(Master[[#This Row],[cu_id]],'[1]Customer Revenue'!$Q:$Q,'[1]Customer Revenue'!$I:$I, "None")</f>
        <v>None</v>
      </c>
      <c r="AL1430" s="53">
        <v>49.829999999999991</v>
      </c>
      <c r="AM1430" s="61" t="s">
        <v>36</v>
      </c>
      <c r="AN1430" s="60" t="s">
        <v>36</v>
      </c>
      <c r="AO1430" s="60" t="s">
        <v>36</v>
      </c>
      <c r="AP1430" s="60" t="s">
        <v>36</v>
      </c>
      <c r="AQ1430" s="58" t="s">
        <v>0</v>
      </c>
      <c r="AR1430" s="58"/>
      <c r="AS1430" s="58"/>
      <c r="AT1430" s="52">
        <v>0</v>
      </c>
      <c r="AU1430" s="52">
        <f>IF(Master[[#This Row],[RSP StopTime override]] &lt;&gt; "",Master[[#This Row],[RSP StopTime override]],IF(Master[[#This Row],[Avg stop time helper]] &lt;&gt; 0, Master[[#This Row],[Avg stop time helper]],Average_Stop_Time))</f>
        <v>10</v>
      </c>
      <c r="AV1430" s="21">
        <v>10</v>
      </c>
      <c r="AW1430" s="20">
        <f>Master[[#This Row],[RSP StopTime override]]-Master[[#This Row],[Avg stop time helper]]</f>
        <v>10</v>
      </c>
    </row>
    <row r="1431" spans="1:49" x14ac:dyDescent="0.3">
      <c r="A1431" s="66" t="s">
        <v>5434</v>
      </c>
      <c r="B1431" s="58">
        <v>8040</v>
      </c>
      <c r="C1431" s="58" t="s">
        <v>15</v>
      </c>
      <c r="D1431" s="65">
        <v>809304</v>
      </c>
      <c r="E1431" s="65" t="s">
        <v>42</v>
      </c>
      <c r="F1431" s="65" t="s">
        <v>562</v>
      </c>
      <c r="G1431" s="65" t="s">
        <v>561</v>
      </c>
      <c r="H1431" s="65" t="s">
        <v>7</v>
      </c>
      <c r="I1431" s="65" t="s">
        <v>6</v>
      </c>
      <c r="J1431" s="65" t="s">
        <v>5</v>
      </c>
      <c r="K1431" s="65" t="s">
        <v>115</v>
      </c>
      <c r="L1431" s="64" t="s">
        <v>91</v>
      </c>
      <c r="M1431" s="58" t="s">
        <v>90</v>
      </c>
      <c r="N1431" s="58" t="s">
        <v>2</v>
      </c>
      <c r="O1431" s="58">
        <v>70</v>
      </c>
      <c r="P1431" s="58">
        <v>0</v>
      </c>
      <c r="Q1431" s="58">
        <v>0</v>
      </c>
      <c r="R1431" s="58">
        <v>0</v>
      </c>
      <c r="S1431" s="58">
        <v>0</v>
      </c>
      <c r="T1431" s="58">
        <v>70</v>
      </c>
      <c r="U1431" s="58">
        <v>19</v>
      </c>
      <c r="V1431" s="62"/>
      <c r="W1431" s="62"/>
      <c r="X1431" s="63">
        <f>IFERROR(1 -(Master[[#This Row],[Avg Garment Scans per Delivery]]/Master[[#This Row],[Garment Inventory]]), 0)</f>
        <v>0</v>
      </c>
      <c r="Y1431" s="62"/>
      <c r="Z1431" s="62"/>
      <c r="AA1431" s="53">
        <v>34.293333333333337</v>
      </c>
      <c r="AB1431" s="53">
        <v>39.426666666666662</v>
      </c>
      <c r="AC1431" s="53">
        <v>38.255510204081631</v>
      </c>
      <c r="AD1431" s="53">
        <v>39.218775510204068</v>
      </c>
      <c r="AE1431" s="53" t="str">
        <f>_xlfn.XLOOKUP(Master[[#This Row],[cu_id]],'[1]Customer Revenue'!$Q:$Q,'[1]Customer Revenue'!$K:$K, "None")</f>
        <v>None</v>
      </c>
      <c r="AF1431" s="53" t="str">
        <f>_xlfn.XLOOKUP(Master[[#This Row],[cu_id]],'[1]Customer Revenue'!$Q:$Q,'[1]Customer Revenue'!$L:$L, "None")</f>
        <v>None</v>
      </c>
      <c r="AG1431" s="53">
        <v>34.293333333333322</v>
      </c>
      <c r="AH1431" s="53">
        <v>39.426666666666662</v>
      </c>
      <c r="AI1431" s="53">
        <v>36.86</v>
      </c>
      <c r="AJ1431" s="53">
        <v>38.73714285714285</v>
      </c>
      <c r="AK1431" s="53" t="str">
        <f>_xlfn.XLOOKUP(Master[[#This Row],[cu_id]],'[1]Customer Revenue'!$Q:$Q,'[1]Customer Revenue'!$I:$I, "None")</f>
        <v>None</v>
      </c>
      <c r="AL1431" s="53">
        <v>36.859999999999992</v>
      </c>
      <c r="AM1431" s="61">
        <v>0.375</v>
      </c>
      <c r="AN1431" s="60">
        <v>0.70833333333333337</v>
      </c>
      <c r="AO1431" s="60" t="s">
        <v>36</v>
      </c>
      <c r="AP1431" s="60" t="s">
        <v>36</v>
      </c>
      <c r="AQ1431" s="58" t="s">
        <v>0</v>
      </c>
      <c r="AR1431" s="58"/>
      <c r="AS1431" s="58"/>
      <c r="AT1431" s="52">
        <v>0</v>
      </c>
      <c r="AU1431" s="52">
        <f>IF(Master[[#This Row],[RSP StopTime override]] &lt;&gt; "",Master[[#This Row],[RSP StopTime override]],IF(Master[[#This Row],[Avg stop time helper]] &lt;&gt; 0, Master[[#This Row],[Avg stop time helper]],Average_Stop_Time))</f>
        <v>5</v>
      </c>
      <c r="AV1431" s="21">
        <v>5</v>
      </c>
      <c r="AW1431" s="20">
        <f>Master[[#This Row],[RSP StopTime override]]-Master[[#This Row],[Avg stop time helper]]</f>
        <v>5</v>
      </c>
    </row>
    <row r="1432" spans="1:49" x14ac:dyDescent="0.3">
      <c r="A1432" s="66" t="s">
        <v>5435</v>
      </c>
      <c r="B1432" s="58">
        <v>8040</v>
      </c>
      <c r="C1432" s="58" t="s">
        <v>10</v>
      </c>
      <c r="D1432" s="65">
        <v>99033</v>
      </c>
      <c r="E1432" s="65" t="s">
        <v>560</v>
      </c>
      <c r="F1432" s="65" t="s">
        <v>559</v>
      </c>
      <c r="G1432" s="65" t="s">
        <v>558</v>
      </c>
      <c r="H1432" s="65" t="s">
        <v>7</v>
      </c>
      <c r="I1432" s="65" t="s">
        <v>6</v>
      </c>
      <c r="J1432" s="65" t="s">
        <v>5</v>
      </c>
      <c r="K1432" s="65" t="s">
        <v>115</v>
      </c>
      <c r="L1432" s="64" t="s">
        <v>67</v>
      </c>
      <c r="M1432" s="58" t="s">
        <v>3</v>
      </c>
      <c r="N1432" s="58" t="s">
        <v>2</v>
      </c>
      <c r="O1432" s="58">
        <v>25</v>
      </c>
      <c r="P1432" s="58">
        <v>0</v>
      </c>
      <c r="Q1432" s="58">
        <v>0</v>
      </c>
      <c r="R1432" s="58">
        <v>25</v>
      </c>
      <c r="S1432" s="58">
        <v>0</v>
      </c>
      <c r="T1432" s="58">
        <v>0</v>
      </c>
      <c r="U1432" s="58">
        <v>30</v>
      </c>
      <c r="V1432" s="62"/>
      <c r="W1432" s="62"/>
      <c r="X1432" s="63">
        <f>IFERROR(1 -(Master[[#This Row],[Avg Garment Scans per Delivery]]/Master[[#This Row],[Garment Inventory]]), 0)</f>
        <v>0</v>
      </c>
      <c r="Y1432" s="62"/>
      <c r="Z1432" s="62"/>
      <c r="AA1432" s="53">
        <v>55.14999999999997</v>
      </c>
      <c r="AB1432" s="53">
        <v>55.15</v>
      </c>
      <c r="AC1432" s="53">
        <v>27.526250000000005</v>
      </c>
      <c r="AD1432" s="53">
        <v>37.453749999999999</v>
      </c>
      <c r="AE1432" s="53" t="str">
        <f>_xlfn.XLOOKUP(Master[[#This Row],[cu_id]],'[1]Customer Revenue'!$Q:$Q,'[1]Customer Revenue'!$K:$K, "None")</f>
        <v>None</v>
      </c>
      <c r="AF1432" s="53" t="str">
        <f>_xlfn.XLOOKUP(Master[[#This Row],[cu_id]],'[1]Customer Revenue'!$Q:$Q,'[1]Customer Revenue'!$L:$L, "None")</f>
        <v>None</v>
      </c>
      <c r="AG1432" s="53">
        <v>43.89156804733728</v>
      </c>
      <c r="AH1432" s="53">
        <v>66.408431952662724</v>
      </c>
      <c r="AI1432" s="53">
        <v>55.149999999999984</v>
      </c>
      <c r="AJ1432" s="53">
        <v>32.49</v>
      </c>
      <c r="AK1432" s="53" t="str">
        <f>_xlfn.XLOOKUP(Master[[#This Row],[cu_id]],'[1]Customer Revenue'!$Q:$Q,'[1]Customer Revenue'!$I:$I, "None")</f>
        <v>None</v>
      </c>
      <c r="AL1432" s="53">
        <v>55.15</v>
      </c>
      <c r="AM1432" s="61" t="s">
        <v>36</v>
      </c>
      <c r="AN1432" s="60" t="s">
        <v>36</v>
      </c>
      <c r="AO1432" s="60" t="s">
        <v>36</v>
      </c>
      <c r="AP1432" s="60" t="s">
        <v>36</v>
      </c>
      <c r="AQ1432" s="58" t="s">
        <v>0</v>
      </c>
      <c r="AR1432" s="58"/>
      <c r="AS1432" s="58"/>
      <c r="AT1432" s="52">
        <v>0</v>
      </c>
      <c r="AU1432" s="52">
        <f>IF(Master[[#This Row],[RSP StopTime override]] &lt;&gt; "",Master[[#This Row],[RSP StopTime override]],IF(Master[[#This Row],[Avg stop time helper]] &lt;&gt; 0, Master[[#This Row],[Avg stop time helper]],Average_Stop_Time))</f>
        <v>10</v>
      </c>
      <c r="AV1432" s="21">
        <v>10</v>
      </c>
      <c r="AW1432" s="20">
        <f>Master[[#This Row],[RSP StopTime override]]-Master[[#This Row],[Avg stop time helper]]</f>
        <v>10</v>
      </c>
    </row>
    <row r="1433" spans="1:49" x14ac:dyDescent="0.3">
      <c r="A1433" s="66" t="s">
        <v>5436</v>
      </c>
      <c r="B1433" s="58">
        <v>8040</v>
      </c>
      <c r="C1433" s="58" t="s">
        <v>43</v>
      </c>
      <c r="D1433" s="65">
        <v>807500</v>
      </c>
      <c r="E1433" s="65" t="s">
        <v>42</v>
      </c>
      <c r="F1433" s="65" t="s">
        <v>557</v>
      </c>
      <c r="G1433" s="65" t="s">
        <v>556</v>
      </c>
      <c r="H1433" s="65" t="s">
        <v>7</v>
      </c>
      <c r="I1433" s="65" t="s">
        <v>161</v>
      </c>
      <c r="J1433" s="65" t="s">
        <v>5</v>
      </c>
      <c r="K1433" s="65" t="s">
        <v>146</v>
      </c>
      <c r="L1433" s="64" t="s">
        <v>67</v>
      </c>
      <c r="M1433" s="58" t="s">
        <v>3</v>
      </c>
      <c r="N1433" s="58" t="s">
        <v>2</v>
      </c>
      <c r="O1433" s="58">
        <v>17</v>
      </c>
      <c r="P1433" s="58">
        <v>0</v>
      </c>
      <c r="Q1433" s="58">
        <v>0</v>
      </c>
      <c r="R1433" s="58">
        <v>0</v>
      </c>
      <c r="S1433" s="58">
        <v>17</v>
      </c>
      <c r="T1433" s="58">
        <v>0</v>
      </c>
      <c r="U1433" s="58">
        <v>39</v>
      </c>
      <c r="V1433" s="62"/>
      <c r="W1433" s="62"/>
      <c r="X1433" s="63">
        <f>IFERROR(1 -(Master[[#This Row],[Avg Garment Scans per Delivery]]/Master[[#This Row],[Garment Inventory]]), 0)</f>
        <v>0</v>
      </c>
      <c r="Y1433" s="62"/>
      <c r="Z1433" s="62"/>
      <c r="AA1433" s="53">
        <v>76.62</v>
      </c>
      <c r="AB1433" s="53">
        <v>76.62</v>
      </c>
      <c r="AC1433" s="53">
        <v>62.419467455621309</v>
      </c>
      <c r="AD1433" s="53">
        <v>69.102071005917196</v>
      </c>
      <c r="AE1433" s="53" t="str">
        <f>_xlfn.XLOOKUP(Master[[#This Row],[cu_id]],'[1]Customer Revenue'!$Q:$Q,'[1]Customer Revenue'!$K:$K, "None")</f>
        <v>None</v>
      </c>
      <c r="AF1433" s="53" t="str">
        <f>_xlfn.XLOOKUP(Master[[#This Row],[cu_id]],'[1]Customer Revenue'!$Q:$Q,'[1]Customer Revenue'!$L:$L, "None")</f>
        <v>None</v>
      </c>
      <c r="AG1433" s="53">
        <v>67.417789349112354</v>
      </c>
      <c r="AH1433" s="53">
        <v>82.613410650887573</v>
      </c>
      <c r="AI1433" s="53">
        <v>76.62</v>
      </c>
      <c r="AJ1433" s="53">
        <v>65.760769230769256</v>
      </c>
      <c r="AK1433" s="53" t="str">
        <f>_xlfn.XLOOKUP(Master[[#This Row],[cu_id]],'[1]Customer Revenue'!$Q:$Q,'[1]Customer Revenue'!$I:$I, "None")</f>
        <v>None</v>
      </c>
      <c r="AL1433" s="53">
        <v>75.015599999999964</v>
      </c>
      <c r="AM1433" s="61">
        <v>0.29166666666666669</v>
      </c>
      <c r="AN1433" s="60">
        <v>0.70833333333333337</v>
      </c>
      <c r="AO1433" s="60" t="s">
        <v>36</v>
      </c>
      <c r="AP1433" s="60" t="s">
        <v>36</v>
      </c>
      <c r="AQ1433" s="58" t="s">
        <v>0</v>
      </c>
      <c r="AR1433" s="58"/>
      <c r="AS1433" s="58"/>
      <c r="AT1433" s="52">
        <v>0</v>
      </c>
      <c r="AU1433" s="52">
        <f>IF(Master[[#This Row],[RSP StopTime override]] &lt;&gt; "",Master[[#This Row],[RSP StopTime override]],IF(Master[[#This Row],[Avg stop time helper]] &lt;&gt; 0, Master[[#This Row],[Avg stop time helper]],Average_Stop_Time))</f>
        <v>10</v>
      </c>
      <c r="AV1433" s="21">
        <v>10</v>
      </c>
      <c r="AW1433" s="20">
        <f>Master[[#This Row],[RSP StopTime override]]-Master[[#This Row],[Avg stop time helper]]</f>
        <v>10</v>
      </c>
    </row>
    <row r="1434" spans="1:49" x14ac:dyDescent="0.3">
      <c r="A1434" s="66" t="s">
        <v>5437</v>
      </c>
      <c r="B1434" s="58">
        <v>8040</v>
      </c>
      <c r="C1434" s="58" t="s">
        <v>15</v>
      </c>
      <c r="D1434" s="65">
        <v>806405</v>
      </c>
      <c r="E1434" s="65" t="s">
        <v>42</v>
      </c>
      <c r="F1434" s="65" t="s">
        <v>555</v>
      </c>
      <c r="G1434" s="65" t="s">
        <v>554</v>
      </c>
      <c r="H1434" s="65" t="s">
        <v>7</v>
      </c>
      <c r="I1434" s="65" t="s">
        <v>6</v>
      </c>
      <c r="J1434" s="65" t="s">
        <v>5</v>
      </c>
      <c r="K1434" s="65" t="s">
        <v>115</v>
      </c>
      <c r="L1434" s="64" t="s">
        <v>91</v>
      </c>
      <c r="M1434" s="58" t="s">
        <v>90</v>
      </c>
      <c r="N1434" s="58" t="s">
        <v>2</v>
      </c>
      <c r="O1434" s="58">
        <v>85</v>
      </c>
      <c r="P1434" s="58">
        <v>0</v>
      </c>
      <c r="Q1434" s="58">
        <v>0</v>
      </c>
      <c r="R1434" s="58">
        <v>0</v>
      </c>
      <c r="S1434" s="58">
        <v>0</v>
      </c>
      <c r="T1434" s="58">
        <v>85</v>
      </c>
      <c r="U1434" s="58">
        <v>19</v>
      </c>
      <c r="V1434" s="62"/>
      <c r="W1434" s="62"/>
      <c r="X1434" s="63">
        <f>IFERROR(1 -(Master[[#This Row],[Avg Garment Scans per Delivery]]/Master[[#This Row],[Garment Inventory]]), 0)</f>
        <v>0</v>
      </c>
      <c r="Y1434" s="62"/>
      <c r="Z1434" s="62"/>
      <c r="AA1434" s="53">
        <v>32</v>
      </c>
      <c r="AB1434" s="53">
        <v>32</v>
      </c>
      <c r="AC1434" s="53">
        <v>31.855510204081632</v>
      </c>
      <c r="AD1434" s="53">
        <v>32.818775510204084</v>
      </c>
      <c r="AE1434" s="53" t="str">
        <f>_xlfn.XLOOKUP(Master[[#This Row],[cu_id]],'[1]Customer Revenue'!$Q:$Q,'[1]Customer Revenue'!$K:$K, "None")</f>
        <v>None</v>
      </c>
      <c r="AF1434" s="53" t="str">
        <f>_xlfn.XLOOKUP(Master[[#This Row],[cu_id]],'[1]Customer Revenue'!$Q:$Q,'[1]Customer Revenue'!$L:$L, "None")</f>
        <v>None</v>
      </c>
      <c r="AG1434" s="53">
        <v>32</v>
      </c>
      <c r="AH1434" s="53">
        <v>32</v>
      </c>
      <c r="AI1434" s="53">
        <v>32</v>
      </c>
      <c r="AJ1434" s="53">
        <v>32.337142857142858</v>
      </c>
      <c r="AK1434" s="53" t="str">
        <f>_xlfn.XLOOKUP(Master[[#This Row],[cu_id]],'[1]Customer Revenue'!$Q:$Q,'[1]Customer Revenue'!$I:$I, "None")</f>
        <v>None</v>
      </c>
      <c r="AL1434" s="53">
        <v>32</v>
      </c>
      <c r="AM1434" s="61">
        <v>0.3125</v>
      </c>
      <c r="AN1434" s="60">
        <v>0.70833333333333337</v>
      </c>
      <c r="AO1434" s="60" t="s">
        <v>36</v>
      </c>
      <c r="AP1434" s="60" t="s">
        <v>36</v>
      </c>
      <c r="AQ1434" s="58" t="s">
        <v>0</v>
      </c>
      <c r="AR1434" s="58"/>
      <c r="AS1434" s="58"/>
      <c r="AT1434" s="52">
        <v>0</v>
      </c>
      <c r="AU1434" s="52">
        <f>IF(Master[[#This Row],[RSP StopTime override]] &lt;&gt; "",Master[[#This Row],[RSP StopTime override]],IF(Master[[#This Row],[Avg stop time helper]] &lt;&gt; 0, Master[[#This Row],[Avg stop time helper]],Average_Stop_Time))</f>
        <v>10</v>
      </c>
      <c r="AV1434" s="21">
        <v>10</v>
      </c>
      <c r="AW1434" s="20">
        <f>Master[[#This Row],[RSP StopTime override]]-Master[[#This Row],[Avg stop time helper]]</f>
        <v>10</v>
      </c>
    </row>
    <row r="1435" spans="1:49" x14ac:dyDescent="0.3">
      <c r="A1435" s="66" t="s">
        <v>5438</v>
      </c>
      <c r="B1435" s="58">
        <v>8040</v>
      </c>
      <c r="C1435" s="58" t="s">
        <v>43</v>
      </c>
      <c r="D1435" s="65">
        <v>807950</v>
      </c>
      <c r="E1435" s="65" t="s">
        <v>42</v>
      </c>
      <c r="F1435" s="65" t="s">
        <v>553</v>
      </c>
      <c r="G1435" s="65" t="s">
        <v>552</v>
      </c>
      <c r="H1435" s="65" t="s">
        <v>7</v>
      </c>
      <c r="I1435" s="65" t="s">
        <v>158</v>
      </c>
      <c r="J1435" s="65" t="s">
        <v>5</v>
      </c>
      <c r="K1435" s="65" t="s">
        <v>146</v>
      </c>
      <c r="L1435" s="64" t="s">
        <v>77</v>
      </c>
      <c r="M1435" s="58" t="s">
        <v>29</v>
      </c>
      <c r="N1435" s="58" t="s">
        <v>2</v>
      </c>
      <c r="O1435" s="58">
        <v>87</v>
      </c>
      <c r="P1435" s="58">
        <v>0</v>
      </c>
      <c r="Q1435" s="58">
        <v>0</v>
      </c>
      <c r="R1435" s="58">
        <v>0</v>
      </c>
      <c r="S1435" s="58">
        <v>87</v>
      </c>
      <c r="T1435" s="58">
        <v>0</v>
      </c>
      <c r="U1435" s="58">
        <v>20</v>
      </c>
      <c r="V1435" s="62"/>
      <c r="W1435" s="62"/>
      <c r="X1435" s="63">
        <f>IFERROR(1 -(Master[[#This Row],[Avg Garment Scans per Delivery]]/Master[[#This Row],[Garment Inventory]]), 0)</f>
        <v>0</v>
      </c>
      <c r="Y1435" s="62"/>
      <c r="Z1435" s="62"/>
      <c r="AA1435" s="53">
        <v>26.836666666666677</v>
      </c>
      <c r="AB1435" s="53">
        <v>66.223333333333343</v>
      </c>
      <c r="AC1435" s="53">
        <v>28.571875000000006</v>
      </c>
      <c r="AD1435" s="53">
        <v>61.413125000000008</v>
      </c>
      <c r="AE1435" s="53" t="str">
        <f>_xlfn.XLOOKUP(Master[[#This Row],[cu_id]],'[1]Customer Revenue'!$Q:$Q,'[1]Customer Revenue'!$K:$K, "None")</f>
        <v>None</v>
      </c>
      <c r="AF1435" s="53" t="str">
        <f>_xlfn.XLOOKUP(Master[[#This Row],[cu_id]],'[1]Customer Revenue'!$Q:$Q,'[1]Customer Revenue'!$L:$L, "None")</f>
        <v>None</v>
      </c>
      <c r="AG1435" s="53">
        <v>30.123372781065083</v>
      </c>
      <c r="AH1435" s="53">
        <v>66.828934911242598</v>
      </c>
      <c r="AI1435" s="53">
        <v>46.530000000000008</v>
      </c>
      <c r="AJ1435" s="53">
        <v>44.992500000000007</v>
      </c>
      <c r="AK1435" s="53" t="str">
        <f>_xlfn.XLOOKUP(Master[[#This Row],[cu_id]],'[1]Customer Revenue'!$Q:$Q,'[1]Customer Revenue'!$I:$I, "None")</f>
        <v>None</v>
      </c>
      <c r="AL1435" s="53">
        <v>48.476153846153842</v>
      </c>
      <c r="AM1435" s="61">
        <v>0.45833333333333331</v>
      </c>
      <c r="AN1435" s="60">
        <v>0.83333333333333337</v>
      </c>
      <c r="AO1435" s="60" t="s">
        <v>36</v>
      </c>
      <c r="AP1435" s="60" t="s">
        <v>36</v>
      </c>
      <c r="AQ1435" s="58" t="s">
        <v>308</v>
      </c>
      <c r="AR1435" s="58"/>
      <c r="AS1435" s="58"/>
      <c r="AT1435" s="52">
        <v>0</v>
      </c>
      <c r="AU1435" s="52">
        <f>IF(Master[[#This Row],[RSP StopTime override]] &lt;&gt; "",Master[[#This Row],[RSP StopTime override]],IF(Master[[#This Row],[Avg stop time helper]] &lt;&gt; 0, Master[[#This Row],[Avg stop time helper]],Average_Stop_Time))</f>
        <v>10</v>
      </c>
      <c r="AV1435" s="21">
        <v>10</v>
      </c>
      <c r="AW1435" s="20">
        <f>Master[[#This Row],[RSP StopTime override]]-Master[[#This Row],[Avg stop time helper]]</f>
        <v>10</v>
      </c>
    </row>
    <row r="1436" spans="1:49" x14ac:dyDescent="0.3">
      <c r="A1436" s="66" t="s">
        <v>5439</v>
      </c>
      <c r="B1436" s="58">
        <v>8040</v>
      </c>
      <c r="C1436" s="58" t="s">
        <v>10</v>
      </c>
      <c r="D1436" s="65">
        <v>99033</v>
      </c>
      <c r="E1436" s="65" t="s">
        <v>551</v>
      </c>
      <c r="F1436" s="65" t="s">
        <v>550</v>
      </c>
      <c r="G1436" s="65" t="s">
        <v>549</v>
      </c>
      <c r="H1436" s="65" t="s">
        <v>7</v>
      </c>
      <c r="I1436" s="65" t="s">
        <v>6</v>
      </c>
      <c r="J1436" s="65" t="s">
        <v>5</v>
      </c>
      <c r="K1436" s="65" t="s">
        <v>115</v>
      </c>
      <c r="L1436" s="64" t="s">
        <v>67</v>
      </c>
      <c r="M1436" s="58" t="s">
        <v>3</v>
      </c>
      <c r="N1436" s="58" t="s">
        <v>2</v>
      </c>
      <c r="O1436" s="58">
        <v>55</v>
      </c>
      <c r="P1436" s="58">
        <v>0</v>
      </c>
      <c r="Q1436" s="58">
        <v>0</v>
      </c>
      <c r="R1436" s="58">
        <v>30</v>
      </c>
      <c r="S1436" s="58">
        <v>0</v>
      </c>
      <c r="T1436" s="58">
        <v>0</v>
      </c>
      <c r="U1436" s="58">
        <v>30</v>
      </c>
      <c r="V1436" s="62"/>
      <c r="W1436" s="62"/>
      <c r="X1436" s="63">
        <f>IFERROR(1 -(Master[[#This Row],[Avg Garment Scans per Delivery]]/Master[[#This Row],[Garment Inventory]]), 0)</f>
        <v>0</v>
      </c>
      <c r="Y1436" s="62"/>
      <c r="Z1436" s="62"/>
      <c r="AA1436" s="53">
        <v>25</v>
      </c>
      <c r="AB1436" s="53">
        <v>25</v>
      </c>
      <c r="AC1436" s="53">
        <v>21.180555555555557</v>
      </c>
      <c r="AD1436" s="53">
        <v>28.819444444444443</v>
      </c>
      <c r="AE1436" s="53" t="str">
        <f>_xlfn.XLOOKUP(Master[[#This Row],[cu_id]],'[1]Customer Revenue'!$Q:$Q,'[1]Customer Revenue'!$K:$K, "None")</f>
        <v>None</v>
      </c>
      <c r="AF1436" s="53" t="str">
        <f>_xlfn.XLOOKUP(Master[[#This Row],[cu_id]],'[1]Customer Revenue'!$Q:$Q,'[1]Customer Revenue'!$L:$L, "None")</f>
        <v>None</v>
      </c>
      <c r="AG1436" s="53">
        <v>19.896449704142011</v>
      </c>
      <c r="AH1436" s="53">
        <v>30.103550295857989</v>
      </c>
      <c r="AI1436" s="53">
        <v>25</v>
      </c>
      <c r="AJ1436" s="53">
        <v>25</v>
      </c>
      <c r="AK1436" s="53" t="str">
        <f>_xlfn.XLOOKUP(Master[[#This Row],[cu_id]],'[1]Customer Revenue'!$Q:$Q,'[1]Customer Revenue'!$I:$I, "None")</f>
        <v>None</v>
      </c>
      <c r="AL1436" s="53">
        <v>25</v>
      </c>
      <c r="AM1436" s="61" t="s">
        <v>36</v>
      </c>
      <c r="AN1436" s="60" t="s">
        <v>36</v>
      </c>
      <c r="AO1436" s="60" t="s">
        <v>36</v>
      </c>
      <c r="AP1436" s="60" t="s">
        <v>36</v>
      </c>
      <c r="AQ1436" s="58" t="s">
        <v>0</v>
      </c>
      <c r="AR1436" s="58"/>
      <c r="AS1436" s="58"/>
      <c r="AT1436" s="52">
        <v>0</v>
      </c>
      <c r="AU1436" s="52">
        <f>IF(Master[[#This Row],[RSP StopTime override]] &lt;&gt; "",Master[[#This Row],[RSP StopTime override]],IF(Master[[#This Row],[Avg stop time helper]] &lt;&gt; 0, Master[[#This Row],[Avg stop time helper]],Average_Stop_Time))</f>
        <v>10</v>
      </c>
      <c r="AV1436" s="21">
        <v>10</v>
      </c>
      <c r="AW1436" s="20">
        <f>Master[[#This Row],[RSP StopTime override]]-Master[[#This Row],[Avg stop time helper]]</f>
        <v>10</v>
      </c>
    </row>
    <row r="1437" spans="1:49" x14ac:dyDescent="0.3">
      <c r="A1437" s="66" t="s">
        <v>5440</v>
      </c>
      <c r="B1437" s="58">
        <v>8040</v>
      </c>
      <c r="C1437" s="58" t="s">
        <v>15</v>
      </c>
      <c r="D1437" s="65">
        <v>806809</v>
      </c>
      <c r="E1437" s="65" t="s">
        <v>42</v>
      </c>
      <c r="F1437" s="65" t="s">
        <v>435</v>
      </c>
      <c r="G1437" s="65" t="s">
        <v>548</v>
      </c>
      <c r="H1437" s="65" t="s">
        <v>7</v>
      </c>
      <c r="I1437" s="65" t="s">
        <v>6</v>
      </c>
      <c r="J1437" s="65" t="s">
        <v>5</v>
      </c>
      <c r="K1437" s="65" t="s">
        <v>146</v>
      </c>
      <c r="L1437" s="64" t="s">
        <v>141</v>
      </c>
      <c r="M1437" s="58" t="s">
        <v>140</v>
      </c>
      <c r="N1437" s="58" t="s">
        <v>2</v>
      </c>
      <c r="O1437" s="58">
        <v>90</v>
      </c>
      <c r="P1437" s="58">
        <v>0</v>
      </c>
      <c r="Q1437" s="58">
        <v>0</v>
      </c>
      <c r="R1437" s="58">
        <v>0</v>
      </c>
      <c r="S1437" s="58">
        <v>0</v>
      </c>
      <c r="T1437" s="58">
        <v>90</v>
      </c>
      <c r="U1437" s="58">
        <v>9</v>
      </c>
      <c r="V1437" s="62"/>
      <c r="W1437" s="62"/>
      <c r="X1437" s="63">
        <f>IFERROR(1 -(Master[[#This Row],[Avg Garment Scans per Delivery]]/Master[[#This Row],[Garment Inventory]]), 0)</f>
        <v>0</v>
      </c>
      <c r="Y1437" s="62"/>
      <c r="Z1437" s="62"/>
      <c r="AA1437" s="53">
        <v>37.33</v>
      </c>
      <c r="AB1437" s="53">
        <v>37.33</v>
      </c>
      <c r="AC1437" s="53">
        <v>33.595555555555556</v>
      </c>
      <c r="AD1437" s="53">
        <v>63.471111111111107</v>
      </c>
      <c r="AE1437" s="53" t="str">
        <f>_xlfn.XLOOKUP(Master[[#This Row],[cu_id]],'[1]Customer Revenue'!$Q:$Q,'[1]Customer Revenue'!$K:$K, "None")</f>
        <v>None</v>
      </c>
      <c r="AF1437" s="53" t="str">
        <f>_xlfn.XLOOKUP(Master[[#This Row],[cu_id]],'[1]Customer Revenue'!$Q:$Q,'[1]Customer Revenue'!$L:$L, "None")</f>
        <v>None</v>
      </c>
      <c r="AG1437" s="53">
        <v>23.331249999999986</v>
      </c>
      <c r="AH1437" s="53">
        <v>51.328749999999999</v>
      </c>
      <c r="AI1437" s="53">
        <v>37.33</v>
      </c>
      <c r="AJ1437" s="53">
        <v>48.533333333333331</v>
      </c>
      <c r="AK1437" s="53" t="str">
        <f>_xlfn.XLOOKUP(Master[[#This Row],[cu_id]],'[1]Customer Revenue'!$Q:$Q,'[1]Customer Revenue'!$I:$I, "None")</f>
        <v>None</v>
      </c>
      <c r="AL1437" s="53">
        <v>37.329999999999991</v>
      </c>
      <c r="AM1437" s="61">
        <v>0.375</v>
      </c>
      <c r="AN1437" s="60">
        <v>0.70833333333333337</v>
      </c>
      <c r="AO1437" s="60" t="s">
        <v>36</v>
      </c>
      <c r="AP1437" s="60" t="s">
        <v>36</v>
      </c>
      <c r="AQ1437" s="58" t="s">
        <v>0</v>
      </c>
      <c r="AR1437" s="58" t="s">
        <v>547</v>
      </c>
      <c r="AS1437" s="58"/>
      <c r="AT1437" s="52">
        <v>0</v>
      </c>
      <c r="AU1437" s="52">
        <f>IF(Master[[#This Row],[RSP StopTime override]] &lt;&gt; "",Master[[#This Row],[RSP StopTime override]],IF(Master[[#This Row],[Avg stop time helper]] &lt;&gt; 0, Master[[#This Row],[Avg stop time helper]],Average_Stop_Time))</f>
        <v>10</v>
      </c>
      <c r="AV1437" s="21">
        <v>10</v>
      </c>
      <c r="AW1437" s="20">
        <f>Master[[#This Row],[RSP StopTime override]]-Master[[#This Row],[Avg stop time helper]]</f>
        <v>10</v>
      </c>
    </row>
    <row r="1438" spans="1:49" x14ac:dyDescent="0.3">
      <c r="A1438" s="66" t="s">
        <v>5441</v>
      </c>
      <c r="B1438" s="58">
        <v>8040</v>
      </c>
      <c r="C1438" s="58" t="s">
        <v>10</v>
      </c>
      <c r="D1438" s="65">
        <v>803826</v>
      </c>
      <c r="E1438" s="65" t="s">
        <v>42</v>
      </c>
      <c r="F1438" s="65" t="s">
        <v>546</v>
      </c>
      <c r="G1438" s="65" t="s">
        <v>545</v>
      </c>
      <c r="H1438" s="65" t="s">
        <v>544</v>
      </c>
      <c r="I1438" s="65" t="s">
        <v>6</v>
      </c>
      <c r="J1438" s="65" t="s">
        <v>5</v>
      </c>
      <c r="K1438" s="65" t="s">
        <v>115</v>
      </c>
      <c r="L1438" s="64" t="s">
        <v>67</v>
      </c>
      <c r="M1438" s="58" t="s">
        <v>3</v>
      </c>
      <c r="N1438" s="58" t="s">
        <v>2</v>
      </c>
      <c r="O1438" s="58">
        <v>115</v>
      </c>
      <c r="P1438" s="58">
        <v>0</v>
      </c>
      <c r="Q1438" s="58">
        <v>0</v>
      </c>
      <c r="R1438" s="58">
        <v>62</v>
      </c>
      <c r="S1438" s="58">
        <v>0</v>
      </c>
      <c r="T1438" s="58">
        <v>0</v>
      </c>
      <c r="U1438" s="58">
        <v>39</v>
      </c>
      <c r="V1438" s="62"/>
      <c r="W1438" s="62"/>
      <c r="X1438" s="63">
        <f>IFERROR(1 -(Master[[#This Row],[Avg Garment Scans per Delivery]]/Master[[#This Row],[Garment Inventory]]), 0)</f>
        <v>0</v>
      </c>
      <c r="Y1438" s="62"/>
      <c r="Z1438" s="62"/>
      <c r="AA1438" s="53">
        <v>55.374378698224845</v>
      </c>
      <c r="AB1438" s="53">
        <v>67.356390532544381</v>
      </c>
      <c r="AC1438" s="53">
        <v>62.632071005917162</v>
      </c>
      <c r="AD1438" s="53">
        <v>109.31254437869822</v>
      </c>
      <c r="AE1438" s="53" t="str">
        <f>_xlfn.XLOOKUP(Master[[#This Row],[cu_id]],'[1]Customer Revenue'!$Q:$Q,'[1]Customer Revenue'!$K:$K, "None")</f>
        <v>None</v>
      </c>
      <c r="AF1438" s="53" t="str">
        <f>_xlfn.XLOOKUP(Master[[#This Row],[cu_id]],'[1]Customer Revenue'!$Q:$Q,'[1]Customer Revenue'!$L:$L, "None")</f>
        <v>None</v>
      </c>
      <c r="AG1438" s="53">
        <v>46.101183431952684</v>
      </c>
      <c r="AH1438" s="53">
        <v>65.293431952662758</v>
      </c>
      <c r="AI1438" s="53">
        <v>61.365384615384613</v>
      </c>
      <c r="AJ1438" s="53">
        <v>85.972307692307695</v>
      </c>
      <c r="AK1438" s="53" t="str">
        <f>_xlfn.XLOOKUP(Master[[#This Row],[cu_id]],'[1]Customer Revenue'!$Q:$Q,'[1]Customer Revenue'!$I:$I, "None")</f>
        <v>None</v>
      </c>
      <c r="AL1438" s="53">
        <v>55.697307692307717</v>
      </c>
      <c r="AM1438" s="61">
        <v>0.41666666666666669</v>
      </c>
      <c r="AN1438" s="60">
        <v>0.75</v>
      </c>
      <c r="AO1438" s="60" t="s">
        <v>36</v>
      </c>
      <c r="AP1438" s="60" t="s">
        <v>36</v>
      </c>
      <c r="AQ1438" s="58" t="s">
        <v>0</v>
      </c>
      <c r="AR1438" s="58"/>
      <c r="AS1438" s="58" t="s">
        <v>388</v>
      </c>
      <c r="AT1438" s="52">
        <v>0</v>
      </c>
      <c r="AU1438" s="52">
        <f>IF(Master[[#This Row],[RSP StopTime override]] &lt;&gt; "",Master[[#This Row],[RSP StopTime override]],IF(Master[[#This Row],[Avg stop time helper]] &lt;&gt; 0, Master[[#This Row],[Avg stop time helper]],Average_Stop_Time))</f>
        <v>17</v>
      </c>
      <c r="AV1438" s="21">
        <v>17</v>
      </c>
      <c r="AW1438" s="20">
        <f>Master[[#This Row],[RSP StopTime override]]-Master[[#This Row],[Avg stop time helper]]</f>
        <v>17</v>
      </c>
    </row>
    <row r="1439" spans="1:49" x14ac:dyDescent="0.3">
      <c r="A1439" s="66" t="s">
        <v>5442</v>
      </c>
      <c r="B1439" s="58">
        <v>8040</v>
      </c>
      <c r="C1439" s="58" t="s">
        <v>35</v>
      </c>
      <c r="D1439" s="65">
        <v>882330</v>
      </c>
      <c r="E1439" s="65" t="s">
        <v>543</v>
      </c>
      <c r="F1439" s="65" t="s">
        <v>542</v>
      </c>
      <c r="G1439" s="65" t="s">
        <v>541</v>
      </c>
      <c r="H1439" s="65" t="s">
        <v>7</v>
      </c>
      <c r="I1439" s="65" t="s">
        <v>6</v>
      </c>
      <c r="J1439" s="65" t="s">
        <v>5</v>
      </c>
      <c r="K1439" s="65" t="s">
        <v>68</v>
      </c>
      <c r="L1439" s="64" t="s">
        <v>67</v>
      </c>
      <c r="M1439" s="58" t="s">
        <v>3</v>
      </c>
      <c r="N1439" s="58" t="s">
        <v>2</v>
      </c>
      <c r="O1439" s="58">
        <v>45</v>
      </c>
      <c r="P1439" s="58">
        <v>0</v>
      </c>
      <c r="Q1439" s="58">
        <v>45</v>
      </c>
      <c r="R1439" s="58">
        <v>0</v>
      </c>
      <c r="S1439" s="58">
        <v>0</v>
      </c>
      <c r="T1439" s="58">
        <v>0</v>
      </c>
      <c r="U1439" s="58">
        <v>29</v>
      </c>
      <c r="V1439" s="62"/>
      <c r="W1439" s="62"/>
      <c r="X1439" s="63">
        <f>IFERROR(1 -(Master[[#This Row],[Avg Garment Scans per Delivery]]/Master[[#This Row],[Garment Inventory]]), 0)</f>
        <v>0</v>
      </c>
      <c r="Y1439" s="62"/>
      <c r="Z1439" s="62"/>
      <c r="AA1439" s="53">
        <v>33.749230769230785</v>
      </c>
      <c r="AB1439" s="53">
        <v>55.930769230769251</v>
      </c>
      <c r="AC1439" s="53">
        <v>32.717785996055241</v>
      </c>
      <c r="AD1439" s="53">
        <v>59.613880670611451</v>
      </c>
      <c r="AE1439" s="53" t="str">
        <f>_xlfn.XLOOKUP(Master[[#This Row],[cu_id]],'[1]Customer Revenue'!$Q:$Q,'[1]Customer Revenue'!$K:$K, "None")</f>
        <v>None</v>
      </c>
      <c r="AF1439" s="53" t="str">
        <f>_xlfn.XLOOKUP(Master[[#This Row],[cu_id]],'[1]Customer Revenue'!$Q:$Q,'[1]Customer Revenue'!$L:$L, "None")</f>
        <v>None</v>
      </c>
      <c r="AG1439" s="53">
        <v>31.410656032930262</v>
      </c>
      <c r="AH1439" s="53">
        <v>61.014561358374053</v>
      </c>
      <c r="AI1439" s="53">
        <v>44.840000000000018</v>
      </c>
      <c r="AJ1439" s="53">
        <v>46.165833333333346</v>
      </c>
      <c r="AK1439" s="53" t="str">
        <f>_xlfn.XLOOKUP(Master[[#This Row],[cu_id]],'[1]Customer Revenue'!$Q:$Q,'[1]Customer Revenue'!$I:$I, "None")</f>
        <v>None</v>
      </c>
      <c r="AL1439" s="53">
        <v>46.212608695652158</v>
      </c>
      <c r="AM1439" s="61" t="s">
        <v>36</v>
      </c>
      <c r="AN1439" s="60" t="s">
        <v>36</v>
      </c>
      <c r="AO1439" s="60" t="s">
        <v>36</v>
      </c>
      <c r="AP1439" s="60" t="s">
        <v>36</v>
      </c>
      <c r="AQ1439" s="58" t="s">
        <v>0</v>
      </c>
      <c r="AR1439" s="58"/>
      <c r="AS1439" s="58"/>
      <c r="AT1439" s="52">
        <v>0</v>
      </c>
      <c r="AU1439" s="52">
        <f>IF(Master[[#This Row],[RSP StopTime override]] &lt;&gt; "",Master[[#This Row],[RSP StopTime override]],IF(Master[[#This Row],[Avg stop time helper]] &lt;&gt; 0, Master[[#This Row],[Avg stop time helper]],Average_Stop_Time))</f>
        <v>10</v>
      </c>
      <c r="AV1439" s="21">
        <v>10</v>
      </c>
      <c r="AW1439" s="20">
        <f>Master[[#This Row],[RSP StopTime override]]-Master[[#This Row],[Avg stop time helper]]</f>
        <v>10</v>
      </c>
    </row>
    <row r="1440" spans="1:49" x14ac:dyDescent="0.3">
      <c r="A1440" s="66" t="s">
        <v>5443</v>
      </c>
      <c r="B1440" s="58">
        <v>8040</v>
      </c>
      <c r="C1440" s="58" t="s">
        <v>35</v>
      </c>
      <c r="D1440" s="65">
        <v>803089</v>
      </c>
      <c r="E1440" s="65" t="s">
        <v>42</v>
      </c>
      <c r="F1440" s="65" t="s">
        <v>540</v>
      </c>
      <c r="G1440" s="65" t="s">
        <v>539</v>
      </c>
      <c r="H1440" s="65" t="s">
        <v>7</v>
      </c>
      <c r="I1440" s="65" t="s">
        <v>6</v>
      </c>
      <c r="J1440" s="65" t="s">
        <v>5</v>
      </c>
      <c r="K1440" s="65" t="s">
        <v>68</v>
      </c>
      <c r="L1440" s="64" t="s">
        <v>67</v>
      </c>
      <c r="M1440" s="58" t="s">
        <v>3</v>
      </c>
      <c r="N1440" s="58" t="s">
        <v>2</v>
      </c>
      <c r="O1440" s="58">
        <v>105</v>
      </c>
      <c r="P1440" s="58">
        <v>0</v>
      </c>
      <c r="Q1440" s="58">
        <v>105</v>
      </c>
      <c r="R1440" s="58">
        <v>0</v>
      </c>
      <c r="S1440" s="58">
        <v>0</v>
      </c>
      <c r="T1440" s="58">
        <v>0</v>
      </c>
      <c r="U1440" s="58">
        <v>39</v>
      </c>
      <c r="V1440" s="62">
        <v>88</v>
      </c>
      <c r="W1440" s="62">
        <v>4</v>
      </c>
      <c r="X1440" s="63">
        <f>IFERROR(1 -(Master[[#This Row],[Avg Garment Scans per Delivery]]/Master[[#This Row],[Garment Inventory]]), 0)</f>
        <v>0.95454545454545459</v>
      </c>
      <c r="Y1440" s="62">
        <v>4</v>
      </c>
      <c r="Z1440" s="62">
        <v>88</v>
      </c>
      <c r="AA1440" s="53">
        <v>42.281656804733721</v>
      </c>
      <c r="AB1440" s="53">
        <v>44.979881656804714</v>
      </c>
      <c r="AC1440" s="53">
        <v>42.760355029585796</v>
      </c>
      <c r="AD1440" s="53">
        <v>43.765798816568051</v>
      </c>
      <c r="AE1440" s="53" t="str">
        <f>_xlfn.XLOOKUP(Master[[#This Row],[cu_id]],'[1]Customer Revenue'!$Q:$Q,'[1]Customer Revenue'!$K:$K, "None")</f>
        <v>None</v>
      </c>
      <c r="AF1440" s="53" t="str">
        <f>_xlfn.XLOOKUP(Master[[#This Row],[cu_id]],'[1]Customer Revenue'!$Q:$Q,'[1]Customer Revenue'!$L:$L, "None")</f>
        <v>None</v>
      </c>
      <c r="AG1440" s="53">
        <v>43.053846153846166</v>
      </c>
      <c r="AH1440" s="53">
        <v>57.361538461538473</v>
      </c>
      <c r="AI1440" s="53">
        <v>43.630769230769218</v>
      </c>
      <c r="AJ1440" s="53">
        <v>43.263076923076923</v>
      </c>
      <c r="AK1440" s="53" t="str">
        <f>_xlfn.XLOOKUP(Master[[#This Row],[cu_id]],'[1]Customer Revenue'!$Q:$Q,'[1]Customer Revenue'!$I:$I, "None")</f>
        <v>None</v>
      </c>
      <c r="AL1440" s="53">
        <v>50.207692307692319</v>
      </c>
      <c r="AM1440" s="61">
        <v>0.33333333333333331</v>
      </c>
      <c r="AN1440" s="60">
        <v>0.70833333333333337</v>
      </c>
      <c r="AO1440" s="60" t="s">
        <v>36</v>
      </c>
      <c r="AP1440" s="60" t="s">
        <v>36</v>
      </c>
      <c r="AQ1440" s="58" t="s">
        <v>0</v>
      </c>
      <c r="AR1440" s="58"/>
      <c r="AS1440" s="58"/>
      <c r="AT1440" s="52">
        <v>0</v>
      </c>
      <c r="AU1440" s="52">
        <f>IF(Master[[#This Row],[RSP StopTime override]] &lt;&gt; "",Master[[#This Row],[RSP StopTime override]],IF(Master[[#This Row],[Avg stop time helper]] &lt;&gt; 0, Master[[#This Row],[Avg stop time helper]],Average_Stop_Time))</f>
        <v>7</v>
      </c>
      <c r="AV1440" s="21">
        <v>7</v>
      </c>
      <c r="AW1440" s="20">
        <f>Master[[#This Row],[RSP StopTime override]]-Master[[#This Row],[Avg stop time helper]]</f>
        <v>7</v>
      </c>
    </row>
    <row r="1441" spans="1:49" x14ac:dyDescent="0.3">
      <c r="A1441" s="66" t="s">
        <v>5444</v>
      </c>
      <c r="B1441" s="58">
        <v>8040</v>
      </c>
      <c r="C1441" s="58" t="s">
        <v>43</v>
      </c>
      <c r="D1441" s="65">
        <v>805734</v>
      </c>
      <c r="E1441" s="65" t="s">
        <v>42</v>
      </c>
      <c r="F1441" s="65" t="s">
        <v>538</v>
      </c>
      <c r="G1441" s="65" t="s">
        <v>537</v>
      </c>
      <c r="H1441" s="65" t="s">
        <v>536</v>
      </c>
      <c r="I1441" s="65" t="s">
        <v>6</v>
      </c>
      <c r="J1441" s="65" t="s">
        <v>5</v>
      </c>
      <c r="K1441" s="65" t="s">
        <v>68</v>
      </c>
      <c r="L1441" s="64" t="s">
        <v>124</v>
      </c>
      <c r="M1441" s="58" t="s">
        <v>123</v>
      </c>
      <c r="N1441" s="58" t="s">
        <v>2</v>
      </c>
      <c r="O1441" s="58">
        <v>50</v>
      </c>
      <c r="P1441" s="58">
        <v>0</v>
      </c>
      <c r="Q1441" s="58">
        <v>0</v>
      </c>
      <c r="R1441" s="58">
        <v>0</v>
      </c>
      <c r="S1441" s="58">
        <v>50</v>
      </c>
      <c r="T1441" s="58">
        <v>0</v>
      </c>
      <c r="U1441" s="58">
        <v>10</v>
      </c>
      <c r="V1441" s="62"/>
      <c r="W1441" s="62"/>
      <c r="X1441" s="63">
        <f>IFERROR(1 -(Master[[#This Row],[Avg Garment Scans per Delivery]]/Master[[#This Row],[Garment Inventory]]), 0)</f>
        <v>0</v>
      </c>
      <c r="Y1441" s="62"/>
      <c r="Z1441" s="62"/>
      <c r="AA1441" s="53">
        <v>19.87</v>
      </c>
      <c r="AB1441" s="53">
        <v>19.87</v>
      </c>
      <c r="AC1441" s="53">
        <v>13.912800000000001</v>
      </c>
      <c r="AD1441" s="53">
        <v>27.007200000000001</v>
      </c>
      <c r="AE1441" s="53" t="str">
        <f>_xlfn.XLOOKUP(Master[[#This Row],[cu_id]],'[1]Customer Revenue'!$Q:$Q,'[1]Customer Revenue'!$K:$K, "None")</f>
        <v>None</v>
      </c>
      <c r="AF1441" s="53" t="str">
        <f>_xlfn.XLOOKUP(Master[[#This Row],[cu_id]],'[1]Customer Revenue'!$Q:$Q,'[1]Customer Revenue'!$L:$L, "None")</f>
        <v>None</v>
      </c>
      <c r="AG1441" s="53">
        <v>19.87</v>
      </c>
      <c r="AH1441" s="53">
        <v>19.87</v>
      </c>
      <c r="AI1441" s="53">
        <v>19.87</v>
      </c>
      <c r="AJ1441" s="53">
        <v>20.46</v>
      </c>
      <c r="AK1441" s="53" t="str">
        <f>_xlfn.XLOOKUP(Master[[#This Row],[cu_id]],'[1]Customer Revenue'!$Q:$Q,'[1]Customer Revenue'!$I:$I, "None")</f>
        <v>None</v>
      </c>
      <c r="AL1441" s="53">
        <v>19.87</v>
      </c>
      <c r="AM1441" s="61">
        <v>0.33333333333333331</v>
      </c>
      <c r="AN1441" s="60">
        <v>0</v>
      </c>
      <c r="AO1441" s="60">
        <v>0.54166666666666663</v>
      </c>
      <c r="AP1441" s="60">
        <v>0.66666666666666663</v>
      </c>
      <c r="AQ1441" s="58" t="s">
        <v>0</v>
      </c>
      <c r="AR1441" s="58"/>
      <c r="AS1441" s="58"/>
      <c r="AT1441" s="52">
        <v>0</v>
      </c>
      <c r="AU1441" s="52">
        <f>IF(Master[[#This Row],[RSP StopTime override]] &lt;&gt; "",Master[[#This Row],[RSP StopTime override]],IF(Master[[#This Row],[Avg stop time helper]] &lt;&gt; 0, Master[[#This Row],[Avg stop time helper]],Average_Stop_Time))</f>
        <v>10</v>
      </c>
      <c r="AV1441" s="21">
        <v>10</v>
      </c>
      <c r="AW1441" s="20">
        <f>Master[[#This Row],[RSP StopTime override]]-Master[[#This Row],[Avg stop time helper]]</f>
        <v>10</v>
      </c>
    </row>
    <row r="1442" spans="1:49" x14ac:dyDescent="0.3">
      <c r="A1442" s="66" t="s">
        <v>3837</v>
      </c>
      <c r="B1442" s="58">
        <v>8040</v>
      </c>
      <c r="C1442" s="58" t="s">
        <v>24</v>
      </c>
      <c r="D1442" s="65">
        <v>99033</v>
      </c>
      <c r="E1442" s="65" t="s">
        <v>535</v>
      </c>
      <c r="F1442" s="65" t="s">
        <v>534</v>
      </c>
      <c r="G1442" s="65" t="s">
        <v>533</v>
      </c>
      <c r="H1442" s="65" t="s">
        <v>7</v>
      </c>
      <c r="I1442" s="65" t="s">
        <v>6</v>
      </c>
      <c r="J1442" s="65" t="s">
        <v>5</v>
      </c>
      <c r="K1442" s="65" t="s">
        <v>115</v>
      </c>
      <c r="L1442" s="64" t="s">
        <v>67</v>
      </c>
      <c r="M1442" s="58" t="s">
        <v>3</v>
      </c>
      <c r="N1442" s="58" t="s">
        <v>2</v>
      </c>
      <c r="O1442" s="58">
        <v>20</v>
      </c>
      <c r="P1442" s="58">
        <v>20</v>
      </c>
      <c r="Q1442" s="58">
        <v>0</v>
      </c>
      <c r="R1442" s="58">
        <v>0</v>
      </c>
      <c r="S1442" s="58">
        <v>0</v>
      </c>
      <c r="T1442" s="58">
        <v>0</v>
      </c>
      <c r="U1442" s="58">
        <v>30</v>
      </c>
      <c r="V1442" s="62"/>
      <c r="W1442" s="62"/>
      <c r="X1442" s="63">
        <f>IFERROR(1 -(Master[[#This Row],[Avg Garment Scans per Delivery]]/Master[[#This Row],[Garment Inventory]]), 0)</f>
        <v>0</v>
      </c>
      <c r="Y1442" s="62"/>
      <c r="Z1442" s="62"/>
      <c r="AA1442" s="53">
        <v>37.113775510204093</v>
      </c>
      <c r="AB1442" s="53">
        <v>48.46622448979592</v>
      </c>
      <c r="AC1442" s="53">
        <v>22.550744949494941</v>
      </c>
      <c r="AD1442" s="53">
        <v>30.683800505050506</v>
      </c>
      <c r="AE1442" s="53" t="str">
        <f>_xlfn.XLOOKUP(Master[[#This Row],[cu_id]],'[1]Customer Revenue'!$Q:$Q,'[1]Customer Revenue'!$K:$K, "None")</f>
        <v>None</v>
      </c>
      <c r="AF1442" s="53" t="str">
        <f>_xlfn.XLOOKUP(Master[[#This Row],[cu_id]],'[1]Customer Revenue'!$Q:$Q,'[1]Customer Revenue'!$L:$L, "None")</f>
        <v>None</v>
      </c>
      <c r="AG1442" s="53">
        <v>31.989780521261977</v>
      </c>
      <c r="AH1442" s="53">
        <v>53.590219478737993</v>
      </c>
      <c r="AI1442" s="53">
        <v>42.790000000000006</v>
      </c>
      <c r="AJ1442" s="53">
        <v>26.617272727272724</v>
      </c>
      <c r="AK1442" s="53" t="str">
        <f>_xlfn.XLOOKUP(Master[[#This Row],[cu_id]],'[1]Customer Revenue'!$Q:$Q,'[1]Customer Revenue'!$I:$I, "None")</f>
        <v>None</v>
      </c>
      <c r="AL1442" s="53">
        <v>42.789999999999985</v>
      </c>
      <c r="AM1442" s="61" t="s">
        <v>36</v>
      </c>
      <c r="AN1442" s="60" t="s">
        <v>36</v>
      </c>
      <c r="AO1442" s="60" t="s">
        <v>36</v>
      </c>
      <c r="AP1442" s="60" t="s">
        <v>36</v>
      </c>
      <c r="AQ1442" s="58" t="s">
        <v>0</v>
      </c>
      <c r="AR1442" s="58"/>
      <c r="AS1442" s="58"/>
      <c r="AT1442" s="52">
        <v>0</v>
      </c>
      <c r="AU1442" s="52">
        <f>IF(Master[[#This Row],[RSP StopTime override]] &lt;&gt; "",Master[[#This Row],[RSP StopTime override]],IF(Master[[#This Row],[Avg stop time helper]] &lt;&gt; 0, Master[[#This Row],[Avg stop time helper]],Average_Stop_Time))</f>
        <v>10</v>
      </c>
      <c r="AV1442" s="21">
        <v>10</v>
      </c>
      <c r="AW1442" s="20">
        <f>Master[[#This Row],[RSP StopTime override]]-Master[[#This Row],[Avg stop time helper]]</f>
        <v>10</v>
      </c>
    </row>
    <row r="1443" spans="1:49" x14ac:dyDescent="0.3">
      <c r="A1443" s="66" t="s">
        <v>5445</v>
      </c>
      <c r="B1443" s="58">
        <v>8040</v>
      </c>
      <c r="C1443" s="58" t="s">
        <v>43</v>
      </c>
      <c r="D1443" s="65">
        <v>808457</v>
      </c>
      <c r="E1443" s="65" t="s">
        <v>42</v>
      </c>
      <c r="F1443" s="65" t="s">
        <v>532</v>
      </c>
      <c r="G1443" s="65" t="s">
        <v>531</v>
      </c>
      <c r="H1443" s="65" t="s">
        <v>7</v>
      </c>
      <c r="I1443" s="65" t="s">
        <v>6</v>
      </c>
      <c r="J1443" s="65" t="s">
        <v>5</v>
      </c>
      <c r="K1443" s="65" t="s">
        <v>146</v>
      </c>
      <c r="L1443" s="64" t="s">
        <v>67</v>
      </c>
      <c r="M1443" s="58" t="s">
        <v>3</v>
      </c>
      <c r="N1443" s="58" t="s">
        <v>2</v>
      </c>
      <c r="O1443" s="58">
        <v>115</v>
      </c>
      <c r="P1443" s="58">
        <v>0</v>
      </c>
      <c r="Q1443" s="58">
        <v>0</v>
      </c>
      <c r="R1443" s="58">
        <v>0</v>
      </c>
      <c r="S1443" s="58">
        <v>115</v>
      </c>
      <c r="T1443" s="58">
        <v>0</v>
      </c>
      <c r="U1443" s="58">
        <v>41</v>
      </c>
      <c r="V1443" s="62">
        <v>286</v>
      </c>
      <c r="W1443" s="62">
        <v>4</v>
      </c>
      <c r="X1443" s="63">
        <f>IFERROR(1 -(Master[[#This Row],[Avg Garment Scans per Delivery]]/Master[[#This Row],[Garment Inventory]]), 0)</f>
        <v>0.98601398601398604</v>
      </c>
      <c r="Y1443" s="62">
        <v>8</v>
      </c>
      <c r="Z1443" s="62">
        <v>104</v>
      </c>
      <c r="AA1443" s="53">
        <v>102.06518053375194</v>
      </c>
      <c r="AB1443" s="53">
        <v>157.48558869701722</v>
      </c>
      <c r="AC1443" s="53">
        <v>145.03526627218932</v>
      </c>
      <c r="AD1443" s="53">
        <v>146.15242603550294</v>
      </c>
      <c r="AE1443" s="53" t="str">
        <f>_xlfn.XLOOKUP(Master[[#This Row],[cu_id]],'[1]Customer Revenue'!$Q:$Q,'[1]Customer Revenue'!$K:$K, "None")</f>
        <v>None</v>
      </c>
      <c r="AF1443" s="53" t="str">
        <f>_xlfn.XLOOKUP(Master[[#This Row],[cu_id]],'[1]Customer Revenue'!$Q:$Q,'[1]Customer Revenue'!$L:$L, "None")</f>
        <v>None</v>
      </c>
      <c r="AG1443" s="53">
        <v>105.90630730611701</v>
      </c>
      <c r="AH1443" s="53">
        <v>148.35591491610515</v>
      </c>
      <c r="AI1443" s="53">
        <v>129.77538461538458</v>
      </c>
      <c r="AJ1443" s="53">
        <v>145.59384615384613</v>
      </c>
      <c r="AK1443" s="53" t="str">
        <f>_xlfn.XLOOKUP(Master[[#This Row],[cu_id]],'[1]Customer Revenue'!$Q:$Q,'[1]Customer Revenue'!$I:$I, "None")</f>
        <v>None</v>
      </c>
      <c r="AL1443" s="53">
        <v>127.13111111111108</v>
      </c>
      <c r="AM1443" s="61">
        <v>0.33333333333333331</v>
      </c>
      <c r="AN1443" s="60">
        <v>0.70833333333333337</v>
      </c>
      <c r="AO1443" s="60" t="s">
        <v>36</v>
      </c>
      <c r="AP1443" s="60" t="s">
        <v>36</v>
      </c>
      <c r="AQ1443" s="58" t="s">
        <v>308</v>
      </c>
      <c r="AR1443" s="58" t="s">
        <v>530</v>
      </c>
      <c r="AS1443" s="58"/>
      <c r="AT1443" s="52">
        <v>0</v>
      </c>
      <c r="AU1443" s="52">
        <f>IF(Master[[#This Row],[RSP StopTime override]] &lt;&gt; "",Master[[#This Row],[RSP StopTime override]],IF(Master[[#This Row],[Avg stop time helper]] &lt;&gt; 0, Master[[#This Row],[Avg stop time helper]],Average_Stop_Time))</f>
        <v>25</v>
      </c>
      <c r="AV1443" s="21">
        <v>25</v>
      </c>
      <c r="AW1443" s="20">
        <f>Master[[#This Row],[RSP StopTime override]]-Master[[#This Row],[Avg stop time helper]]</f>
        <v>25</v>
      </c>
    </row>
    <row r="1444" spans="1:49" x14ac:dyDescent="0.3">
      <c r="A1444" s="66" t="s">
        <v>5446</v>
      </c>
      <c r="B1444" s="58">
        <v>8040</v>
      </c>
      <c r="C1444" s="58" t="s">
        <v>43</v>
      </c>
      <c r="D1444" s="65">
        <v>802590</v>
      </c>
      <c r="E1444" s="65" t="s">
        <v>42</v>
      </c>
      <c r="F1444" s="65" t="s">
        <v>529</v>
      </c>
      <c r="G1444" s="65" t="s">
        <v>528</v>
      </c>
      <c r="H1444" s="65" t="s">
        <v>7</v>
      </c>
      <c r="I1444" s="65" t="s">
        <v>6</v>
      </c>
      <c r="J1444" s="65" t="s">
        <v>5</v>
      </c>
      <c r="K1444" s="65" t="s">
        <v>494</v>
      </c>
      <c r="L1444" s="64" t="s">
        <v>67</v>
      </c>
      <c r="M1444" s="58" t="s">
        <v>3</v>
      </c>
      <c r="N1444" s="58" t="s">
        <v>2</v>
      </c>
      <c r="O1444" s="58">
        <v>70</v>
      </c>
      <c r="P1444" s="58">
        <v>0</v>
      </c>
      <c r="Q1444" s="58">
        <v>0</v>
      </c>
      <c r="R1444" s="58">
        <v>0</v>
      </c>
      <c r="S1444" s="58">
        <v>70</v>
      </c>
      <c r="T1444" s="58">
        <v>0</v>
      </c>
      <c r="U1444" s="58">
        <v>38</v>
      </c>
      <c r="V1444" s="62">
        <v>5</v>
      </c>
      <c r="W1444" s="62">
        <v>0</v>
      </c>
      <c r="X1444" s="63">
        <f>IFERROR(1 -(Master[[#This Row],[Avg Garment Scans per Delivery]]/Master[[#This Row],[Garment Inventory]]), 0)</f>
        <v>1</v>
      </c>
      <c r="Y1444" s="62">
        <v>2</v>
      </c>
      <c r="Z1444" s="62">
        <v>7</v>
      </c>
      <c r="AA1444" s="53">
        <v>302.03062130177511</v>
      </c>
      <c r="AB1444" s="53">
        <v>448.63937869822485</v>
      </c>
      <c r="AC1444" s="53">
        <v>304.67692307692306</v>
      </c>
      <c r="AD1444" s="53">
        <v>354.04307692307685</v>
      </c>
      <c r="AE1444" s="53" t="str">
        <f>_xlfn.XLOOKUP(Master[[#This Row],[cu_id]],'[1]Customer Revenue'!$Q:$Q,'[1]Customer Revenue'!$K:$K, "None")</f>
        <v>None</v>
      </c>
      <c r="AF1444" s="53" t="str">
        <f>_xlfn.XLOOKUP(Master[[#This Row],[cu_id]],'[1]Customer Revenue'!$Q:$Q,'[1]Customer Revenue'!$L:$L, "None")</f>
        <v>None</v>
      </c>
      <c r="AG1444" s="53">
        <v>348.47121893491129</v>
      </c>
      <c r="AH1444" s="53">
        <v>578.01678106508871</v>
      </c>
      <c r="AI1444" s="53">
        <v>375.33499999999998</v>
      </c>
      <c r="AJ1444" s="53">
        <v>329.35999999999996</v>
      </c>
      <c r="AK1444" s="53" t="str">
        <f>_xlfn.XLOOKUP(Master[[#This Row],[cu_id]],'[1]Customer Revenue'!$Q:$Q,'[1]Customer Revenue'!$I:$I, "None")</f>
        <v>None</v>
      </c>
      <c r="AL1444" s="53">
        <v>463.24400000000003</v>
      </c>
      <c r="AM1444" s="61">
        <v>0.35416666666666669</v>
      </c>
      <c r="AN1444" s="60">
        <v>0.72916666666666663</v>
      </c>
      <c r="AO1444" s="60" t="s">
        <v>36</v>
      </c>
      <c r="AP1444" s="60" t="s">
        <v>36</v>
      </c>
      <c r="AQ1444" s="58" t="s">
        <v>0</v>
      </c>
      <c r="AR1444" s="58"/>
      <c r="AS1444" s="58"/>
      <c r="AT1444" s="52">
        <v>0</v>
      </c>
      <c r="AU1444" s="52">
        <f>IF(Master[[#This Row],[RSP StopTime override]] &lt;&gt; "",Master[[#This Row],[RSP StopTime override]],IF(Master[[#This Row],[Avg stop time helper]] &lt;&gt; 0, Master[[#This Row],[Avg stop time helper]],Average_Stop_Time))</f>
        <v>30</v>
      </c>
      <c r="AV1444" s="21">
        <v>30</v>
      </c>
      <c r="AW1444" s="20">
        <f>Master[[#This Row],[RSP StopTime override]]-Master[[#This Row],[Avg stop time helper]]</f>
        <v>30</v>
      </c>
    </row>
    <row r="1445" spans="1:49" x14ac:dyDescent="0.3">
      <c r="A1445" s="66" t="s">
        <v>5447</v>
      </c>
      <c r="B1445" s="58">
        <v>8040</v>
      </c>
      <c r="C1445" s="58" t="s">
        <v>10</v>
      </c>
      <c r="D1445" s="65">
        <v>807803</v>
      </c>
      <c r="E1445" s="65" t="s">
        <v>42</v>
      </c>
      <c r="F1445" s="65" t="s">
        <v>527</v>
      </c>
      <c r="G1445" s="65" t="s">
        <v>526</v>
      </c>
      <c r="H1445" s="65" t="s">
        <v>7</v>
      </c>
      <c r="I1445" s="65" t="s">
        <v>161</v>
      </c>
      <c r="J1445" s="65" t="s">
        <v>5</v>
      </c>
      <c r="K1445" s="65" t="s">
        <v>146</v>
      </c>
      <c r="L1445" s="64" t="s">
        <v>91</v>
      </c>
      <c r="M1445" s="58" t="s">
        <v>90</v>
      </c>
      <c r="N1445" s="58" t="s">
        <v>2</v>
      </c>
      <c r="O1445" s="58">
        <v>34</v>
      </c>
      <c r="P1445" s="58">
        <v>0</v>
      </c>
      <c r="Q1445" s="58">
        <v>0</v>
      </c>
      <c r="R1445" s="58">
        <v>42</v>
      </c>
      <c r="S1445" s="58">
        <v>0</v>
      </c>
      <c r="T1445" s="58">
        <v>0</v>
      </c>
      <c r="U1445" s="58">
        <v>20</v>
      </c>
      <c r="V1445" s="62"/>
      <c r="W1445" s="62"/>
      <c r="X1445" s="63">
        <f>IFERROR(1 -(Master[[#This Row],[Avg Garment Scans per Delivery]]/Master[[#This Row],[Garment Inventory]]), 0)</f>
        <v>0</v>
      </c>
      <c r="Y1445" s="62"/>
      <c r="Z1445" s="62"/>
      <c r="AA1445" s="53">
        <v>24.927959183673472</v>
      </c>
      <c r="AB1445" s="53">
        <v>26.674897959183674</v>
      </c>
      <c r="AC1445" s="53">
        <v>26.604444444444439</v>
      </c>
      <c r="AD1445" s="53">
        <v>28.128888888888888</v>
      </c>
      <c r="AE1445" s="53" t="str">
        <f>_xlfn.XLOOKUP(Master[[#This Row],[cu_id]],'[1]Customer Revenue'!$Q:$Q,'[1]Customer Revenue'!$K:$K, "None")</f>
        <v>None</v>
      </c>
      <c r="AF1445" s="53" t="str">
        <f>_xlfn.XLOOKUP(Master[[#This Row],[cu_id]],'[1]Customer Revenue'!$Q:$Q,'[1]Customer Revenue'!$L:$L, "None")</f>
        <v>None</v>
      </c>
      <c r="AG1445" s="53">
        <v>24.96207100591716</v>
      </c>
      <c r="AH1445" s="53">
        <v>26.07639053254438</v>
      </c>
      <c r="AI1445" s="53">
        <v>25.801428571428573</v>
      </c>
      <c r="AJ1445" s="53">
        <v>27.366666666666664</v>
      </c>
      <c r="AK1445" s="53" t="str">
        <f>_xlfn.XLOOKUP(Master[[#This Row],[cu_id]],'[1]Customer Revenue'!$Q:$Q,'[1]Customer Revenue'!$I:$I, "None")</f>
        <v>None</v>
      </c>
      <c r="AL1445" s="53">
        <v>25.51923076923077</v>
      </c>
      <c r="AM1445" s="61">
        <v>0.35416666666666669</v>
      </c>
      <c r="AN1445" s="60">
        <v>0.64583333333333337</v>
      </c>
      <c r="AO1445" s="60" t="s">
        <v>36</v>
      </c>
      <c r="AP1445" s="60" t="s">
        <v>36</v>
      </c>
      <c r="AQ1445" s="58" t="s">
        <v>0</v>
      </c>
      <c r="AR1445" s="58"/>
      <c r="AS1445" s="58"/>
      <c r="AT1445" s="52">
        <v>0</v>
      </c>
      <c r="AU1445" s="52">
        <f>IF(Master[[#This Row],[RSP StopTime override]] &lt;&gt; "",Master[[#This Row],[RSP StopTime override]],IF(Master[[#This Row],[Avg stop time helper]] &lt;&gt; 0, Master[[#This Row],[Avg stop time helper]],Average_Stop_Time))</f>
        <v>15</v>
      </c>
      <c r="AV1445" s="21">
        <v>15</v>
      </c>
      <c r="AW1445" s="20">
        <f>Master[[#This Row],[RSP StopTime override]]-Master[[#This Row],[Avg stop time helper]]</f>
        <v>15</v>
      </c>
    </row>
    <row r="1446" spans="1:49" x14ac:dyDescent="0.3">
      <c r="A1446" s="66" t="s">
        <v>5448</v>
      </c>
      <c r="B1446" s="58">
        <v>8040</v>
      </c>
      <c r="C1446" s="58" t="s">
        <v>24</v>
      </c>
      <c r="D1446" s="65">
        <v>805200</v>
      </c>
      <c r="E1446" s="65" t="s">
        <v>42</v>
      </c>
      <c r="F1446" s="65" t="s">
        <v>525</v>
      </c>
      <c r="G1446" s="65" t="s">
        <v>524</v>
      </c>
      <c r="H1446" s="65" t="s">
        <v>7</v>
      </c>
      <c r="I1446" s="65" t="s">
        <v>6</v>
      </c>
      <c r="J1446" s="65" t="s">
        <v>5</v>
      </c>
      <c r="K1446" s="65" t="s">
        <v>68</v>
      </c>
      <c r="L1446" s="64" t="s">
        <v>194</v>
      </c>
      <c r="M1446" s="58" t="s">
        <v>193</v>
      </c>
      <c r="N1446" s="58" t="s">
        <v>2</v>
      </c>
      <c r="O1446" s="58">
        <v>121</v>
      </c>
      <c r="P1446" s="58">
        <v>121</v>
      </c>
      <c r="Q1446" s="58">
        <v>0</v>
      </c>
      <c r="R1446" s="58">
        <v>0</v>
      </c>
      <c r="S1446" s="58">
        <v>0</v>
      </c>
      <c r="T1446" s="58">
        <v>0</v>
      </c>
      <c r="U1446" s="58">
        <v>10</v>
      </c>
      <c r="V1446" s="62"/>
      <c r="W1446" s="62"/>
      <c r="X1446" s="63">
        <f>IFERROR(1 -(Master[[#This Row],[Avg Garment Scans per Delivery]]/Master[[#This Row],[Garment Inventory]]), 0)</f>
        <v>0</v>
      </c>
      <c r="Y1446" s="62"/>
      <c r="Z1446" s="62"/>
      <c r="AA1446" s="53">
        <v>53.2</v>
      </c>
      <c r="AB1446" s="53">
        <v>53.2</v>
      </c>
      <c r="AC1446" s="53">
        <v>25.768888888888888</v>
      </c>
      <c r="AD1446" s="53">
        <v>26.817777777777778</v>
      </c>
      <c r="AE1446" s="53" t="str">
        <f>_xlfn.XLOOKUP(Master[[#This Row],[cu_id]],'[1]Customer Revenue'!$Q:$Q,'[1]Customer Revenue'!$K:$K, "None")</f>
        <v>None</v>
      </c>
      <c r="AF1446" s="53" t="str">
        <f>_xlfn.XLOOKUP(Master[[#This Row],[cu_id]],'[1]Customer Revenue'!$Q:$Q,'[1]Customer Revenue'!$L:$L, "None")</f>
        <v>None</v>
      </c>
      <c r="AG1446" s="53">
        <v>34.206249999999997</v>
      </c>
      <c r="AH1446" s="53">
        <v>64.393749999999997</v>
      </c>
      <c r="AI1446" s="53">
        <v>53.2</v>
      </c>
      <c r="AJ1446" s="53">
        <v>26.293333333333333</v>
      </c>
      <c r="AK1446" s="53" t="str">
        <f>_xlfn.XLOOKUP(Master[[#This Row],[cu_id]],'[1]Customer Revenue'!$Q:$Q,'[1]Customer Revenue'!$I:$I, "None")</f>
        <v>None</v>
      </c>
      <c r="AL1446" s="53">
        <v>49.3</v>
      </c>
      <c r="AM1446" s="61">
        <v>0.375</v>
      </c>
      <c r="AN1446" s="60">
        <v>0.64583333333333337</v>
      </c>
      <c r="AO1446" s="60" t="s">
        <v>36</v>
      </c>
      <c r="AP1446" s="60" t="s">
        <v>36</v>
      </c>
      <c r="AQ1446" s="58" t="s">
        <v>133</v>
      </c>
      <c r="AR1446" s="58"/>
      <c r="AS1446" s="58"/>
      <c r="AT1446" s="52">
        <v>0</v>
      </c>
      <c r="AU1446" s="52">
        <f>IF(Master[[#This Row],[RSP StopTime override]] &lt;&gt; "",Master[[#This Row],[RSP StopTime override]],IF(Master[[#This Row],[Avg stop time helper]] &lt;&gt; 0, Master[[#This Row],[Avg stop time helper]],Average_Stop_Time))</f>
        <v>15</v>
      </c>
      <c r="AV1446" s="21">
        <v>15</v>
      </c>
      <c r="AW1446" s="20">
        <f>Master[[#This Row],[RSP StopTime override]]-Master[[#This Row],[Avg stop time helper]]</f>
        <v>15</v>
      </c>
    </row>
    <row r="1447" spans="1:49" x14ac:dyDescent="0.3">
      <c r="A1447" s="66" t="s">
        <v>5449</v>
      </c>
      <c r="B1447" s="58">
        <v>8040</v>
      </c>
      <c r="C1447" s="58" t="s">
        <v>35</v>
      </c>
      <c r="D1447" s="65">
        <v>882731</v>
      </c>
      <c r="E1447" s="65" t="s">
        <v>523</v>
      </c>
      <c r="F1447" s="65" t="s">
        <v>522</v>
      </c>
      <c r="G1447" s="65" t="s">
        <v>521</v>
      </c>
      <c r="H1447" s="65" t="s">
        <v>7</v>
      </c>
      <c r="I1447" s="65" t="s">
        <v>6</v>
      </c>
      <c r="J1447" s="65" t="s">
        <v>5</v>
      </c>
      <c r="K1447" s="65" t="s">
        <v>68</v>
      </c>
      <c r="L1447" s="64" t="s">
        <v>141</v>
      </c>
      <c r="M1447" s="58" t="s">
        <v>140</v>
      </c>
      <c r="N1447" s="58" t="s">
        <v>2</v>
      </c>
      <c r="O1447" s="58">
        <v>130</v>
      </c>
      <c r="P1447" s="58">
        <v>0</v>
      </c>
      <c r="Q1447" s="58">
        <v>130</v>
      </c>
      <c r="R1447" s="58">
        <v>0</v>
      </c>
      <c r="S1447" s="58">
        <v>0</v>
      </c>
      <c r="T1447" s="58">
        <v>0</v>
      </c>
      <c r="U1447" s="58">
        <v>10</v>
      </c>
      <c r="V1447" s="62"/>
      <c r="W1447" s="62"/>
      <c r="X1447" s="63">
        <f>IFERROR(1 -(Master[[#This Row],[Avg Garment Scans per Delivery]]/Master[[#This Row],[Garment Inventory]]), 0)</f>
        <v>0</v>
      </c>
      <c r="Y1447" s="62"/>
      <c r="Z1447" s="62"/>
      <c r="AA1447" s="53">
        <v>40.619999999999997</v>
      </c>
      <c r="AB1447" s="53">
        <v>40.619999999999997</v>
      </c>
      <c r="AC1447" s="53">
        <v>40.619999999999997</v>
      </c>
      <c r="AD1447" s="53">
        <v>40.619999999999997</v>
      </c>
      <c r="AE1447" s="53" t="str">
        <f>_xlfn.XLOOKUP(Master[[#This Row],[cu_id]],'[1]Customer Revenue'!$Q:$Q,'[1]Customer Revenue'!$K:$K, "None")</f>
        <v>None</v>
      </c>
      <c r="AF1447" s="53" t="str">
        <f>_xlfn.XLOOKUP(Master[[#This Row],[cu_id]],'[1]Customer Revenue'!$Q:$Q,'[1]Customer Revenue'!$L:$L, "None")</f>
        <v>None</v>
      </c>
      <c r="AG1447" s="53">
        <v>31.734375</v>
      </c>
      <c r="AH1447" s="53">
        <v>49.505624999999995</v>
      </c>
      <c r="AI1447" s="53">
        <v>40.619999999999997</v>
      </c>
      <c r="AJ1447" s="53">
        <v>40.619999999999997</v>
      </c>
      <c r="AK1447" s="53" t="str">
        <f>_xlfn.XLOOKUP(Master[[#This Row],[cu_id]],'[1]Customer Revenue'!$Q:$Q,'[1]Customer Revenue'!$I:$I, "None")</f>
        <v>None</v>
      </c>
      <c r="AL1447" s="53">
        <v>40.619999999999997</v>
      </c>
      <c r="AM1447" s="61">
        <v>0.33333333333333331</v>
      </c>
      <c r="AN1447" s="60">
        <v>0.70833333333333337</v>
      </c>
      <c r="AO1447" s="60" t="s">
        <v>36</v>
      </c>
      <c r="AP1447" s="60" t="s">
        <v>36</v>
      </c>
      <c r="AQ1447" s="58" t="s">
        <v>0</v>
      </c>
      <c r="AR1447" s="58"/>
      <c r="AS1447" s="58"/>
      <c r="AT1447" s="52">
        <v>0</v>
      </c>
      <c r="AU1447" s="52">
        <f>IF(Master[[#This Row],[RSP StopTime override]] &lt;&gt; "",Master[[#This Row],[RSP StopTime override]],IF(Master[[#This Row],[Avg stop time helper]] &lt;&gt; 0, Master[[#This Row],[Avg stop time helper]],Average_Stop_Time))</f>
        <v>10</v>
      </c>
      <c r="AV1447" s="21">
        <v>10</v>
      </c>
      <c r="AW1447" s="20">
        <f>Master[[#This Row],[RSP StopTime override]]-Master[[#This Row],[Avg stop time helper]]</f>
        <v>10</v>
      </c>
    </row>
    <row r="1448" spans="1:49" x14ac:dyDescent="0.3">
      <c r="A1448" s="66" t="s">
        <v>4110</v>
      </c>
      <c r="B1448" s="58">
        <v>8040</v>
      </c>
      <c r="C1448" s="58" t="s">
        <v>10</v>
      </c>
      <c r="D1448" s="65">
        <v>883041</v>
      </c>
      <c r="E1448" s="65" t="s">
        <v>520</v>
      </c>
      <c r="F1448" s="65" t="s">
        <v>516</v>
      </c>
      <c r="G1448" s="65" t="s">
        <v>519</v>
      </c>
      <c r="H1448" s="65" t="s">
        <v>518</v>
      </c>
      <c r="I1448" s="65" t="s">
        <v>6</v>
      </c>
      <c r="J1448" s="65" t="s">
        <v>5</v>
      </c>
      <c r="K1448" s="65" t="s">
        <v>146</v>
      </c>
      <c r="L1448" s="64" t="s">
        <v>91</v>
      </c>
      <c r="M1448" s="58" t="s">
        <v>90</v>
      </c>
      <c r="N1448" s="58" t="s">
        <v>2</v>
      </c>
      <c r="O1448" s="58">
        <v>35</v>
      </c>
      <c r="P1448" s="58">
        <v>0</v>
      </c>
      <c r="Q1448" s="58">
        <v>0</v>
      </c>
      <c r="R1448" s="58">
        <v>35</v>
      </c>
      <c r="S1448" s="58">
        <v>0</v>
      </c>
      <c r="T1448" s="58">
        <v>0</v>
      </c>
      <c r="U1448" s="58">
        <v>29</v>
      </c>
      <c r="V1448" s="62"/>
      <c r="W1448" s="62"/>
      <c r="X1448" s="63">
        <f>IFERROR(1 -(Master[[#This Row],[Avg Garment Scans per Delivery]]/Master[[#This Row],[Garment Inventory]]), 0)</f>
        <v>0</v>
      </c>
      <c r="Y1448" s="62"/>
      <c r="Z1448" s="62"/>
      <c r="AA1448" s="53">
        <v>27.423749999999995</v>
      </c>
      <c r="AB1448" s="53">
        <v>43.286249999999995</v>
      </c>
      <c r="AC1448" s="53">
        <v>27.55749999999999</v>
      </c>
      <c r="AD1448" s="53">
        <v>52.672499999999999</v>
      </c>
      <c r="AE1448" s="53" t="str">
        <f>_xlfn.XLOOKUP(Master[[#This Row],[cu_id]],'[1]Customer Revenue'!$Q:$Q,'[1]Customer Revenue'!$K:$K, "None")</f>
        <v>None</v>
      </c>
      <c r="AF1448" s="53" t="str">
        <f>_xlfn.XLOOKUP(Master[[#This Row],[cu_id]],'[1]Customer Revenue'!$Q:$Q,'[1]Customer Revenue'!$L:$L, "None")</f>
        <v>None</v>
      </c>
      <c r="AG1448" s="53">
        <v>21.522142857142853</v>
      </c>
      <c r="AH1448" s="53">
        <v>40.607857142857142</v>
      </c>
      <c r="AI1448" s="53">
        <v>35.354999999999997</v>
      </c>
      <c r="AJ1448" s="53">
        <v>40.114999999999995</v>
      </c>
      <c r="AK1448" s="53" t="str">
        <f>_xlfn.XLOOKUP(Master[[#This Row],[cu_id]],'[1]Customer Revenue'!$Q:$Q,'[1]Customer Revenue'!$I:$I, "None")</f>
        <v>None</v>
      </c>
      <c r="AL1448" s="53">
        <v>31.064999999999998</v>
      </c>
      <c r="AM1448" s="61" t="s">
        <v>36</v>
      </c>
      <c r="AN1448" s="60" t="s">
        <v>36</v>
      </c>
      <c r="AO1448" s="60" t="s">
        <v>36</v>
      </c>
      <c r="AP1448" s="60" t="s">
        <v>36</v>
      </c>
      <c r="AQ1448" s="58" t="s">
        <v>0</v>
      </c>
      <c r="AR1448" s="58"/>
      <c r="AS1448" s="58"/>
      <c r="AT1448" s="52">
        <v>0</v>
      </c>
      <c r="AU1448" s="52">
        <f>IF(Master[[#This Row],[RSP StopTime override]] &lt;&gt; "",Master[[#This Row],[RSP StopTime override]],IF(Master[[#This Row],[Avg stop time helper]] &lt;&gt; 0, Master[[#This Row],[Avg stop time helper]],Average_Stop_Time))</f>
        <v>10</v>
      </c>
      <c r="AV1448" s="21">
        <v>10</v>
      </c>
      <c r="AW1448" s="20">
        <f>Master[[#This Row],[RSP StopTime override]]-Master[[#This Row],[Avg stop time helper]]</f>
        <v>10</v>
      </c>
    </row>
    <row r="1449" spans="1:49" x14ac:dyDescent="0.3">
      <c r="A1449" s="66" t="s">
        <v>5450</v>
      </c>
      <c r="B1449" s="58">
        <v>8040</v>
      </c>
      <c r="C1449" s="58" t="s">
        <v>43</v>
      </c>
      <c r="D1449" s="65">
        <v>883041</v>
      </c>
      <c r="E1449" s="65" t="s">
        <v>517</v>
      </c>
      <c r="F1449" s="65" t="s">
        <v>516</v>
      </c>
      <c r="G1449" s="65" t="s">
        <v>515</v>
      </c>
      <c r="H1449" s="65" t="s">
        <v>514</v>
      </c>
      <c r="I1449" s="65" t="s">
        <v>161</v>
      </c>
      <c r="J1449" s="65" t="s">
        <v>5</v>
      </c>
      <c r="K1449" s="65" t="s">
        <v>146</v>
      </c>
      <c r="L1449" s="64" t="s">
        <v>91</v>
      </c>
      <c r="M1449" s="58" t="s">
        <v>90</v>
      </c>
      <c r="N1449" s="58" t="s">
        <v>2</v>
      </c>
      <c r="O1449" s="58">
        <v>19</v>
      </c>
      <c r="P1449" s="58">
        <v>0</v>
      </c>
      <c r="Q1449" s="58">
        <v>0</v>
      </c>
      <c r="R1449" s="58">
        <v>0</v>
      </c>
      <c r="S1449" s="58">
        <v>19</v>
      </c>
      <c r="T1449" s="58">
        <v>0</v>
      </c>
      <c r="U1449" s="58">
        <v>31</v>
      </c>
      <c r="V1449" s="62"/>
      <c r="W1449" s="62"/>
      <c r="X1449" s="63">
        <f>IFERROR(1 -(Master[[#This Row],[Avg Garment Scans per Delivery]]/Master[[#This Row],[Garment Inventory]]), 0)</f>
        <v>0</v>
      </c>
      <c r="Y1449" s="62"/>
      <c r="Z1449" s="62"/>
      <c r="AA1449" s="53">
        <v>33.054955357142859</v>
      </c>
      <c r="AB1449" s="53">
        <v>52.239330357142862</v>
      </c>
      <c r="AC1449" s="53">
        <v>45.252222222222215</v>
      </c>
      <c r="AD1449" s="53">
        <v>46.301111111111112</v>
      </c>
      <c r="AE1449" s="53" t="str">
        <f>_xlfn.XLOOKUP(Master[[#This Row],[cu_id]],'[1]Customer Revenue'!$Q:$Q,'[1]Customer Revenue'!$K:$K, "None")</f>
        <v>None</v>
      </c>
      <c r="AF1449" s="53" t="str">
        <f>_xlfn.XLOOKUP(Master[[#This Row],[cu_id]],'[1]Customer Revenue'!$Q:$Q,'[1]Customer Revenue'!$L:$L, "None")</f>
        <v>None</v>
      </c>
      <c r="AG1449" s="53">
        <v>23.660439961108423</v>
      </c>
      <c r="AH1449" s="53">
        <v>55.187795333009234</v>
      </c>
      <c r="AI1449" s="53">
        <v>42.64714285714286</v>
      </c>
      <c r="AJ1449" s="53">
        <v>45.776666666666664</v>
      </c>
      <c r="AK1449" s="53" t="str">
        <f>_xlfn.XLOOKUP(Master[[#This Row],[cu_id]],'[1]Customer Revenue'!$Q:$Q,'[1]Customer Revenue'!$I:$I, "None")</f>
        <v>None</v>
      </c>
      <c r="AL1449" s="53">
        <v>39.424117647058829</v>
      </c>
      <c r="AM1449" s="61" t="s">
        <v>36</v>
      </c>
      <c r="AN1449" s="60" t="s">
        <v>36</v>
      </c>
      <c r="AO1449" s="60" t="s">
        <v>36</v>
      </c>
      <c r="AP1449" s="60" t="s">
        <v>36</v>
      </c>
      <c r="AQ1449" s="58" t="s">
        <v>0</v>
      </c>
      <c r="AR1449" s="58"/>
      <c r="AS1449" s="58"/>
      <c r="AT1449" s="52">
        <v>0</v>
      </c>
      <c r="AU1449" s="52">
        <f>IF(Master[[#This Row],[RSP StopTime override]] &lt;&gt; "",Master[[#This Row],[RSP StopTime override]],IF(Master[[#This Row],[Avg stop time helper]] &lt;&gt; 0, Master[[#This Row],[Avg stop time helper]],Average_Stop_Time))</f>
        <v>10</v>
      </c>
      <c r="AV1449" s="21">
        <v>10</v>
      </c>
      <c r="AW1449" s="20">
        <f>Master[[#This Row],[RSP StopTime override]]-Master[[#This Row],[Avg stop time helper]]</f>
        <v>10</v>
      </c>
    </row>
    <row r="1450" spans="1:49" x14ac:dyDescent="0.3">
      <c r="A1450" s="66" t="s">
        <v>5451</v>
      </c>
      <c r="B1450" s="58">
        <v>8040</v>
      </c>
      <c r="C1450" s="58" t="s">
        <v>43</v>
      </c>
      <c r="D1450" s="65">
        <v>805630</v>
      </c>
      <c r="E1450" s="65" t="s">
        <v>42</v>
      </c>
      <c r="F1450" s="65" t="s">
        <v>513</v>
      </c>
      <c r="G1450" s="65" t="s">
        <v>512</v>
      </c>
      <c r="H1450" s="65" t="s">
        <v>7</v>
      </c>
      <c r="I1450" s="65" t="s">
        <v>161</v>
      </c>
      <c r="J1450" s="65" t="s">
        <v>5</v>
      </c>
      <c r="K1450" s="65" t="s">
        <v>146</v>
      </c>
      <c r="L1450" s="64" t="s">
        <v>91</v>
      </c>
      <c r="M1450" s="58" t="s">
        <v>90</v>
      </c>
      <c r="N1450" s="58" t="s">
        <v>2</v>
      </c>
      <c r="O1450" s="58">
        <v>22</v>
      </c>
      <c r="P1450" s="58">
        <v>0</v>
      </c>
      <c r="Q1450" s="58">
        <v>0</v>
      </c>
      <c r="R1450" s="58">
        <v>0</v>
      </c>
      <c r="S1450" s="58">
        <v>22</v>
      </c>
      <c r="T1450" s="58">
        <v>0</v>
      </c>
      <c r="U1450" s="58">
        <v>20</v>
      </c>
      <c r="V1450" s="62">
        <v>0</v>
      </c>
      <c r="W1450" s="62">
        <v>0</v>
      </c>
      <c r="X1450" s="63">
        <f>IFERROR(1 -(Master[[#This Row],[Avg Garment Scans per Delivery]]/Master[[#This Row],[Garment Inventory]]), 0)</f>
        <v>0</v>
      </c>
      <c r="Y1450" s="62">
        <v>1</v>
      </c>
      <c r="Z1450" s="62">
        <v>7</v>
      </c>
      <c r="AA1450" s="53">
        <v>8.5102678571428569</v>
      </c>
      <c r="AB1450" s="53">
        <v>17.024017857142859</v>
      </c>
      <c r="AC1450" s="53">
        <v>11.203333333333333</v>
      </c>
      <c r="AD1450" s="53">
        <v>16.703333333333333</v>
      </c>
      <c r="AE1450" s="53" t="str">
        <f>_xlfn.XLOOKUP(Master[[#This Row],[cu_id]],'[1]Customer Revenue'!$Q:$Q,'[1]Customer Revenue'!$K:$K, "None")</f>
        <v>None</v>
      </c>
      <c r="AF1450" s="53" t="str">
        <f>_xlfn.XLOOKUP(Master[[#This Row],[cu_id]],'[1]Customer Revenue'!$Q:$Q,'[1]Customer Revenue'!$L:$L, "None")</f>
        <v>None</v>
      </c>
      <c r="AG1450" s="53">
        <v>8.9186028257456833</v>
      </c>
      <c r="AH1450" s="53">
        <v>16.973704866562009</v>
      </c>
      <c r="AI1450" s="53">
        <v>12.767142857142858</v>
      </c>
      <c r="AJ1450" s="53">
        <v>13.953333333333333</v>
      </c>
      <c r="AK1450" s="53" t="str">
        <f>_xlfn.XLOOKUP(Master[[#This Row],[cu_id]],'[1]Customer Revenue'!$Q:$Q,'[1]Customer Revenue'!$I:$I, "None")</f>
        <v>None</v>
      </c>
      <c r="AL1450" s="53">
        <v>12.946153846153846</v>
      </c>
      <c r="AM1450" s="61">
        <v>0.33333333333333331</v>
      </c>
      <c r="AN1450" s="60">
        <v>0.6875</v>
      </c>
      <c r="AO1450" s="60" t="s">
        <v>36</v>
      </c>
      <c r="AP1450" s="60" t="s">
        <v>36</v>
      </c>
      <c r="AQ1450" s="58" t="s">
        <v>0</v>
      </c>
      <c r="AR1450" s="58"/>
      <c r="AS1450" s="58"/>
      <c r="AT1450" s="52">
        <v>0</v>
      </c>
      <c r="AU1450" s="52">
        <f>IF(Master[[#This Row],[RSP StopTime override]] &lt;&gt; "",Master[[#This Row],[RSP StopTime override]],IF(Master[[#This Row],[Avg stop time helper]] &lt;&gt; 0, Master[[#This Row],[Avg stop time helper]],Average_Stop_Time))</f>
        <v>10</v>
      </c>
      <c r="AV1450" s="21">
        <v>10</v>
      </c>
      <c r="AW1450" s="20">
        <f>Master[[#This Row],[RSP StopTime override]]-Master[[#This Row],[Avg stop time helper]]</f>
        <v>10</v>
      </c>
    </row>
    <row r="1451" spans="1:49" x14ac:dyDescent="0.3">
      <c r="A1451" s="66" t="s">
        <v>5452</v>
      </c>
      <c r="B1451" s="58">
        <v>8040</v>
      </c>
      <c r="C1451" s="58" t="s">
        <v>43</v>
      </c>
      <c r="D1451" s="65">
        <v>805737</v>
      </c>
      <c r="E1451" s="65" t="s">
        <v>42</v>
      </c>
      <c r="F1451" s="65" t="s">
        <v>511</v>
      </c>
      <c r="G1451" s="65" t="s">
        <v>510</v>
      </c>
      <c r="H1451" s="65" t="s">
        <v>7</v>
      </c>
      <c r="I1451" s="65" t="s">
        <v>6</v>
      </c>
      <c r="J1451" s="65" t="s">
        <v>5</v>
      </c>
      <c r="K1451" s="65" t="s">
        <v>509</v>
      </c>
      <c r="L1451" s="64" t="s">
        <v>67</v>
      </c>
      <c r="M1451" s="58" t="s">
        <v>3</v>
      </c>
      <c r="N1451" s="58" t="s">
        <v>2</v>
      </c>
      <c r="O1451" s="58">
        <v>35</v>
      </c>
      <c r="P1451" s="58">
        <v>0</v>
      </c>
      <c r="Q1451" s="58">
        <v>0</v>
      </c>
      <c r="R1451" s="58">
        <v>0</v>
      </c>
      <c r="S1451" s="58">
        <v>35</v>
      </c>
      <c r="T1451" s="58">
        <v>0</v>
      </c>
      <c r="U1451" s="58">
        <v>40</v>
      </c>
      <c r="V1451" s="62">
        <v>16</v>
      </c>
      <c r="W1451" s="62">
        <v>0</v>
      </c>
      <c r="X1451" s="63">
        <f>IFERROR(1 -(Master[[#This Row],[Avg Garment Scans per Delivery]]/Master[[#This Row],[Garment Inventory]]), 0)</f>
        <v>1</v>
      </c>
      <c r="Y1451" s="62">
        <v>2</v>
      </c>
      <c r="Z1451" s="62">
        <v>8</v>
      </c>
      <c r="AA1451" s="53">
        <v>60.039670329670329</v>
      </c>
      <c r="AB1451" s="53">
        <v>111.11109890109891</v>
      </c>
      <c r="AC1451" s="53">
        <v>50.764142011834323</v>
      </c>
      <c r="AD1451" s="53">
        <v>74.094319526627217</v>
      </c>
      <c r="AE1451" s="53" t="str">
        <f>_xlfn.XLOOKUP(Master[[#This Row],[cu_id]],'[1]Customer Revenue'!$Q:$Q,'[1]Customer Revenue'!$K:$K, "None")</f>
        <v>None</v>
      </c>
      <c r="AF1451" s="53" t="str">
        <f>_xlfn.XLOOKUP(Master[[#This Row],[cu_id]],'[1]Customer Revenue'!$Q:$Q,'[1]Customer Revenue'!$L:$L, "None")</f>
        <v>None</v>
      </c>
      <c r="AG1451" s="53">
        <v>76.153340891912279</v>
      </c>
      <c r="AH1451" s="53">
        <v>114.32517762660618</v>
      </c>
      <c r="AI1451" s="53">
        <v>85.575384615384621</v>
      </c>
      <c r="AJ1451" s="53">
        <v>62.42923076923077</v>
      </c>
      <c r="AK1451" s="53" t="str">
        <f>_xlfn.XLOOKUP(Master[[#This Row],[cu_id]],'[1]Customer Revenue'!$Q:$Q,'[1]Customer Revenue'!$I:$I, "None")</f>
        <v>None</v>
      </c>
      <c r="AL1451" s="53">
        <v>95.239259259259228</v>
      </c>
      <c r="AM1451" s="61">
        <v>0.33333333333333331</v>
      </c>
      <c r="AN1451" s="60">
        <v>0.70833333333333337</v>
      </c>
      <c r="AO1451" s="60" t="s">
        <v>36</v>
      </c>
      <c r="AP1451" s="60" t="s">
        <v>36</v>
      </c>
      <c r="AQ1451" s="58" t="s">
        <v>0</v>
      </c>
      <c r="AR1451" s="58"/>
      <c r="AS1451" s="58"/>
      <c r="AT1451" s="52">
        <v>0</v>
      </c>
      <c r="AU1451" s="52">
        <f>IF(Master[[#This Row],[RSP StopTime override]] &lt;&gt; "",Master[[#This Row],[RSP StopTime override]],IF(Master[[#This Row],[Avg stop time helper]] &lt;&gt; 0, Master[[#This Row],[Avg stop time helper]],Average_Stop_Time))</f>
        <v>15</v>
      </c>
      <c r="AV1451" s="21">
        <v>15</v>
      </c>
      <c r="AW1451" s="20">
        <f>Master[[#This Row],[RSP StopTime override]]-Master[[#This Row],[Avg stop time helper]]</f>
        <v>15</v>
      </c>
    </row>
    <row r="1452" spans="1:49" x14ac:dyDescent="0.3">
      <c r="A1452" s="66" t="s">
        <v>5453</v>
      </c>
      <c r="B1452" s="58">
        <v>8040</v>
      </c>
      <c r="C1452" s="58" t="s">
        <v>24</v>
      </c>
      <c r="D1452" s="65">
        <v>884502</v>
      </c>
      <c r="E1452" s="65" t="s">
        <v>508</v>
      </c>
      <c r="F1452" s="65" t="s">
        <v>507</v>
      </c>
      <c r="G1452" s="65" t="s">
        <v>506</v>
      </c>
      <c r="H1452" s="65" t="s">
        <v>7</v>
      </c>
      <c r="I1452" s="65" t="s">
        <v>6</v>
      </c>
      <c r="J1452" s="65" t="s">
        <v>5</v>
      </c>
      <c r="K1452" s="65" t="s">
        <v>68</v>
      </c>
      <c r="L1452" s="64" t="s">
        <v>77</v>
      </c>
      <c r="M1452" s="58" t="s">
        <v>29</v>
      </c>
      <c r="N1452" s="58" t="s">
        <v>2</v>
      </c>
      <c r="O1452" s="58">
        <v>130</v>
      </c>
      <c r="P1452" s="58">
        <v>130</v>
      </c>
      <c r="Q1452" s="58">
        <v>0</v>
      </c>
      <c r="R1452" s="58">
        <v>0</v>
      </c>
      <c r="S1452" s="58">
        <v>0</v>
      </c>
      <c r="T1452" s="58">
        <v>0</v>
      </c>
      <c r="U1452" s="58">
        <v>22</v>
      </c>
      <c r="V1452" s="62"/>
      <c r="W1452" s="62"/>
      <c r="X1452" s="63">
        <f>IFERROR(1 -(Master[[#This Row],[Avg Garment Scans per Delivery]]/Master[[#This Row],[Garment Inventory]]), 0)</f>
        <v>0</v>
      </c>
      <c r="Y1452" s="62"/>
      <c r="Z1452" s="62"/>
      <c r="AA1452" s="53">
        <v>49.34</v>
      </c>
      <c r="AB1452" s="53">
        <v>49.34</v>
      </c>
      <c r="AC1452" s="53">
        <v>49.796326530612248</v>
      </c>
      <c r="AD1452" s="53">
        <v>55.272244897959183</v>
      </c>
      <c r="AE1452" s="53" t="str">
        <f>_xlfn.XLOOKUP(Master[[#This Row],[cu_id]],'[1]Customer Revenue'!$Q:$Q,'[1]Customer Revenue'!$K:$K, "None")</f>
        <v>None</v>
      </c>
      <c r="AF1452" s="53" t="str">
        <f>_xlfn.XLOOKUP(Master[[#This Row],[cu_id]],'[1]Customer Revenue'!$Q:$Q,'[1]Customer Revenue'!$L:$L, "None")</f>
        <v>None</v>
      </c>
      <c r="AG1452" s="53">
        <v>49.34</v>
      </c>
      <c r="AH1452" s="53">
        <v>49.340000000000032</v>
      </c>
      <c r="AI1452" s="53">
        <v>49.34</v>
      </c>
      <c r="AJ1452" s="53">
        <v>52.534285714285716</v>
      </c>
      <c r="AK1452" s="53" t="str">
        <f>_xlfn.XLOOKUP(Master[[#This Row],[cu_id]],'[1]Customer Revenue'!$Q:$Q,'[1]Customer Revenue'!$I:$I, "None")</f>
        <v>None</v>
      </c>
      <c r="AL1452" s="53">
        <v>49.340000000000018</v>
      </c>
      <c r="AM1452" s="61">
        <v>0.33333333333333331</v>
      </c>
      <c r="AN1452" s="60">
        <v>0.625</v>
      </c>
      <c r="AO1452" s="60" t="s">
        <v>36</v>
      </c>
      <c r="AP1452" s="60" t="s">
        <v>36</v>
      </c>
      <c r="AQ1452" s="58" t="s">
        <v>0</v>
      </c>
      <c r="AR1452" s="58"/>
      <c r="AS1452" s="58"/>
      <c r="AT1452" s="52">
        <v>0</v>
      </c>
      <c r="AU1452" s="52">
        <f>IF(Master[[#This Row],[RSP StopTime override]] &lt;&gt; "",Master[[#This Row],[RSP StopTime override]],IF(Master[[#This Row],[Avg stop time helper]] &lt;&gt; 0, Master[[#This Row],[Avg stop time helper]],Average_Stop_Time))</f>
        <v>20</v>
      </c>
      <c r="AV1452" s="21">
        <v>20</v>
      </c>
      <c r="AW1452" s="20">
        <f>Master[[#This Row],[RSP StopTime override]]-Master[[#This Row],[Avg stop time helper]]</f>
        <v>20</v>
      </c>
    </row>
    <row r="1453" spans="1:49" x14ac:dyDescent="0.3">
      <c r="A1453" s="66" t="s">
        <v>5454</v>
      </c>
      <c r="B1453" s="58">
        <v>8040</v>
      </c>
      <c r="C1453" s="58" t="s">
        <v>15</v>
      </c>
      <c r="D1453" s="65">
        <v>806962</v>
      </c>
      <c r="E1453" s="65" t="s">
        <v>42</v>
      </c>
      <c r="F1453" s="65" t="s">
        <v>505</v>
      </c>
      <c r="G1453" s="65" t="s">
        <v>504</v>
      </c>
      <c r="H1453" s="65" t="s">
        <v>7</v>
      </c>
      <c r="I1453" s="65" t="s">
        <v>6</v>
      </c>
      <c r="J1453" s="65" t="s">
        <v>5</v>
      </c>
      <c r="K1453" s="65" t="s">
        <v>115</v>
      </c>
      <c r="L1453" s="64" t="s">
        <v>67</v>
      </c>
      <c r="M1453" s="58" t="s">
        <v>3</v>
      </c>
      <c r="N1453" s="58" t="s">
        <v>2</v>
      </c>
      <c r="O1453" s="58">
        <v>60</v>
      </c>
      <c r="P1453" s="58">
        <v>0</v>
      </c>
      <c r="Q1453" s="58">
        <v>0</v>
      </c>
      <c r="R1453" s="58">
        <v>0</v>
      </c>
      <c r="S1453" s="58">
        <v>0</v>
      </c>
      <c r="T1453" s="58">
        <v>60</v>
      </c>
      <c r="U1453" s="58">
        <v>41</v>
      </c>
      <c r="V1453" s="62"/>
      <c r="W1453" s="62"/>
      <c r="X1453" s="63">
        <f>IFERROR(1 -(Master[[#This Row],[Avg Garment Scans per Delivery]]/Master[[#This Row],[Garment Inventory]]), 0)</f>
        <v>0</v>
      </c>
      <c r="Y1453" s="62"/>
      <c r="Z1453" s="62"/>
      <c r="AA1453" s="53">
        <v>46.67</v>
      </c>
      <c r="AB1453" s="53">
        <v>46.670000000000016</v>
      </c>
      <c r="AC1453" s="53">
        <v>34.433017751479298</v>
      </c>
      <c r="AD1453" s="53">
        <v>95.831597633136113</v>
      </c>
      <c r="AE1453" s="53" t="str">
        <f>_xlfn.XLOOKUP(Master[[#This Row],[cu_id]],'[1]Customer Revenue'!$Q:$Q,'[1]Customer Revenue'!$K:$K, "None")</f>
        <v>None</v>
      </c>
      <c r="AF1453" s="53" t="str">
        <f>_xlfn.XLOOKUP(Master[[#This Row],[cu_id]],'[1]Customer Revenue'!$Q:$Q,'[1]Customer Revenue'!$L:$L, "None")</f>
        <v>None</v>
      </c>
      <c r="AG1453" s="53">
        <v>44.998639053254436</v>
      </c>
      <c r="AH1453" s="53">
        <v>51.873668639053264</v>
      </c>
      <c r="AI1453" s="53">
        <v>46.670000000000009</v>
      </c>
      <c r="AJ1453" s="53">
        <v>65.132307692307705</v>
      </c>
      <c r="AK1453" s="53" t="str">
        <f>_xlfn.XLOOKUP(Master[[#This Row],[cu_id]],'[1]Customer Revenue'!$Q:$Q,'[1]Customer Revenue'!$I:$I, "None")</f>
        <v>None</v>
      </c>
      <c r="AL1453" s="53">
        <v>48.43615384615385</v>
      </c>
      <c r="AM1453" s="61">
        <v>0.33333333333333331</v>
      </c>
      <c r="AN1453" s="60">
        <v>0.79166666666666663</v>
      </c>
      <c r="AO1453" s="60" t="s">
        <v>36</v>
      </c>
      <c r="AP1453" s="60" t="s">
        <v>36</v>
      </c>
      <c r="AQ1453" s="58" t="s">
        <v>174</v>
      </c>
      <c r="AR1453" s="58"/>
      <c r="AS1453" s="58"/>
      <c r="AT1453" s="52">
        <v>0</v>
      </c>
      <c r="AU1453" s="52">
        <f>IF(Master[[#This Row],[RSP StopTime override]] &lt;&gt; "",Master[[#This Row],[RSP StopTime override]],IF(Master[[#This Row],[Avg stop time helper]] &lt;&gt; 0, Master[[#This Row],[Avg stop time helper]],Average_Stop_Time))</f>
        <v>15</v>
      </c>
      <c r="AV1453" s="21">
        <v>15</v>
      </c>
      <c r="AW1453" s="20">
        <f>Master[[#This Row],[RSP StopTime override]]-Master[[#This Row],[Avg stop time helper]]</f>
        <v>15</v>
      </c>
    </row>
    <row r="1454" spans="1:49" x14ac:dyDescent="0.3">
      <c r="A1454" s="66" t="s">
        <v>5455</v>
      </c>
      <c r="B1454" s="58">
        <v>8040</v>
      </c>
      <c r="C1454" s="58" t="s">
        <v>35</v>
      </c>
      <c r="D1454" s="65">
        <v>882330</v>
      </c>
      <c r="E1454" s="65" t="s">
        <v>503</v>
      </c>
      <c r="F1454" s="65" t="s">
        <v>502</v>
      </c>
      <c r="G1454" s="65" t="s">
        <v>501</v>
      </c>
      <c r="H1454" s="65" t="s">
        <v>7</v>
      </c>
      <c r="I1454" s="65" t="s">
        <v>6</v>
      </c>
      <c r="J1454" s="65" t="s">
        <v>5</v>
      </c>
      <c r="K1454" s="65" t="s">
        <v>68</v>
      </c>
      <c r="L1454" s="64" t="s">
        <v>67</v>
      </c>
      <c r="M1454" s="58" t="s">
        <v>3</v>
      </c>
      <c r="N1454" s="58" t="s">
        <v>2</v>
      </c>
      <c r="O1454" s="58">
        <v>35</v>
      </c>
      <c r="P1454" s="58">
        <v>0</v>
      </c>
      <c r="Q1454" s="58">
        <v>35</v>
      </c>
      <c r="R1454" s="58">
        <v>0</v>
      </c>
      <c r="S1454" s="58">
        <v>0</v>
      </c>
      <c r="T1454" s="58">
        <v>0</v>
      </c>
      <c r="U1454" s="58">
        <v>37</v>
      </c>
      <c r="V1454" s="62"/>
      <c r="W1454" s="62"/>
      <c r="X1454" s="63">
        <f>IFERROR(1 -(Master[[#This Row],[Avg Garment Scans per Delivery]]/Master[[#This Row],[Garment Inventory]]), 0)</f>
        <v>0</v>
      </c>
      <c r="Y1454" s="62"/>
      <c r="Z1454" s="62"/>
      <c r="AA1454" s="53">
        <v>42.878461538461536</v>
      </c>
      <c r="AB1454" s="53">
        <v>43.321538461538452</v>
      </c>
      <c r="AC1454" s="53">
        <v>37.439028599605521</v>
      </c>
      <c r="AD1454" s="53">
        <v>49.83263806706114</v>
      </c>
      <c r="AE1454" s="53" t="str">
        <f>_xlfn.XLOOKUP(Master[[#This Row],[cu_id]],'[1]Customer Revenue'!$Q:$Q,'[1]Customer Revenue'!$K:$K, "None")</f>
        <v>None</v>
      </c>
      <c r="AF1454" s="53" t="str">
        <f>_xlfn.XLOOKUP(Master[[#This Row],[cu_id]],'[1]Customer Revenue'!$Q:$Q,'[1]Customer Revenue'!$L:$L, "None")</f>
        <v>None</v>
      </c>
      <c r="AG1454" s="53">
        <v>34.45303833290459</v>
      </c>
      <c r="AH1454" s="53">
        <v>52.12783123231285</v>
      </c>
      <c r="AI1454" s="53">
        <v>43.099999999999994</v>
      </c>
      <c r="AJ1454" s="53">
        <v>43.635833333333331</v>
      </c>
      <c r="AK1454" s="53" t="str">
        <f>_xlfn.XLOOKUP(Master[[#This Row],[cu_id]],'[1]Customer Revenue'!$Q:$Q,'[1]Customer Revenue'!$I:$I, "None")</f>
        <v>None</v>
      </c>
      <c r="AL1454" s="53">
        <v>43.29043478260872</v>
      </c>
      <c r="AM1454" s="61" t="s">
        <v>36</v>
      </c>
      <c r="AN1454" s="60" t="s">
        <v>36</v>
      </c>
      <c r="AO1454" s="60" t="s">
        <v>36</v>
      </c>
      <c r="AP1454" s="60" t="s">
        <v>36</v>
      </c>
      <c r="AQ1454" s="58" t="s">
        <v>0</v>
      </c>
      <c r="AR1454" s="58"/>
      <c r="AS1454" s="58"/>
      <c r="AT1454" s="52">
        <v>0</v>
      </c>
      <c r="AU1454" s="52">
        <f>IF(Master[[#This Row],[RSP StopTime override]] &lt;&gt; "",Master[[#This Row],[RSP StopTime override]],IF(Master[[#This Row],[Avg stop time helper]] &lt;&gt; 0, Master[[#This Row],[Avg stop time helper]],Average_Stop_Time))</f>
        <v>10</v>
      </c>
      <c r="AV1454" s="21">
        <v>10</v>
      </c>
      <c r="AW1454" s="20">
        <f>Master[[#This Row],[RSP StopTime override]]-Master[[#This Row],[Avg stop time helper]]</f>
        <v>10</v>
      </c>
    </row>
    <row r="1455" spans="1:49" x14ac:dyDescent="0.3">
      <c r="A1455" s="66" t="s">
        <v>5456</v>
      </c>
      <c r="B1455" s="58">
        <v>8040</v>
      </c>
      <c r="C1455" s="58" t="s">
        <v>43</v>
      </c>
      <c r="D1455" s="65">
        <v>887717</v>
      </c>
      <c r="E1455" s="65" t="s">
        <v>500</v>
      </c>
      <c r="F1455" s="65" t="s">
        <v>499</v>
      </c>
      <c r="G1455" s="65" t="s">
        <v>498</v>
      </c>
      <c r="H1455" s="65" t="s">
        <v>7</v>
      </c>
      <c r="I1455" s="65" t="s">
        <v>6</v>
      </c>
      <c r="J1455" s="65" t="s">
        <v>5</v>
      </c>
      <c r="K1455" s="65" t="s">
        <v>497</v>
      </c>
      <c r="L1455" s="64" t="s">
        <v>67</v>
      </c>
      <c r="M1455" s="58" t="s">
        <v>3</v>
      </c>
      <c r="N1455" s="58" t="s">
        <v>2</v>
      </c>
      <c r="O1455" s="58">
        <v>5</v>
      </c>
      <c r="P1455" s="58">
        <v>0</v>
      </c>
      <c r="Q1455" s="58">
        <v>0</v>
      </c>
      <c r="R1455" s="58">
        <v>0</v>
      </c>
      <c r="S1455" s="58">
        <v>5</v>
      </c>
      <c r="T1455" s="58">
        <v>0</v>
      </c>
      <c r="U1455" s="58">
        <v>40</v>
      </c>
      <c r="V1455" s="62"/>
      <c r="W1455" s="62"/>
      <c r="X1455" s="63">
        <f>IFERROR(1 -(Master[[#This Row],[Avg Garment Scans per Delivery]]/Master[[#This Row],[Garment Inventory]]), 0)</f>
        <v>0</v>
      </c>
      <c r="Y1455" s="62"/>
      <c r="Z1455" s="62"/>
      <c r="AA1455" s="53">
        <v>92.755325443786987</v>
      </c>
      <c r="AB1455" s="53">
        <v>95.652366863905328</v>
      </c>
      <c r="AC1455" s="53">
        <v>95.14526627218936</v>
      </c>
      <c r="AD1455" s="53">
        <v>96.262426035502983</v>
      </c>
      <c r="AE1455" s="53" t="str">
        <f>_xlfn.XLOOKUP(Master[[#This Row],[cu_id]],'[1]Customer Revenue'!$Q:$Q,'[1]Customer Revenue'!$K:$K, "None")</f>
        <v>None</v>
      </c>
      <c r="AF1455" s="53" t="str">
        <f>_xlfn.XLOOKUP(Master[[#This Row],[cu_id]],'[1]Customer Revenue'!$Q:$Q,'[1]Customer Revenue'!$L:$L, "None")</f>
        <v>None</v>
      </c>
      <c r="AG1455" s="53">
        <v>91.547781065088742</v>
      </c>
      <c r="AH1455" s="53">
        <v>94.771449704141986</v>
      </c>
      <c r="AI1455" s="53">
        <v>94.203846153846158</v>
      </c>
      <c r="AJ1455" s="53">
        <v>95.703846153846172</v>
      </c>
      <c r="AK1455" s="53" t="str">
        <f>_xlfn.XLOOKUP(Master[[#This Row],[cu_id]],'[1]Customer Revenue'!$Q:$Q,'[1]Customer Revenue'!$I:$I, "None")</f>
        <v>None</v>
      </c>
      <c r="AL1455" s="53">
        <v>93.159615384615364</v>
      </c>
      <c r="AM1455" s="61" t="s">
        <v>36</v>
      </c>
      <c r="AN1455" s="60" t="s">
        <v>36</v>
      </c>
      <c r="AO1455" s="60" t="s">
        <v>36</v>
      </c>
      <c r="AP1455" s="60" t="s">
        <v>36</v>
      </c>
      <c r="AQ1455" s="58" t="s">
        <v>0</v>
      </c>
      <c r="AR1455" s="58"/>
      <c r="AS1455" s="58"/>
      <c r="AT1455" s="52">
        <v>0</v>
      </c>
      <c r="AU1455" s="52">
        <f>IF(Master[[#This Row],[RSP StopTime override]] &lt;&gt; "",Master[[#This Row],[RSP StopTime override]],IF(Master[[#This Row],[Avg stop time helper]] &lt;&gt; 0, Master[[#This Row],[Avg stop time helper]],Average_Stop_Time))</f>
        <v>15</v>
      </c>
      <c r="AV1455" s="21">
        <v>15</v>
      </c>
      <c r="AW1455" s="20">
        <f>Master[[#This Row],[RSP StopTime override]]-Master[[#This Row],[Avg stop time helper]]</f>
        <v>15</v>
      </c>
    </row>
    <row r="1456" spans="1:49" x14ac:dyDescent="0.3">
      <c r="A1456" s="66" t="s">
        <v>5457</v>
      </c>
      <c r="B1456" s="58">
        <v>8040</v>
      </c>
      <c r="C1456" s="58" t="s">
        <v>43</v>
      </c>
      <c r="D1456" s="65">
        <v>802591</v>
      </c>
      <c r="E1456" s="65" t="s">
        <v>42</v>
      </c>
      <c r="F1456" s="65" t="s">
        <v>496</v>
      </c>
      <c r="G1456" s="65" t="s">
        <v>495</v>
      </c>
      <c r="H1456" s="65" t="s">
        <v>7</v>
      </c>
      <c r="I1456" s="65" t="s">
        <v>6</v>
      </c>
      <c r="J1456" s="65" t="s">
        <v>5</v>
      </c>
      <c r="K1456" s="65" t="s">
        <v>494</v>
      </c>
      <c r="L1456" s="64" t="s">
        <v>67</v>
      </c>
      <c r="M1456" s="58" t="s">
        <v>3</v>
      </c>
      <c r="N1456" s="58" t="s">
        <v>2</v>
      </c>
      <c r="O1456" s="58">
        <v>55</v>
      </c>
      <c r="P1456" s="58">
        <v>0</v>
      </c>
      <c r="Q1456" s="58">
        <v>0</v>
      </c>
      <c r="R1456" s="58">
        <v>0</v>
      </c>
      <c r="S1456" s="58">
        <v>55</v>
      </c>
      <c r="T1456" s="58">
        <v>0</v>
      </c>
      <c r="U1456" s="58">
        <v>31</v>
      </c>
      <c r="V1456" s="62"/>
      <c r="W1456" s="62"/>
      <c r="X1456" s="63">
        <f>IFERROR(1 -(Master[[#This Row],[Avg Garment Scans per Delivery]]/Master[[#This Row],[Garment Inventory]]), 0)</f>
        <v>0</v>
      </c>
      <c r="Y1456" s="62"/>
      <c r="Z1456" s="62"/>
      <c r="AA1456" s="53">
        <v>102.96</v>
      </c>
      <c r="AB1456" s="53">
        <v>102.96000000000002</v>
      </c>
      <c r="AC1456" s="53">
        <v>52.410650887573972</v>
      </c>
      <c r="AD1456" s="53">
        <v>76.198579881656784</v>
      </c>
      <c r="AE1456" s="53" t="str">
        <f>_xlfn.XLOOKUP(Master[[#This Row],[cu_id]],'[1]Customer Revenue'!$Q:$Q,'[1]Customer Revenue'!$K:$K, "None")</f>
        <v>None</v>
      </c>
      <c r="AF1456" s="53" t="str">
        <f>_xlfn.XLOOKUP(Master[[#This Row],[cu_id]],'[1]Customer Revenue'!$Q:$Q,'[1]Customer Revenue'!$L:$L, "None")</f>
        <v>None</v>
      </c>
      <c r="AG1456" s="53">
        <v>82.417777777777815</v>
      </c>
      <c r="AH1456" s="53">
        <v>108.09555555555556</v>
      </c>
      <c r="AI1456" s="53">
        <v>102.96000000000001</v>
      </c>
      <c r="AJ1456" s="53">
        <v>64.304615384615374</v>
      </c>
      <c r="AK1456" s="53" t="str">
        <f>_xlfn.XLOOKUP(Master[[#This Row],[cu_id]],'[1]Customer Revenue'!$Q:$Q,'[1]Customer Revenue'!$I:$I, "None")</f>
        <v>None</v>
      </c>
      <c r="AL1456" s="53">
        <v>95.256666666666689</v>
      </c>
      <c r="AM1456" s="61">
        <v>0.33333333333333331</v>
      </c>
      <c r="AN1456" s="60">
        <v>0.70833333333333337</v>
      </c>
      <c r="AO1456" s="60" t="s">
        <v>36</v>
      </c>
      <c r="AP1456" s="60" t="s">
        <v>36</v>
      </c>
      <c r="AQ1456" s="58" t="s">
        <v>0</v>
      </c>
      <c r="AR1456" s="58"/>
      <c r="AS1456" s="58"/>
      <c r="AT1456" s="52">
        <v>0</v>
      </c>
      <c r="AU1456" s="52">
        <f>IF(Master[[#This Row],[RSP StopTime override]] &lt;&gt; "",Master[[#This Row],[RSP StopTime override]],IF(Master[[#This Row],[Avg stop time helper]] &lt;&gt; 0, Master[[#This Row],[Avg stop time helper]],Average_Stop_Time))</f>
        <v>20</v>
      </c>
      <c r="AV1456" s="21">
        <v>20</v>
      </c>
      <c r="AW1456" s="20">
        <f>Master[[#This Row],[RSP StopTime override]]-Master[[#This Row],[Avg stop time helper]]</f>
        <v>20</v>
      </c>
    </row>
    <row r="1457" spans="1:49" x14ac:dyDescent="0.3">
      <c r="A1457" s="66" t="s">
        <v>5458</v>
      </c>
      <c r="B1457" s="58">
        <v>8040</v>
      </c>
      <c r="C1457" s="58" t="s">
        <v>24</v>
      </c>
      <c r="D1457" s="65">
        <v>804775</v>
      </c>
      <c r="E1457" s="65" t="s">
        <v>42</v>
      </c>
      <c r="F1457" s="65" t="s">
        <v>493</v>
      </c>
      <c r="G1457" s="65" t="s">
        <v>492</v>
      </c>
      <c r="H1457" s="65" t="s">
        <v>7</v>
      </c>
      <c r="I1457" s="65" t="s">
        <v>6</v>
      </c>
      <c r="J1457" s="65" t="s">
        <v>5</v>
      </c>
      <c r="K1457" s="65" t="s">
        <v>151</v>
      </c>
      <c r="L1457" s="64" t="s">
        <v>67</v>
      </c>
      <c r="M1457" s="58" t="s">
        <v>3</v>
      </c>
      <c r="N1457" s="58" t="s">
        <v>2</v>
      </c>
      <c r="O1457" s="58">
        <v>69</v>
      </c>
      <c r="P1457" s="58">
        <v>69</v>
      </c>
      <c r="Q1457" s="58">
        <v>0</v>
      </c>
      <c r="R1457" s="58">
        <v>0</v>
      </c>
      <c r="S1457" s="58">
        <v>0</v>
      </c>
      <c r="T1457" s="58">
        <v>0</v>
      </c>
      <c r="U1457" s="58">
        <v>38</v>
      </c>
      <c r="V1457" s="62"/>
      <c r="W1457" s="62"/>
      <c r="X1457" s="63">
        <f>IFERROR(1 -(Master[[#This Row],[Avg Garment Scans per Delivery]]/Master[[#This Row],[Garment Inventory]]), 0)</f>
        <v>0</v>
      </c>
      <c r="Y1457" s="62"/>
      <c r="Z1457" s="62"/>
      <c r="AA1457" s="53">
        <v>62.430991124260331</v>
      </c>
      <c r="AB1457" s="53">
        <v>86.724008875739642</v>
      </c>
      <c r="AC1457" s="53">
        <v>55.906412698412694</v>
      </c>
      <c r="AD1457" s="53">
        <v>81.379301587301583</v>
      </c>
      <c r="AE1457" s="53" t="str">
        <f>_xlfn.XLOOKUP(Master[[#This Row],[cu_id]],'[1]Customer Revenue'!$Q:$Q,'[1]Customer Revenue'!$K:$K, "None")</f>
        <v>None</v>
      </c>
      <c r="AF1457" s="53" t="str">
        <f>_xlfn.XLOOKUP(Master[[#This Row],[cu_id]],'[1]Customer Revenue'!$Q:$Q,'[1]Customer Revenue'!$L:$L, "None")</f>
        <v>None</v>
      </c>
      <c r="AG1457" s="53">
        <v>70.079781065088753</v>
      </c>
      <c r="AH1457" s="53">
        <v>92.604218934911245</v>
      </c>
      <c r="AI1457" s="53">
        <v>74.577499999999986</v>
      </c>
      <c r="AJ1457" s="53">
        <v>68.642857142857139</v>
      </c>
      <c r="AK1457" s="53" t="str">
        <f>_xlfn.XLOOKUP(Master[[#This Row],[cu_id]],'[1]Customer Revenue'!$Q:$Q,'[1]Customer Revenue'!$I:$I, "None")</f>
        <v>None</v>
      </c>
      <c r="AL1457" s="53">
        <v>81.341999999999999</v>
      </c>
      <c r="AM1457" s="61" t="s">
        <v>36</v>
      </c>
      <c r="AN1457" s="60" t="s">
        <v>36</v>
      </c>
      <c r="AO1457" s="60" t="s">
        <v>36</v>
      </c>
      <c r="AP1457" s="60" t="s">
        <v>36</v>
      </c>
      <c r="AQ1457" s="58" t="s">
        <v>116</v>
      </c>
      <c r="AR1457" s="58"/>
      <c r="AS1457" s="58"/>
      <c r="AT1457" s="52">
        <v>0</v>
      </c>
      <c r="AU1457" s="52">
        <f>IF(Master[[#This Row],[RSP StopTime override]] &lt;&gt; "",Master[[#This Row],[RSP StopTime override]],IF(Master[[#This Row],[Avg stop time helper]] &lt;&gt; 0, Master[[#This Row],[Avg stop time helper]],Average_Stop_Time))</f>
        <v>15</v>
      </c>
      <c r="AV1457" s="21">
        <v>15</v>
      </c>
      <c r="AW1457" s="20">
        <f>Master[[#This Row],[RSP StopTime override]]-Master[[#This Row],[Avg stop time helper]]</f>
        <v>15</v>
      </c>
    </row>
    <row r="1458" spans="1:49" x14ac:dyDescent="0.3">
      <c r="A1458" s="66" t="s">
        <v>5459</v>
      </c>
      <c r="B1458" s="58">
        <v>8040</v>
      </c>
      <c r="C1458" s="58" t="s">
        <v>43</v>
      </c>
      <c r="D1458" s="65">
        <v>808471</v>
      </c>
      <c r="E1458" s="65" t="s">
        <v>42</v>
      </c>
      <c r="F1458" s="65" t="s">
        <v>491</v>
      </c>
      <c r="G1458" s="65" t="s">
        <v>490</v>
      </c>
      <c r="H1458" s="65" t="s">
        <v>7</v>
      </c>
      <c r="I1458" s="65" t="s">
        <v>6</v>
      </c>
      <c r="J1458" s="65" t="s">
        <v>5</v>
      </c>
      <c r="K1458" s="65" t="s">
        <v>146</v>
      </c>
      <c r="L1458" s="64" t="s">
        <v>77</v>
      </c>
      <c r="M1458" s="58" t="s">
        <v>29</v>
      </c>
      <c r="N1458" s="58" t="s">
        <v>2</v>
      </c>
      <c r="O1458" s="58">
        <v>32</v>
      </c>
      <c r="P1458" s="58">
        <v>0</v>
      </c>
      <c r="Q1458" s="58">
        <v>0</v>
      </c>
      <c r="R1458" s="58">
        <v>0</v>
      </c>
      <c r="S1458" s="58">
        <v>32</v>
      </c>
      <c r="T1458" s="58">
        <v>0</v>
      </c>
      <c r="U1458" s="58">
        <v>19</v>
      </c>
      <c r="V1458" s="62"/>
      <c r="W1458" s="62"/>
      <c r="X1458" s="63">
        <f>IFERROR(1 -(Master[[#This Row],[Avg Garment Scans per Delivery]]/Master[[#This Row],[Garment Inventory]]), 0)</f>
        <v>0</v>
      </c>
      <c r="Y1458" s="62"/>
      <c r="Z1458" s="62"/>
      <c r="AA1458" s="53">
        <v>28.87</v>
      </c>
      <c r="AB1458" s="53">
        <v>28.87</v>
      </c>
      <c r="AC1458" s="53">
        <v>17.907901234567898</v>
      </c>
      <c r="AD1458" s="53">
        <v>40.612098765432094</v>
      </c>
      <c r="AE1458" s="53" t="str">
        <f>_xlfn.XLOOKUP(Master[[#This Row],[cu_id]],'[1]Customer Revenue'!$Q:$Q,'[1]Customer Revenue'!$K:$K, "None")</f>
        <v>None</v>
      </c>
      <c r="AF1458" s="53" t="str">
        <f>_xlfn.XLOOKUP(Master[[#This Row],[cu_id]],'[1]Customer Revenue'!$Q:$Q,'[1]Customer Revenue'!$L:$L, "None")</f>
        <v>None</v>
      </c>
      <c r="AG1458" s="53">
        <v>28.87</v>
      </c>
      <c r="AH1458" s="53">
        <v>28.87</v>
      </c>
      <c r="AI1458" s="53">
        <v>28.87</v>
      </c>
      <c r="AJ1458" s="53">
        <v>29.259999999999998</v>
      </c>
      <c r="AK1458" s="53" t="str">
        <f>_xlfn.XLOOKUP(Master[[#This Row],[cu_id]],'[1]Customer Revenue'!$Q:$Q,'[1]Customer Revenue'!$I:$I, "None")</f>
        <v>None</v>
      </c>
      <c r="AL1458" s="53">
        <v>28.87</v>
      </c>
      <c r="AM1458" s="61" t="s">
        <v>36</v>
      </c>
      <c r="AN1458" s="60" t="s">
        <v>36</v>
      </c>
      <c r="AO1458" s="60" t="s">
        <v>36</v>
      </c>
      <c r="AP1458" s="60" t="s">
        <v>36</v>
      </c>
      <c r="AQ1458" s="58" t="s">
        <v>0</v>
      </c>
      <c r="AR1458" s="58"/>
      <c r="AS1458" s="58"/>
      <c r="AT1458" s="52">
        <v>0</v>
      </c>
      <c r="AU1458" s="52">
        <f>IF(Master[[#This Row],[RSP StopTime override]] &lt;&gt; "",Master[[#This Row],[RSP StopTime override]],IF(Master[[#This Row],[Avg stop time helper]] &lt;&gt; 0, Master[[#This Row],[Avg stop time helper]],Average_Stop_Time))</f>
        <v>10</v>
      </c>
      <c r="AV1458" s="21">
        <v>10</v>
      </c>
      <c r="AW1458" s="20">
        <f>Master[[#This Row],[RSP StopTime override]]-Master[[#This Row],[Avg stop time helper]]</f>
        <v>10</v>
      </c>
    </row>
    <row r="1459" spans="1:49" x14ac:dyDescent="0.3">
      <c r="A1459" s="66" t="s">
        <v>5460</v>
      </c>
      <c r="B1459" s="58">
        <v>8040</v>
      </c>
      <c r="C1459" s="58" t="s">
        <v>35</v>
      </c>
      <c r="D1459" s="65">
        <v>882330</v>
      </c>
      <c r="E1459" s="65" t="s">
        <v>489</v>
      </c>
      <c r="F1459" s="65" t="s">
        <v>488</v>
      </c>
      <c r="G1459" s="65" t="s">
        <v>487</v>
      </c>
      <c r="H1459" s="65" t="s">
        <v>7</v>
      </c>
      <c r="I1459" s="65" t="s">
        <v>6</v>
      </c>
      <c r="J1459" s="65" t="s">
        <v>5</v>
      </c>
      <c r="K1459" s="65" t="s">
        <v>68</v>
      </c>
      <c r="L1459" s="64" t="s">
        <v>67</v>
      </c>
      <c r="M1459" s="58" t="s">
        <v>3</v>
      </c>
      <c r="N1459" s="58" t="s">
        <v>2</v>
      </c>
      <c r="O1459" s="58">
        <v>40</v>
      </c>
      <c r="P1459" s="58">
        <v>0</v>
      </c>
      <c r="Q1459" s="58">
        <v>40</v>
      </c>
      <c r="R1459" s="58">
        <v>0</v>
      </c>
      <c r="S1459" s="58">
        <v>0</v>
      </c>
      <c r="T1459" s="58">
        <v>0</v>
      </c>
      <c r="U1459" s="58">
        <v>35</v>
      </c>
      <c r="V1459" s="62"/>
      <c r="W1459" s="62"/>
      <c r="X1459" s="63">
        <f>IFERROR(1 -(Master[[#This Row],[Avg Garment Scans per Delivery]]/Master[[#This Row],[Garment Inventory]]), 0)</f>
        <v>0</v>
      </c>
      <c r="Y1459" s="62"/>
      <c r="Z1459" s="62"/>
      <c r="AA1459" s="53">
        <v>20.283846153846149</v>
      </c>
      <c r="AB1459" s="53">
        <v>20.616153846153836</v>
      </c>
      <c r="AC1459" s="53">
        <v>17.919797830374751</v>
      </c>
      <c r="AD1459" s="53">
        <v>23.85186883629191</v>
      </c>
      <c r="AE1459" s="53" t="str">
        <f>_xlfn.XLOOKUP(Master[[#This Row],[cu_id]],'[1]Customer Revenue'!$Q:$Q,'[1]Customer Revenue'!$K:$K, "None")</f>
        <v>None</v>
      </c>
      <c r="AF1459" s="53" t="str">
        <f>_xlfn.XLOOKUP(Master[[#This Row],[cu_id]],'[1]Customer Revenue'!$Q:$Q,'[1]Customer Revenue'!$L:$L, "None")</f>
        <v>None</v>
      </c>
      <c r="AG1459" s="53">
        <v>16.260762799073824</v>
      </c>
      <c r="AH1459" s="53">
        <v>24.602715461795725</v>
      </c>
      <c r="AI1459" s="53">
        <v>20.449999999999992</v>
      </c>
      <c r="AJ1459" s="53">
        <v>20.885833333333331</v>
      </c>
      <c r="AK1459" s="53" t="str">
        <f>_xlfn.XLOOKUP(Master[[#This Row],[cu_id]],'[1]Customer Revenue'!$Q:$Q,'[1]Customer Revenue'!$I:$I, "None")</f>
        <v>None</v>
      </c>
      <c r="AL1459" s="53">
        <v>20.431739130434774</v>
      </c>
      <c r="AM1459" s="61" t="s">
        <v>36</v>
      </c>
      <c r="AN1459" s="60" t="s">
        <v>36</v>
      </c>
      <c r="AO1459" s="60" t="s">
        <v>36</v>
      </c>
      <c r="AP1459" s="60" t="s">
        <v>36</v>
      </c>
      <c r="AQ1459" s="58" t="s">
        <v>0</v>
      </c>
      <c r="AR1459" s="58"/>
      <c r="AS1459" s="58"/>
      <c r="AT1459" s="52">
        <v>0</v>
      </c>
      <c r="AU1459" s="52">
        <f>IF(Master[[#This Row],[RSP StopTime override]] &lt;&gt; "",Master[[#This Row],[RSP StopTime override]],IF(Master[[#This Row],[Avg stop time helper]] &lt;&gt; 0, Master[[#This Row],[Avg stop time helper]],Average_Stop_Time))</f>
        <v>10</v>
      </c>
      <c r="AV1459" s="21">
        <v>10</v>
      </c>
      <c r="AW1459" s="20">
        <f>Master[[#This Row],[RSP StopTime override]]-Master[[#This Row],[Avg stop time helper]]</f>
        <v>10</v>
      </c>
    </row>
    <row r="1460" spans="1:49" x14ac:dyDescent="0.3">
      <c r="A1460" s="66" t="s">
        <v>5461</v>
      </c>
      <c r="B1460" s="58">
        <v>8040</v>
      </c>
      <c r="C1460" s="58" t="s">
        <v>43</v>
      </c>
      <c r="D1460" s="65">
        <v>884654</v>
      </c>
      <c r="E1460" s="65" t="s">
        <v>486</v>
      </c>
      <c r="F1460" s="65" t="s">
        <v>485</v>
      </c>
      <c r="G1460" s="65" t="s">
        <v>329</v>
      </c>
      <c r="H1460" s="65" t="s">
        <v>328</v>
      </c>
      <c r="I1460" s="65" t="s">
        <v>161</v>
      </c>
      <c r="J1460" s="65" t="s">
        <v>5</v>
      </c>
      <c r="K1460" s="65" t="s">
        <v>146</v>
      </c>
      <c r="L1460" s="64" t="s">
        <v>67</v>
      </c>
      <c r="M1460" s="58" t="s">
        <v>3</v>
      </c>
      <c r="N1460" s="58" t="s">
        <v>2</v>
      </c>
      <c r="O1460" s="58">
        <v>18</v>
      </c>
      <c r="P1460" s="58">
        <v>0</v>
      </c>
      <c r="Q1460" s="58">
        <v>0</v>
      </c>
      <c r="R1460" s="58">
        <v>0</v>
      </c>
      <c r="S1460" s="58">
        <v>18</v>
      </c>
      <c r="T1460" s="58">
        <v>0</v>
      </c>
      <c r="U1460" s="58">
        <v>38</v>
      </c>
      <c r="V1460" s="62">
        <v>0</v>
      </c>
      <c r="W1460" s="62">
        <v>0</v>
      </c>
      <c r="X1460" s="63">
        <f>IFERROR(1 -(Master[[#This Row],[Avg Garment Scans per Delivery]]/Master[[#This Row],[Garment Inventory]]), 0)</f>
        <v>0</v>
      </c>
      <c r="Y1460" s="62">
        <v>3</v>
      </c>
      <c r="Z1460" s="62">
        <v>25</v>
      </c>
      <c r="AA1460" s="53">
        <v>158.16863905325445</v>
      </c>
      <c r="AB1460" s="53">
        <v>190.76982248520713</v>
      </c>
      <c r="AC1460" s="53">
        <v>132.28877551020403</v>
      </c>
      <c r="AD1460" s="53">
        <v>194.4712244897959</v>
      </c>
      <c r="AE1460" s="53" t="str">
        <f>_xlfn.XLOOKUP(Master[[#This Row],[cu_id]],'[1]Customer Revenue'!$Q:$Q,'[1]Customer Revenue'!$K:$K, "None")</f>
        <v>None</v>
      </c>
      <c r="AF1460" s="53" t="str">
        <f>_xlfn.XLOOKUP(Master[[#This Row],[cu_id]],'[1]Customer Revenue'!$Q:$Q,'[1]Customer Revenue'!$L:$L, "None")</f>
        <v>None</v>
      </c>
      <c r="AG1460" s="53">
        <v>151.10473372781061</v>
      </c>
      <c r="AH1460" s="53">
        <v>181.81449704142008</v>
      </c>
      <c r="AI1460" s="53">
        <v>174.46923076923079</v>
      </c>
      <c r="AJ1460" s="53">
        <v>163.37999999999997</v>
      </c>
      <c r="AK1460" s="53" t="str">
        <f>_xlfn.XLOOKUP(Master[[#This Row],[cu_id]],'[1]Customer Revenue'!$Q:$Q,'[1]Customer Revenue'!$I:$I, "None")</f>
        <v>None</v>
      </c>
      <c r="AL1460" s="53">
        <v>166.45961538461535</v>
      </c>
      <c r="AM1460" s="61">
        <v>0.29166666666666669</v>
      </c>
      <c r="AN1460" s="60">
        <v>0.70833333333333337</v>
      </c>
      <c r="AO1460" s="60" t="s">
        <v>36</v>
      </c>
      <c r="AP1460" s="60" t="s">
        <v>36</v>
      </c>
      <c r="AQ1460" s="58" t="s">
        <v>0</v>
      </c>
      <c r="AR1460" s="58"/>
      <c r="AS1460" s="58"/>
      <c r="AT1460" s="52">
        <v>0</v>
      </c>
      <c r="AU1460" s="52">
        <f>IF(Master[[#This Row],[RSP StopTime override]] &lt;&gt; "",Master[[#This Row],[RSP StopTime override]],IF(Master[[#This Row],[Avg stop time helper]] &lt;&gt; 0, Master[[#This Row],[Avg stop time helper]],Average_Stop_Time))</f>
        <v>20</v>
      </c>
      <c r="AV1460" s="21">
        <v>20</v>
      </c>
      <c r="AW1460" s="20">
        <f>Master[[#This Row],[RSP StopTime override]]-Master[[#This Row],[Avg stop time helper]]</f>
        <v>20</v>
      </c>
    </row>
    <row r="1461" spans="1:49" x14ac:dyDescent="0.3">
      <c r="A1461" s="66" t="s">
        <v>5462</v>
      </c>
      <c r="B1461" s="58">
        <v>8040</v>
      </c>
      <c r="C1461" s="58" t="s">
        <v>10</v>
      </c>
      <c r="D1461" s="65">
        <v>883965</v>
      </c>
      <c r="E1461" s="65" t="s">
        <v>484</v>
      </c>
      <c r="F1461" s="65" t="s">
        <v>483</v>
      </c>
      <c r="G1461" s="65" t="s">
        <v>482</v>
      </c>
      <c r="H1461" s="65" t="s">
        <v>7</v>
      </c>
      <c r="I1461" s="65" t="s">
        <v>6</v>
      </c>
      <c r="J1461" s="65" t="s">
        <v>5</v>
      </c>
      <c r="K1461" s="65" t="s">
        <v>115</v>
      </c>
      <c r="L1461" s="64" t="s">
        <v>67</v>
      </c>
      <c r="M1461" s="58" t="s">
        <v>3</v>
      </c>
      <c r="N1461" s="58" t="s">
        <v>2</v>
      </c>
      <c r="O1461" s="58">
        <v>140</v>
      </c>
      <c r="P1461" s="58">
        <v>0</v>
      </c>
      <c r="Q1461" s="58">
        <v>0</v>
      </c>
      <c r="R1461" s="58">
        <v>165</v>
      </c>
      <c r="S1461" s="58">
        <v>0</v>
      </c>
      <c r="T1461" s="58">
        <v>0</v>
      </c>
      <c r="U1461" s="58">
        <v>15</v>
      </c>
      <c r="V1461" s="62"/>
      <c r="W1461" s="62"/>
      <c r="X1461" s="63">
        <f>IFERROR(1 -(Master[[#This Row],[Avg Garment Scans per Delivery]]/Master[[#This Row],[Garment Inventory]]), 0)</f>
        <v>0</v>
      </c>
      <c r="Y1461" s="62"/>
      <c r="Z1461" s="62"/>
      <c r="AA1461" s="53"/>
      <c r="AB1461" s="53"/>
      <c r="AC1461" s="53">
        <v>18.677777777777766</v>
      </c>
      <c r="AD1461" s="53">
        <v>26.877777777777776</v>
      </c>
      <c r="AE1461" s="53" t="str">
        <f>_xlfn.XLOOKUP(Master[[#This Row],[cu_id]],'[1]Customer Revenue'!$Q:$Q,'[1]Customer Revenue'!$K:$K, "None")</f>
        <v>None</v>
      </c>
      <c r="AF1461" s="53" t="str">
        <f>_xlfn.XLOOKUP(Master[[#This Row],[cu_id]],'[1]Customer Revenue'!$Q:$Q,'[1]Customer Revenue'!$L:$L, "None")</f>
        <v>None</v>
      </c>
      <c r="AG1461" s="53">
        <v>8.6239999999999988</v>
      </c>
      <c r="AH1461" s="53">
        <v>44.176000000000002</v>
      </c>
      <c r="AI1461" s="53"/>
      <c r="AJ1461" s="53">
        <v>22.777777777777771</v>
      </c>
      <c r="AK1461" s="53" t="str">
        <f>_xlfn.XLOOKUP(Master[[#This Row],[cu_id]],'[1]Customer Revenue'!$Q:$Q,'[1]Customer Revenue'!$I:$I, "None")</f>
        <v>None</v>
      </c>
      <c r="AL1461" s="53">
        <v>26.4</v>
      </c>
      <c r="AM1461" s="61" t="s">
        <v>36</v>
      </c>
      <c r="AN1461" s="60" t="s">
        <v>36</v>
      </c>
      <c r="AO1461" s="60" t="s">
        <v>36</v>
      </c>
      <c r="AP1461" s="60" t="s">
        <v>36</v>
      </c>
      <c r="AQ1461" s="58" t="s">
        <v>0</v>
      </c>
      <c r="AR1461" s="58"/>
      <c r="AS1461" s="58"/>
      <c r="AT1461" s="52">
        <v>0</v>
      </c>
      <c r="AU1461" s="52">
        <f>IF(Master[[#This Row],[RSP StopTime override]] &lt;&gt; "",Master[[#This Row],[RSP StopTime override]],IF(Master[[#This Row],[Avg stop time helper]] &lt;&gt; 0, Master[[#This Row],[Avg stop time helper]],Average_Stop_Time))</f>
        <v>15</v>
      </c>
      <c r="AV1461" s="21">
        <v>15</v>
      </c>
      <c r="AW1461" s="20">
        <f>Master[[#This Row],[RSP StopTime override]]-Master[[#This Row],[Avg stop time helper]]</f>
        <v>15</v>
      </c>
    </row>
    <row r="1462" spans="1:49" x14ac:dyDescent="0.3">
      <c r="A1462" s="66" t="s">
        <v>5463</v>
      </c>
      <c r="B1462" s="58">
        <v>8040</v>
      </c>
      <c r="C1462" s="58" t="s">
        <v>43</v>
      </c>
      <c r="D1462" s="65">
        <v>807830</v>
      </c>
      <c r="E1462" s="65" t="s">
        <v>42</v>
      </c>
      <c r="F1462" s="65" t="s">
        <v>481</v>
      </c>
      <c r="G1462" s="65" t="s">
        <v>480</v>
      </c>
      <c r="H1462" s="65" t="s">
        <v>7</v>
      </c>
      <c r="I1462" s="65" t="s">
        <v>6</v>
      </c>
      <c r="J1462" s="65" t="s">
        <v>5</v>
      </c>
      <c r="K1462" s="65" t="s">
        <v>146</v>
      </c>
      <c r="L1462" s="64" t="s">
        <v>124</v>
      </c>
      <c r="M1462" s="58" t="s">
        <v>123</v>
      </c>
      <c r="N1462" s="58" t="s">
        <v>2</v>
      </c>
      <c r="O1462" s="58">
        <v>85</v>
      </c>
      <c r="P1462" s="58">
        <v>0</v>
      </c>
      <c r="Q1462" s="58">
        <v>0</v>
      </c>
      <c r="R1462" s="58">
        <v>0</v>
      </c>
      <c r="S1462" s="58">
        <v>85</v>
      </c>
      <c r="T1462" s="58">
        <v>0</v>
      </c>
      <c r="U1462" s="58">
        <v>10</v>
      </c>
      <c r="V1462" s="62"/>
      <c r="W1462" s="62"/>
      <c r="X1462" s="63">
        <f>IFERROR(1 -(Master[[#This Row],[Avg Garment Scans per Delivery]]/Master[[#This Row],[Garment Inventory]]), 0)</f>
        <v>0</v>
      </c>
      <c r="Y1462" s="62"/>
      <c r="Z1462" s="62"/>
      <c r="AA1462" s="53">
        <v>45.549999999999983</v>
      </c>
      <c r="AB1462" s="53">
        <v>45.55</v>
      </c>
      <c r="AC1462" s="53">
        <v>33.447777777777773</v>
      </c>
      <c r="AD1462" s="53">
        <v>47.278888888888886</v>
      </c>
      <c r="AE1462" s="53" t="str">
        <f>_xlfn.XLOOKUP(Master[[#This Row],[cu_id]],'[1]Customer Revenue'!$Q:$Q,'[1]Customer Revenue'!$K:$K, "None")</f>
        <v>None</v>
      </c>
      <c r="AF1462" s="53" t="str">
        <f>_xlfn.XLOOKUP(Master[[#This Row],[cu_id]],'[1]Customer Revenue'!$Q:$Q,'[1]Customer Revenue'!$L:$L, "None")</f>
        <v>None</v>
      </c>
      <c r="AG1462" s="53">
        <v>45.55</v>
      </c>
      <c r="AH1462" s="53">
        <v>45.550000000000011</v>
      </c>
      <c r="AI1462" s="53">
        <v>45.54999999999999</v>
      </c>
      <c r="AJ1462" s="53">
        <v>40.36333333333333</v>
      </c>
      <c r="AK1462" s="53" t="str">
        <f>_xlfn.XLOOKUP(Master[[#This Row],[cu_id]],'[1]Customer Revenue'!$Q:$Q,'[1]Customer Revenue'!$I:$I, "None")</f>
        <v>None</v>
      </c>
      <c r="AL1462" s="53">
        <v>45.550000000000004</v>
      </c>
      <c r="AM1462" s="61">
        <v>0.375</v>
      </c>
      <c r="AN1462" s="60">
        <v>0.70833333333333337</v>
      </c>
      <c r="AO1462" s="60" t="s">
        <v>36</v>
      </c>
      <c r="AP1462" s="60" t="s">
        <v>36</v>
      </c>
      <c r="AQ1462" s="58" t="s">
        <v>0</v>
      </c>
      <c r="AR1462" s="58"/>
      <c r="AS1462" s="58"/>
      <c r="AT1462" s="52">
        <v>0</v>
      </c>
      <c r="AU1462" s="52">
        <f>IF(Master[[#This Row],[RSP StopTime override]] &lt;&gt; "",Master[[#This Row],[RSP StopTime override]],IF(Master[[#This Row],[Avg stop time helper]] &lt;&gt; 0, Master[[#This Row],[Avg stop time helper]],Average_Stop_Time))</f>
        <v>10</v>
      </c>
      <c r="AV1462" s="21">
        <v>10</v>
      </c>
      <c r="AW1462" s="20">
        <f>Master[[#This Row],[RSP StopTime override]]-Master[[#This Row],[Avg stop time helper]]</f>
        <v>10</v>
      </c>
    </row>
    <row r="1463" spans="1:49" x14ac:dyDescent="0.3">
      <c r="A1463" s="66" t="s">
        <v>5464</v>
      </c>
      <c r="B1463" s="58">
        <v>8040</v>
      </c>
      <c r="C1463" s="58" t="s">
        <v>15</v>
      </c>
      <c r="D1463" s="65">
        <v>809831</v>
      </c>
      <c r="E1463" s="65" t="s">
        <v>42</v>
      </c>
      <c r="F1463" s="65" t="s">
        <v>479</v>
      </c>
      <c r="G1463" s="65" t="s">
        <v>478</v>
      </c>
      <c r="H1463" s="65" t="s">
        <v>7</v>
      </c>
      <c r="I1463" s="65" t="s">
        <v>6</v>
      </c>
      <c r="J1463" s="65" t="s">
        <v>5</v>
      </c>
      <c r="K1463" s="65" t="s">
        <v>477</v>
      </c>
      <c r="L1463" s="64" t="s">
        <v>124</v>
      </c>
      <c r="M1463" s="58" t="s">
        <v>123</v>
      </c>
      <c r="N1463" s="58" t="s">
        <v>2</v>
      </c>
      <c r="O1463" s="58">
        <v>70</v>
      </c>
      <c r="P1463" s="58">
        <v>0</v>
      </c>
      <c r="Q1463" s="58">
        <v>0</v>
      </c>
      <c r="R1463" s="58">
        <v>0</v>
      </c>
      <c r="S1463" s="58">
        <v>0</v>
      </c>
      <c r="T1463" s="58">
        <v>70</v>
      </c>
      <c r="U1463" s="58">
        <v>10</v>
      </c>
      <c r="V1463" s="62"/>
      <c r="W1463" s="62"/>
      <c r="X1463" s="63">
        <f>IFERROR(1 -(Master[[#This Row],[Avg Garment Scans per Delivery]]/Master[[#This Row],[Garment Inventory]]), 0)</f>
        <v>0</v>
      </c>
      <c r="Y1463" s="62"/>
      <c r="Z1463" s="62"/>
      <c r="AA1463" s="53">
        <v>48.46</v>
      </c>
      <c r="AB1463" s="53">
        <v>48.46</v>
      </c>
      <c r="AC1463" s="53">
        <v>48.328888888888891</v>
      </c>
      <c r="AD1463" s="53">
        <v>49.377777777777773</v>
      </c>
      <c r="AE1463" s="53" t="str">
        <f>_xlfn.XLOOKUP(Master[[#This Row],[cu_id]],'[1]Customer Revenue'!$Q:$Q,'[1]Customer Revenue'!$K:$K, "None")</f>
        <v>None</v>
      </c>
      <c r="AF1463" s="53" t="str">
        <f>_xlfn.XLOOKUP(Master[[#This Row],[cu_id]],'[1]Customer Revenue'!$Q:$Q,'[1]Customer Revenue'!$L:$L, "None")</f>
        <v>None</v>
      </c>
      <c r="AG1463" s="53">
        <v>48.453061224489794</v>
      </c>
      <c r="AH1463" s="53">
        <v>48.461224489795917</v>
      </c>
      <c r="AI1463" s="53">
        <v>48.46</v>
      </c>
      <c r="AJ1463" s="53">
        <v>48.853333333333332</v>
      </c>
      <c r="AK1463" s="53" t="str">
        <f>_xlfn.XLOOKUP(Master[[#This Row],[cu_id]],'[1]Customer Revenue'!$Q:$Q,'[1]Customer Revenue'!$I:$I, "None")</f>
        <v>None</v>
      </c>
      <c r="AL1463" s="53">
        <v>48.457142857142856</v>
      </c>
      <c r="AM1463" s="61" t="s">
        <v>36</v>
      </c>
      <c r="AN1463" s="60" t="s">
        <v>36</v>
      </c>
      <c r="AO1463" s="60" t="s">
        <v>36</v>
      </c>
      <c r="AP1463" s="60" t="s">
        <v>36</v>
      </c>
      <c r="AQ1463" s="58" t="s">
        <v>0</v>
      </c>
      <c r="AR1463" s="58"/>
      <c r="AS1463" s="58"/>
      <c r="AT1463" s="52">
        <v>0</v>
      </c>
      <c r="AU1463" s="52">
        <f>IF(Master[[#This Row],[RSP StopTime override]] &lt;&gt; "",Master[[#This Row],[RSP StopTime override]],IF(Master[[#This Row],[Avg stop time helper]] &lt;&gt; 0, Master[[#This Row],[Avg stop time helper]],Average_Stop_Time))</f>
        <v>10</v>
      </c>
      <c r="AV1463" s="21">
        <v>10</v>
      </c>
      <c r="AW1463" s="20">
        <f>Master[[#This Row],[RSP StopTime override]]-Master[[#This Row],[Avg stop time helper]]</f>
        <v>10</v>
      </c>
    </row>
    <row r="1464" spans="1:49" x14ac:dyDescent="0.3">
      <c r="A1464" s="66" t="s">
        <v>5465</v>
      </c>
      <c r="B1464" s="58">
        <v>8040</v>
      </c>
      <c r="C1464" s="58" t="s">
        <v>35</v>
      </c>
      <c r="D1464" s="65">
        <v>882330</v>
      </c>
      <c r="E1464" s="65" t="s">
        <v>476</v>
      </c>
      <c r="F1464" s="65" t="s">
        <v>475</v>
      </c>
      <c r="G1464" s="65" t="s">
        <v>474</v>
      </c>
      <c r="H1464" s="65" t="s">
        <v>7</v>
      </c>
      <c r="I1464" s="65" t="s">
        <v>6</v>
      </c>
      <c r="J1464" s="65" t="s">
        <v>5</v>
      </c>
      <c r="K1464" s="65" t="s">
        <v>68</v>
      </c>
      <c r="L1464" s="64" t="s">
        <v>67</v>
      </c>
      <c r="M1464" s="58" t="s">
        <v>3</v>
      </c>
      <c r="N1464" s="58" t="s">
        <v>2</v>
      </c>
      <c r="O1464" s="58">
        <v>55</v>
      </c>
      <c r="P1464" s="58">
        <v>0</v>
      </c>
      <c r="Q1464" s="58">
        <v>55</v>
      </c>
      <c r="R1464" s="58">
        <v>0</v>
      </c>
      <c r="S1464" s="58">
        <v>0</v>
      </c>
      <c r="T1464" s="58">
        <v>0</v>
      </c>
      <c r="U1464" s="58">
        <v>36</v>
      </c>
      <c r="V1464" s="62"/>
      <c r="W1464" s="62"/>
      <c r="X1464" s="63">
        <f>IFERROR(1 -(Master[[#This Row],[Avg Garment Scans per Delivery]]/Master[[#This Row],[Garment Inventory]]), 0)</f>
        <v>0</v>
      </c>
      <c r="Y1464" s="62"/>
      <c r="Z1464" s="62"/>
      <c r="AA1464" s="53">
        <v>67.355384615384608</v>
      </c>
      <c r="AB1464" s="53">
        <v>67.724615384615376</v>
      </c>
      <c r="AC1464" s="53">
        <v>58.436143984220905</v>
      </c>
      <c r="AD1464" s="53">
        <v>77.780522682445763</v>
      </c>
      <c r="AE1464" s="53" t="str">
        <f>_xlfn.XLOOKUP(Master[[#This Row],[cu_id]],'[1]Customer Revenue'!$Q:$Q,'[1]Customer Revenue'!$K:$K, "None")</f>
        <v>None</v>
      </c>
      <c r="AF1464" s="53" t="str">
        <f>_xlfn.XLOOKUP(Master[[#This Row],[cu_id]],'[1]Customer Revenue'!$Q:$Q,'[1]Customer Revenue'!$L:$L, "None")</f>
        <v>None</v>
      </c>
      <c r="AG1464" s="53">
        <v>54.212116027784965</v>
      </c>
      <c r="AH1464" s="53">
        <v>82.023536146128123</v>
      </c>
      <c r="AI1464" s="53">
        <v>67.539999999999992</v>
      </c>
      <c r="AJ1464" s="53">
        <v>68.108333333333334</v>
      </c>
      <c r="AK1464" s="53" t="str">
        <f>_xlfn.XLOOKUP(Master[[#This Row],[cu_id]],'[1]Customer Revenue'!$Q:$Q,'[1]Customer Revenue'!$I:$I, "None")</f>
        <v>None</v>
      </c>
      <c r="AL1464" s="53">
        <v>68.117826086956541</v>
      </c>
      <c r="AM1464" s="61" t="s">
        <v>36</v>
      </c>
      <c r="AN1464" s="60" t="s">
        <v>36</v>
      </c>
      <c r="AO1464" s="60" t="s">
        <v>36</v>
      </c>
      <c r="AP1464" s="60" t="s">
        <v>36</v>
      </c>
      <c r="AQ1464" s="58" t="s">
        <v>0</v>
      </c>
      <c r="AR1464" s="58"/>
      <c r="AS1464" s="58"/>
      <c r="AT1464" s="52">
        <v>0</v>
      </c>
      <c r="AU1464" s="52">
        <f>IF(Master[[#This Row],[RSP StopTime override]] &lt;&gt; "",Master[[#This Row],[RSP StopTime override]],IF(Master[[#This Row],[Avg stop time helper]] &lt;&gt; 0, Master[[#This Row],[Avg stop time helper]],Average_Stop_Time))</f>
        <v>10</v>
      </c>
      <c r="AV1464" s="21">
        <v>10</v>
      </c>
      <c r="AW1464" s="20">
        <f>Master[[#This Row],[RSP StopTime override]]-Master[[#This Row],[Avg stop time helper]]</f>
        <v>10</v>
      </c>
    </row>
    <row r="1465" spans="1:49" x14ac:dyDescent="0.3">
      <c r="A1465" s="66" t="s">
        <v>5466</v>
      </c>
      <c r="B1465" s="58">
        <v>8040</v>
      </c>
      <c r="C1465" s="58" t="s">
        <v>35</v>
      </c>
      <c r="D1465" s="65">
        <v>882351</v>
      </c>
      <c r="E1465" s="65" t="s">
        <v>473</v>
      </c>
      <c r="F1465" s="65" t="s">
        <v>472</v>
      </c>
      <c r="G1465" s="65" t="s">
        <v>471</v>
      </c>
      <c r="H1465" s="65" t="s">
        <v>7</v>
      </c>
      <c r="I1465" s="65" t="s">
        <v>6</v>
      </c>
      <c r="J1465" s="65" t="s">
        <v>5</v>
      </c>
      <c r="K1465" s="65" t="s">
        <v>68</v>
      </c>
      <c r="L1465" s="64" t="s">
        <v>67</v>
      </c>
      <c r="M1465" s="58" t="s">
        <v>3</v>
      </c>
      <c r="N1465" s="58" t="s">
        <v>2</v>
      </c>
      <c r="O1465" s="58">
        <v>95</v>
      </c>
      <c r="P1465" s="58">
        <v>0</v>
      </c>
      <c r="Q1465" s="58">
        <v>95</v>
      </c>
      <c r="R1465" s="58">
        <v>0</v>
      </c>
      <c r="S1465" s="58">
        <v>0</v>
      </c>
      <c r="T1465" s="58">
        <v>0</v>
      </c>
      <c r="U1465" s="58">
        <v>14</v>
      </c>
      <c r="V1465" s="62"/>
      <c r="W1465" s="62"/>
      <c r="X1465" s="63">
        <f>IFERROR(1 -(Master[[#This Row],[Avg Garment Scans per Delivery]]/Master[[#This Row],[Garment Inventory]]), 0)</f>
        <v>0</v>
      </c>
      <c r="Y1465" s="62"/>
      <c r="Z1465" s="62"/>
      <c r="AA1465" s="53"/>
      <c r="AB1465" s="53"/>
      <c r="AC1465" s="53">
        <v>34.528570019723865</v>
      </c>
      <c r="AD1465" s="53">
        <v>53.328096646942804</v>
      </c>
      <c r="AE1465" s="53" t="str">
        <f>_xlfn.XLOOKUP(Master[[#This Row],[cu_id]],'[1]Customer Revenue'!$Q:$Q,'[1]Customer Revenue'!$K:$K, "None")</f>
        <v>None</v>
      </c>
      <c r="AF1465" s="53" t="str">
        <f>_xlfn.XLOOKUP(Master[[#This Row],[cu_id]],'[1]Customer Revenue'!$Q:$Q,'[1]Customer Revenue'!$L:$L, "None")</f>
        <v>None</v>
      </c>
      <c r="AG1465" s="53">
        <v>24.555</v>
      </c>
      <c r="AH1465" s="53">
        <v>73.664999999999992</v>
      </c>
      <c r="AI1465" s="53"/>
      <c r="AJ1465" s="53">
        <v>43.928333333333335</v>
      </c>
      <c r="AK1465" s="53" t="str">
        <f>_xlfn.XLOOKUP(Master[[#This Row],[cu_id]],'[1]Customer Revenue'!$Q:$Q,'[1]Customer Revenue'!$I:$I, "None")</f>
        <v>None</v>
      </c>
      <c r="AL1465" s="53">
        <v>49.11</v>
      </c>
      <c r="AM1465" s="61">
        <v>0.33333333333333331</v>
      </c>
      <c r="AN1465" s="60">
        <v>0.75</v>
      </c>
      <c r="AO1465" s="60" t="s">
        <v>36</v>
      </c>
      <c r="AP1465" s="60" t="s">
        <v>36</v>
      </c>
      <c r="AQ1465" s="58" t="s">
        <v>0</v>
      </c>
      <c r="AR1465" s="58"/>
      <c r="AS1465" s="58"/>
      <c r="AT1465" s="52">
        <v>0</v>
      </c>
      <c r="AU1465" s="52">
        <f>IF(Master[[#This Row],[RSP StopTime override]] &lt;&gt; "",Master[[#This Row],[RSP StopTime override]],IF(Master[[#This Row],[Avg stop time helper]] &lt;&gt; 0, Master[[#This Row],[Avg stop time helper]],Average_Stop_Time))</f>
        <v>10</v>
      </c>
      <c r="AV1465" s="21">
        <v>10</v>
      </c>
      <c r="AW1465" s="20">
        <f>Master[[#This Row],[RSP StopTime override]]-Master[[#This Row],[Avg stop time helper]]</f>
        <v>10</v>
      </c>
    </row>
    <row r="1466" spans="1:49" x14ac:dyDescent="0.3">
      <c r="A1466" s="66" t="s">
        <v>5467</v>
      </c>
      <c r="B1466" s="58">
        <v>8040</v>
      </c>
      <c r="C1466" s="58" t="s">
        <v>24</v>
      </c>
      <c r="D1466" s="65">
        <v>803071</v>
      </c>
      <c r="E1466" s="65" t="s">
        <v>42</v>
      </c>
      <c r="F1466" s="65" t="s">
        <v>470</v>
      </c>
      <c r="G1466" s="65" t="s">
        <v>469</v>
      </c>
      <c r="H1466" s="65" t="s">
        <v>7</v>
      </c>
      <c r="I1466" s="65" t="s">
        <v>6</v>
      </c>
      <c r="J1466" s="65" t="s">
        <v>5</v>
      </c>
      <c r="K1466" s="65" t="s">
        <v>68</v>
      </c>
      <c r="L1466" s="64" t="s">
        <v>67</v>
      </c>
      <c r="M1466" s="58" t="s">
        <v>3</v>
      </c>
      <c r="N1466" s="58" t="s">
        <v>2</v>
      </c>
      <c r="O1466" s="58">
        <v>30</v>
      </c>
      <c r="P1466" s="58">
        <v>30</v>
      </c>
      <c r="Q1466" s="58">
        <v>0</v>
      </c>
      <c r="R1466" s="58">
        <v>0</v>
      </c>
      <c r="S1466" s="58">
        <v>0</v>
      </c>
      <c r="T1466" s="58">
        <v>0</v>
      </c>
      <c r="U1466" s="58">
        <v>39</v>
      </c>
      <c r="V1466" s="62"/>
      <c r="W1466" s="62"/>
      <c r="X1466" s="63">
        <f>IFERROR(1 -(Master[[#This Row],[Avg Garment Scans per Delivery]]/Master[[#This Row],[Garment Inventory]]), 0)</f>
        <v>0</v>
      </c>
      <c r="Y1466" s="62"/>
      <c r="Z1466" s="62"/>
      <c r="AA1466" s="53">
        <v>61.743313609467464</v>
      </c>
      <c r="AB1466" s="53">
        <v>75.004378698224855</v>
      </c>
      <c r="AC1466" s="53">
        <v>56.181183431952661</v>
      </c>
      <c r="AD1466" s="53">
        <v>68.997278106508872</v>
      </c>
      <c r="AE1466" s="53" t="str">
        <f>_xlfn.XLOOKUP(Master[[#This Row],[cu_id]],'[1]Customer Revenue'!$Q:$Q,'[1]Customer Revenue'!$K:$K, "None")</f>
        <v>None</v>
      </c>
      <c r="AF1466" s="53" t="str">
        <f>_xlfn.XLOOKUP(Master[[#This Row],[cu_id]],'[1]Customer Revenue'!$Q:$Q,'[1]Customer Revenue'!$L:$L, "None")</f>
        <v>None</v>
      </c>
      <c r="AG1466" s="53">
        <v>61.167424817980383</v>
      </c>
      <c r="AH1466" s="53">
        <v>77.897959797404255</v>
      </c>
      <c r="AI1466" s="53">
        <v>68.373846153846159</v>
      </c>
      <c r="AJ1466" s="53">
        <v>62.589230769230767</v>
      </c>
      <c r="AK1466" s="53" t="str">
        <f>_xlfn.XLOOKUP(Master[[#This Row],[cu_id]],'[1]Customer Revenue'!$Q:$Q,'[1]Customer Revenue'!$I:$I, "None")</f>
        <v>None</v>
      </c>
      <c r="AL1466" s="53">
        <v>69.532692307692315</v>
      </c>
      <c r="AM1466" s="61">
        <v>0.29166666666666669</v>
      </c>
      <c r="AN1466" s="60">
        <v>0.58333333333333337</v>
      </c>
      <c r="AO1466" s="60" t="s">
        <v>36</v>
      </c>
      <c r="AP1466" s="60" t="s">
        <v>36</v>
      </c>
      <c r="AQ1466" s="58" t="s">
        <v>308</v>
      </c>
      <c r="AR1466" s="58"/>
      <c r="AS1466" s="58"/>
      <c r="AT1466" s="52">
        <v>0</v>
      </c>
      <c r="AU1466" s="52">
        <f>IF(Master[[#This Row],[RSP StopTime override]] &lt;&gt; "",Master[[#This Row],[RSP StopTime override]],IF(Master[[#This Row],[Avg stop time helper]] &lt;&gt; 0, Master[[#This Row],[Avg stop time helper]],Average_Stop_Time))</f>
        <v>15</v>
      </c>
      <c r="AV1466" s="21">
        <v>15</v>
      </c>
      <c r="AW1466" s="20">
        <f>Master[[#This Row],[RSP StopTime override]]-Master[[#This Row],[Avg stop time helper]]</f>
        <v>15</v>
      </c>
    </row>
    <row r="1467" spans="1:49" x14ac:dyDescent="0.3">
      <c r="A1467" s="66" t="s">
        <v>5468</v>
      </c>
      <c r="B1467" s="58">
        <v>8040</v>
      </c>
      <c r="C1467" s="58" t="s">
        <v>15</v>
      </c>
      <c r="D1467" s="65">
        <v>830172</v>
      </c>
      <c r="E1467" s="65" t="s">
        <v>42</v>
      </c>
      <c r="F1467" s="65" t="s">
        <v>468</v>
      </c>
      <c r="G1467" s="65" t="s">
        <v>467</v>
      </c>
      <c r="H1467" s="65" t="s">
        <v>7</v>
      </c>
      <c r="I1467" s="65" t="s">
        <v>6</v>
      </c>
      <c r="J1467" s="65" t="s">
        <v>5</v>
      </c>
      <c r="K1467" s="65" t="s">
        <v>146</v>
      </c>
      <c r="L1467" s="64" t="s">
        <v>141</v>
      </c>
      <c r="M1467" s="58" t="s">
        <v>140</v>
      </c>
      <c r="N1467" s="58" t="s">
        <v>2</v>
      </c>
      <c r="O1467" s="58">
        <v>55</v>
      </c>
      <c r="P1467" s="58">
        <v>0</v>
      </c>
      <c r="Q1467" s="58">
        <v>0</v>
      </c>
      <c r="R1467" s="58">
        <v>0</v>
      </c>
      <c r="S1467" s="58">
        <v>0</v>
      </c>
      <c r="T1467" s="58">
        <v>55</v>
      </c>
      <c r="U1467" s="58">
        <v>10</v>
      </c>
      <c r="V1467" s="62"/>
      <c r="W1467" s="62"/>
      <c r="X1467" s="63">
        <f>IFERROR(1 -(Master[[#This Row],[Avg Garment Scans per Delivery]]/Master[[#This Row],[Garment Inventory]]), 0)</f>
        <v>0</v>
      </c>
      <c r="Y1467" s="62"/>
      <c r="Z1467" s="62"/>
      <c r="AA1467" s="53">
        <v>19.363333333333333</v>
      </c>
      <c r="AB1467" s="53">
        <v>24.456666666666667</v>
      </c>
      <c r="AC1467" s="53">
        <v>20</v>
      </c>
      <c r="AD1467" s="53">
        <v>20</v>
      </c>
      <c r="AE1467" s="53" t="str">
        <f>_xlfn.XLOOKUP(Master[[#This Row],[cu_id]],'[1]Customer Revenue'!$Q:$Q,'[1]Customer Revenue'!$K:$K, "None")</f>
        <v>None</v>
      </c>
      <c r="AF1467" s="53" t="str">
        <f>_xlfn.XLOOKUP(Master[[#This Row],[cu_id]],'[1]Customer Revenue'!$Q:$Q,'[1]Customer Revenue'!$L:$L, "None")</f>
        <v>None</v>
      </c>
      <c r="AG1467" s="53">
        <v>16.904017857142861</v>
      </c>
      <c r="AH1467" s="53">
        <v>26.370267857142856</v>
      </c>
      <c r="AI1467" s="53">
        <v>21.91</v>
      </c>
      <c r="AJ1467" s="53">
        <v>20</v>
      </c>
      <c r="AK1467" s="53" t="str">
        <f>_xlfn.XLOOKUP(Master[[#This Row],[cu_id]],'[1]Customer Revenue'!$Q:$Q,'[1]Customer Revenue'!$I:$I, "None")</f>
        <v>None</v>
      </c>
      <c r="AL1467" s="53">
        <v>21.637142857142859</v>
      </c>
      <c r="AM1467" s="61">
        <v>0.35416666666666669</v>
      </c>
      <c r="AN1467" s="60">
        <v>0.70833333333333337</v>
      </c>
      <c r="AO1467" s="60" t="s">
        <v>36</v>
      </c>
      <c r="AP1467" s="60" t="s">
        <v>36</v>
      </c>
      <c r="AQ1467" s="58" t="s">
        <v>0</v>
      </c>
      <c r="AR1467" s="58"/>
      <c r="AS1467" s="58"/>
      <c r="AT1467" s="52">
        <v>0</v>
      </c>
      <c r="AU1467" s="52">
        <f>IF(Master[[#This Row],[RSP StopTime override]] &lt;&gt; "",Master[[#This Row],[RSP StopTime override]],IF(Master[[#This Row],[Avg stop time helper]] &lt;&gt; 0, Master[[#This Row],[Avg stop time helper]],Average_Stop_Time))</f>
        <v>10</v>
      </c>
      <c r="AV1467" s="21">
        <v>10</v>
      </c>
      <c r="AW1467" s="20">
        <f>Master[[#This Row],[RSP StopTime override]]-Master[[#This Row],[Avg stop time helper]]</f>
        <v>10</v>
      </c>
    </row>
    <row r="1468" spans="1:49" x14ac:dyDescent="0.3">
      <c r="A1468" s="66" t="s">
        <v>5469</v>
      </c>
      <c r="B1468" s="58">
        <v>8040</v>
      </c>
      <c r="C1468" s="58" t="s">
        <v>35</v>
      </c>
      <c r="D1468" s="65">
        <v>803188</v>
      </c>
      <c r="E1468" s="65" t="s">
        <v>42</v>
      </c>
      <c r="F1468" s="65" t="s">
        <v>466</v>
      </c>
      <c r="G1468" s="65" t="s">
        <v>465</v>
      </c>
      <c r="H1468" s="65" t="s">
        <v>7</v>
      </c>
      <c r="I1468" s="65" t="s">
        <v>6</v>
      </c>
      <c r="J1468" s="65" t="s">
        <v>5</v>
      </c>
      <c r="K1468" s="65" t="s">
        <v>68</v>
      </c>
      <c r="L1468" s="64" t="s">
        <v>67</v>
      </c>
      <c r="M1468" s="58" t="s">
        <v>3</v>
      </c>
      <c r="N1468" s="58" t="s">
        <v>2</v>
      </c>
      <c r="O1468" s="58">
        <v>146</v>
      </c>
      <c r="P1468" s="58">
        <v>0</v>
      </c>
      <c r="Q1468" s="58">
        <v>146</v>
      </c>
      <c r="R1468" s="58">
        <v>0</v>
      </c>
      <c r="S1468" s="58">
        <v>0</v>
      </c>
      <c r="T1468" s="58">
        <v>0</v>
      </c>
      <c r="U1468" s="58">
        <v>39</v>
      </c>
      <c r="V1468" s="62"/>
      <c r="W1468" s="62"/>
      <c r="X1468" s="63">
        <f>IFERROR(1 -(Master[[#This Row],[Avg Garment Scans per Delivery]]/Master[[#This Row],[Garment Inventory]]), 0)</f>
        <v>0</v>
      </c>
      <c r="Y1468" s="62"/>
      <c r="Z1468" s="62"/>
      <c r="AA1468" s="53">
        <v>18.589289940828401</v>
      </c>
      <c r="AB1468" s="53">
        <v>36.572248520710055</v>
      </c>
      <c r="AC1468" s="53">
        <v>12.893017751479293</v>
      </c>
      <c r="AD1468" s="53">
        <v>30.608520710059175</v>
      </c>
      <c r="AE1468" s="53" t="str">
        <f>_xlfn.XLOOKUP(Master[[#This Row],[cu_id]],'[1]Customer Revenue'!$Q:$Q,'[1]Customer Revenue'!$K:$K, "None")</f>
        <v>None</v>
      </c>
      <c r="AF1468" s="53" t="str">
        <f>_xlfn.XLOOKUP(Master[[#This Row],[cu_id]],'[1]Customer Revenue'!$Q:$Q,'[1]Customer Revenue'!$L:$L, "None")</f>
        <v>None</v>
      </c>
      <c r="AG1468" s="53">
        <v>17.032307692307697</v>
      </c>
      <c r="AH1468" s="53">
        <v>34.279999999999994</v>
      </c>
      <c r="AI1468" s="53">
        <v>27.580769230769228</v>
      </c>
      <c r="AJ1468" s="53">
        <v>21.750769230769233</v>
      </c>
      <c r="AK1468" s="53" t="str">
        <f>_xlfn.XLOOKUP(Master[[#This Row],[cu_id]],'[1]Customer Revenue'!$Q:$Q,'[1]Customer Revenue'!$I:$I, "None")</f>
        <v>None</v>
      </c>
      <c r="AL1468" s="53">
        <v>25.656153846153845</v>
      </c>
      <c r="AM1468" s="61">
        <v>0.375</v>
      </c>
      <c r="AN1468" s="60">
        <v>0.83333333333333337</v>
      </c>
      <c r="AO1468" s="60" t="s">
        <v>36</v>
      </c>
      <c r="AP1468" s="60" t="s">
        <v>36</v>
      </c>
      <c r="AQ1468" s="58" t="s">
        <v>0</v>
      </c>
      <c r="AR1468" s="58"/>
      <c r="AS1468" s="58"/>
      <c r="AT1468" s="52">
        <v>0</v>
      </c>
      <c r="AU1468" s="52">
        <f>IF(Master[[#This Row],[RSP StopTime override]] &lt;&gt; "",Master[[#This Row],[RSP StopTime override]],IF(Master[[#This Row],[Avg stop time helper]] &lt;&gt; 0, Master[[#This Row],[Avg stop time helper]],Average_Stop_Time))</f>
        <v>10</v>
      </c>
      <c r="AV1468" s="21">
        <v>10</v>
      </c>
      <c r="AW1468" s="20">
        <f>Master[[#This Row],[RSP StopTime override]]-Master[[#This Row],[Avg stop time helper]]</f>
        <v>10</v>
      </c>
    </row>
    <row r="1469" spans="1:49" x14ac:dyDescent="0.3">
      <c r="A1469" s="66" t="s">
        <v>5470</v>
      </c>
      <c r="B1469" s="58">
        <v>8040</v>
      </c>
      <c r="C1469" s="58" t="s">
        <v>10</v>
      </c>
      <c r="D1469" s="65">
        <v>802233</v>
      </c>
      <c r="E1469" s="65" t="s">
        <v>42</v>
      </c>
      <c r="F1469" s="65" t="s">
        <v>464</v>
      </c>
      <c r="G1469" s="65" t="s">
        <v>463</v>
      </c>
      <c r="H1469" s="65" t="s">
        <v>7</v>
      </c>
      <c r="I1469" s="65" t="s">
        <v>6</v>
      </c>
      <c r="J1469" s="65" t="s">
        <v>5</v>
      </c>
      <c r="K1469" s="65" t="s">
        <v>115</v>
      </c>
      <c r="L1469" s="64" t="s">
        <v>67</v>
      </c>
      <c r="M1469" s="58" t="s">
        <v>3</v>
      </c>
      <c r="N1469" s="58" t="s">
        <v>2</v>
      </c>
      <c r="O1469" s="58">
        <v>150</v>
      </c>
      <c r="P1469" s="58">
        <v>0</v>
      </c>
      <c r="Q1469" s="58">
        <v>0</v>
      </c>
      <c r="R1469" s="58">
        <v>140</v>
      </c>
      <c r="S1469" s="58">
        <v>0</v>
      </c>
      <c r="T1469" s="58">
        <v>0</v>
      </c>
      <c r="U1469" s="58">
        <v>39</v>
      </c>
      <c r="V1469" s="62"/>
      <c r="W1469" s="62"/>
      <c r="X1469" s="63">
        <f>IFERROR(1 -(Master[[#This Row],[Avg Garment Scans per Delivery]]/Master[[#This Row],[Garment Inventory]]), 0)</f>
        <v>0</v>
      </c>
      <c r="Y1469" s="62"/>
      <c r="Z1469" s="62"/>
      <c r="AA1469" s="53">
        <v>29.776035502958578</v>
      </c>
      <c r="AB1469" s="53">
        <v>63.047041420118347</v>
      </c>
      <c r="AC1469" s="53">
        <v>26.887988165680465</v>
      </c>
      <c r="AD1469" s="53">
        <v>72.162781065088751</v>
      </c>
      <c r="AE1469" s="53" t="str">
        <f>_xlfn.XLOOKUP(Master[[#This Row],[cu_id]],'[1]Customer Revenue'!$Q:$Q,'[1]Customer Revenue'!$K:$K, "None")</f>
        <v>None</v>
      </c>
      <c r="AF1469" s="53" t="str">
        <f>_xlfn.XLOOKUP(Master[[#This Row],[cu_id]],'[1]Customer Revenue'!$Q:$Q,'[1]Customer Revenue'!$L:$L, "None")</f>
        <v>None</v>
      </c>
      <c r="AG1469" s="53">
        <v>30.315384615384612</v>
      </c>
      <c r="AH1469" s="53">
        <v>67.159230769230774</v>
      </c>
      <c r="AI1469" s="53">
        <v>46.411538461538463</v>
      </c>
      <c r="AJ1469" s="53">
        <v>49.52538461538461</v>
      </c>
      <c r="AK1469" s="53" t="str">
        <f>_xlfn.XLOOKUP(Master[[#This Row],[cu_id]],'[1]Customer Revenue'!$Q:$Q,'[1]Customer Revenue'!$I:$I, "None")</f>
        <v>None</v>
      </c>
      <c r="AL1469" s="53">
        <v>48.737307692307695</v>
      </c>
      <c r="AM1469" s="61">
        <v>0.47916666666666669</v>
      </c>
      <c r="AN1469" s="60">
        <v>0.91666666666666663</v>
      </c>
      <c r="AO1469" s="60" t="s">
        <v>36</v>
      </c>
      <c r="AP1469" s="60" t="s">
        <v>36</v>
      </c>
      <c r="AQ1469" s="58" t="s">
        <v>0</v>
      </c>
      <c r="AR1469" s="58"/>
      <c r="AS1469" s="58"/>
      <c r="AT1469" s="52">
        <v>0</v>
      </c>
      <c r="AU1469" s="52">
        <f>IF(Master[[#This Row],[RSP StopTime override]] &lt;&gt; "",Master[[#This Row],[RSP StopTime override]],IF(Master[[#This Row],[Avg stop time helper]] &lt;&gt; 0, Master[[#This Row],[Avg stop time helper]],Average_Stop_Time))</f>
        <v>20</v>
      </c>
      <c r="AV1469" s="21">
        <v>20</v>
      </c>
      <c r="AW1469" s="20">
        <f>Master[[#This Row],[RSP StopTime override]]-Master[[#This Row],[Avg stop time helper]]</f>
        <v>20</v>
      </c>
    </row>
    <row r="1470" spans="1:49" x14ac:dyDescent="0.3">
      <c r="A1470" s="66" t="s">
        <v>4083</v>
      </c>
      <c r="B1470" s="58">
        <v>8040</v>
      </c>
      <c r="C1470" s="58" t="s">
        <v>24</v>
      </c>
      <c r="D1470" s="65">
        <v>803614</v>
      </c>
      <c r="E1470" s="65" t="s">
        <v>42</v>
      </c>
      <c r="F1470" s="65" t="s">
        <v>462</v>
      </c>
      <c r="G1470" s="65" t="s">
        <v>461</v>
      </c>
      <c r="H1470" s="65" t="s">
        <v>7</v>
      </c>
      <c r="I1470" s="65" t="s">
        <v>6</v>
      </c>
      <c r="J1470" s="65" t="s">
        <v>5</v>
      </c>
      <c r="K1470" s="65" t="s">
        <v>146</v>
      </c>
      <c r="L1470" s="64" t="s">
        <v>91</v>
      </c>
      <c r="M1470" s="58" t="s">
        <v>90</v>
      </c>
      <c r="N1470" s="58" t="s">
        <v>2</v>
      </c>
      <c r="O1470" s="58">
        <v>85</v>
      </c>
      <c r="P1470" s="58">
        <v>0</v>
      </c>
      <c r="Q1470" s="58">
        <v>0</v>
      </c>
      <c r="R1470" s="58">
        <v>0</v>
      </c>
      <c r="S1470" s="58">
        <v>36</v>
      </c>
      <c r="T1470" s="58">
        <v>0</v>
      </c>
      <c r="U1470" s="58">
        <v>20</v>
      </c>
      <c r="V1470" s="62">
        <v>0</v>
      </c>
      <c r="W1470" s="62">
        <v>0</v>
      </c>
      <c r="X1470" s="63">
        <f>IFERROR(1 -(Master[[#This Row],[Avg Garment Scans per Delivery]]/Master[[#This Row],[Garment Inventory]]), 0)</f>
        <v>0</v>
      </c>
      <c r="Y1470" s="62">
        <v>1</v>
      </c>
      <c r="Z1470" s="62">
        <v>6</v>
      </c>
      <c r="AA1470" s="53">
        <v>66.748883928571445</v>
      </c>
      <c r="AB1470" s="53">
        <v>106.56825892857142</v>
      </c>
      <c r="AC1470" s="53">
        <v>31.260000000000005</v>
      </c>
      <c r="AD1470" s="53">
        <v>49.853333333333339</v>
      </c>
      <c r="AE1470" s="53" t="str">
        <f>_xlfn.XLOOKUP(Master[[#This Row],[cu_id]],'[1]Customer Revenue'!$Q:$Q,'[1]Customer Revenue'!$K:$K, "None")</f>
        <v>None</v>
      </c>
      <c r="AF1470" s="53" t="str">
        <f>_xlfn.XLOOKUP(Master[[#This Row],[cu_id]],'[1]Customer Revenue'!$Q:$Q,'[1]Customer Revenue'!$L:$L, "None")</f>
        <v>None</v>
      </c>
      <c r="AG1470" s="53">
        <v>69.659419152276286</v>
      </c>
      <c r="AH1470" s="53">
        <v>100.83288854003138</v>
      </c>
      <c r="AI1470" s="53">
        <v>86.658571428571435</v>
      </c>
      <c r="AJ1470" s="53">
        <v>40.556666666666672</v>
      </c>
      <c r="AK1470" s="53" t="str">
        <f>_xlfn.XLOOKUP(Master[[#This Row],[cu_id]],'[1]Customer Revenue'!$Q:$Q,'[1]Customer Revenue'!$I:$I, "None")</f>
        <v>None</v>
      </c>
      <c r="AL1470" s="53">
        <v>85.246153846153831</v>
      </c>
      <c r="AM1470" s="61">
        <v>0.27083333333333331</v>
      </c>
      <c r="AN1470" s="60">
        <v>0.72916666666666663</v>
      </c>
      <c r="AO1470" s="60" t="s">
        <v>36</v>
      </c>
      <c r="AP1470" s="60" t="s">
        <v>36</v>
      </c>
      <c r="AQ1470" s="58" t="s">
        <v>0</v>
      </c>
      <c r="AR1470" s="58"/>
      <c r="AS1470" s="58"/>
      <c r="AT1470" s="52">
        <v>0</v>
      </c>
      <c r="AU1470" s="52">
        <f>IF(Master[[#This Row],[RSP StopTime override]] &lt;&gt; "",Master[[#This Row],[RSP StopTime override]],IF(Master[[#This Row],[Avg stop time helper]] &lt;&gt; 0, Master[[#This Row],[Avg stop time helper]],Average_Stop_Time))</f>
        <v>10</v>
      </c>
      <c r="AV1470" s="21">
        <v>10</v>
      </c>
      <c r="AW1470" s="20">
        <f>Master[[#This Row],[RSP StopTime override]]-Master[[#This Row],[Avg stop time helper]]</f>
        <v>10</v>
      </c>
    </row>
    <row r="1471" spans="1:49" x14ac:dyDescent="0.3">
      <c r="A1471" s="66" t="s">
        <v>5471</v>
      </c>
      <c r="B1471" s="58">
        <v>8040</v>
      </c>
      <c r="C1471" s="58" t="s">
        <v>15</v>
      </c>
      <c r="D1471" s="65">
        <v>830002</v>
      </c>
      <c r="E1471" s="65" t="s">
        <v>42</v>
      </c>
      <c r="F1471" s="65" t="s">
        <v>399</v>
      </c>
      <c r="G1471" s="65" t="s">
        <v>460</v>
      </c>
      <c r="H1471" s="65" t="s">
        <v>7</v>
      </c>
      <c r="I1471" s="65" t="s">
        <v>161</v>
      </c>
      <c r="J1471" s="65" t="s">
        <v>5</v>
      </c>
      <c r="K1471" s="65" t="s">
        <v>146</v>
      </c>
      <c r="L1471" s="64" t="s">
        <v>67</v>
      </c>
      <c r="M1471" s="58" t="s">
        <v>3</v>
      </c>
      <c r="N1471" s="58" t="s">
        <v>2</v>
      </c>
      <c r="O1471" s="58">
        <v>75</v>
      </c>
      <c r="P1471" s="58">
        <v>0</v>
      </c>
      <c r="Q1471" s="58">
        <v>0</v>
      </c>
      <c r="R1471" s="58">
        <v>0</v>
      </c>
      <c r="S1471" s="58">
        <v>0</v>
      </c>
      <c r="T1471" s="58">
        <v>75</v>
      </c>
      <c r="U1471" s="58">
        <v>1</v>
      </c>
      <c r="V1471" s="62"/>
      <c r="W1471" s="62"/>
      <c r="X1471" s="63">
        <f>IFERROR(1 -(Master[[#This Row],[Avg Garment Scans per Delivery]]/Master[[#This Row],[Garment Inventory]]), 0)</f>
        <v>0</v>
      </c>
      <c r="Y1471" s="62"/>
      <c r="Z1471" s="62"/>
      <c r="AA1471" s="53"/>
      <c r="AB1471" s="53"/>
      <c r="AC1471" s="53"/>
      <c r="AD1471" s="53"/>
      <c r="AE1471" s="53" t="str">
        <f>_xlfn.XLOOKUP(Master[[#This Row],[cu_id]],'[1]Customer Revenue'!$Q:$Q,'[1]Customer Revenue'!$K:$K, "None")</f>
        <v>None</v>
      </c>
      <c r="AF1471" s="53" t="str">
        <f>_xlfn.XLOOKUP(Master[[#This Row],[cu_id]],'[1]Customer Revenue'!$Q:$Q,'[1]Customer Revenue'!$L:$L, "None")</f>
        <v>None</v>
      </c>
      <c r="AG1471" s="53"/>
      <c r="AH1471" s="53"/>
      <c r="AI1471" s="53"/>
      <c r="AJ1471" s="53"/>
      <c r="AK1471" s="53" t="str">
        <f>_xlfn.XLOOKUP(Master[[#This Row],[cu_id]],'[1]Customer Revenue'!$Q:$Q,'[1]Customer Revenue'!$I:$I, "None")</f>
        <v>None</v>
      </c>
      <c r="AL1471" s="53"/>
      <c r="AM1471" s="61">
        <v>0.33333333333333331</v>
      </c>
      <c r="AN1471" s="60">
        <v>0.6875</v>
      </c>
      <c r="AO1471" s="60" t="s">
        <v>36</v>
      </c>
      <c r="AP1471" s="60" t="s">
        <v>36</v>
      </c>
      <c r="AQ1471" s="58" t="s">
        <v>0</v>
      </c>
      <c r="AR1471" s="58"/>
      <c r="AS1471" s="58"/>
      <c r="AT1471" s="52">
        <v>0</v>
      </c>
      <c r="AU1471" s="52">
        <f>IF(Master[[#This Row],[RSP StopTime override]] &lt;&gt; "",Master[[#This Row],[RSP StopTime override]],IF(Master[[#This Row],[Avg stop time helper]] &lt;&gt; 0, Master[[#This Row],[Avg stop time helper]],Average_Stop_Time))</f>
        <v>10</v>
      </c>
      <c r="AV1471" s="21">
        <v>10</v>
      </c>
      <c r="AW1471" s="20">
        <f>Master[[#This Row],[RSP StopTime override]]-Master[[#This Row],[Avg stop time helper]]</f>
        <v>10</v>
      </c>
    </row>
    <row r="1472" spans="1:49" x14ac:dyDescent="0.3">
      <c r="A1472" s="66" t="s">
        <v>5472</v>
      </c>
      <c r="B1472" s="58">
        <v>8040</v>
      </c>
      <c r="C1472" s="58" t="s">
        <v>35</v>
      </c>
      <c r="D1472" s="65">
        <v>803758</v>
      </c>
      <c r="E1472" s="65" t="s">
        <v>42</v>
      </c>
      <c r="F1472" s="65" t="s">
        <v>459</v>
      </c>
      <c r="G1472" s="65" t="s">
        <v>458</v>
      </c>
      <c r="H1472" s="65" t="s">
        <v>7</v>
      </c>
      <c r="I1472" s="65" t="s">
        <v>6</v>
      </c>
      <c r="J1472" s="65" t="s">
        <v>5</v>
      </c>
      <c r="K1472" s="65" t="s">
        <v>68</v>
      </c>
      <c r="L1472" s="64" t="s">
        <v>91</v>
      </c>
      <c r="M1472" s="58" t="s">
        <v>90</v>
      </c>
      <c r="N1472" s="58" t="s">
        <v>2</v>
      </c>
      <c r="O1472" s="58">
        <v>65</v>
      </c>
      <c r="P1472" s="58">
        <v>0</v>
      </c>
      <c r="Q1472" s="58">
        <v>65</v>
      </c>
      <c r="R1472" s="58">
        <v>0</v>
      </c>
      <c r="S1472" s="58">
        <v>0</v>
      </c>
      <c r="T1472" s="58">
        <v>0</v>
      </c>
      <c r="U1472" s="58">
        <v>20</v>
      </c>
      <c r="V1472" s="62"/>
      <c r="W1472" s="62"/>
      <c r="X1472" s="63">
        <f>IFERROR(1 -(Master[[#This Row],[Avg Garment Scans per Delivery]]/Master[[#This Row],[Garment Inventory]]), 0)</f>
        <v>0</v>
      </c>
      <c r="Y1472" s="62"/>
      <c r="Z1472" s="62"/>
      <c r="AA1472" s="53">
        <v>20.609999999999992</v>
      </c>
      <c r="AB1472" s="53">
        <v>20.61</v>
      </c>
      <c r="AC1472" s="53">
        <v>20.478888888888886</v>
      </c>
      <c r="AD1472" s="53">
        <v>21.527777777777775</v>
      </c>
      <c r="AE1472" s="53" t="str">
        <f>_xlfn.XLOOKUP(Master[[#This Row],[cu_id]],'[1]Customer Revenue'!$Q:$Q,'[1]Customer Revenue'!$K:$K, "None")</f>
        <v>None</v>
      </c>
      <c r="AF1472" s="53" t="str">
        <f>_xlfn.XLOOKUP(Master[[#This Row],[cu_id]],'[1]Customer Revenue'!$Q:$Q,'[1]Customer Revenue'!$L:$L, "None")</f>
        <v>None</v>
      </c>
      <c r="AG1472" s="53">
        <v>20.61</v>
      </c>
      <c r="AH1472" s="53">
        <v>20.610000000000014</v>
      </c>
      <c r="AI1472" s="53">
        <v>20.609999999999996</v>
      </c>
      <c r="AJ1472" s="53">
        <v>21.00333333333333</v>
      </c>
      <c r="AK1472" s="53" t="str">
        <f>_xlfn.XLOOKUP(Master[[#This Row],[cu_id]],'[1]Customer Revenue'!$Q:$Q,'[1]Customer Revenue'!$I:$I, "None")</f>
        <v>None</v>
      </c>
      <c r="AL1472" s="53">
        <v>20.610000000000007</v>
      </c>
      <c r="AM1472" s="61">
        <v>0.3125</v>
      </c>
      <c r="AN1472" s="60">
        <v>0.6875</v>
      </c>
      <c r="AO1472" s="60" t="s">
        <v>36</v>
      </c>
      <c r="AP1472" s="60" t="s">
        <v>36</v>
      </c>
      <c r="AQ1472" s="58" t="s">
        <v>0</v>
      </c>
      <c r="AR1472" s="58" t="s">
        <v>457</v>
      </c>
      <c r="AS1472" s="58"/>
      <c r="AT1472" s="52">
        <v>0</v>
      </c>
      <c r="AU1472" s="52">
        <f>IF(Master[[#This Row],[RSP StopTime override]] &lt;&gt; "",Master[[#This Row],[RSP StopTime override]],IF(Master[[#This Row],[Avg stop time helper]] &lt;&gt; 0, Master[[#This Row],[Avg stop time helper]],Average_Stop_Time))</f>
        <v>10</v>
      </c>
      <c r="AV1472" s="21">
        <v>10</v>
      </c>
      <c r="AW1472" s="20">
        <f>Master[[#This Row],[RSP StopTime override]]-Master[[#This Row],[Avg stop time helper]]</f>
        <v>10</v>
      </c>
    </row>
    <row r="1473" spans="1:49" x14ac:dyDescent="0.3">
      <c r="A1473" s="66" t="s">
        <v>5473</v>
      </c>
      <c r="B1473" s="58">
        <v>8040</v>
      </c>
      <c r="C1473" s="58" t="s">
        <v>43</v>
      </c>
      <c r="D1473" s="65">
        <v>802622</v>
      </c>
      <c r="E1473" s="65" t="s">
        <v>42</v>
      </c>
      <c r="F1473" s="65" t="s">
        <v>456</v>
      </c>
      <c r="G1473" s="65" t="s">
        <v>455</v>
      </c>
      <c r="H1473" s="65" t="s">
        <v>7</v>
      </c>
      <c r="I1473" s="65" t="s">
        <v>6</v>
      </c>
      <c r="J1473" s="65" t="s">
        <v>5</v>
      </c>
      <c r="K1473" s="65" t="s">
        <v>146</v>
      </c>
      <c r="L1473" s="64" t="s">
        <v>67</v>
      </c>
      <c r="M1473" s="58" t="s">
        <v>3</v>
      </c>
      <c r="N1473" s="58" t="s">
        <v>2</v>
      </c>
      <c r="O1473" s="58">
        <v>21</v>
      </c>
      <c r="P1473" s="58">
        <v>0</v>
      </c>
      <c r="Q1473" s="58">
        <v>0</v>
      </c>
      <c r="R1473" s="58">
        <v>0</v>
      </c>
      <c r="S1473" s="58">
        <v>21</v>
      </c>
      <c r="T1473" s="58">
        <v>0</v>
      </c>
      <c r="U1473" s="58">
        <v>39</v>
      </c>
      <c r="V1473" s="62">
        <v>1</v>
      </c>
      <c r="W1473" s="62"/>
      <c r="X1473" s="63">
        <f>IFERROR(1 -(Master[[#This Row],[Avg Garment Scans per Delivery]]/Master[[#This Row],[Garment Inventory]]), 0)</f>
        <v>1</v>
      </c>
      <c r="Y1473" s="62">
        <v>3</v>
      </c>
      <c r="Z1473" s="62">
        <v>9</v>
      </c>
      <c r="AA1473" s="53">
        <v>8.5865384615384617</v>
      </c>
      <c r="AB1473" s="53">
        <v>16.236538461538458</v>
      </c>
      <c r="AC1473" s="53">
        <v>11.104497041420121</v>
      </c>
      <c r="AD1473" s="53">
        <v>18.203195266272193</v>
      </c>
      <c r="AE1473" s="53" t="str">
        <f>_xlfn.XLOOKUP(Master[[#This Row],[cu_id]],'[1]Customer Revenue'!$Q:$Q,'[1]Customer Revenue'!$K:$K, "None")</f>
        <v>None</v>
      </c>
      <c r="AF1473" s="53" t="str">
        <f>_xlfn.XLOOKUP(Master[[#This Row],[cu_id]],'[1]Customer Revenue'!$Q:$Q,'[1]Customer Revenue'!$L:$L, "None")</f>
        <v>None</v>
      </c>
      <c r="AG1473" s="53">
        <v>8.7897119341563794</v>
      </c>
      <c r="AH1473" s="53">
        <v>15.410288065843623</v>
      </c>
      <c r="AI1473" s="53">
        <v>12.411538461538461</v>
      </c>
      <c r="AJ1473" s="53">
        <v>14.653846153846157</v>
      </c>
      <c r="AK1473" s="53" t="str">
        <f>_xlfn.XLOOKUP(Master[[#This Row],[cu_id]],'[1]Customer Revenue'!$Q:$Q,'[1]Customer Revenue'!$I:$I, "None")</f>
        <v>None</v>
      </c>
      <c r="AL1473" s="53">
        <v>12.100000000000001</v>
      </c>
      <c r="AM1473" s="61">
        <v>0.33333333333333331</v>
      </c>
      <c r="AN1473" s="60">
        <v>0.6875</v>
      </c>
      <c r="AO1473" s="60" t="s">
        <v>36</v>
      </c>
      <c r="AP1473" s="60" t="s">
        <v>36</v>
      </c>
      <c r="AQ1473" s="58" t="s">
        <v>0</v>
      </c>
      <c r="AR1473" s="58"/>
      <c r="AS1473" s="58"/>
      <c r="AT1473" s="52">
        <v>0</v>
      </c>
      <c r="AU1473" s="52">
        <f>IF(Master[[#This Row],[RSP StopTime override]] &lt;&gt; "",Master[[#This Row],[RSP StopTime override]],IF(Master[[#This Row],[Avg stop time helper]] &lt;&gt; 0, Master[[#This Row],[Avg stop time helper]],Average_Stop_Time))</f>
        <v>10</v>
      </c>
      <c r="AV1473" s="21">
        <v>10</v>
      </c>
      <c r="AW1473" s="20">
        <f>Master[[#This Row],[RSP StopTime override]]-Master[[#This Row],[Avg stop time helper]]</f>
        <v>10</v>
      </c>
    </row>
    <row r="1474" spans="1:49" x14ac:dyDescent="0.3">
      <c r="A1474" s="66" t="s">
        <v>5474</v>
      </c>
      <c r="B1474" s="58">
        <v>8040</v>
      </c>
      <c r="C1474" s="58" t="s">
        <v>43</v>
      </c>
      <c r="D1474" s="65">
        <v>802891</v>
      </c>
      <c r="E1474" s="65" t="s">
        <v>42</v>
      </c>
      <c r="F1474" s="65" t="s">
        <v>454</v>
      </c>
      <c r="G1474" s="65" t="s">
        <v>453</v>
      </c>
      <c r="H1474" s="65" t="s">
        <v>7</v>
      </c>
      <c r="I1474" s="65" t="s">
        <v>6</v>
      </c>
      <c r="J1474" s="65" t="s">
        <v>5</v>
      </c>
      <c r="K1474" s="65" t="s">
        <v>146</v>
      </c>
      <c r="L1474" s="64" t="s">
        <v>67</v>
      </c>
      <c r="M1474" s="58" t="s">
        <v>3</v>
      </c>
      <c r="N1474" s="58" t="s">
        <v>2</v>
      </c>
      <c r="O1474" s="58">
        <v>89</v>
      </c>
      <c r="P1474" s="58">
        <v>0</v>
      </c>
      <c r="Q1474" s="58">
        <v>0</v>
      </c>
      <c r="R1474" s="58">
        <v>0</v>
      </c>
      <c r="S1474" s="58">
        <v>89</v>
      </c>
      <c r="T1474" s="58">
        <v>0</v>
      </c>
      <c r="U1474" s="58">
        <v>38</v>
      </c>
      <c r="V1474" s="62"/>
      <c r="W1474" s="62"/>
      <c r="X1474" s="63">
        <f>IFERROR(1 -(Master[[#This Row],[Avg Garment Scans per Delivery]]/Master[[#This Row],[Garment Inventory]]), 0)</f>
        <v>0</v>
      </c>
      <c r="Y1474" s="62"/>
      <c r="Z1474" s="62"/>
      <c r="AA1474" s="53">
        <v>32.329999999999984</v>
      </c>
      <c r="AB1474" s="53">
        <v>32.33</v>
      </c>
      <c r="AC1474" s="53">
        <v>32.225266272189337</v>
      </c>
      <c r="AD1474" s="53">
        <v>33.342426035502946</v>
      </c>
      <c r="AE1474" s="53" t="str">
        <f>_xlfn.XLOOKUP(Master[[#This Row],[cu_id]],'[1]Customer Revenue'!$Q:$Q,'[1]Customer Revenue'!$K:$K, "None")</f>
        <v>None</v>
      </c>
      <c r="AF1474" s="53" t="str">
        <f>_xlfn.XLOOKUP(Master[[#This Row],[cu_id]],'[1]Customer Revenue'!$Q:$Q,'[1]Customer Revenue'!$L:$L, "None")</f>
        <v>None</v>
      </c>
      <c r="AG1474" s="53">
        <v>29.934282840236708</v>
      </c>
      <c r="AH1474" s="53">
        <v>34.716117159763314</v>
      </c>
      <c r="AI1474" s="53">
        <v>32.329999999999991</v>
      </c>
      <c r="AJ1474" s="53">
        <v>32.783846153846142</v>
      </c>
      <c r="AK1474" s="53" t="str">
        <f>_xlfn.XLOOKUP(Master[[#This Row],[cu_id]],'[1]Customer Revenue'!$Q:$Q,'[1]Customer Revenue'!$I:$I, "None")</f>
        <v>None</v>
      </c>
      <c r="AL1474" s="53">
        <v>32.325200000000009</v>
      </c>
      <c r="AM1474" s="61">
        <v>0.375</v>
      </c>
      <c r="AN1474" s="60">
        <v>0.70833333333333337</v>
      </c>
      <c r="AO1474" s="60" t="s">
        <v>36</v>
      </c>
      <c r="AP1474" s="60" t="s">
        <v>36</v>
      </c>
      <c r="AQ1474" s="58" t="s">
        <v>0</v>
      </c>
      <c r="AR1474" s="58"/>
      <c r="AS1474" s="58"/>
      <c r="AT1474" s="52">
        <v>0</v>
      </c>
      <c r="AU1474" s="52">
        <f>IF(Master[[#This Row],[RSP StopTime override]] &lt;&gt; "",Master[[#This Row],[RSP StopTime override]],IF(Master[[#This Row],[Avg stop time helper]] &lt;&gt; 0, Master[[#This Row],[Avg stop time helper]],Average_Stop_Time))</f>
        <v>10</v>
      </c>
      <c r="AV1474" s="21">
        <v>10</v>
      </c>
      <c r="AW1474" s="20">
        <f>Master[[#This Row],[RSP StopTime override]]-Master[[#This Row],[Avg stop time helper]]</f>
        <v>10</v>
      </c>
    </row>
    <row r="1475" spans="1:49" x14ac:dyDescent="0.3">
      <c r="A1475" s="66" t="s">
        <v>5475</v>
      </c>
      <c r="B1475" s="58">
        <v>8040</v>
      </c>
      <c r="C1475" s="58" t="s">
        <v>43</v>
      </c>
      <c r="D1475" s="65">
        <v>803891</v>
      </c>
      <c r="E1475" s="65" t="s">
        <v>42</v>
      </c>
      <c r="F1475" s="65" t="s">
        <v>452</v>
      </c>
      <c r="G1475" s="65" t="s">
        <v>451</v>
      </c>
      <c r="H1475" s="65" t="s">
        <v>7</v>
      </c>
      <c r="I1475" s="65" t="s">
        <v>6</v>
      </c>
      <c r="J1475" s="65" t="s">
        <v>5</v>
      </c>
      <c r="K1475" s="65" t="s">
        <v>146</v>
      </c>
      <c r="L1475" s="64" t="s">
        <v>67</v>
      </c>
      <c r="M1475" s="58" t="s">
        <v>3</v>
      </c>
      <c r="N1475" s="58" t="s">
        <v>2</v>
      </c>
      <c r="O1475" s="58">
        <v>25</v>
      </c>
      <c r="P1475" s="58">
        <v>0</v>
      </c>
      <c r="Q1475" s="58">
        <v>0</v>
      </c>
      <c r="R1475" s="58">
        <v>0</v>
      </c>
      <c r="S1475" s="58">
        <v>25</v>
      </c>
      <c r="T1475" s="58">
        <v>0</v>
      </c>
      <c r="U1475" s="58">
        <v>39</v>
      </c>
      <c r="V1475" s="62"/>
      <c r="W1475" s="62"/>
      <c r="X1475" s="63">
        <f>IFERROR(1 -(Master[[#This Row],[Avg Garment Scans per Delivery]]/Master[[#This Row],[Garment Inventory]]), 0)</f>
        <v>0</v>
      </c>
      <c r="Y1475" s="62"/>
      <c r="Z1475" s="62"/>
      <c r="AA1475" s="53">
        <v>49.99</v>
      </c>
      <c r="AB1475" s="53">
        <v>49.99</v>
      </c>
      <c r="AC1475" s="53">
        <v>49.761005917159771</v>
      </c>
      <c r="AD1475" s="53">
        <v>52.203609467455628</v>
      </c>
      <c r="AE1475" s="53" t="str">
        <f>_xlfn.XLOOKUP(Master[[#This Row],[cu_id]],'[1]Customer Revenue'!$Q:$Q,'[1]Customer Revenue'!$K:$K, "None")</f>
        <v>None</v>
      </c>
      <c r="AF1475" s="53" t="str">
        <f>_xlfn.XLOOKUP(Master[[#This Row],[cu_id]],'[1]Customer Revenue'!$Q:$Q,'[1]Customer Revenue'!$L:$L, "None")</f>
        <v>None</v>
      </c>
      <c r="AG1475" s="53">
        <v>49.99</v>
      </c>
      <c r="AH1475" s="53">
        <v>49.99</v>
      </c>
      <c r="AI1475" s="53">
        <v>49.99</v>
      </c>
      <c r="AJ1475" s="53">
        <v>50.9823076923077</v>
      </c>
      <c r="AK1475" s="53" t="str">
        <f>_xlfn.XLOOKUP(Master[[#This Row],[cu_id]],'[1]Customer Revenue'!$Q:$Q,'[1]Customer Revenue'!$I:$I, "None")</f>
        <v>None</v>
      </c>
      <c r="AL1475" s="53">
        <v>49.99</v>
      </c>
      <c r="AM1475" s="61">
        <v>0.33333333333333331</v>
      </c>
      <c r="AN1475" s="60">
        <v>0.70833333333333337</v>
      </c>
      <c r="AO1475" s="60" t="s">
        <v>36</v>
      </c>
      <c r="AP1475" s="60" t="s">
        <v>36</v>
      </c>
      <c r="AQ1475" s="58" t="s">
        <v>0</v>
      </c>
      <c r="AR1475" s="58"/>
      <c r="AS1475" s="58"/>
      <c r="AT1475" s="52">
        <v>0</v>
      </c>
      <c r="AU1475" s="52">
        <f>IF(Master[[#This Row],[RSP StopTime override]] &lt;&gt; "",Master[[#This Row],[RSP StopTime override]],IF(Master[[#This Row],[Avg stop time helper]] &lt;&gt; 0, Master[[#This Row],[Avg stop time helper]],Average_Stop_Time))</f>
        <v>15</v>
      </c>
      <c r="AV1475" s="21">
        <v>15</v>
      </c>
      <c r="AW1475" s="20">
        <f>Master[[#This Row],[RSP StopTime override]]-Master[[#This Row],[Avg stop time helper]]</f>
        <v>15</v>
      </c>
    </row>
    <row r="1476" spans="1:49" x14ac:dyDescent="0.3">
      <c r="A1476" s="66" t="s">
        <v>5476</v>
      </c>
      <c r="B1476" s="58">
        <v>8040</v>
      </c>
      <c r="C1476" s="58" t="s">
        <v>24</v>
      </c>
      <c r="D1476" s="65">
        <v>99033</v>
      </c>
      <c r="E1476" s="65" t="s">
        <v>450</v>
      </c>
      <c r="F1476" s="65" t="s">
        <v>449</v>
      </c>
      <c r="G1476" s="65" t="s">
        <v>448</v>
      </c>
      <c r="H1476" s="65" t="s">
        <v>7</v>
      </c>
      <c r="I1476" s="65" t="s">
        <v>6</v>
      </c>
      <c r="J1476" s="65" t="s">
        <v>5</v>
      </c>
      <c r="K1476" s="65" t="s">
        <v>115</v>
      </c>
      <c r="L1476" s="64" t="s">
        <v>67</v>
      </c>
      <c r="M1476" s="58" t="s">
        <v>3</v>
      </c>
      <c r="N1476" s="58" t="s">
        <v>2</v>
      </c>
      <c r="O1476" s="58">
        <v>10</v>
      </c>
      <c r="P1476" s="58">
        <v>10</v>
      </c>
      <c r="Q1476" s="58">
        <v>0</v>
      </c>
      <c r="R1476" s="58">
        <v>0</v>
      </c>
      <c r="S1476" s="58">
        <v>0</v>
      </c>
      <c r="T1476" s="58">
        <v>0</v>
      </c>
      <c r="U1476" s="58">
        <v>30</v>
      </c>
      <c r="V1476" s="62"/>
      <c r="W1476" s="62"/>
      <c r="X1476" s="63">
        <f>IFERROR(1 -(Master[[#This Row],[Avg Garment Scans per Delivery]]/Master[[#This Row],[Garment Inventory]]), 0)</f>
        <v>0</v>
      </c>
      <c r="Y1476" s="62"/>
      <c r="Z1476" s="62"/>
      <c r="AA1476" s="53">
        <v>49.369387755102032</v>
      </c>
      <c r="AB1476" s="53">
        <v>64.470612244897964</v>
      </c>
      <c r="AC1476" s="53">
        <v>31.486735700197258</v>
      </c>
      <c r="AD1476" s="53">
        <v>41.909930966469432</v>
      </c>
      <c r="AE1476" s="53" t="str">
        <f>_xlfn.XLOOKUP(Master[[#This Row],[cu_id]],'[1]Customer Revenue'!$Q:$Q,'[1]Customer Revenue'!$K:$K, "None")</f>
        <v>None</v>
      </c>
      <c r="AF1476" s="53" t="str">
        <f>_xlfn.XLOOKUP(Master[[#This Row],[cu_id]],'[1]Customer Revenue'!$Q:$Q,'[1]Customer Revenue'!$L:$L, "None")</f>
        <v>None</v>
      </c>
      <c r="AG1476" s="53">
        <v>42.553360768175587</v>
      </c>
      <c r="AH1476" s="53">
        <v>71.28663923182441</v>
      </c>
      <c r="AI1476" s="53">
        <v>56.919999999999995</v>
      </c>
      <c r="AJ1476" s="53">
        <v>36.698333333333345</v>
      </c>
      <c r="AK1476" s="53" t="str">
        <f>_xlfn.XLOOKUP(Master[[#This Row],[cu_id]],'[1]Customer Revenue'!$Q:$Q,'[1]Customer Revenue'!$I:$I, "None")</f>
        <v>None</v>
      </c>
      <c r="AL1476" s="53">
        <v>56.92</v>
      </c>
      <c r="AM1476" s="61" t="s">
        <v>36</v>
      </c>
      <c r="AN1476" s="60" t="s">
        <v>36</v>
      </c>
      <c r="AO1476" s="60" t="s">
        <v>36</v>
      </c>
      <c r="AP1476" s="60" t="s">
        <v>36</v>
      </c>
      <c r="AQ1476" s="58" t="s">
        <v>0</v>
      </c>
      <c r="AR1476" s="58"/>
      <c r="AS1476" s="58"/>
      <c r="AT1476" s="52">
        <v>0</v>
      </c>
      <c r="AU1476" s="52">
        <f>IF(Master[[#This Row],[RSP StopTime override]] &lt;&gt; "",Master[[#This Row],[RSP StopTime override]],IF(Master[[#This Row],[Avg stop time helper]] &lt;&gt; 0, Master[[#This Row],[Avg stop time helper]],Average_Stop_Time))</f>
        <v>10</v>
      </c>
      <c r="AV1476" s="21">
        <v>10</v>
      </c>
      <c r="AW1476" s="20">
        <f>Master[[#This Row],[RSP StopTime override]]-Master[[#This Row],[Avg stop time helper]]</f>
        <v>10</v>
      </c>
    </row>
    <row r="1477" spans="1:49" x14ac:dyDescent="0.3">
      <c r="A1477" s="66" t="s">
        <v>3843</v>
      </c>
      <c r="B1477" s="58">
        <v>8040</v>
      </c>
      <c r="C1477" s="58" t="s">
        <v>35</v>
      </c>
      <c r="D1477" s="65">
        <v>99033</v>
      </c>
      <c r="E1477" s="65" t="s">
        <v>447</v>
      </c>
      <c r="F1477" s="65" t="s">
        <v>446</v>
      </c>
      <c r="G1477" s="65" t="s">
        <v>445</v>
      </c>
      <c r="H1477" s="65" t="s">
        <v>7</v>
      </c>
      <c r="I1477" s="65" t="s">
        <v>6</v>
      </c>
      <c r="J1477" s="65" t="s">
        <v>5</v>
      </c>
      <c r="K1477" s="65" t="s">
        <v>68</v>
      </c>
      <c r="L1477" s="64" t="s">
        <v>67</v>
      </c>
      <c r="M1477" s="58" t="s">
        <v>3</v>
      </c>
      <c r="N1477" s="58" t="s">
        <v>2</v>
      </c>
      <c r="O1477" s="58">
        <v>1</v>
      </c>
      <c r="P1477" s="58">
        <v>0</v>
      </c>
      <c r="Q1477" s="58">
        <v>1</v>
      </c>
      <c r="R1477" s="58">
        <v>0</v>
      </c>
      <c r="S1477" s="58">
        <v>0</v>
      </c>
      <c r="T1477" s="58">
        <v>0</v>
      </c>
      <c r="U1477" s="58">
        <v>30</v>
      </c>
      <c r="V1477" s="62"/>
      <c r="W1477" s="62"/>
      <c r="X1477" s="63">
        <f>IFERROR(1 -(Master[[#This Row],[Avg Garment Scans per Delivery]]/Master[[#This Row],[Garment Inventory]]), 0)</f>
        <v>0</v>
      </c>
      <c r="Y1477" s="62"/>
      <c r="Z1477" s="62"/>
      <c r="AA1477" s="53">
        <v>51.48</v>
      </c>
      <c r="AB1477" s="53">
        <v>51.480000000000025</v>
      </c>
      <c r="AC1477" s="53">
        <v>26.575468441814614</v>
      </c>
      <c r="AD1477" s="53">
        <v>35.372864891518738</v>
      </c>
      <c r="AE1477" s="53" t="str">
        <f>_xlfn.XLOOKUP(Master[[#This Row],[cu_id]],'[1]Customer Revenue'!$Q:$Q,'[1]Customer Revenue'!$K:$K, "None")</f>
        <v>None</v>
      </c>
      <c r="AF1477" s="53" t="str">
        <f>_xlfn.XLOOKUP(Master[[#This Row],[cu_id]],'[1]Customer Revenue'!$Q:$Q,'[1]Customer Revenue'!$L:$L, "None")</f>
        <v>None</v>
      </c>
      <c r="AG1477" s="53">
        <v>40.970769230769243</v>
      </c>
      <c r="AH1477" s="53">
        <v>61.98923076923078</v>
      </c>
      <c r="AI1477" s="53">
        <v>51.480000000000011</v>
      </c>
      <c r="AJ1477" s="53">
        <v>30.974166666666676</v>
      </c>
      <c r="AK1477" s="53" t="str">
        <f>_xlfn.XLOOKUP(Master[[#This Row],[cu_id]],'[1]Customer Revenue'!$Q:$Q,'[1]Customer Revenue'!$I:$I, "None")</f>
        <v>None</v>
      </c>
      <c r="AL1477" s="53">
        <v>51.480000000000011</v>
      </c>
      <c r="AM1477" s="61" t="s">
        <v>36</v>
      </c>
      <c r="AN1477" s="60" t="s">
        <v>36</v>
      </c>
      <c r="AO1477" s="60" t="s">
        <v>36</v>
      </c>
      <c r="AP1477" s="60" t="s">
        <v>36</v>
      </c>
      <c r="AQ1477" s="58" t="s">
        <v>0</v>
      </c>
      <c r="AR1477" s="58"/>
      <c r="AS1477" s="58"/>
      <c r="AT1477" s="52">
        <v>0</v>
      </c>
      <c r="AU1477" s="52">
        <f>IF(Master[[#This Row],[RSP StopTime override]] &lt;&gt; "",Master[[#This Row],[RSP StopTime override]],IF(Master[[#This Row],[Avg stop time helper]] &lt;&gt; 0, Master[[#This Row],[Avg stop time helper]],Average_Stop_Time))</f>
        <v>10</v>
      </c>
      <c r="AV1477" s="21">
        <v>10</v>
      </c>
      <c r="AW1477" s="20">
        <f>Master[[#This Row],[RSP StopTime override]]-Master[[#This Row],[Avg stop time helper]]</f>
        <v>10</v>
      </c>
    </row>
    <row r="1478" spans="1:49" x14ac:dyDescent="0.3">
      <c r="A1478" s="66" t="s">
        <v>5477</v>
      </c>
      <c r="B1478" s="58">
        <v>8040</v>
      </c>
      <c r="C1478" s="58" t="s">
        <v>10</v>
      </c>
      <c r="D1478" s="65">
        <v>803902</v>
      </c>
      <c r="E1478" s="65" t="s">
        <v>42</v>
      </c>
      <c r="F1478" s="65" t="s">
        <v>444</v>
      </c>
      <c r="G1478" s="65" t="s">
        <v>443</v>
      </c>
      <c r="H1478" s="65" t="s">
        <v>7</v>
      </c>
      <c r="I1478" s="65" t="s">
        <v>6</v>
      </c>
      <c r="J1478" s="65" t="s">
        <v>5</v>
      </c>
      <c r="K1478" s="65" t="s">
        <v>442</v>
      </c>
      <c r="L1478" s="64" t="s">
        <v>194</v>
      </c>
      <c r="M1478" s="58" t="s">
        <v>193</v>
      </c>
      <c r="N1478" s="58" t="s">
        <v>2</v>
      </c>
      <c r="O1478" s="58">
        <v>105</v>
      </c>
      <c r="P1478" s="58">
        <v>0</v>
      </c>
      <c r="Q1478" s="58">
        <v>0</v>
      </c>
      <c r="R1478" s="58">
        <v>61</v>
      </c>
      <c r="S1478" s="58">
        <v>0</v>
      </c>
      <c r="T1478" s="58">
        <v>0</v>
      </c>
      <c r="U1478" s="58">
        <v>10</v>
      </c>
      <c r="V1478" s="62">
        <v>5</v>
      </c>
      <c r="W1478" s="62"/>
      <c r="X1478" s="63">
        <f>IFERROR(1 -(Master[[#This Row],[Avg Garment Scans per Delivery]]/Master[[#This Row],[Garment Inventory]]), 0)</f>
        <v>1</v>
      </c>
      <c r="Y1478" s="62">
        <v>1</v>
      </c>
      <c r="Z1478" s="62">
        <v>4</v>
      </c>
      <c r="AA1478" s="53">
        <v>12.56</v>
      </c>
      <c r="AB1478" s="53">
        <v>12.56</v>
      </c>
      <c r="AC1478" s="53">
        <v>12.428888888888888</v>
      </c>
      <c r="AD1478" s="53">
        <v>13.477777777777778</v>
      </c>
      <c r="AE1478" s="53" t="str">
        <f>_xlfn.XLOOKUP(Master[[#This Row],[cu_id]],'[1]Customer Revenue'!$Q:$Q,'[1]Customer Revenue'!$K:$K, "None")</f>
        <v>None</v>
      </c>
      <c r="AF1478" s="53" t="str">
        <f>_xlfn.XLOOKUP(Master[[#This Row],[cu_id]],'[1]Customer Revenue'!$Q:$Q,'[1]Customer Revenue'!$L:$L, "None")</f>
        <v>None</v>
      </c>
      <c r="AG1478" s="53">
        <v>10.235491071428573</v>
      </c>
      <c r="AH1478" s="53">
        <v>15.967366071428572</v>
      </c>
      <c r="AI1478" s="53">
        <v>12.56</v>
      </c>
      <c r="AJ1478" s="53">
        <v>12.953333333333333</v>
      </c>
      <c r="AK1478" s="53" t="str">
        <f>_xlfn.XLOOKUP(Master[[#This Row],[cu_id]],'[1]Customer Revenue'!$Q:$Q,'[1]Customer Revenue'!$I:$I, "None")</f>
        <v>None</v>
      </c>
      <c r="AL1478" s="53">
        <v>13.101428571428572</v>
      </c>
      <c r="AM1478" s="61">
        <v>0.29166666666666669</v>
      </c>
      <c r="AN1478" s="60">
        <v>0.625</v>
      </c>
      <c r="AO1478" s="60" t="s">
        <v>36</v>
      </c>
      <c r="AP1478" s="60" t="s">
        <v>36</v>
      </c>
      <c r="AQ1478" s="58" t="s">
        <v>0</v>
      </c>
      <c r="AR1478" s="58"/>
      <c r="AS1478" s="58"/>
      <c r="AT1478" s="52">
        <v>0</v>
      </c>
      <c r="AU1478" s="52">
        <f>IF(Master[[#This Row],[RSP StopTime override]] &lt;&gt; "",Master[[#This Row],[RSP StopTime override]],IF(Master[[#This Row],[Avg stop time helper]] &lt;&gt; 0, Master[[#This Row],[Avg stop time helper]],Average_Stop_Time))</f>
        <v>10</v>
      </c>
      <c r="AV1478" s="21">
        <v>10</v>
      </c>
      <c r="AW1478" s="20">
        <f>Master[[#This Row],[RSP StopTime override]]-Master[[#This Row],[Avg stop time helper]]</f>
        <v>10</v>
      </c>
    </row>
    <row r="1479" spans="1:49" x14ac:dyDescent="0.3">
      <c r="A1479" s="66" t="s">
        <v>5478</v>
      </c>
      <c r="B1479" s="58">
        <v>8040</v>
      </c>
      <c r="C1479" s="58" t="s">
        <v>24</v>
      </c>
      <c r="D1479" s="65">
        <v>803032</v>
      </c>
      <c r="E1479" s="65" t="s">
        <v>42</v>
      </c>
      <c r="F1479" s="65" t="s">
        <v>441</v>
      </c>
      <c r="G1479" s="65" t="s">
        <v>440</v>
      </c>
      <c r="H1479" s="65" t="s">
        <v>7</v>
      </c>
      <c r="I1479" s="65" t="s">
        <v>6</v>
      </c>
      <c r="J1479" s="65" t="s">
        <v>5</v>
      </c>
      <c r="K1479" s="65" t="s">
        <v>418</v>
      </c>
      <c r="L1479" s="64" t="s">
        <v>67</v>
      </c>
      <c r="M1479" s="58" t="s">
        <v>3</v>
      </c>
      <c r="N1479" s="58" t="s">
        <v>2</v>
      </c>
      <c r="O1479" s="58">
        <v>85</v>
      </c>
      <c r="P1479" s="58">
        <v>85</v>
      </c>
      <c r="Q1479" s="58">
        <v>0</v>
      </c>
      <c r="R1479" s="58">
        <v>0</v>
      </c>
      <c r="S1479" s="58">
        <v>0</v>
      </c>
      <c r="T1479" s="58">
        <v>0</v>
      </c>
      <c r="U1479" s="58">
        <v>39</v>
      </c>
      <c r="V1479" s="62">
        <v>1</v>
      </c>
      <c r="W1479" s="62"/>
      <c r="X1479" s="63">
        <f>IFERROR(1 -(Master[[#This Row],[Avg Garment Scans per Delivery]]/Master[[#This Row],[Garment Inventory]]), 0)</f>
        <v>1</v>
      </c>
      <c r="Y1479" s="62">
        <v>2</v>
      </c>
      <c r="Z1479" s="62">
        <v>10</v>
      </c>
      <c r="AA1479" s="53">
        <v>9.7565680473372787</v>
      </c>
      <c r="AB1479" s="53">
        <v>10.818816568047339</v>
      </c>
      <c r="AC1479" s="53">
        <v>9.0306279434850847</v>
      </c>
      <c r="AD1479" s="53">
        <v>13.55552590266876</v>
      </c>
      <c r="AE1479" s="53" t="str">
        <f>_xlfn.XLOOKUP(Master[[#This Row],[cu_id]],'[1]Customer Revenue'!$Q:$Q,'[1]Customer Revenue'!$K:$K, "None")</f>
        <v>None</v>
      </c>
      <c r="AF1479" s="53" t="str">
        <f>_xlfn.XLOOKUP(Master[[#This Row],[cu_id]],'[1]Customer Revenue'!$Q:$Q,'[1]Customer Revenue'!$L:$L, "None")</f>
        <v>None</v>
      </c>
      <c r="AG1479" s="53">
        <v>9.7565680473372787</v>
      </c>
      <c r="AH1479" s="53">
        <v>10.818816568047339</v>
      </c>
      <c r="AI1479" s="53">
        <v>10.287692307692309</v>
      </c>
      <c r="AJ1479" s="53">
        <v>11.293076923076923</v>
      </c>
      <c r="AK1479" s="53" t="str">
        <f>_xlfn.XLOOKUP(Master[[#This Row],[cu_id]],'[1]Customer Revenue'!$Q:$Q,'[1]Customer Revenue'!$I:$I, "None")</f>
        <v>None</v>
      </c>
      <c r="AL1479" s="53">
        <v>10.287692307692309</v>
      </c>
      <c r="AM1479" s="61">
        <v>0.33333333333333331</v>
      </c>
      <c r="AN1479" s="60">
        <v>0.70833333333333337</v>
      </c>
      <c r="AO1479" s="60" t="s">
        <v>36</v>
      </c>
      <c r="AP1479" s="60" t="s">
        <v>36</v>
      </c>
      <c r="AQ1479" s="58" t="s">
        <v>0</v>
      </c>
      <c r="AR1479" s="58"/>
      <c r="AS1479" s="58"/>
      <c r="AT1479" s="52">
        <v>0</v>
      </c>
      <c r="AU1479" s="52">
        <f>IF(Master[[#This Row],[RSP StopTime override]] &lt;&gt; "",Master[[#This Row],[RSP StopTime override]],IF(Master[[#This Row],[Avg stop time helper]] &lt;&gt; 0, Master[[#This Row],[Avg stop time helper]],Average_Stop_Time))</f>
        <v>10</v>
      </c>
      <c r="AV1479" s="21">
        <v>10</v>
      </c>
      <c r="AW1479" s="20">
        <f>Master[[#This Row],[RSP StopTime override]]-Master[[#This Row],[Avg stop time helper]]</f>
        <v>10</v>
      </c>
    </row>
    <row r="1480" spans="1:49" x14ac:dyDescent="0.3">
      <c r="A1480" s="66" t="s">
        <v>5479</v>
      </c>
      <c r="B1480" s="58">
        <v>8040</v>
      </c>
      <c r="C1480" s="58" t="s">
        <v>35</v>
      </c>
      <c r="D1480" s="65">
        <v>885970</v>
      </c>
      <c r="E1480" s="65" t="s">
        <v>439</v>
      </c>
      <c r="F1480" s="65" t="s">
        <v>438</v>
      </c>
      <c r="G1480" s="65" t="s">
        <v>437</v>
      </c>
      <c r="H1480" s="65" t="s">
        <v>7</v>
      </c>
      <c r="I1480" s="65" t="s">
        <v>6</v>
      </c>
      <c r="J1480" s="65" t="s">
        <v>5</v>
      </c>
      <c r="K1480" s="65" t="s">
        <v>68</v>
      </c>
      <c r="L1480" s="64" t="s">
        <v>194</v>
      </c>
      <c r="M1480" s="58" t="s">
        <v>193</v>
      </c>
      <c r="N1480" s="58" t="s">
        <v>2</v>
      </c>
      <c r="O1480" s="58">
        <v>100</v>
      </c>
      <c r="P1480" s="58">
        <v>0</v>
      </c>
      <c r="Q1480" s="58">
        <v>100</v>
      </c>
      <c r="R1480" s="58">
        <v>0</v>
      </c>
      <c r="S1480" s="58">
        <v>0</v>
      </c>
      <c r="T1480" s="58">
        <v>0</v>
      </c>
      <c r="U1480" s="58">
        <v>10</v>
      </c>
      <c r="V1480" s="62"/>
      <c r="W1480" s="62"/>
      <c r="X1480" s="63">
        <f>IFERROR(1 -(Master[[#This Row],[Avg Garment Scans per Delivery]]/Master[[#This Row],[Garment Inventory]]), 0)</f>
        <v>0</v>
      </c>
      <c r="Y1480" s="62"/>
      <c r="Z1480" s="62"/>
      <c r="AA1480" s="53">
        <v>16.48</v>
      </c>
      <c r="AB1480" s="53">
        <v>16.48</v>
      </c>
      <c r="AC1480" s="53">
        <v>16.364444444444445</v>
      </c>
      <c r="AD1480" s="53">
        <v>17.288888888888891</v>
      </c>
      <c r="AE1480" s="53" t="str">
        <f>_xlfn.XLOOKUP(Master[[#This Row],[cu_id]],'[1]Customer Revenue'!$Q:$Q,'[1]Customer Revenue'!$K:$K, "None")</f>
        <v>None</v>
      </c>
      <c r="AF1480" s="53" t="str">
        <f>_xlfn.XLOOKUP(Master[[#This Row],[cu_id]],'[1]Customer Revenue'!$Q:$Q,'[1]Customer Revenue'!$L:$L, "None")</f>
        <v>None</v>
      </c>
      <c r="AG1480" s="53">
        <v>12.875000000000002</v>
      </c>
      <c r="AH1480" s="53">
        <v>20.085000000000001</v>
      </c>
      <c r="AI1480" s="53">
        <v>16.48</v>
      </c>
      <c r="AJ1480" s="53">
        <v>16.826666666666668</v>
      </c>
      <c r="AK1480" s="53" t="str">
        <f>_xlfn.XLOOKUP(Master[[#This Row],[cu_id]],'[1]Customer Revenue'!$Q:$Q,'[1]Customer Revenue'!$I:$I, "None")</f>
        <v>None</v>
      </c>
      <c r="AL1480" s="53">
        <v>16.48</v>
      </c>
      <c r="AM1480" s="61">
        <v>0.375</v>
      </c>
      <c r="AN1480" s="60">
        <v>0.83333333333333337</v>
      </c>
      <c r="AO1480" s="60" t="s">
        <v>36</v>
      </c>
      <c r="AP1480" s="60" t="s">
        <v>36</v>
      </c>
      <c r="AQ1480" s="58" t="s">
        <v>0</v>
      </c>
      <c r="AR1480" s="58"/>
      <c r="AS1480" s="58"/>
      <c r="AT1480" s="52">
        <v>0</v>
      </c>
      <c r="AU1480" s="52">
        <f>IF(Master[[#This Row],[RSP StopTime override]] &lt;&gt; "",Master[[#This Row],[RSP StopTime override]],IF(Master[[#This Row],[Avg stop time helper]] &lt;&gt; 0, Master[[#This Row],[Avg stop time helper]],Average_Stop_Time))</f>
        <v>5</v>
      </c>
      <c r="AV1480" s="21">
        <v>5</v>
      </c>
      <c r="AW1480" s="20">
        <f>Master[[#This Row],[RSP StopTime override]]-Master[[#This Row],[Avg stop time helper]]</f>
        <v>5</v>
      </c>
    </row>
    <row r="1481" spans="1:49" x14ac:dyDescent="0.3">
      <c r="A1481" s="66" t="s">
        <v>5480</v>
      </c>
      <c r="B1481" s="58">
        <v>8040</v>
      </c>
      <c r="C1481" s="58" t="s">
        <v>35</v>
      </c>
      <c r="D1481" s="65">
        <v>886809</v>
      </c>
      <c r="E1481" s="65" t="s">
        <v>436</v>
      </c>
      <c r="F1481" s="65" t="s">
        <v>435</v>
      </c>
      <c r="G1481" s="65" t="s">
        <v>434</v>
      </c>
      <c r="H1481" s="65" t="s">
        <v>7</v>
      </c>
      <c r="I1481" s="65" t="s">
        <v>6</v>
      </c>
      <c r="J1481" s="65" t="s">
        <v>5</v>
      </c>
      <c r="K1481" s="65" t="s">
        <v>68</v>
      </c>
      <c r="L1481" s="64" t="s">
        <v>77</v>
      </c>
      <c r="M1481" s="58" t="s">
        <v>29</v>
      </c>
      <c r="N1481" s="58" t="s">
        <v>2</v>
      </c>
      <c r="O1481" s="58">
        <v>90</v>
      </c>
      <c r="P1481" s="58">
        <v>0</v>
      </c>
      <c r="Q1481" s="58">
        <v>90</v>
      </c>
      <c r="R1481" s="58">
        <v>0</v>
      </c>
      <c r="S1481" s="58">
        <v>0</v>
      </c>
      <c r="T1481" s="58">
        <v>0</v>
      </c>
      <c r="U1481" s="58">
        <v>15</v>
      </c>
      <c r="V1481" s="62"/>
      <c r="W1481" s="62"/>
      <c r="X1481" s="63">
        <f>IFERROR(1 -(Master[[#This Row],[Avg Garment Scans per Delivery]]/Master[[#This Row],[Garment Inventory]]), 0)</f>
        <v>0</v>
      </c>
      <c r="Y1481" s="62"/>
      <c r="Z1481" s="62"/>
      <c r="AA1481" s="53">
        <v>38.619999999999997</v>
      </c>
      <c r="AB1481" s="53">
        <v>38.619999999999997</v>
      </c>
      <c r="AC1481" s="53">
        <v>38.47551020408163</v>
      </c>
      <c r="AD1481" s="53">
        <v>39.438775510204081</v>
      </c>
      <c r="AE1481" s="53" t="str">
        <f>_xlfn.XLOOKUP(Master[[#This Row],[cu_id]],'[1]Customer Revenue'!$Q:$Q,'[1]Customer Revenue'!$K:$K, "None")</f>
        <v>None</v>
      </c>
      <c r="AF1481" s="53" t="str">
        <f>_xlfn.XLOOKUP(Master[[#This Row],[cu_id]],'[1]Customer Revenue'!$Q:$Q,'[1]Customer Revenue'!$L:$L, "None")</f>
        <v>None</v>
      </c>
      <c r="AG1481" s="53">
        <v>38.619999999999997</v>
      </c>
      <c r="AH1481" s="53">
        <v>38.619999999999997</v>
      </c>
      <c r="AI1481" s="53">
        <v>38.619999999999997</v>
      </c>
      <c r="AJ1481" s="53">
        <v>38.957142857142856</v>
      </c>
      <c r="AK1481" s="53" t="str">
        <f>_xlfn.XLOOKUP(Master[[#This Row],[cu_id]],'[1]Customer Revenue'!$Q:$Q,'[1]Customer Revenue'!$I:$I, "None")</f>
        <v>None</v>
      </c>
      <c r="AL1481" s="53">
        <v>38.619999999999997</v>
      </c>
      <c r="AM1481" s="61">
        <v>0.41666666666666669</v>
      </c>
      <c r="AN1481" s="60">
        <v>0.70833333333333337</v>
      </c>
      <c r="AO1481" s="60" t="s">
        <v>36</v>
      </c>
      <c r="AP1481" s="60" t="s">
        <v>36</v>
      </c>
      <c r="AQ1481" s="58" t="s">
        <v>308</v>
      </c>
      <c r="AR1481" s="58"/>
      <c r="AS1481" s="58"/>
      <c r="AT1481" s="52">
        <v>0</v>
      </c>
      <c r="AU1481" s="52">
        <f>IF(Master[[#This Row],[RSP StopTime override]] &lt;&gt; "",Master[[#This Row],[RSP StopTime override]],IF(Master[[#This Row],[Avg stop time helper]] &lt;&gt; 0, Master[[#This Row],[Avg stop time helper]],Average_Stop_Time))</f>
        <v>10</v>
      </c>
      <c r="AV1481" s="21">
        <v>10</v>
      </c>
      <c r="AW1481" s="20">
        <f>Master[[#This Row],[RSP StopTime override]]-Master[[#This Row],[Avg stop time helper]]</f>
        <v>10</v>
      </c>
    </row>
    <row r="1482" spans="1:49" x14ac:dyDescent="0.3">
      <c r="A1482" s="66" t="s">
        <v>5481</v>
      </c>
      <c r="B1482" s="58">
        <v>8040</v>
      </c>
      <c r="C1482" s="58" t="s">
        <v>35</v>
      </c>
      <c r="D1482" s="65">
        <v>801772</v>
      </c>
      <c r="E1482" s="65" t="s">
        <v>42</v>
      </c>
      <c r="F1482" s="65" t="s">
        <v>433</v>
      </c>
      <c r="G1482" s="65" t="s">
        <v>432</v>
      </c>
      <c r="H1482" s="65" t="s">
        <v>7</v>
      </c>
      <c r="I1482" s="65" t="s">
        <v>6</v>
      </c>
      <c r="J1482" s="65" t="s">
        <v>5</v>
      </c>
      <c r="K1482" s="65" t="s">
        <v>68</v>
      </c>
      <c r="L1482" s="64" t="s">
        <v>67</v>
      </c>
      <c r="M1482" s="58" t="s">
        <v>3</v>
      </c>
      <c r="N1482" s="58" t="s">
        <v>2</v>
      </c>
      <c r="O1482" s="58">
        <v>75</v>
      </c>
      <c r="P1482" s="58">
        <v>0</v>
      </c>
      <c r="Q1482" s="58">
        <v>75</v>
      </c>
      <c r="R1482" s="58">
        <v>0</v>
      </c>
      <c r="S1482" s="58">
        <v>0</v>
      </c>
      <c r="T1482" s="58">
        <v>0</v>
      </c>
      <c r="U1482" s="58">
        <v>40</v>
      </c>
      <c r="V1482" s="62"/>
      <c r="W1482" s="62"/>
      <c r="X1482" s="63">
        <f>IFERROR(1 -(Master[[#This Row],[Avg Garment Scans per Delivery]]/Master[[#This Row],[Garment Inventory]]), 0)</f>
        <v>0</v>
      </c>
      <c r="Y1482" s="62"/>
      <c r="Z1482" s="62"/>
      <c r="AA1482" s="53">
        <v>16.765211930926213</v>
      </c>
      <c r="AB1482" s="53">
        <v>45.657864992150699</v>
      </c>
      <c r="AC1482" s="53">
        <v>26.565325443786982</v>
      </c>
      <c r="AD1482" s="53">
        <v>30.40390532544378</v>
      </c>
      <c r="AE1482" s="53" t="str">
        <f>_xlfn.XLOOKUP(Master[[#This Row],[cu_id]],'[1]Customer Revenue'!$Q:$Q,'[1]Customer Revenue'!$K:$K, "None")</f>
        <v>None</v>
      </c>
      <c r="AF1482" s="53" t="str">
        <f>_xlfn.XLOOKUP(Master[[#This Row],[cu_id]],'[1]Customer Revenue'!$Q:$Q,'[1]Customer Revenue'!$L:$L, "None")</f>
        <v>None</v>
      </c>
      <c r="AG1482" s="53">
        <v>20.096296296296302</v>
      </c>
      <c r="AH1482" s="53">
        <v>51.943703703703704</v>
      </c>
      <c r="AI1482" s="53">
        <v>31.211538461538456</v>
      </c>
      <c r="AJ1482" s="53">
        <v>28.484615384615381</v>
      </c>
      <c r="AK1482" s="53" t="str">
        <f>_xlfn.XLOOKUP(Master[[#This Row],[cu_id]],'[1]Customer Revenue'!$Q:$Q,'[1]Customer Revenue'!$I:$I, "None")</f>
        <v>None</v>
      </c>
      <c r="AL1482" s="53">
        <v>36.020000000000003</v>
      </c>
      <c r="AM1482" s="61">
        <v>0.29166666666666669</v>
      </c>
      <c r="AN1482" s="60">
        <v>0.91666666666666663</v>
      </c>
      <c r="AO1482" s="60" t="s">
        <v>36</v>
      </c>
      <c r="AP1482" s="60" t="s">
        <v>36</v>
      </c>
      <c r="AQ1482" s="58" t="s">
        <v>308</v>
      </c>
      <c r="AR1482" s="58" t="s">
        <v>431</v>
      </c>
      <c r="AS1482" s="58"/>
      <c r="AT1482" s="52">
        <v>0</v>
      </c>
      <c r="AU1482" s="52">
        <f>IF(Master[[#This Row],[RSP StopTime override]] &lt;&gt; "",Master[[#This Row],[RSP StopTime override]],IF(Master[[#This Row],[Avg stop time helper]] &lt;&gt; 0, Master[[#This Row],[Avg stop time helper]],Average_Stop_Time))</f>
        <v>10</v>
      </c>
      <c r="AV1482" s="21">
        <v>10</v>
      </c>
      <c r="AW1482" s="20">
        <f>Master[[#This Row],[RSP StopTime override]]-Master[[#This Row],[Avg stop time helper]]</f>
        <v>10</v>
      </c>
    </row>
    <row r="1483" spans="1:49" x14ac:dyDescent="0.3">
      <c r="A1483" s="66" t="s">
        <v>5482</v>
      </c>
      <c r="B1483" s="58">
        <v>8040</v>
      </c>
      <c r="C1483" s="58" t="s">
        <v>24</v>
      </c>
      <c r="D1483" s="65">
        <v>802865</v>
      </c>
      <c r="E1483" s="65" t="s">
        <v>42</v>
      </c>
      <c r="F1483" s="65" t="s">
        <v>430</v>
      </c>
      <c r="G1483" s="65" t="s">
        <v>429</v>
      </c>
      <c r="H1483" s="65" t="s">
        <v>7</v>
      </c>
      <c r="I1483" s="65" t="s">
        <v>6</v>
      </c>
      <c r="J1483" s="65" t="s">
        <v>5</v>
      </c>
      <c r="K1483" s="65" t="s">
        <v>115</v>
      </c>
      <c r="L1483" s="64" t="s">
        <v>67</v>
      </c>
      <c r="M1483" s="58" t="s">
        <v>3</v>
      </c>
      <c r="N1483" s="58" t="s">
        <v>2</v>
      </c>
      <c r="O1483" s="58">
        <v>82</v>
      </c>
      <c r="P1483" s="58">
        <v>82</v>
      </c>
      <c r="Q1483" s="58">
        <v>0</v>
      </c>
      <c r="R1483" s="58">
        <v>0</v>
      </c>
      <c r="S1483" s="58">
        <v>0</v>
      </c>
      <c r="T1483" s="58">
        <v>0</v>
      </c>
      <c r="U1483" s="58">
        <v>38</v>
      </c>
      <c r="V1483" s="62"/>
      <c r="W1483" s="62"/>
      <c r="X1483" s="63">
        <f>IFERROR(1 -(Master[[#This Row],[Avg Garment Scans per Delivery]]/Master[[#This Row],[Garment Inventory]]), 0)</f>
        <v>0</v>
      </c>
      <c r="Y1483" s="62"/>
      <c r="Z1483" s="62"/>
      <c r="AA1483" s="53">
        <v>17.624975345167655</v>
      </c>
      <c r="AB1483" s="53">
        <v>35.896691321499013</v>
      </c>
      <c r="AC1483" s="53">
        <v>20.43461538461538</v>
      </c>
      <c r="AD1483" s="53">
        <v>42.745384615384609</v>
      </c>
      <c r="AE1483" s="53" t="str">
        <f>_xlfn.XLOOKUP(Master[[#This Row],[cu_id]],'[1]Customer Revenue'!$Q:$Q,'[1]Customer Revenue'!$K:$K, "None")</f>
        <v>None</v>
      </c>
      <c r="AF1483" s="53" t="str">
        <f>_xlfn.XLOOKUP(Master[[#This Row],[cu_id]],'[1]Customer Revenue'!$Q:$Q,'[1]Customer Revenue'!$L:$L, "None")</f>
        <v>None</v>
      </c>
      <c r="AG1483" s="53">
        <v>18.232833136094669</v>
      </c>
      <c r="AH1483" s="53">
        <v>38.317566863905327</v>
      </c>
      <c r="AI1483" s="53">
        <v>26.760833333333334</v>
      </c>
      <c r="AJ1483" s="53">
        <v>31.589999999999996</v>
      </c>
      <c r="AK1483" s="53" t="str">
        <f>_xlfn.XLOOKUP(Master[[#This Row],[cu_id]],'[1]Customer Revenue'!$Q:$Q,'[1]Customer Revenue'!$I:$I, "None")</f>
        <v>None</v>
      </c>
      <c r="AL1483" s="53">
        <v>28.275199999999998</v>
      </c>
      <c r="AM1483" s="61">
        <v>0.375</v>
      </c>
      <c r="AN1483" s="60">
        <v>0.70833333333333337</v>
      </c>
      <c r="AO1483" s="60" t="s">
        <v>36</v>
      </c>
      <c r="AP1483" s="60" t="s">
        <v>36</v>
      </c>
      <c r="AQ1483" s="58" t="s">
        <v>0</v>
      </c>
      <c r="AR1483" s="58"/>
      <c r="AS1483" s="58"/>
      <c r="AT1483" s="52">
        <v>0</v>
      </c>
      <c r="AU1483" s="52">
        <f>IF(Master[[#This Row],[RSP StopTime override]] &lt;&gt; "",Master[[#This Row],[RSP StopTime override]],IF(Master[[#This Row],[Avg stop time helper]] &lt;&gt; 0, Master[[#This Row],[Avg stop time helper]],Average_Stop_Time))</f>
        <v>10</v>
      </c>
      <c r="AV1483" s="21">
        <v>10</v>
      </c>
      <c r="AW1483" s="20">
        <f>Master[[#This Row],[RSP StopTime override]]-Master[[#This Row],[Avg stop time helper]]</f>
        <v>10</v>
      </c>
    </row>
    <row r="1484" spans="1:49" x14ac:dyDescent="0.3">
      <c r="A1484" s="66" t="s">
        <v>5483</v>
      </c>
      <c r="B1484" s="58">
        <v>8040</v>
      </c>
      <c r="C1484" s="58" t="s">
        <v>10</v>
      </c>
      <c r="D1484" s="65">
        <v>802248</v>
      </c>
      <c r="E1484" s="65" t="s">
        <v>42</v>
      </c>
      <c r="F1484" s="65" t="s">
        <v>428</v>
      </c>
      <c r="G1484" s="65" t="s">
        <v>427</v>
      </c>
      <c r="H1484" s="65" t="s">
        <v>7</v>
      </c>
      <c r="I1484" s="65" t="s">
        <v>6</v>
      </c>
      <c r="J1484" s="65" t="s">
        <v>5</v>
      </c>
      <c r="K1484" s="65" t="s">
        <v>115</v>
      </c>
      <c r="L1484" s="64" t="s">
        <v>91</v>
      </c>
      <c r="M1484" s="58" t="s">
        <v>90</v>
      </c>
      <c r="N1484" s="58" t="s">
        <v>2</v>
      </c>
      <c r="O1484" s="58">
        <v>70</v>
      </c>
      <c r="P1484" s="58">
        <v>0</v>
      </c>
      <c r="Q1484" s="58">
        <v>0</v>
      </c>
      <c r="R1484" s="58">
        <v>55</v>
      </c>
      <c r="S1484" s="58">
        <v>0</v>
      </c>
      <c r="T1484" s="58">
        <v>0</v>
      </c>
      <c r="U1484" s="58">
        <v>20</v>
      </c>
      <c r="V1484" s="62"/>
      <c r="W1484" s="62"/>
      <c r="X1484" s="63">
        <f>IFERROR(1 -(Master[[#This Row],[Avg Garment Scans per Delivery]]/Master[[#This Row],[Garment Inventory]]), 0)</f>
        <v>0</v>
      </c>
      <c r="Y1484" s="62"/>
      <c r="Z1484" s="62"/>
      <c r="AA1484" s="53">
        <v>41.557959183673475</v>
      </c>
      <c r="AB1484" s="53">
        <v>45.613469387755103</v>
      </c>
      <c r="AC1484" s="53">
        <v>41.088888888888889</v>
      </c>
      <c r="AD1484" s="53">
        <v>42.137777777777785</v>
      </c>
      <c r="AE1484" s="53" t="str">
        <f>_xlfn.XLOOKUP(Master[[#This Row],[cu_id]],'[1]Customer Revenue'!$Q:$Q,'[1]Customer Revenue'!$K:$K, "None")</f>
        <v>None</v>
      </c>
      <c r="AF1484" s="53" t="str">
        <f>_xlfn.XLOOKUP(Master[[#This Row],[cu_id]],'[1]Customer Revenue'!$Q:$Q,'[1]Customer Revenue'!$L:$L, "None")</f>
        <v>None</v>
      </c>
      <c r="AG1484" s="53">
        <v>42.934792899408293</v>
      </c>
      <c r="AH1484" s="53">
        <v>45.874437869822486</v>
      </c>
      <c r="AI1484" s="53">
        <v>43.585714285714289</v>
      </c>
      <c r="AJ1484" s="53">
        <v>41.613333333333337</v>
      </c>
      <c r="AK1484" s="53" t="str">
        <f>_xlfn.XLOOKUP(Master[[#This Row],[cu_id]],'[1]Customer Revenue'!$Q:$Q,'[1]Customer Revenue'!$I:$I, "None")</f>
        <v>None</v>
      </c>
      <c r="AL1484" s="53">
        <v>44.40461538461539</v>
      </c>
      <c r="AM1484" s="61">
        <v>0.41666666666666669</v>
      </c>
      <c r="AN1484" s="60">
        <v>0.95833333333333337</v>
      </c>
      <c r="AO1484" s="60" t="s">
        <v>36</v>
      </c>
      <c r="AP1484" s="60" t="s">
        <v>36</v>
      </c>
      <c r="AQ1484" s="58" t="s">
        <v>308</v>
      </c>
      <c r="AR1484" s="58"/>
      <c r="AS1484" s="58"/>
      <c r="AT1484" s="52">
        <v>0</v>
      </c>
      <c r="AU1484" s="52">
        <f>IF(Master[[#This Row],[RSP StopTime override]] &lt;&gt; "",Master[[#This Row],[RSP StopTime override]],IF(Master[[#This Row],[Avg stop time helper]] &lt;&gt; 0, Master[[#This Row],[Avg stop time helper]],Average_Stop_Time))</f>
        <v>23</v>
      </c>
      <c r="AV1484" s="21">
        <v>23</v>
      </c>
      <c r="AW1484" s="20">
        <f>Master[[#This Row],[RSP StopTime override]]-Master[[#This Row],[Avg stop time helper]]</f>
        <v>23</v>
      </c>
    </row>
    <row r="1485" spans="1:49" x14ac:dyDescent="0.3">
      <c r="A1485" s="66" t="s">
        <v>5484</v>
      </c>
      <c r="B1485" s="58">
        <v>8040</v>
      </c>
      <c r="C1485" s="58" t="s">
        <v>35</v>
      </c>
      <c r="D1485" s="65">
        <v>802728</v>
      </c>
      <c r="E1485" s="65" t="s">
        <v>42</v>
      </c>
      <c r="F1485" s="65" t="s">
        <v>426</v>
      </c>
      <c r="G1485" s="65" t="s">
        <v>425</v>
      </c>
      <c r="H1485" s="65" t="s">
        <v>7</v>
      </c>
      <c r="I1485" s="65" t="s">
        <v>6</v>
      </c>
      <c r="J1485" s="65" t="s">
        <v>5</v>
      </c>
      <c r="K1485" s="65" t="s">
        <v>68</v>
      </c>
      <c r="L1485" s="64" t="s">
        <v>67</v>
      </c>
      <c r="M1485" s="58" t="s">
        <v>3</v>
      </c>
      <c r="N1485" s="58" t="s">
        <v>2</v>
      </c>
      <c r="O1485" s="58">
        <v>100</v>
      </c>
      <c r="P1485" s="58">
        <v>0</v>
      </c>
      <c r="Q1485" s="58">
        <v>100</v>
      </c>
      <c r="R1485" s="58">
        <v>0</v>
      </c>
      <c r="S1485" s="58">
        <v>0</v>
      </c>
      <c r="T1485" s="58">
        <v>0</v>
      </c>
      <c r="U1485" s="58">
        <v>39</v>
      </c>
      <c r="V1485" s="62">
        <v>28</v>
      </c>
      <c r="W1485" s="62">
        <v>5</v>
      </c>
      <c r="X1485" s="63">
        <f>IFERROR(1 -(Master[[#This Row],[Avg Garment Scans per Delivery]]/Master[[#This Row],[Garment Inventory]]), 0)</f>
        <v>0.8214285714285714</v>
      </c>
      <c r="Y1485" s="62">
        <v>1</v>
      </c>
      <c r="Z1485" s="62">
        <v>28</v>
      </c>
      <c r="AA1485" s="53">
        <v>36.048579881656806</v>
      </c>
      <c r="AB1485" s="53">
        <v>43.319112426035502</v>
      </c>
      <c r="AC1485" s="53">
        <v>27.922958579881659</v>
      </c>
      <c r="AD1485" s="53">
        <v>35.243195266272195</v>
      </c>
      <c r="AE1485" s="53" t="str">
        <f>_xlfn.XLOOKUP(Master[[#This Row],[cu_id]],'[1]Customer Revenue'!$Q:$Q,'[1]Customer Revenue'!$K:$K, "None")</f>
        <v>None</v>
      </c>
      <c r="AF1485" s="53" t="str">
        <f>_xlfn.XLOOKUP(Master[[#This Row],[cu_id]],'[1]Customer Revenue'!$Q:$Q,'[1]Customer Revenue'!$L:$L, "None")</f>
        <v>None</v>
      </c>
      <c r="AG1485" s="53">
        <v>37.493431952662732</v>
      </c>
      <c r="AH1485" s="53">
        <v>44.630414201183456</v>
      </c>
      <c r="AI1485" s="53">
        <v>39.683846153846154</v>
      </c>
      <c r="AJ1485" s="53">
        <v>31.583076923076927</v>
      </c>
      <c r="AK1485" s="53" t="str">
        <f>_xlfn.XLOOKUP(Master[[#This Row],[cu_id]],'[1]Customer Revenue'!$Q:$Q,'[1]Customer Revenue'!$I:$I, "None")</f>
        <v>None</v>
      </c>
      <c r="AL1485" s="53">
        <v>41.061923076923094</v>
      </c>
      <c r="AM1485" s="61">
        <v>0.33333333333333331</v>
      </c>
      <c r="AN1485" s="60">
        <v>0</v>
      </c>
      <c r="AO1485" s="60">
        <v>0.54166666666666663</v>
      </c>
      <c r="AP1485" s="60">
        <v>0.70833333333333337</v>
      </c>
      <c r="AQ1485" s="58" t="s">
        <v>0</v>
      </c>
      <c r="AR1485" s="58"/>
      <c r="AS1485" s="58"/>
      <c r="AT1485" s="52">
        <v>0</v>
      </c>
      <c r="AU1485" s="52">
        <f>IF(Master[[#This Row],[RSP StopTime override]] &lt;&gt; "",Master[[#This Row],[RSP StopTime override]],IF(Master[[#This Row],[Avg stop time helper]] &lt;&gt; 0, Master[[#This Row],[Avg stop time helper]],Average_Stop_Time))</f>
        <v>15</v>
      </c>
      <c r="AV1485" s="21">
        <v>15</v>
      </c>
      <c r="AW1485" s="20">
        <f>Master[[#This Row],[RSP StopTime override]]-Master[[#This Row],[Avg stop time helper]]</f>
        <v>15</v>
      </c>
    </row>
    <row r="1486" spans="1:49" x14ac:dyDescent="0.3">
      <c r="A1486" s="66" t="s">
        <v>5485</v>
      </c>
      <c r="B1486" s="58">
        <v>8040</v>
      </c>
      <c r="C1486" s="58" t="s">
        <v>35</v>
      </c>
      <c r="D1486" s="65">
        <v>804236</v>
      </c>
      <c r="E1486" s="65" t="s">
        <v>42</v>
      </c>
      <c r="F1486" s="65" t="s">
        <v>424</v>
      </c>
      <c r="G1486" s="65" t="s">
        <v>423</v>
      </c>
      <c r="H1486" s="65" t="s">
        <v>7</v>
      </c>
      <c r="I1486" s="65" t="s">
        <v>6</v>
      </c>
      <c r="J1486" s="65" t="s">
        <v>5</v>
      </c>
      <c r="K1486" s="65" t="s">
        <v>68</v>
      </c>
      <c r="L1486" s="64" t="s">
        <v>77</v>
      </c>
      <c r="M1486" s="58" t="s">
        <v>29</v>
      </c>
      <c r="N1486" s="58" t="s">
        <v>2</v>
      </c>
      <c r="O1486" s="58">
        <v>151</v>
      </c>
      <c r="P1486" s="58">
        <v>0</v>
      </c>
      <c r="Q1486" s="58">
        <v>151</v>
      </c>
      <c r="R1486" s="58">
        <v>0</v>
      </c>
      <c r="S1486" s="58">
        <v>0</v>
      </c>
      <c r="T1486" s="58">
        <v>0</v>
      </c>
      <c r="U1486" s="58">
        <v>20</v>
      </c>
      <c r="V1486" s="62"/>
      <c r="W1486" s="62"/>
      <c r="X1486" s="63">
        <f>IFERROR(1 -(Master[[#This Row],[Avg Garment Scans per Delivery]]/Master[[#This Row],[Garment Inventory]]), 0)</f>
        <v>0</v>
      </c>
      <c r="Y1486" s="62"/>
      <c r="Z1486" s="62"/>
      <c r="AA1486" s="53">
        <v>46.3</v>
      </c>
      <c r="AB1486" s="53">
        <v>46.300000000000011</v>
      </c>
      <c r="AC1486" s="53">
        <v>46.155510204081637</v>
      </c>
      <c r="AD1486" s="53">
        <v>47.118775510204088</v>
      </c>
      <c r="AE1486" s="53" t="str">
        <f>_xlfn.XLOOKUP(Master[[#This Row],[cu_id]],'[1]Customer Revenue'!$Q:$Q,'[1]Customer Revenue'!$K:$K, "None")</f>
        <v>None</v>
      </c>
      <c r="AF1486" s="53" t="str">
        <f>_xlfn.XLOOKUP(Master[[#This Row],[cu_id]],'[1]Customer Revenue'!$Q:$Q,'[1]Customer Revenue'!$L:$L, "None")</f>
        <v>None</v>
      </c>
      <c r="AG1486" s="53">
        <v>42.162130177514797</v>
      </c>
      <c r="AH1486" s="53">
        <v>47.530177514792896</v>
      </c>
      <c r="AI1486" s="53">
        <v>46.300000000000004</v>
      </c>
      <c r="AJ1486" s="53">
        <v>46.637142857142862</v>
      </c>
      <c r="AK1486" s="53" t="str">
        <f>_xlfn.XLOOKUP(Master[[#This Row],[cu_id]],'[1]Customer Revenue'!$Q:$Q,'[1]Customer Revenue'!$I:$I, "None")</f>
        <v>None</v>
      </c>
      <c r="AL1486" s="53">
        <v>44.846153846153847</v>
      </c>
      <c r="AM1486" s="61">
        <v>0.39583333333333331</v>
      </c>
      <c r="AN1486" s="60">
        <v>0.70833333333333337</v>
      </c>
      <c r="AO1486" s="60" t="s">
        <v>36</v>
      </c>
      <c r="AP1486" s="60" t="s">
        <v>36</v>
      </c>
      <c r="AQ1486" s="58" t="s">
        <v>308</v>
      </c>
      <c r="AR1486" s="58"/>
      <c r="AS1486" s="58"/>
      <c r="AT1486" s="52">
        <v>0</v>
      </c>
      <c r="AU1486" s="52">
        <f>IF(Master[[#This Row],[RSP StopTime override]] &lt;&gt; "",Master[[#This Row],[RSP StopTime override]],IF(Master[[#This Row],[Avg stop time helper]] &lt;&gt; 0, Master[[#This Row],[Avg stop time helper]],Average_Stop_Time))</f>
        <v>10</v>
      </c>
      <c r="AV1486" s="21">
        <v>10</v>
      </c>
      <c r="AW1486" s="20">
        <f>Master[[#This Row],[RSP StopTime override]]-Master[[#This Row],[Avg stop time helper]]</f>
        <v>10</v>
      </c>
    </row>
    <row r="1487" spans="1:49" x14ac:dyDescent="0.3">
      <c r="A1487" s="66" t="s">
        <v>5486</v>
      </c>
      <c r="B1487" s="58">
        <v>8040</v>
      </c>
      <c r="C1487" s="58" t="s">
        <v>24</v>
      </c>
      <c r="D1487" s="65">
        <v>884654</v>
      </c>
      <c r="E1487" s="65" t="s">
        <v>422</v>
      </c>
      <c r="F1487" s="65" t="s">
        <v>421</v>
      </c>
      <c r="G1487" s="65" t="s">
        <v>420</v>
      </c>
      <c r="H1487" s="65" t="s">
        <v>419</v>
      </c>
      <c r="I1487" s="65" t="s">
        <v>6</v>
      </c>
      <c r="J1487" s="65" t="s">
        <v>5</v>
      </c>
      <c r="K1487" s="65" t="s">
        <v>418</v>
      </c>
      <c r="L1487" s="64" t="s">
        <v>91</v>
      </c>
      <c r="M1487" s="58" t="s">
        <v>90</v>
      </c>
      <c r="N1487" s="58" t="s">
        <v>2</v>
      </c>
      <c r="O1487" s="58">
        <v>83</v>
      </c>
      <c r="P1487" s="58">
        <v>83</v>
      </c>
      <c r="Q1487" s="58">
        <v>0</v>
      </c>
      <c r="R1487" s="58">
        <v>0</v>
      </c>
      <c r="S1487" s="58">
        <v>0</v>
      </c>
      <c r="T1487" s="58">
        <v>0</v>
      </c>
      <c r="U1487" s="58">
        <v>25</v>
      </c>
      <c r="V1487" s="62">
        <v>1</v>
      </c>
      <c r="W1487" s="62">
        <v>0</v>
      </c>
      <c r="X1487" s="63">
        <f>IFERROR(1 -(Master[[#This Row],[Avg Garment Scans per Delivery]]/Master[[#This Row],[Garment Inventory]]), 0)</f>
        <v>1</v>
      </c>
      <c r="Y1487" s="62">
        <v>2</v>
      </c>
      <c r="Z1487" s="62">
        <v>10</v>
      </c>
      <c r="AA1487" s="53">
        <v>4.7875446428571422</v>
      </c>
      <c r="AB1487" s="53">
        <v>11.478169642857143</v>
      </c>
      <c r="AC1487" s="53">
        <v>1.6269387755102045</v>
      </c>
      <c r="AD1487" s="53">
        <v>49.00734693877552</v>
      </c>
      <c r="AE1487" s="53" t="str">
        <f>_xlfn.XLOOKUP(Master[[#This Row],[cu_id]],'[1]Customer Revenue'!$Q:$Q,'[1]Customer Revenue'!$K:$K, "None")</f>
        <v>None</v>
      </c>
      <c r="AF1487" s="53" t="str">
        <f>_xlfn.XLOOKUP(Master[[#This Row],[cu_id]],'[1]Customer Revenue'!$Q:$Q,'[1]Customer Revenue'!$L:$L, "None")</f>
        <v>None</v>
      </c>
      <c r="AG1487" s="53">
        <v>4.7983830455258989</v>
      </c>
      <c r="AH1487" s="53">
        <v>17.427770800627943</v>
      </c>
      <c r="AI1487" s="53">
        <v>8.1328571428571426</v>
      </c>
      <c r="AJ1487" s="53">
        <v>25.317142857142862</v>
      </c>
      <c r="AK1487" s="53" t="str">
        <f>_xlfn.XLOOKUP(Master[[#This Row],[cu_id]],'[1]Customer Revenue'!$Q:$Q,'[1]Customer Revenue'!$I:$I, "None")</f>
        <v>None</v>
      </c>
      <c r="AL1487" s="53">
        <v>11.113076923076921</v>
      </c>
      <c r="AM1487" s="61">
        <v>0.33333333333333331</v>
      </c>
      <c r="AN1487" s="60">
        <v>0.70833333333333337</v>
      </c>
      <c r="AO1487" s="60" t="s">
        <v>36</v>
      </c>
      <c r="AP1487" s="60" t="s">
        <v>36</v>
      </c>
      <c r="AQ1487" s="58" t="s">
        <v>0</v>
      </c>
      <c r="AR1487" s="58"/>
      <c r="AS1487" s="58"/>
      <c r="AT1487" s="52">
        <v>0</v>
      </c>
      <c r="AU1487" s="52">
        <f>IF(Master[[#This Row],[RSP StopTime override]] &lt;&gt; "",Master[[#This Row],[RSP StopTime override]],IF(Master[[#This Row],[Avg stop time helper]] &lt;&gt; 0, Master[[#This Row],[Avg stop time helper]],Average_Stop_Time))</f>
        <v>10</v>
      </c>
      <c r="AV1487" s="21">
        <v>10</v>
      </c>
      <c r="AW1487" s="20">
        <f>Master[[#This Row],[RSP StopTime override]]-Master[[#This Row],[Avg stop time helper]]</f>
        <v>10</v>
      </c>
    </row>
    <row r="1488" spans="1:49" x14ac:dyDescent="0.3">
      <c r="A1488" s="66" t="s">
        <v>5487</v>
      </c>
      <c r="B1488" s="58">
        <v>8040</v>
      </c>
      <c r="C1488" s="58" t="s">
        <v>43</v>
      </c>
      <c r="D1488" s="65">
        <v>808501</v>
      </c>
      <c r="E1488" s="65" t="s">
        <v>42</v>
      </c>
      <c r="F1488" s="65" t="s">
        <v>417</v>
      </c>
      <c r="G1488" s="65" t="s">
        <v>416</v>
      </c>
      <c r="H1488" s="65" t="s">
        <v>7</v>
      </c>
      <c r="I1488" s="65" t="s">
        <v>158</v>
      </c>
      <c r="J1488" s="65" t="s">
        <v>5</v>
      </c>
      <c r="K1488" s="65" t="s">
        <v>415</v>
      </c>
      <c r="L1488" s="64" t="s">
        <v>67</v>
      </c>
      <c r="M1488" s="58" t="s">
        <v>3</v>
      </c>
      <c r="N1488" s="58" t="s">
        <v>2</v>
      </c>
      <c r="O1488" s="58">
        <v>10</v>
      </c>
      <c r="P1488" s="58">
        <v>0</v>
      </c>
      <c r="Q1488" s="58">
        <v>0</v>
      </c>
      <c r="R1488" s="58">
        <v>0</v>
      </c>
      <c r="S1488" s="58">
        <v>10</v>
      </c>
      <c r="T1488" s="58">
        <v>0</v>
      </c>
      <c r="U1488" s="58">
        <v>37</v>
      </c>
      <c r="V1488" s="62"/>
      <c r="W1488" s="62"/>
      <c r="X1488" s="63">
        <f>IFERROR(1 -(Master[[#This Row],[Avg Garment Scans per Delivery]]/Master[[#This Row],[Garment Inventory]]), 0)</f>
        <v>0</v>
      </c>
      <c r="Y1488" s="62"/>
      <c r="Z1488" s="62"/>
      <c r="AA1488" s="53">
        <v>17.940532544378698</v>
      </c>
      <c r="AB1488" s="53">
        <v>23.879467455621302</v>
      </c>
      <c r="AC1488" s="53">
        <v>20.657278106508876</v>
      </c>
      <c r="AD1488" s="53">
        <v>21.748875739644966</v>
      </c>
      <c r="AE1488" s="53" t="str">
        <f>_xlfn.XLOOKUP(Master[[#This Row],[cu_id]],'[1]Customer Revenue'!$Q:$Q,'[1]Customer Revenue'!$K:$K, "None")</f>
        <v>None</v>
      </c>
      <c r="AF1488" s="53" t="str">
        <f>_xlfn.XLOOKUP(Master[[#This Row],[cu_id]],'[1]Customer Revenue'!$Q:$Q,'[1]Customer Revenue'!$L:$L, "None")</f>
        <v>None</v>
      </c>
      <c r="AG1488" s="53">
        <v>15.942059428865461</v>
      </c>
      <c r="AH1488" s="53">
        <v>27.696201440699774</v>
      </c>
      <c r="AI1488" s="53">
        <v>20.91</v>
      </c>
      <c r="AJ1488" s="53">
        <v>21.203076923076921</v>
      </c>
      <c r="AK1488" s="53" t="str">
        <f>_xlfn.XLOOKUP(Master[[#This Row],[cu_id]],'[1]Customer Revenue'!$Q:$Q,'[1]Customer Revenue'!$I:$I, "None")</f>
        <v>None</v>
      </c>
      <c r="AL1488" s="53">
        <v>21.819130434782618</v>
      </c>
      <c r="AM1488" s="61">
        <v>0.25</v>
      </c>
      <c r="AN1488" s="60">
        <v>0.5625</v>
      </c>
      <c r="AO1488" s="60" t="s">
        <v>36</v>
      </c>
      <c r="AP1488" s="60" t="s">
        <v>36</v>
      </c>
      <c r="AQ1488" s="58" t="s">
        <v>0</v>
      </c>
      <c r="AR1488" s="58"/>
      <c r="AS1488" s="58"/>
      <c r="AT1488" s="52">
        <v>0</v>
      </c>
      <c r="AU1488" s="52">
        <f>IF(Master[[#This Row],[RSP StopTime override]] &lt;&gt; "",Master[[#This Row],[RSP StopTime override]],IF(Master[[#This Row],[Avg stop time helper]] &lt;&gt; 0, Master[[#This Row],[Avg stop time helper]],Average_Stop_Time))</f>
        <v>10</v>
      </c>
      <c r="AV1488" s="21">
        <v>10</v>
      </c>
      <c r="AW1488" s="20">
        <f>Master[[#This Row],[RSP StopTime override]]-Master[[#This Row],[Avg stop time helper]]</f>
        <v>10</v>
      </c>
    </row>
    <row r="1489" spans="1:49" x14ac:dyDescent="0.3">
      <c r="A1489" s="66" t="s">
        <v>5488</v>
      </c>
      <c r="B1489" s="58">
        <v>8040</v>
      </c>
      <c r="C1489" s="58" t="s">
        <v>24</v>
      </c>
      <c r="D1489" s="65">
        <v>804370</v>
      </c>
      <c r="E1489" s="65" t="s">
        <v>42</v>
      </c>
      <c r="F1489" s="65" t="s">
        <v>414</v>
      </c>
      <c r="G1489" s="65" t="s">
        <v>413</v>
      </c>
      <c r="H1489" s="65" t="s">
        <v>7</v>
      </c>
      <c r="I1489" s="65" t="s">
        <v>6</v>
      </c>
      <c r="J1489" s="65" t="s">
        <v>5</v>
      </c>
      <c r="K1489" s="65" t="s">
        <v>151</v>
      </c>
      <c r="L1489" s="64" t="s">
        <v>67</v>
      </c>
      <c r="M1489" s="58" t="s">
        <v>3</v>
      </c>
      <c r="N1489" s="58" t="s">
        <v>2</v>
      </c>
      <c r="O1489" s="58">
        <v>60</v>
      </c>
      <c r="P1489" s="58">
        <v>60</v>
      </c>
      <c r="Q1489" s="58">
        <v>0</v>
      </c>
      <c r="R1489" s="58">
        <v>0</v>
      </c>
      <c r="S1489" s="58">
        <v>0</v>
      </c>
      <c r="T1489" s="58">
        <v>0</v>
      </c>
      <c r="U1489" s="58">
        <v>39</v>
      </c>
      <c r="V1489" s="62">
        <v>204</v>
      </c>
      <c r="W1489" s="62">
        <v>6</v>
      </c>
      <c r="X1489" s="63">
        <f>IFERROR(1 -(Master[[#This Row],[Avg Garment Scans per Delivery]]/Master[[#This Row],[Garment Inventory]]), 0)</f>
        <v>0.97058823529411764</v>
      </c>
      <c r="Y1489" s="62">
        <v>8</v>
      </c>
      <c r="Z1489" s="62">
        <v>101</v>
      </c>
      <c r="AA1489" s="53">
        <v>115.85680473372783</v>
      </c>
      <c r="AB1489" s="53">
        <v>130.90011834319529</v>
      </c>
      <c r="AC1489" s="53">
        <v>81.484615384615367</v>
      </c>
      <c r="AD1489" s="53">
        <v>182.16461538461533</v>
      </c>
      <c r="AE1489" s="53" t="str">
        <f>_xlfn.XLOOKUP(Master[[#This Row],[cu_id]],'[1]Customer Revenue'!$Q:$Q,'[1]Customer Revenue'!$K:$K, "None")</f>
        <v>None</v>
      </c>
      <c r="AF1489" s="53" t="str">
        <f>_xlfn.XLOOKUP(Master[[#This Row],[cu_id]],'[1]Customer Revenue'!$Q:$Q,'[1]Customer Revenue'!$L:$L, "None")</f>
        <v>None</v>
      </c>
      <c r="AG1489" s="53">
        <v>110.24719478737995</v>
      </c>
      <c r="AH1489" s="53">
        <v>140.36280521262</v>
      </c>
      <c r="AI1489" s="53">
        <v>123.37846153846155</v>
      </c>
      <c r="AJ1489" s="53">
        <v>131.82461538461536</v>
      </c>
      <c r="AK1489" s="53" t="str">
        <f>_xlfn.XLOOKUP(Master[[#This Row],[cu_id]],'[1]Customer Revenue'!$Q:$Q,'[1]Customer Revenue'!$I:$I, "None")</f>
        <v>None</v>
      </c>
      <c r="AL1489" s="53">
        <v>125.30499999999998</v>
      </c>
      <c r="AM1489" s="61" t="s">
        <v>36</v>
      </c>
      <c r="AN1489" s="60" t="s">
        <v>36</v>
      </c>
      <c r="AO1489" s="60" t="s">
        <v>36</v>
      </c>
      <c r="AP1489" s="60" t="s">
        <v>36</v>
      </c>
      <c r="AQ1489" s="58" t="s">
        <v>0</v>
      </c>
      <c r="AR1489" s="58"/>
      <c r="AS1489" s="58"/>
      <c r="AT1489" s="52">
        <v>0</v>
      </c>
      <c r="AU1489" s="52">
        <f>IF(Master[[#This Row],[RSP StopTime override]] &lt;&gt; "",Master[[#This Row],[RSP StopTime override]],IF(Master[[#This Row],[Avg stop time helper]] &lt;&gt; 0, Master[[#This Row],[Avg stop time helper]],Average_Stop_Time))</f>
        <v>20</v>
      </c>
      <c r="AV1489" s="21">
        <v>20</v>
      </c>
      <c r="AW1489" s="20">
        <f>Master[[#This Row],[RSP StopTime override]]-Master[[#This Row],[Avg stop time helper]]</f>
        <v>20</v>
      </c>
    </row>
    <row r="1490" spans="1:49" x14ac:dyDescent="0.3">
      <c r="A1490" s="66" t="s">
        <v>5489</v>
      </c>
      <c r="B1490" s="58">
        <v>8040</v>
      </c>
      <c r="C1490" s="58" t="s">
        <v>43</v>
      </c>
      <c r="D1490" s="65">
        <v>805621</v>
      </c>
      <c r="E1490" s="65" t="s">
        <v>42</v>
      </c>
      <c r="F1490" s="65" t="s">
        <v>412</v>
      </c>
      <c r="G1490" s="65" t="s">
        <v>411</v>
      </c>
      <c r="H1490" s="65" t="s">
        <v>7</v>
      </c>
      <c r="I1490" s="65" t="s">
        <v>6</v>
      </c>
      <c r="J1490" s="65" t="s">
        <v>5</v>
      </c>
      <c r="K1490" s="65" t="s">
        <v>146</v>
      </c>
      <c r="L1490" s="64" t="s">
        <v>67</v>
      </c>
      <c r="M1490" s="58" t="s">
        <v>3</v>
      </c>
      <c r="N1490" s="58" t="s">
        <v>2</v>
      </c>
      <c r="O1490" s="58">
        <v>45</v>
      </c>
      <c r="P1490" s="58">
        <v>0</v>
      </c>
      <c r="Q1490" s="58">
        <v>0</v>
      </c>
      <c r="R1490" s="58">
        <v>0</v>
      </c>
      <c r="S1490" s="58">
        <v>45</v>
      </c>
      <c r="T1490" s="58">
        <v>0</v>
      </c>
      <c r="U1490" s="58">
        <v>39</v>
      </c>
      <c r="V1490" s="62">
        <v>0</v>
      </c>
      <c r="W1490" s="62">
        <v>0</v>
      </c>
      <c r="X1490" s="63">
        <f>IFERROR(1 -(Master[[#This Row],[Avg Garment Scans per Delivery]]/Master[[#This Row],[Garment Inventory]]), 0)</f>
        <v>0</v>
      </c>
      <c r="Y1490" s="62">
        <v>2</v>
      </c>
      <c r="Z1490" s="62">
        <v>27</v>
      </c>
      <c r="AA1490" s="53">
        <v>94.261360946745555</v>
      </c>
      <c r="AB1490" s="53">
        <v>98.792485207100583</v>
      </c>
      <c r="AC1490" s="53">
        <v>89.161656804733724</v>
      </c>
      <c r="AD1490" s="53">
        <v>97.770650887573964</v>
      </c>
      <c r="AE1490" s="53" t="str">
        <f>_xlfn.XLOOKUP(Master[[#This Row],[cu_id]],'[1]Customer Revenue'!$Q:$Q,'[1]Customer Revenue'!$K:$K, "None")</f>
        <v>None</v>
      </c>
      <c r="AF1490" s="53" t="str">
        <f>_xlfn.XLOOKUP(Master[[#This Row],[cu_id]],'[1]Customer Revenue'!$Q:$Q,'[1]Customer Revenue'!$L:$L, "None")</f>
        <v>None</v>
      </c>
      <c r="AG1490" s="53">
        <v>75.472721893491112</v>
      </c>
      <c r="AH1490" s="53">
        <v>99.914970414201193</v>
      </c>
      <c r="AI1490" s="53">
        <v>96.526923076923069</v>
      </c>
      <c r="AJ1490" s="53">
        <v>93.466153846153844</v>
      </c>
      <c r="AK1490" s="53" t="str">
        <f>_xlfn.XLOOKUP(Master[[#This Row],[cu_id]],'[1]Customer Revenue'!$Q:$Q,'[1]Customer Revenue'!$I:$I, "None")</f>
        <v>None</v>
      </c>
      <c r="AL1490" s="53">
        <v>87.693846153846152</v>
      </c>
      <c r="AM1490" s="61">
        <v>0.33333333333333331</v>
      </c>
      <c r="AN1490" s="60">
        <v>0.70833333333333337</v>
      </c>
      <c r="AO1490" s="60" t="s">
        <v>36</v>
      </c>
      <c r="AP1490" s="60" t="s">
        <v>36</v>
      </c>
      <c r="AQ1490" s="58" t="s">
        <v>0</v>
      </c>
      <c r="AR1490" s="58"/>
      <c r="AS1490" s="58"/>
      <c r="AT1490" s="52">
        <v>0</v>
      </c>
      <c r="AU1490" s="52">
        <f>IF(Master[[#This Row],[RSP StopTime override]] &lt;&gt; "",Master[[#This Row],[RSP StopTime override]],IF(Master[[#This Row],[Avg stop time helper]] &lt;&gt; 0, Master[[#This Row],[Avg stop time helper]],Average_Stop_Time))</f>
        <v>10</v>
      </c>
      <c r="AV1490" s="21">
        <v>10</v>
      </c>
      <c r="AW1490" s="20">
        <f>Master[[#This Row],[RSP StopTime override]]-Master[[#This Row],[Avg stop time helper]]</f>
        <v>10</v>
      </c>
    </row>
    <row r="1491" spans="1:49" x14ac:dyDescent="0.3">
      <c r="A1491" s="66" t="s">
        <v>5490</v>
      </c>
      <c r="B1491" s="58">
        <v>8040</v>
      </c>
      <c r="C1491" s="58" t="s">
        <v>10</v>
      </c>
      <c r="D1491" s="65">
        <v>883041</v>
      </c>
      <c r="E1491" s="65" t="s">
        <v>410</v>
      </c>
      <c r="F1491" s="65" t="s">
        <v>409</v>
      </c>
      <c r="G1491" s="65" t="s">
        <v>408</v>
      </c>
      <c r="H1491" s="65" t="s">
        <v>7</v>
      </c>
      <c r="I1491" s="65" t="s">
        <v>161</v>
      </c>
      <c r="J1491" s="65" t="s">
        <v>5</v>
      </c>
      <c r="K1491" s="65" t="s">
        <v>146</v>
      </c>
      <c r="L1491" s="64">
        <v>5</v>
      </c>
      <c r="M1491" s="58" t="s">
        <v>3</v>
      </c>
      <c r="N1491" s="58" t="s">
        <v>2</v>
      </c>
      <c r="O1491" s="58">
        <v>32</v>
      </c>
      <c r="P1491" s="58">
        <v>0</v>
      </c>
      <c r="Q1491" s="58">
        <v>0</v>
      </c>
      <c r="R1491" s="58">
        <v>40</v>
      </c>
      <c r="S1491" s="58">
        <v>0</v>
      </c>
      <c r="T1491" s="58">
        <v>0</v>
      </c>
      <c r="U1491" s="58">
        <v>43</v>
      </c>
      <c r="V1491" s="62"/>
      <c r="W1491" s="62"/>
      <c r="X1491" s="63">
        <f>IFERROR(1 -(Master[[#This Row],[Avg Garment Scans per Delivery]]/Master[[#This Row],[Garment Inventory]]), 0)</f>
        <v>0</v>
      </c>
      <c r="Y1491" s="62"/>
      <c r="Z1491" s="62"/>
      <c r="AA1491" s="53">
        <v>31.788284023668623</v>
      </c>
      <c r="AB1491" s="53">
        <v>43.802485207100588</v>
      </c>
      <c r="AC1491" s="53">
        <v>37.085108481262317</v>
      </c>
      <c r="AD1491" s="53">
        <v>49.361558185404341</v>
      </c>
      <c r="AE1491" s="53" t="str">
        <f>_xlfn.XLOOKUP(Master[[#This Row],[cu_id]],'[1]Customer Revenue'!$Q:$Q,'[1]Customer Revenue'!$K:$K, "None")</f>
        <v>None</v>
      </c>
      <c r="AF1491" s="53" t="str">
        <f>_xlfn.XLOOKUP(Master[[#This Row],[cu_id]],'[1]Customer Revenue'!$Q:$Q,'[1]Customer Revenue'!$L:$L, "None")</f>
        <v>None</v>
      </c>
      <c r="AG1491" s="53">
        <v>21.762894029047882</v>
      </c>
      <c r="AH1491" s="53">
        <v>45.431651425497591</v>
      </c>
      <c r="AI1491" s="53">
        <v>37.795384615384606</v>
      </c>
      <c r="AJ1491" s="53">
        <v>43.223333333333329</v>
      </c>
      <c r="AK1491" s="53" t="str">
        <f>_xlfn.XLOOKUP(Master[[#This Row],[cu_id]],'[1]Customer Revenue'!$Q:$Q,'[1]Customer Revenue'!$I:$I, "None")</f>
        <v>None</v>
      </c>
      <c r="AL1491" s="53">
        <v>33.597272727272738</v>
      </c>
      <c r="AM1491" s="61" t="s">
        <v>36</v>
      </c>
      <c r="AN1491" s="60" t="s">
        <v>36</v>
      </c>
      <c r="AO1491" s="60" t="s">
        <v>36</v>
      </c>
      <c r="AP1491" s="60" t="s">
        <v>36</v>
      </c>
      <c r="AQ1491" s="58" t="s">
        <v>0</v>
      </c>
      <c r="AR1491" s="58"/>
      <c r="AS1491" s="58"/>
      <c r="AT1491" s="52">
        <v>0</v>
      </c>
      <c r="AU1491" s="52">
        <f>IF(Master[[#This Row],[RSP StopTime override]] &lt;&gt; "",Master[[#This Row],[RSP StopTime override]],IF(Master[[#This Row],[Avg stop time helper]] &lt;&gt; 0, Master[[#This Row],[Avg stop time helper]],Average_Stop_Time))</f>
        <v>10</v>
      </c>
      <c r="AV1491" s="21">
        <v>10</v>
      </c>
      <c r="AW1491" s="20">
        <f>Master[[#This Row],[RSP StopTime override]]-Master[[#This Row],[Avg stop time helper]]</f>
        <v>10</v>
      </c>
    </row>
    <row r="1492" spans="1:49" x14ac:dyDescent="0.3">
      <c r="A1492" s="66" t="s">
        <v>5491</v>
      </c>
      <c r="B1492" s="58">
        <v>8040</v>
      </c>
      <c r="C1492" s="58" t="s">
        <v>43</v>
      </c>
      <c r="D1492" s="65">
        <v>805732</v>
      </c>
      <c r="E1492" s="65" t="s">
        <v>42</v>
      </c>
      <c r="F1492" s="65" t="s">
        <v>407</v>
      </c>
      <c r="G1492" s="65" t="s">
        <v>406</v>
      </c>
      <c r="H1492" s="65" t="s">
        <v>7</v>
      </c>
      <c r="I1492" s="65" t="s">
        <v>6</v>
      </c>
      <c r="J1492" s="65" t="s">
        <v>5</v>
      </c>
      <c r="K1492" s="65" t="s">
        <v>68</v>
      </c>
      <c r="L1492" s="64" t="s">
        <v>67</v>
      </c>
      <c r="M1492" s="58" t="s">
        <v>3</v>
      </c>
      <c r="N1492" s="58" t="s">
        <v>2</v>
      </c>
      <c r="O1492" s="58">
        <v>65</v>
      </c>
      <c r="P1492" s="58">
        <v>0</v>
      </c>
      <c r="Q1492" s="58">
        <v>0</v>
      </c>
      <c r="R1492" s="58">
        <v>0</v>
      </c>
      <c r="S1492" s="58">
        <v>65</v>
      </c>
      <c r="T1492" s="58">
        <v>0</v>
      </c>
      <c r="U1492" s="58">
        <v>37</v>
      </c>
      <c r="V1492" s="62"/>
      <c r="W1492" s="62"/>
      <c r="X1492" s="63">
        <f>IFERROR(1 -(Master[[#This Row],[Avg Garment Scans per Delivery]]/Master[[#This Row],[Garment Inventory]]), 0)</f>
        <v>0</v>
      </c>
      <c r="Y1492" s="62"/>
      <c r="Z1492" s="62"/>
      <c r="AA1492" s="53">
        <v>54.523000000000003</v>
      </c>
      <c r="AB1492" s="53">
        <v>67.447000000000003</v>
      </c>
      <c r="AC1492" s="53">
        <v>50.027159763313605</v>
      </c>
      <c r="AD1492" s="53">
        <v>61.798994082840238</v>
      </c>
      <c r="AE1492" s="53" t="str">
        <f>_xlfn.XLOOKUP(Master[[#This Row],[cu_id]],'[1]Customer Revenue'!$Q:$Q,'[1]Customer Revenue'!$K:$K, "None")</f>
        <v>None</v>
      </c>
      <c r="AF1492" s="53" t="str">
        <f>_xlfn.XLOOKUP(Master[[#This Row],[cu_id]],'[1]Customer Revenue'!$Q:$Q,'[1]Customer Revenue'!$L:$L, "None")</f>
        <v>None</v>
      </c>
      <c r="AG1492" s="53">
        <v>54.167561436672983</v>
      </c>
      <c r="AH1492" s="53">
        <v>66.169829867674878</v>
      </c>
      <c r="AI1492" s="53">
        <v>60.984999999999999</v>
      </c>
      <c r="AJ1492" s="53">
        <v>55.913076923076922</v>
      </c>
      <c r="AK1492" s="53" t="str">
        <f>_xlfn.XLOOKUP(Master[[#This Row],[cu_id]],'[1]Customer Revenue'!$Q:$Q,'[1]Customer Revenue'!$I:$I, "None")</f>
        <v>None</v>
      </c>
      <c r="AL1492" s="53">
        <v>60.16869565217393</v>
      </c>
      <c r="AM1492" s="61">
        <v>0.1875</v>
      </c>
      <c r="AN1492" s="60">
        <v>0.875</v>
      </c>
      <c r="AO1492" s="60" t="s">
        <v>36</v>
      </c>
      <c r="AP1492" s="60" t="s">
        <v>36</v>
      </c>
      <c r="AQ1492" s="58" t="s">
        <v>0</v>
      </c>
      <c r="AR1492" s="58"/>
      <c r="AS1492" s="58"/>
      <c r="AT1492" s="52">
        <v>0</v>
      </c>
      <c r="AU1492" s="52">
        <f>IF(Master[[#This Row],[RSP StopTime override]] &lt;&gt; "",Master[[#This Row],[RSP StopTime override]],IF(Master[[#This Row],[Avg stop time helper]] &lt;&gt; 0, Master[[#This Row],[Avg stop time helper]],Average_Stop_Time))</f>
        <v>10</v>
      </c>
      <c r="AV1492" s="21">
        <v>10</v>
      </c>
      <c r="AW1492" s="20">
        <f>Master[[#This Row],[RSP StopTime override]]-Master[[#This Row],[Avg stop time helper]]</f>
        <v>10</v>
      </c>
    </row>
    <row r="1493" spans="1:49" x14ac:dyDescent="0.3">
      <c r="A1493" s="66" t="s">
        <v>5492</v>
      </c>
      <c r="B1493" s="58">
        <v>8040</v>
      </c>
      <c r="C1493" s="58" t="s">
        <v>10</v>
      </c>
      <c r="D1493" s="65">
        <v>806041</v>
      </c>
      <c r="E1493" s="65" t="s">
        <v>42</v>
      </c>
      <c r="F1493" s="65" t="s">
        <v>405</v>
      </c>
      <c r="G1493" s="65" t="s">
        <v>404</v>
      </c>
      <c r="H1493" s="65" t="s">
        <v>7</v>
      </c>
      <c r="I1493" s="65" t="s">
        <v>6</v>
      </c>
      <c r="J1493" s="65" t="s">
        <v>5</v>
      </c>
      <c r="K1493" s="65" t="s">
        <v>115</v>
      </c>
      <c r="L1493" s="64" t="s">
        <v>91</v>
      </c>
      <c r="M1493" s="58" t="s">
        <v>90</v>
      </c>
      <c r="N1493" s="58" t="s">
        <v>2</v>
      </c>
      <c r="O1493" s="58">
        <v>300</v>
      </c>
      <c r="P1493" s="58">
        <v>0</v>
      </c>
      <c r="Q1493" s="58">
        <v>0</v>
      </c>
      <c r="R1493" s="58">
        <v>300</v>
      </c>
      <c r="S1493" s="58">
        <v>0</v>
      </c>
      <c r="T1493" s="58">
        <v>0</v>
      </c>
      <c r="U1493" s="58">
        <v>18</v>
      </c>
      <c r="V1493" s="62"/>
      <c r="W1493" s="62"/>
      <c r="X1493" s="63">
        <f>IFERROR(1 -(Master[[#This Row],[Avg Garment Scans per Delivery]]/Master[[#This Row],[Garment Inventory]]), 0)</f>
        <v>0</v>
      </c>
      <c r="Y1493" s="62"/>
      <c r="Z1493" s="62"/>
      <c r="AA1493" s="53">
        <v>33.85</v>
      </c>
      <c r="AB1493" s="53">
        <v>33.85</v>
      </c>
      <c r="AC1493" s="53">
        <v>33.566938775510202</v>
      </c>
      <c r="AD1493" s="53">
        <v>38.095918367346933</v>
      </c>
      <c r="AE1493" s="53" t="str">
        <f>_xlfn.XLOOKUP(Master[[#This Row],[cu_id]],'[1]Customer Revenue'!$Q:$Q,'[1]Customer Revenue'!$K:$K, "None")</f>
        <v>None</v>
      </c>
      <c r="AF1493" s="53" t="str">
        <f>_xlfn.XLOOKUP(Master[[#This Row],[cu_id]],'[1]Customer Revenue'!$Q:$Q,'[1]Customer Revenue'!$L:$L, "None")</f>
        <v>None</v>
      </c>
      <c r="AG1493" s="53">
        <v>33.85</v>
      </c>
      <c r="AH1493" s="53">
        <v>33.850000000000016</v>
      </c>
      <c r="AI1493" s="53">
        <v>33.85</v>
      </c>
      <c r="AJ1493" s="53">
        <v>35.831428571428567</v>
      </c>
      <c r="AK1493" s="53" t="str">
        <f>_xlfn.XLOOKUP(Master[[#This Row],[cu_id]],'[1]Customer Revenue'!$Q:$Q,'[1]Customer Revenue'!$I:$I, "None")</f>
        <v>None</v>
      </c>
      <c r="AL1493" s="53">
        <v>33.850000000000009</v>
      </c>
      <c r="AM1493" s="61">
        <v>0.54166666666666663</v>
      </c>
      <c r="AN1493" s="60">
        <v>0.79166666666666663</v>
      </c>
      <c r="AO1493" s="60" t="s">
        <v>36</v>
      </c>
      <c r="AP1493" s="60" t="s">
        <v>36</v>
      </c>
      <c r="AQ1493" s="58" t="s">
        <v>0</v>
      </c>
      <c r="AR1493" s="58"/>
      <c r="AS1493" s="58"/>
      <c r="AT1493" s="52">
        <v>0</v>
      </c>
      <c r="AU1493" s="52">
        <f>IF(Master[[#This Row],[RSP StopTime override]] &lt;&gt; "",Master[[#This Row],[RSP StopTime override]],IF(Master[[#This Row],[Avg stop time helper]] &lt;&gt; 0, Master[[#This Row],[Avg stop time helper]],Average_Stop_Time))</f>
        <v>15</v>
      </c>
      <c r="AV1493" s="21">
        <v>15</v>
      </c>
      <c r="AW1493" s="20">
        <f>Master[[#This Row],[RSP StopTime override]]-Master[[#This Row],[Avg stop time helper]]</f>
        <v>15</v>
      </c>
    </row>
    <row r="1494" spans="1:49" x14ac:dyDescent="0.3">
      <c r="A1494" s="66" t="s">
        <v>5493</v>
      </c>
      <c r="B1494" s="58">
        <v>8040</v>
      </c>
      <c r="C1494" s="58" t="s">
        <v>24</v>
      </c>
      <c r="D1494" s="65">
        <v>804747</v>
      </c>
      <c r="E1494" s="65" t="s">
        <v>42</v>
      </c>
      <c r="F1494" s="65" t="s">
        <v>403</v>
      </c>
      <c r="G1494" s="65" t="s">
        <v>402</v>
      </c>
      <c r="H1494" s="65" t="s">
        <v>7</v>
      </c>
      <c r="I1494" s="65" t="s">
        <v>6</v>
      </c>
      <c r="J1494" s="65" t="s">
        <v>5</v>
      </c>
      <c r="K1494" s="65" t="s">
        <v>151</v>
      </c>
      <c r="L1494" s="64" t="s">
        <v>67</v>
      </c>
      <c r="M1494" s="58" t="s">
        <v>3</v>
      </c>
      <c r="N1494" s="58" t="s">
        <v>2</v>
      </c>
      <c r="O1494" s="58">
        <v>68</v>
      </c>
      <c r="P1494" s="58">
        <v>68</v>
      </c>
      <c r="Q1494" s="58">
        <v>0</v>
      </c>
      <c r="R1494" s="58">
        <v>0</v>
      </c>
      <c r="S1494" s="58">
        <v>0</v>
      </c>
      <c r="T1494" s="58">
        <v>0</v>
      </c>
      <c r="U1494" s="58">
        <v>37</v>
      </c>
      <c r="V1494" s="62">
        <v>14</v>
      </c>
      <c r="W1494" s="62">
        <v>2</v>
      </c>
      <c r="X1494" s="63">
        <f>IFERROR(1 -(Master[[#This Row],[Avg Garment Scans per Delivery]]/Master[[#This Row],[Garment Inventory]]), 0)</f>
        <v>0.85714285714285721</v>
      </c>
      <c r="Y1494" s="62">
        <v>1</v>
      </c>
      <c r="Z1494" s="62">
        <v>14</v>
      </c>
      <c r="AA1494" s="53">
        <v>69.365250134480874</v>
      </c>
      <c r="AB1494" s="53">
        <v>118.19838622915546</v>
      </c>
      <c r="AC1494" s="53">
        <v>86.477810650887562</v>
      </c>
      <c r="AD1494" s="53">
        <v>133.19449704142011</v>
      </c>
      <c r="AE1494" s="53" t="str">
        <f>_xlfn.XLOOKUP(Master[[#This Row],[cu_id]],'[1]Customer Revenue'!$Q:$Q,'[1]Customer Revenue'!$K:$K, "None")</f>
        <v>None</v>
      </c>
      <c r="AF1494" s="53" t="str">
        <f>_xlfn.XLOOKUP(Master[[#This Row],[cu_id]],'[1]Customer Revenue'!$Q:$Q,'[1]Customer Revenue'!$L:$L, "None")</f>
        <v>None</v>
      </c>
      <c r="AG1494" s="53">
        <v>78.323138560157787</v>
      </c>
      <c r="AH1494" s="53">
        <v>105.15769477317554</v>
      </c>
      <c r="AI1494" s="53">
        <v>93.781818181818167</v>
      </c>
      <c r="AJ1494" s="53">
        <v>109.83615384615383</v>
      </c>
      <c r="AK1494" s="53" t="str">
        <f>_xlfn.XLOOKUP(Master[[#This Row],[cu_id]],'[1]Customer Revenue'!$Q:$Q,'[1]Customer Revenue'!$I:$I, "None")</f>
        <v>None</v>
      </c>
      <c r="AL1494" s="53">
        <v>91.740416666666661</v>
      </c>
      <c r="AM1494" s="61">
        <v>0.41666666666666669</v>
      </c>
      <c r="AN1494" s="60">
        <v>0.625</v>
      </c>
      <c r="AO1494" s="60" t="s">
        <v>36</v>
      </c>
      <c r="AP1494" s="60" t="s">
        <v>36</v>
      </c>
      <c r="AQ1494" s="58" t="s">
        <v>308</v>
      </c>
      <c r="AR1494" s="58"/>
      <c r="AS1494" s="58"/>
      <c r="AT1494" s="52">
        <v>0</v>
      </c>
      <c r="AU1494" s="52" t="e">
        <f>IF(Master[[#This Row],[RSP StopTime override]] &lt;&gt; "",Master[[#This Row],[RSP StopTime override]],IF(Master[[#This Row],[Avg stop time helper]] &lt;&gt; 0, Master[[#This Row],[Avg stop time helper]],Average_Stop_Time))</f>
        <v>#DIV/0!</v>
      </c>
      <c r="AV1494" s="21"/>
      <c r="AW1494" s="20">
        <f>Master[[#This Row],[RSP StopTime override]]-Master[[#This Row],[Avg stop time helper]]</f>
        <v>0</v>
      </c>
    </row>
    <row r="1495" spans="1:49" x14ac:dyDescent="0.3">
      <c r="A1495" s="66" t="s">
        <v>5494</v>
      </c>
      <c r="B1495" s="58">
        <v>8040</v>
      </c>
      <c r="C1495" s="58" t="s">
        <v>24</v>
      </c>
      <c r="D1495" s="65">
        <v>804411</v>
      </c>
      <c r="E1495" s="65" t="s">
        <v>42</v>
      </c>
      <c r="F1495" s="65" t="s">
        <v>401</v>
      </c>
      <c r="G1495" s="65" t="s">
        <v>400</v>
      </c>
      <c r="H1495" s="65" t="s">
        <v>7</v>
      </c>
      <c r="I1495" s="65" t="s">
        <v>6</v>
      </c>
      <c r="J1495" s="65" t="s">
        <v>5</v>
      </c>
      <c r="K1495" s="65" t="s">
        <v>68</v>
      </c>
      <c r="L1495" s="64" t="s">
        <v>67</v>
      </c>
      <c r="M1495" s="58" t="s">
        <v>3</v>
      </c>
      <c r="N1495" s="58" t="s">
        <v>2</v>
      </c>
      <c r="O1495" s="58">
        <v>165</v>
      </c>
      <c r="P1495" s="58">
        <v>165</v>
      </c>
      <c r="Q1495" s="58">
        <v>0</v>
      </c>
      <c r="R1495" s="58">
        <v>0</v>
      </c>
      <c r="S1495" s="58">
        <v>0</v>
      </c>
      <c r="T1495" s="58">
        <v>0</v>
      </c>
      <c r="U1495" s="58">
        <v>36</v>
      </c>
      <c r="V1495" s="62">
        <v>88</v>
      </c>
      <c r="W1495" s="62">
        <v>13</v>
      </c>
      <c r="X1495" s="63">
        <f>IFERROR(1 -(Master[[#This Row],[Avg Garment Scans per Delivery]]/Master[[#This Row],[Garment Inventory]]), 0)</f>
        <v>0.85227272727272729</v>
      </c>
      <c r="Y1495" s="62">
        <v>4</v>
      </c>
      <c r="Z1495" s="62">
        <v>90</v>
      </c>
      <c r="AA1495" s="53">
        <v>54.259940828402357</v>
      </c>
      <c r="AB1495" s="53">
        <v>59.021597633136089</v>
      </c>
      <c r="AC1495" s="53">
        <v>55.019408284023662</v>
      </c>
      <c r="AD1495" s="53">
        <v>59.72520710059171</v>
      </c>
      <c r="AE1495" s="53" t="str">
        <f>_xlfn.XLOOKUP(Master[[#This Row],[cu_id]],'[1]Customer Revenue'!$Q:$Q,'[1]Customer Revenue'!$K:$K, "None")</f>
        <v>None</v>
      </c>
      <c r="AF1495" s="53" t="str">
        <f>_xlfn.XLOOKUP(Master[[#This Row],[cu_id]],'[1]Customer Revenue'!$Q:$Q,'[1]Customer Revenue'!$L:$L, "None")</f>
        <v>None</v>
      </c>
      <c r="AG1495" s="53">
        <v>42.58196457326892</v>
      </c>
      <c r="AH1495" s="53">
        <v>71.334557165861511</v>
      </c>
      <c r="AI1495" s="53">
        <v>56.640769230769223</v>
      </c>
      <c r="AJ1495" s="53">
        <v>57.372307692307686</v>
      </c>
      <c r="AK1495" s="53" t="str">
        <f>_xlfn.XLOOKUP(Master[[#This Row],[cu_id]],'[1]Customer Revenue'!$Q:$Q,'[1]Customer Revenue'!$I:$I, "None")</f>
        <v>None</v>
      </c>
      <c r="AL1495" s="53">
        <v>56.958260869565216</v>
      </c>
      <c r="AM1495" s="61">
        <v>0.33333333333333331</v>
      </c>
      <c r="AN1495" s="60">
        <v>0.70833333333333337</v>
      </c>
      <c r="AO1495" s="60" t="s">
        <v>36</v>
      </c>
      <c r="AP1495" s="60" t="s">
        <v>36</v>
      </c>
      <c r="AQ1495" s="58" t="s">
        <v>0</v>
      </c>
      <c r="AR1495" s="58"/>
      <c r="AS1495" s="58"/>
      <c r="AT1495" s="52">
        <v>0</v>
      </c>
      <c r="AU1495" s="52">
        <f>IF(Master[[#This Row],[RSP StopTime override]] &lt;&gt; "",Master[[#This Row],[RSP StopTime override]],IF(Master[[#This Row],[Avg stop time helper]] &lt;&gt; 0, Master[[#This Row],[Avg stop time helper]],Average_Stop_Time))</f>
        <v>15</v>
      </c>
      <c r="AV1495" s="21">
        <v>15</v>
      </c>
      <c r="AW1495" s="20">
        <f>Master[[#This Row],[RSP StopTime override]]-Master[[#This Row],[Avg stop time helper]]</f>
        <v>15</v>
      </c>
    </row>
    <row r="1496" spans="1:49" x14ac:dyDescent="0.3">
      <c r="A1496" s="66" t="s">
        <v>5495</v>
      </c>
      <c r="B1496" s="58">
        <v>8040</v>
      </c>
      <c r="C1496" s="58" t="s">
        <v>35</v>
      </c>
      <c r="D1496" s="65">
        <v>803000</v>
      </c>
      <c r="E1496" s="65" t="s">
        <v>42</v>
      </c>
      <c r="F1496" s="65" t="s">
        <v>399</v>
      </c>
      <c r="G1496" s="65" t="s">
        <v>398</v>
      </c>
      <c r="H1496" s="65" t="s">
        <v>397</v>
      </c>
      <c r="I1496" s="65" t="s">
        <v>161</v>
      </c>
      <c r="J1496" s="65" t="s">
        <v>5</v>
      </c>
      <c r="K1496" s="65" t="s">
        <v>146</v>
      </c>
      <c r="L1496" s="64" t="s">
        <v>67</v>
      </c>
      <c r="M1496" s="58" t="s">
        <v>3</v>
      </c>
      <c r="N1496" s="58" t="s">
        <v>2</v>
      </c>
      <c r="O1496" s="58">
        <v>250</v>
      </c>
      <c r="P1496" s="58">
        <v>0</v>
      </c>
      <c r="Q1496" s="58">
        <v>250</v>
      </c>
      <c r="R1496" s="58">
        <v>0</v>
      </c>
      <c r="S1496" s="58">
        <v>0</v>
      </c>
      <c r="T1496" s="58">
        <v>0</v>
      </c>
      <c r="U1496" s="58">
        <v>57</v>
      </c>
      <c r="V1496" s="62"/>
      <c r="W1496" s="62"/>
      <c r="X1496" s="63">
        <f>IFERROR(1 -(Master[[#This Row],[Avg Garment Scans per Delivery]]/Master[[#This Row],[Garment Inventory]]), 0)</f>
        <v>0</v>
      </c>
      <c r="Y1496" s="62"/>
      <c r="Z1496" s="62"/>
      <c r="AA1496" s="53">
        <v>663.86401098901058</v>
      </c>
      <c r="AB1496" s="53">
        <v>866.92829670329672</v>
      </c>
      <c r="AC1496" s="53">
        <v>727.13917159763321</v>
      </c>
      <c r="AD1496" s="53">
        <v>747.08544378698264</v>
      </c>
      <c r="AE1496" s="53" t="str">
        <f>_xlfn.XLOOKUP(Master[[#This Row],[cu_id]],'[1]Customer Revenue'!$Q:$Q,'[1]Customer Revenue'!$K:$K, "None")</f>
        <v>None</v>
      </c>
      <c r="AF1496" s="53" t="str">
        <f>_xlfn.XLOOKUP(Master[[#This Row],[cu_id]],'[1]Customer Revenue'!$Q:$Q,'[1]Customer Revenue'!$L:$L, "None")</f>
        <v>None</v>
      </c>
      <c r="AG1496" s="53">
        <v>415.58416163718346</v>
      </c>
      <c r="AH1496" s="53">
        <v>835.25450502948308</v>
      </c>
      <c r="AI1496" s="53">
        <v>765.39615384615365</v>
      </c>
      <c r="AJ1496" s="53">
        <v>737.11230769230792</v>
      </c>
      <c r="AK1496" s="53" t="str">
        <f>_xlfn.XLOOKUP(Master[[#This Row],[cu_id]],'[1]Customer Revenue'!$Q:$Q,'[1]Customer Revenue'!$I:$I, "None")</f>
        <v>None</v>
      </c>
      <c r="AL1496" s="53">
        <v>625.41933333333327</v>
      </c>
      <c r="AM1496" s="61">
        <v>0.35416666666666669</v>
      </c>
      <c r="AN1496" s="60">
        <v>0.6875</v>
      </c>
      <c r="AO1496" s="60" t="s">
        <v>36</v>
      </c>
      <c r="AP1496" s="60" t="s">
        <v>36</v>
      </c>
      <c r="AQ1496" s="58" t="s">
        <v>0</v>
      </c>
      <c r="AR1496" s="58"/>
      <c r="AS1496" s="58"/>
      <c r="AT1496" s="52">
        <v>0</v>
      </c>
      <c r="AU1496" s="52">
        <f>IF(Master[[#This Row],[RSP StopTime override]] &lt;&gt; "",Master[[#This Row],[RSP StopTime override]],IF(Master[[#This Row],[Avg stop time helper]] &lt;&gt; 0, Master[[#This Row],[Avg stop time helper]],Average_Stop_Time))</f>
        <v>30</v>
      </c>
      <c r="AV1496" s="21">
        <v>30</v>
      </c>
      <c r="AW1496" s="20">
        <f>Master[[#This Row],[RSP StopTime override]]-Master[[#This Row],[Avg stop time helper]]</f>
        <v>30</v>
      </c>
    </row>
    <row r="1497" spans="1:49" x14ac:dyDescent="0.3">
      <c r="A1497" s="66" t="s">
        <v>5496</v>
      </c>
      <c r="B1497" s="58">
        <v>8040</v>
      </c>
      <c r="C1497" s="58" t="s">
        <v>35</v>
      </c>
      <c r="D1497" s="65">
        <v>802816</v>
      </c>
      <c r="E1497" s="65" t="s">
        <v>42</v>
      </c>
      <c r="F1497" s="65" t="s">
        <v>396</v>
      </c>
      <c r="G1497" s="65" t="s">
        <v>395</v>
      </c>
      <c r="H1497" s="65" t="s">
        <v>7</v>
      </c>
      <c r="I1497" s="65" t="s">
        <v>6</v>
      </c>
      <c r="J1497" s="65" t="s">
        <v>5</v>
      </c>
      <c r="K1497" s="65" t="s">
        <v>68</v>
      </c>
      <c r="L1497" s="64">
        <v>6</v>
      </c>
      <c r="M1497" s="58" t="s">
        <v>3</v>
      </c>
      <c r="N1497" s="58" t="s">
        <v>2</v>
      </c>
      <c r="O1497" s="58">
        <v>90</v>
      </c>
      <c r="P1497" s="58">
        <v>0</v>
      </c>
      <c r="Q1497" s="58">
        <v>90</v>
      </c>
      <c r="R1497" s="58">
        <v>0</v>
      </c>
      <c r="S1497" s="58">
        <v>0</v>
      </c>
      <c r="T1497" s="58">
        <v>0</v>
      </c>
      <c r="U1497" s="58">
        <v>34</v>
      </c>
      <c r="V1497" s="62"/>
      <c r="W1497" s="62"/>
      <c r="X1497" s="63">
        <f>IFERROR(1 -(Master[[#This Row],[Avg Garment Scans per Delivery]]/Master[[#This Row],[Garment Inventory]]), 0)</f>
        <v>0</v>
      </c>
      <c r="Y1497" s="62"/>
      <c r="Z1497" s="62"/>
      <c r="AA1497" s="53">
        <v>31.164999999999999</v>
      </c>
      <c r="AB1497" s="53">
        <v>46.354999999999997</v>
      </c>
      <c r="AC1497" s="53">
        <v>31.118698224852068</v>
      </c>
      <c r="AD1497" s="53">
        <v>52.127455621301777</v>
      </c>
      <c r="AE1497" s="53" t="str">
        <f>_xlfn.XLOOKUP(Master[[#This Row],[cu_id]],'[1]Customer Revenue'!$Q:$Q,'[1]Customer Revenue'!$K:$K, "None")</f>
        <v>None</v>
      </c>
      <c r="AF1497" s="53" t="str">
        <f>_xlfn.XLOOKUP(Master[[#This Row],[cu_id]],'[1]Customer Revenue'!$Q:$Q,'[1]Customer Revenue'!$L:$L, "None")</f>
        <v>None</v>
      </c>
      <c r="AG1497" s="53">
        <v>39.755464852607687</v>
      </c>
      <c r="AH1497" s="53">
        <v>47.372154195011333</v>
      </c>
      <c r="AI1497" s="53">
        <v>38.76</v>
      </c>
      <c r="AJ1497" s="53">
        <v>41.623076923076923</v>
      </c>
      <c r="AK1497" s="53" t="str">
        <f>_xlfn.XLOOKUP(Master[[#This Row],[cu_id]],'[1]Customer Revenue'!$Q:$Q,'[1]Customer Revenue'!$I:$I, "None")</f>
        <v>None</v>
      </c>
      <c r="AL1497" s="53">
        <v>43.56380952380951</v>
      </c>
      <c r="AM1497" s="61">
        <v>0.27083333333333331</v>
      </c>
      <c r="AN1497" s="60">
        <v>0.79166666666666663</v>
      </c>
      <c r="AO1497" s="60" t="s">
        <v>36</v>
      </c>
      <c r="AP1497" s="60" t="s">
        <v>36</v>
      </c>
      <c r="AQ1497" s="58" t="s">
        <v>0</v>
      </c>
      <c r="AR1497" s="58"/>
      <c r="AS1497" s="58"/>
      <c r="AT1497" s="52">
        <v>0</v>
      </c>
      <c r="AU1497" s="52">
        <f>IF(Master[[#This Row],[RSP StopTime override]] &lt;&gt; "",Master[[#This Row],[RSP StopTime override]],IF(Master[[#This Row],[Avg stop time helper]] &lt;&gt; 0, Master[[#This Row],[Avg stop time helper]],Average_Stop_Time))</f>
        <v>12</v>
      </c>
      <c r="AV1497" s="21">
        <v>12</v>
      </c>
      <c r="AW1497" s="20">
        <f>Master[[#This Row],[RSP StopTime override]]-Master[[#This Row],[Avg stop time helper]]</f>
        <v>12</v>
      </c>
    </row>
    <row r="1498" spans="1:49" x14ac:dyDescent="0.3">
      <c r="A1498" s="66" t="s">
        <v>5497</v>
      </c>
      <c r="B1498" s="58">
        <v>8040</v>
      </c>
      <c r="C1498" s="58" t="s">
        <v>24</v>
      </c>
      <c r="D1498" s="65">
        <v>802955</v>
      </c>
      <c r="E1498" s="65" t="s">
        <v>42</v>
      </c>
      <c r="F1498" s="65" t="s">
        <v>394</v>
      </c>
      <c r="G1498" s="65" t="s">
        <v>393</v>
      </c>
      <c r="H1498" s="65" t="s">
        <v>7</v>
      </c>
      <c r="I1498" s="65" t="s">
        <v>6</v>
      </c>
      <c r="J1498" s="65" t="s">
        <v>5</v>
      </c>
      <c r="K1498" s="65" t="s">
        <v>115</v>
      </c>
      <c r="L1498" s="64" t="s">
        <v>206</v>
      </c>
      <c r="M1498" s="58" t="s">
        <v>205</v>
      </c>
      <c r="N1498" s="58" t="s">
        <v>2</v>
      </c>
      <c r="O1498" s="58">
        <v>90</v>
      </c>
      <c r="P1498" s="58">
        <v>90</v>
      </c>
      <c r="Q1498" s="58">
        <v>0</v>
      </c>
      <c r="R1498" s="58">
        <v>0</v>
      </c>
      <c r="S1498" s="58">
        <v>0</v>
      </c>
      <c r="T1498" s="58">
        <v>0</v>
      </c>
      <c r="U1498" s="58">
        <v>9</v>
      </c>
      <c r="V1498" s="62">
        <v>0</v>
      </c>
      <c r="W1498" s="62"/>
      <c r="X1498" s="63">
        <f>IFERROR(1 -(Master[[#This Row],[Avg Garment Scans per Delivery]]/Master[[#This Row],[Garment Inventory]]), 0)</f>
        <v>0</v>
      </c>
      <c r="Y1498" s="62">
        <v>2</v>
      </c>
      <c r="Z1498" s="62">
        <v>2</v>
      </c>
      <c r="AA1498" s="53">
        <v>15</v>
      </c>
      <c r="AB1498" s="53">
        <v>15</v>
      </c>
      <c r="AC1498" s="53">
        <v>15</v>
      </c>
      <c r="AD1498" s="53">
        <v>15</v>
      </c>
      <c r="AE1498" s="53" t="str">
        <f>_xlfn.XLOOKUP(Master[[#This Row],[cu_id]],'[1]Customer Revenue'!$Q:$Q,'[1]Customer Revenue'!$K:$K, "None")</f>
        <v>None</v>
      </c>
      <c r="AF1498" s="53" t="str">
        <f>_xlfn.XLOOKUP(Master[[#This Row],[cu_id]],'[1]Customer Revenue'!$Q:$Q,'[1]Customer Revenue'!$L:$L, "None")</f>
        <v>None</v>
      </c>
      <c r="AG1498" s="53">
        <v>15</v>
      </c>
      <c r="AH1498" s="53">
        <v>15</v>
      </c>
      <c r="AI1498" s="53">
        <v>15</v>
      </c>
      <c r="AJ1498" s="53">
        <v>15</v>
      </c>
      <c r="AK1498" s="53" t="str">
        <f>_xlfn.XLOOKUP(Master[[#This Row],[cu_id]],'[1]Customer Revenue'!$Q:$Q,'[1]Customer Revenue'!$I:$I, "None")</f>
        <v>None</v>
      </c>
      <c r="AL1498" s="53">
        <v>15</v>
      </c>
      <c r="AM1498" s="61" t="s">
        <v>36</v>
      </c>
      <c r="AN1498" s="60" t="s">
        <v>36</v>
      </c>
      <c r="AO1498" s="60" t="s">
        <v>36</v>
      </c>
      <c r="AP1498" s="60" t="s">
        <v>36</v>
      </c>
      <c r="AQ1498" s="58" t="s">
        <v>0</v>
      </c>
      <c r="AR1498" s="58"/>
      <c r="AS1498" s="58"/>
      <c r="AT1498" s="52">
        <v>0</v>
      </c>
      <c r="AU1498" s="52">
        <f>IF(Master[[#This Row],[RSP StopTime override]] &lt;&gt; "",Master[[#This Row],[RSP StopTime override]],IF(Master[[#This Row],[Avg stop time helper]] &lt;&gt; 0, Master[[#This Row],[Avg stop time helper]],Average_Stop_Time))</f>
        <v>5</v>
      </c>
      <c r="AV1498" s="21">
        <v>5</v>
      </c>
      <c r="AW1498" s="20">
        <f>Master[[#This Row],[RSP StopTime override]]-Master[[#This Row],[Avg stop time helper]]</f>
        <v>5</v>
      </c>
    </row>
    <row r="1499" spans="1:49" x14ac:dyDescent="0.3">
      <c r="A1499" s="66" t="s">
        <v>5498</v>
      </c>
      <c r="B1499" s="58">
        <v>8040</v>
      </c>
      <c r="C1499" s="58" t="s">
        <v>10</v>
      </c>
      <c r="D1499" s="65">
        <v>802238</v>
      </c>
      <c r="E1499" s="65" t="s">
        <v>42</v>
      </c>
      <c r="F1499" s="65" t="s">
        <v>392</v>
      </c>
      <c r="G1499" s="65" t="s">
        <v>391</v>
      </c>
      <c r="H1499" s="65" t="s">
        <v>7</v>
      </c>
      <c r="I1499" s="65" t="s">
        <v>6</v>
      </c>
      <c r="J1499" s="65" t="s">
        <v>5</v>
      </c>
      <c r="K1499" s="65" t="s">
        <v>115</v>
      </c>
      <c r="L1499" s="64" t="s">
        <v>194</v>
      </c>
      <c r="M1499" s="58" t="s">
        <v>193</v>
      </c>
      <c r="N1499" s="58" t="s">
        <v>2</v>
      </c>
      <c r="O1499" s="58">
        <v>65</v>
      </c>
      <c r="P1499" s="58">
        <v>0</v>
      </c>
      <c r="Q1499" s="58">
        <v>0</v>
      </c>
      <c r="R1499" s="58">
        <v>120</v>
      </c>
      <c r="S1499" s="58">
        <v>0</v>
      </c>
      <c r="T1499" s="58">
        <v>0</v>
      </c>
      <c r="U1499" s="58">
        <v>9</v>
      </c>
      <c r="V1499" s="62"/>
      <c r="W1499" s="62"/>
      <c r="X1499" s="63">
        <f>IFERROR(1 -(Master[[#This Row],[Avg Garment Scans per Delivery]]/Master[[#This Row],[Garment Inventory]]), 0)</f>
        <v>0</v>
      </c>
      <c r="Y1499" s="62"/>
      <c r="Z1499" s="62"/>
      <c r="AA1499" s="53">
        <v>18.737500000000001</v>
      </c>
      <c r="AB1499" s="53">
        <v>41.222499999999997</v>
      </c>
      <c r="AC1499" s="53">
        <v>29.84888888888889</v>
      </c>
      <c r="AD1499" s="53">
        <v>30.89777777777778</v>
      </c>
      <c r="AE1499" s="53" t="str">
        <f>_xlfn.XLOOKUP(Master[[#This Row],[cu_id]],'[1]Customer Revenue'!$Q:$Q,'[1]Customer Revenue'!$K:$K, "None")</f>
        <v>None</v>
      </c>
      <c r="AF1499" s="53" t="str">
        <f>_xlfn.XLOOKUP(Master[[#This Row],[cu_id]],'[1]Customer Revenue'!$Q:$Q,'[1]Customer Revenue'!$L:$L, "None")</f>
        <v>None</v>
      </c>
      <c r="AG1499" s="53">
        <v>18.737499999999997</v>
      </c>
      <c r="AH1499" s="53">
        <v>41.222500000000004</v>
      </c>
      <c r="AI1499" s="53">
        <v>29.98</v>
      </c>
      <c r="AJ1499" s="53">
        <v>30.373333333333335</v>
      </c>
      <c r="AK1499" s="53" t="str">
        <f>_xlfn.XLOOKUP(Master[[#This Row],[cu_id]],'[1]Customer Revenue'!$Q:$Q,'[1]Customer Revenue'!$I:$I, "None")</f>
        <v>None</v>
      </c>
      <c r="AL1499" s="53">
        <v>29.98</v>
      </c>
      <c r="AM1499" s="61">
        <v>0.41666666666666669</v>
      </c>
      <c r="AN1499" s="60">
        <v>0.75</v>
      </c>
      <c r="AO1499" s="60" t="s">
        <v>36</v>
      </c>
      <c r="AP1499" s="60" t="s">
        <v>36</v>
      </c>
      <c r="AQ1499" s="58" t="s">
        <v>0</v>
      </c>
      <c r="AR1499" s="58"/>
      <c r="AS1499" s="58"/>
      <c r="AT1499" s="52">
        <v>0</v>
      </c>
      <c r="AU1499" s="52">
        <f>IF(Master[[#This Row],[RSP StopTime override]] &lt;&gt; "",Master[[#This Row],[RSP StopTime override]],IF(Master[[#This Row],[Avg stop time helper]] &lt;&gt; 0, Master[[#This Row],[Avg stop time helper]],Average_Stop_Time))</f>
        <v>5</v>
      </c>
      <c r="AV1499" s="21">
        <v>5</v>
      </c>
      <c r="AW1499" s="20">
        <f>Master[[#This Row],[RSP StopTime override]]-Master[[#This Row],[Avg stop time helper]]</f>
        <v>5</v>
      </c>
    </row>
    <row r="1500" spans="1:49" x14ac:dyDescent="0.3">
      <c r="A1500" s="66" t="s">
        <v>5499</v>
      </c>
      <c r="B1500" s="58">
        <v>8040</v>
      </c>
      <c r="C1500" s="105" t="s">
        <v>24</v>
      </c>
      <c r="D1500" s="65">
        <v>806953</v>
      </c>
      <c r="E1500" s="65" t="s">
        <v>42</v>
      </c>
      <c r="F1500" s="65" t="s">
        <v>390</v>
      </c>
      <c r="G1500" s="65" t="s">
        <v>389</v>
      </c>
      <c r="H1500" s="65" t="s">
        <v>7</v>
      </c>
      <c r="I1500" s="65" t="s">
        <v>6</v>
      </c>
      <c r="J1500" s="65" t="s">
        <v>5</v>
      </c>
      <c r="K1500" s="65" t="s">
        <v>151</v>
      </c>
      <c r="L1500" s="64" t="s">
        <v>67</v>
      </c>
      <c r="M1500" s="58" t="s">
        <v>3</v>
      </c>
      <c r="N1500" s="58" t="s">
        <v>2</v>
      </c>
      <c r="O1500" s="58">
        <v>250</v>
      </c>
      <c r="P1500" s="58">
        <v>0</v>
      </c>
      <c r="Q1500" s="58">
        <v>0</v>
      </c>
      <c r="R1500" s="58">
        <v>250</v>
      </c>
      <c r="S1500" s="58">
        <v>0</v>
      </c>
      <c r="T1500" s="58">
        <v>0</v>
      </c>
      <c r="U1500" s="58">
        <v>35</v>
      </c>
      <c r="V1500" s="62"/>
      <c r="W1500" s="62"/>
      <c r="X1500" s="63">
        <f>IFERROR(1 -(Master[[#This Row],[Avg Garment Scans per Delivery]]/Master[[#This Row],[Garment Inventory]]), 0)</f>
        <v>0</v>
      </c>
      <c r="Y1500" s="62"/>
      <c r="Z1500" s="62"/>
      <c r="AA1500" s="53">
        <v>20</v>
      </c>
      <c r="AB1500" s="53">
        <v>20</v>
      </c>
      <c r="AC1500" s="53">
        <v>19.633905325443788</v>
      </c>
      <c r="AD1500" s="53">
        <v>33.352248520710049</v>
      </c>
      <c r="AE1500" s="53" t="str">
        <f>_xlfn.XLOOKUP(Master[[#This Row],[cu_id]],'[1]Customer Revenue'!$Q:$Q,'[1]Customer Revenue'!$K:$K, "None")</f>
        <v>None</v>
      </c>
      <c r="AF1500" s="53" t="str">
        <f>_xlfn.XLOOKUP(Master[[#This Row],[cu_id]],'[1]Customer Revenue'!$Q:$Q,'[1]Customer Revenue'!$L:$L, "None")</f>
        <v>None</v>
      </c>
      <c r="AG1500" s="53">
        <v>20</v>
      </c>
      <c r="AH1500" s="53">
        <v>20</v>
      </c>
      <c r="AI1500" s="53">
        <v>20</v>
      </c>
      <c r="AJ1500" s="53">
        <v>26.49307692307692</v>
      </c>
      <c r="AK1500" s="53" t="str">
        <f>_xlfn.XLOOKUP(Master[[#This Row],[cu_id]],'[1]Customer Revenue'!$Q:$Q,'[1]Customer Revenue'!$I:$I, "None")</f>
        <v>None</v>
      </c>
      <c r="AL1500" s="53">
        <v>20</v>
      </c>
      <c r="AM1500" s="61" t="s">
        <v>36</v>
      </c>
      <c r="AN1500" s="60" t="s">
        <v>36</v>
      </c>
      <c r="AO1500" s="60" t="s">
        <v>36</v>
      </c>
      <c r="AP1500" s="60" t="s">
        <v>36</v>
      </c>
      <c r="AQ1500" s="58" t="s">
        <v>0</v>
      </c>
      <c r="AR1500" s="58"/>
      <c r="AS1500" s="58" t="s">
        <v>388</v>
      </c>
      <c r="AT1500" s="52">
        <v>0</v>
      </c>
      <c r="AU1500" s="52">
        <f>IF(Master[[#This Row],[RSP StopTime override]] &lt;&gt; "",Master[[#This Row],[RSP StopTime override]],IF(Master[[#This Row],[Avg stop time helper]] &lt;&gt; 0, Master[[#This Row],[Avg stop time helper]],Average_Stop_Time))</f>
        <v>10</v>
      </c>
      <c r="AV1500" s="21">
        <v>10</v>
      </c>
      <c r="AW1500" s="20">
        <f>Master[[#This Row],[RSP StopTime override]]-Master[[#This Row],[Avg stop time helper]]</f>
        <v>10</v>
      </c>
    </row>
    <row r="1501" spans="1:49" x14ac:dyDescent="0.3">
      <c r="A1501" s="66" t="s">
        <v>5500</v>
      </c>
      <c r="B1501" s="58">
        <v>8040</v>
      </c>
      <c r="C1501" s="58" t="s">
        <v>35</v>
      </c>
      <c r="D1501" s="65">
        <v>804577</v>
      </c>
      <c r="E1501" s="65" t="s">
        <v>42</v>
      </c>
      <c r="F1501" s="65" t="s">
        <v>387</v>
      </c>
      <c r="G1501" s="65" t="s">
        <v>386</v>
      </c>
      <c r="H1501" s="65" t="s">
        <v>7</v>
      </c>
      <c r="I1501" s="65" t="s">
        <v>6</v>
      </c>
      <c r="J1501" s="65" t="s">
        <v>5</v>
      </c>
      <c r="K1501" s="65" t="s">
        <v>68</v>
      </c>
      <c r="L1501" s="64" t="s">
        <v>67</v>
      </c>
      <c r="M1501" s="58" t="s">
        <v>3</v>
      </c>
      <c r="N1501" s="58" t="s">
        <v>2</v>
      </c>
      <c r="O1501" s="58">
        <v>10</v>
      </c>
      <c r="P1501" s="58">
        <v>0</v>
      </c>
      <c r="Q1501" s="58">
        <v>10</v>
      </c>
      <c r="R1501" s="58">
        <v>0</v>
      </c>
      <c r="S1501" s="58">
        <v>0</v>
      </c>
      <c r="T1501" s="58">
        <v>0</v>
      </c>
      <c r="U1501" s="58">
        <v>40</v>
      </c>
      <c r="V1501" s="62"/>
      <c r="W1501" s="62"/>
      <c r="X1501" s="63">
        <f>IFERROR(1 -(Master[[#This Row],[Avg Garment Scans per Delivery]]/Master[[#This Row],[Garment Inventory]]), 0)</f>
        <v>0</v>
      </c>
      <c r="Y1501" s="62"/>
      <c r="Z1501" s="62"/>
      <c r="AA1501" s="53">
        <v>97.10041420118344</v>
      </c>
      <c r="AB1501" s="53">
        <v>122.03343195266274</v>
      </c>
      <c r="AC1501" s="53">
        <v>78.422130177514788</v>
      </c>
      <c r="AD1501" s="53">
        <v>98.411715976331351</v>
      </c>
      <c r="AE1501" s="53" t="str">
        <f>_xlfn.XLOOKUP(Master[[#This Row],[cu_id]],'[1]Customer Revenue'!$Q:$Q,'[1]Customer Revenue'!$K:$K, "None")</f>
        <v>None</v>
      </c>
      <c r="AF1501" s="53" t="str">
        <f>_xlfn.XLOOKUP(Master[[#This Row],[cu_id]],'[1]Customer Revenue'!$Q:$Q,'[1]Customer Revenue'!$L:$L, "None")</f>
        <v>None</v>
      </c>
      <c r="AG1501" s="53">
        <v>91.302904400126636</v>
      </c>
      <c r="AH1501" s="53">
        <v>126.41171098448882</v>
      </c>
      <c r="AI1501" s="53">
        <v>109.56692307692309</v>
      </c>
      <c r="AJ1501" s="53">
        <v>88.416923076923069</v>
      </c>
      <c r="AK1501" s="53" t="str">
        <f>_xlfn.XLOOKUP(Master[[#This Row],[cu_id]],'[1]Customer Revenue'!$Q:$Q,'[1]Customer Revenue'!$I:$I, "None")</f>
        <v>None</v>
      </c>
      <c r="AL1501" s="53">
        <v>108.85730769230773</v>
      </c>
      <c r="AM1501" s="61">
        <v>0.25</v>
      </c>
      <c r="AN1501" s="60">
        <v>0.64583333333333337</v>
      </c>
      <c r="AO1501" s="60" t="s">
        <v>36</v>
      </c>
      <c r="AP1501" s="60" t="s">
        <v>36</v>
      </c>
      <c r="AQ1501" s="58" t="s">
        <v>296</v>
      </c>
      <c r="AR1501" s="58"/>
      <c r="AS1501" s="58"/>
      <c r="AT1501" s="52">
        <v>0</v>
      </c>
      <c r="AU1501" s="52">
        <f>IF(Master[[#This Row],[RSP StopTime override]] &lt;&gt; "",Master[[#This Row],[RSP StopTime override]],IF(Master[[#This Row],[Avg stop time helper]] &lt;&gt; 0, Master[[#This Row],[Avg stop time helper]],Average_Stop_Time))</f>
        <v>20</v>
      </c>
      <c r="AV1501" s="21">
        <v>20</v>
      </c>
      <c r="AW1501" s="20">
        <f>Master[[#This Row],[RSP StopTime override]]-Master[[#This Row],[Avg stop time helper]]</f>
        <v>20</v>
      </c>
    </row>
    <row r="1502" spans="1:49" x14ac:dyDescent="0.3">
      <c r="A1502" s="66" t="s">
        <v>5501</v>
      </c>
      <c r="B1502" s="58">
        <v>8040</v>
      </c>
      <c r="C1502" s="58" t="s">
        <v>24</v>
      </c>
      <c r="D1502" s="65">
        <v>884654</v>
      </c>
      <c r="E1502" s="65" t="s">
        <v>385</v>
      </c>
      <c r="F1502" s="65" t="s">
        <v>384</v>
      </c>
      <c r="G1502" s="65" t="s">
        <v>325</v>
      </c>
      <c r="H1502" s="65" t="s">
        <v>7</v>
      </c>
      <c r="I1502" s="65" t="s">
        <v>6</v>
      </c>
      <c r="J1502" s="65" t="s">
        <v>5</v>
      </c>
      <c r="K1502" s="65" t="s">
        <v>115</v>
      </c>
      <c r="L1502" s="64" t="s">
        <v>124</v>
      </c>
      <c r="M1502" s="58" t="s">
        <v>123</v>
      </c>
      <c r="N1502" s="58" t="s">
        <v>2</v>
      </c>
      <c r="O1502" s="58">
        <v>84</v>
      </c>
      <c r="P1502" s="58">
        <v>84</v>
      </c>
      <c r="Q1502" s="58">
        <v>0</v>
      </c>
      <c r="R1502" s="58">
        <v>0</v>
      </c>
      <c r="S1502" s="58">
        <v>0</v>
      </c>
      <c r="T1502" s="58">
        <v>0</v>
      </c>
      <c r="U1502" s="58">
        <v>8</v>
      </c>
      <c r="V1502" s="62"/>
      <c r="W1502" s="62"/>
      <c r="X1502" s="63">
        <f>IFERROR(1 -(Master[[#This Row],[Avg Garment Scans per Delivery]]/Master[[#This Row],[Garment Inventory]]), 0)</f>
        <v>0</v>
      </c>
      <c r="Y1502" s="62"/>
      <c r="Z1502" s="62"/>
      <c r="AA1502" s="53">
        <v>34.35</v>
      </c>
      <c r="AB1502" s="53">
        <v>103.05000000000001</v>
      </c>
      <c r="AC1502" s="53">
        <v>43.18333333333333</v>
      </c>
      <c r="AD1502" s="53">
        <v>95.00333333333333</v>
      </c>
      <c r="AE1502" s="53" t="str">
        <f>_xlfn.XLOOKUP(Master[[#This Row],[cu_id]],'[1]Customer Revenue'!$Q:$Q,'[1]Customer Revenue'!$K:$K, "None")</f>
        <v>None</v>
      </c>
      <c r="AF1502" s="53" t="str">
        <f>_xlfn.XLOOKUP(Master[[#This Row],[cu_id]],'[1]Customer Revenue'!$Q:$Q,'[1]Customer Revenue'!$L:$L, "None")</f>
        <v>None</v>
      </c>
      <c r="AG1502" s="53">
        <v>40.659183673469386</v>
      </c>
      <c r="AH1502" s="53">
        <v>96.74081632653062</v>
      </c>
      <c r="AI1502" s="53">
        <v>68.7</v>
      </c>
      <c r="AJ1502" s="53">
        <v>69.093333333333334</v>
      </c>
      <c r="AK1502" s="53" t="str">
        <f>_xlfn.XLOOKUP(Master[[#This Row],[cu_id]],'[1]Customer Revenue'!$Q:$Q,'[1]Customer Revenue'!$I:$I, "None")</f>
        <v>None</v>
      </c>
      <c r="AL1502" s="53">
        <v>68.7</v>
      </c>
      <c r="AM1502" s="61">
        <v>0.33333333333333331</v>
      </c>
      <c r="AN1502" s="60">
        <v>0.70833333333333337</v>
      </c>
      <c r="AO1502" s="60" t="s">
        <v>36</v>
      </c>
      <c r="AP1502" s="60" t="s">
        <v>36</v>
      </c>
      <c r="AQ1502" s="58" t="s">
        <v>0</v>
      </c>
      <c r="AR1502" s="58"/>
      <c r="AS1502" s="58"/>
      <c r="AT1502" s="52">
        <v>0</v>
      </c>
      <c r="AU1502" s="52">
        <f>IF(Master[[#This Row],[RSP StopTime override]] &lt;&gt; "",Master[[#This Row],[RSP StopTime override]],IF(Master[[#This Row],[Avg stop time helper]] &lt;&gt; 0, Master[[#This Row],[Avg stop time helper]],Average_Stop_Time))</f>
        <v>10</v>
      </c>
      <c r="AV1502" s="21">
        <v>10</v>
      </c>
      <c r="AW1502" s="20">
        <f>Master[[#This Row],[RSP StopTime override]]-Master[[#This Row],[Avg stop time helper]]</f>
        <v>10</v>
      </c>
    </row>
    <row r="1503" spans="1:49" x14ac:dyDescent="0.3">
      <c r="A1503" s="66" t="s">
        <v>5502</v>
      </c>
      <c r="B1503" s="58">
        <v>8040</v>
      </c>
      <c r="C1503" s="58" t="s">
        <v>10</v>
      </c>
      <c r="D1503" s="65">
        <v>803962</v>
      </c>
      <c r="E1503" s="65" t="s">
        <v>42</v>
      </c>
      <c r="F1503" s="65" t="s">
        <v>383</v>
      </c>
      <c r="G1503" s="65" t="s">
        <v>382</v>
      </c>
      <c r="H1503" s="65" t="s">
        <v>7</v>
      </c>
      <c r="I1503" s="65" t="s">
        <v>6</v>
      </c>
      <c r="J1503" s="65" t="s">
        <v>5</v>
      </c>
      <c r="K1503" s="65" t="s">
        <v>115</v>
      </c>
      <c r="L1503" s="64" t="s">
        <v>141</v>
      </c>
      <c r="M1503" s="58" t="s">
        <v>140</v>
      </c>
      <c r="N1503" s="58" t="s">
        <v>2</v>
      </c>
      <c r="O1503" s="58">
        <v>100</v>
      </c>
      <c r="P1503" s="58">
        <v>0</v>
      </c>
      <c r="Q1503" s="58">
        <v>0</v>
      </c>
      <c r="R1503" s="58">
        <v>190</v>
      </c>
      <c r="S1503" s="58">
        <v>0</v>
      </c>
      <c r="T1503" s="58">
        <v>0</v>
      </c>
      <c r="U1503" s="58">
        <v>10</v>
      </c>
      <c r="V1503" s="62"/>
      <c r="W1503" s="62"/>
      <c r="X1503" s="63">
        <f>IFERROR(1 -(Master[[#This Row],[Avg Garment Scans per Delivery]]/Master[[#This Row],[Garment Inventory]]), 0)</f>
        <v>0</v>
      </c>
      <c r="Y1503" s="62"/>
      <c r="Z1503" s="62"/>
      <c r="AA1503" s="53">
        <v>20.03</v>
      </c>
      <c r="AB1503" s="53">
        <v>20.03</v>
      </c>
      <c r="AC1503" s="53">
        <v>19.898888888888891</v>
      </c>
      <c r="AD1503" s="53">
        <v>20.94777777777778</v>
      </c>
      <c r="AE1503" s="53" t="str">
        <f>_xlfn.XLOOKUP(Master[[#This Row],[cu_id]],'[1]Customer Revenue'!$Q:$Q,'[1]Customer Revenue'!$K:$K, "None")</f>
        <v>None</v>
      </c>
      <c r="AF1503" s="53" t="str">
        <f>_xlfn.XLOOKUP(Master[[#This Row],[cu_id]],'[1]Customer Revenue'!$Q:$Q,'[1]Customer Revenue'!$L:$L, "None")</f>
        <v>None</v>
      </c>
      <c r="AG1503" s="53">
        <v>15.648437500000002</v>
      </c>
      <c r="AH1503" s="53">
        <v>24.411562500000002</v>
      </c>
      <c r="AI1503" s="53">
        <v>20.03</v>
      </c>
      <c r="AJ1503" s="53">
        <v>20.423333333333336</v>
      </c>
      <c r="AK1503" s="53" t="str">
        <f>_xlfn.XLOOKUP(Master[[#This Row],[cu_id]],'[1]Customer Revenue'!$Q:$Q,'[1]Customer Revenue'!$I:$I, "None")</f>
        <v>None</v>
      </c>
      <c r="AL1503" s="53">
        <v>20.03</v>
      </c>
      <c r="AM1503" s="61">
        <v>0.33333333333333331</v>
      </c>
      <c r="AN1503" s="60">
        <v>0.75</v>
      </c>
      <c r="AO1503" s="60" t="s">
        <v>36</v>
      </c>
      <c r="AP1503" s="60" t="s">
        <v>36</v>
      </c>
      <c r="AQ1503" s="58" t="s">
        <v>308</v>
      </c>
      <c r="AR1503" s="58"/>
      <c r="AS1503" s="58"/>
      <c r="AT1503" s="52">
        <v>0</v>
      </c>
      <c r="AU1503" s="52">
        <f>IF(Master[[#This Row],[RSP StopTime override]] &lt;&gt; "",Master[[#This Row],[RSP StopTime override]],IF(Master[[#This Row],[Avg stop time helper]] &lt;&gt; 0, Master[[#This Row],[Avg stop time helper]],Average_Stop_Time))</f>
        <v>5</v>
      </c>
      <c r="AV1503" s="21">
        <v>5</v>
      </c>
      <c r="AW1503" s="20">
        <f>Master[[#This Row],[RSP StopTime override]]-Master[[#This Row],[Avg stop time helper]]</f>
        <v>5</v>
      </c>
    </row>
    <row r="1504" spans="1:49" x14ac:dyDescent="0.3">
      <c r="A1504" s="66" t="s">
        <v>5503</v>
      </c>
      <c r="B1504" s="58">
        <v>8040</v>
      </c>
      <c r="C1504" s="58" t="s">
        <v>10</v>
      </c>
      <c r="D1504" s="65">
        <v>803955</v>
      </c>
      <c r="E1504" s="65" t="s">
        <v>42</v>
      </c>
      <c r="F1504" s="65" t="s">
        <v>381</v>
      </c>
      <c r="G1504" s="65" t="s">
        <v>380</v>
      </c>
      <c r="H1504" s="65" t="s">
        <v>7</v>
      </c>
      <c r="I1504" s="65" t="s">
        <v>6</v>
      </c>
      <c r="J1504" s="65" t="s">
        <v>5</v>
      </c>
      <c r="K1504" s="65" t="s">
        <v>115</v>
      </c>
      <c r="L1504" s="64" t="s">
        <v>77</v>
      </c>
      <c r="M1504" s="58" t="s">
        <v>29</v>
      </c>
      <c r="N1504" s="58" t="s">
        <v>2</v>
      </c>
      <c r="O1504" s="58">
        <v>95</v>
      </c>
      <c r="P1504" s="58">
        <v>0</v>
      </c>
      <c r="Q1504" s="58">
        <v>0</v>
      </c>
      <c r="R1504" s="58">
        <v>155</v>
      </c>
      <c r="S1504" s="58">
        <v>0</v>
      </c>
      <c r="T1504" s="58">
        <v>0</v>
      </c>
      <c r="U1504" s="58">
        <v>18</v>
      </c>
      <c r="V1504" s="62"/>
      <c r="W1504" s="62"/>
      <c r="X1504" s="63">
        <f>IFERROR(1 -(Master[[#This Row],[Avg Garment Scans per Delivery]]/Master[[#This Row],[Garment Inventory]]), 0)</f>
        <v>0</v>
      </c>
      <c r="Y1504" s="62"/>
      <c r="Z1504" s="62"/>
      <c r="AA1504" s="53">
        <v>15.679444444444446</v>
      </c>
      <c r="AB1504" s="53">
        <v>27.740555555555556</v>
      </c>
      <c r="AC1504" s="53">
        <v>21.637755102040817</v>
      </c>
      <c r="AD1504" s="53">
        <v>22.793673469387752</v>
      </c>
      <c r="AE1504" s="53" t="str">
        <f>_xlfn.XLOOKUP(Master[[#This Row],[cu_id]],'[1]Customer Revenue'!$Q:$Q,'[1]Customer Revenue'!$K:$K, "None")</f>
        <v>None</v>
      </c>
      <c r="AF1504" s="53" t="str">
        <f>_xlfn.XLOOKUP(Master[[#This Row],[cu_id]],'[1]Customer Revenue'!$Q:$Q,'[1]Customer Revenue'!$L:$L, "None")</f>
        <v>None</v>
      </c>
      <c r="AG1504" s="53">
        <v>18.626923076923081</v>
      </c>
      <c r="AH1504" s="53">
        <v>24.793076923076928</v>
      </c>
      <c r="AI1504" s="53">
        <v>21.71</v>
      </c>
      <c r="AJ1504" s="53">
        <v>22.215714285714284</v>
      </c>
      <c r="AK1504" s="53" t="str">
        <f>_xlfn.XLOOKUP(Master[[#This Row],[cu_id]],'[1]Customer Revenue'!$Q:$Q,'[1]Customer Revenue'!$I:$I, "None")</f>
        <v>None</v>
      </c>
      <c r="AL1504" s="53">
        <v>21.710000000000004</v>
      </c>
      <c r="AM1504" s="61">
        <v>0.54166666666666663</v>
      </c>
      <c r="AN1504" s="60">
        <v>0.83333333333333337</v>
      </c>
      <c r="AO1504" s="60" t="s">
        <v>36</v>
      </c>
      <c r="AP1504" s="60" t="s">
        <v>36</v>
      </c>
      <c r="AQ1504" s="58" t="s">
        <v>0</v>
      </c>
      <c r="AR1504" s="58"/>
      <c r="AS1504" s="58"/>
      <c r="AT1504" s="52">
        <v>0</v>
      </c>
      <c r="AU1504" s="52">
        <f>IF(Master[[#This Row],[RSP StopTime override]] &lt;&gt; "",Master[[#This Row],[RSP StopTime override]],IF(Master[[#This Row],[Avg stop time helper]] &lt;&gt; 0, Master[[#This Row],[Avg stop time helper]],Average_Stop_Time))</f>
        <v>10</v>
      </c>
      <c r="AV1504" s="21">
        <v>10</v>
      </c>
      <c r="AW1504" s="20">
        <f>Master[[#This Row],[RSP StopTime override]]-Master[[#This Row],[Avg stop time helper]]</f>
        <v>10</v>
      </c>
    </row>
    <row r="1505" spans="1:49" x14ac:dyDescent="0.3">
      <c r="A1505" s="66" t="s">
        <v>5504</v>
      </c>
      <c r="B1505" s="58">
        <v>8040</v>
      </c>
      <c r="C1505" s="58" t="s">
        <v>10</v>
      </c>
      <c r="D1505" s="65">
        <v>883965</v>
      </c>
      <c r="E1505" s="65" t="s">
        <v>379</v>
      </c>
      <c r="F1505" s="65" t="s">
        <v>378</v>
      </c>
      <c r="G1505" s="65" t="s">
        <v>377</v>
      </c>
      <c r="H1505" s="65" t="s">
        <v>7</v>
      </c>
      <c r="I1505" s="65" t="s">
        <v>6</v>
      </c>
      <c r="J1505" s="65" t="s">
        <v>5</v>
      </c>
      <c r="K1505" s="65" t="s">
        <v>115</v>
      </c>
      <c r="L1505" s="64" t="s">
        <v>67</v>
      </c>
      <c r="M1505" s="58" t="s">
        <v>3</v>
      </c>
      <c r="N1505" s="58" t="s">
        <v>2</v>
      </c>
      <c r="O1505" s="58">
        <v>145</v>
      </c>
      <c r="P1505" s="58">
        <v>0</v>
      </c>
      <c r="Q1505" s="58">
        <v>0</v>
      </c>
      <c r="R1505" s="58">
        <v>170</v>
      </c>
      <c r="S1505" s="58">
        <v>0</v>
      </c>
      <c r="T1505" s="58">
        <v>0</v>
      </c>
      <c r="U1505" s="58">
        <v>15</v>
      </c>
      <c r="V1505" s="62"/>
      <c r="W1505" s="62"/>
      <c r="X1505" s="63">
        <f>IFERROR(1 -(Master[[#This Row],[Avg Garment Scans per Delivery]]/Master[[#This Row],[Garment Inventory]]), 0)</f>
        <v>0</v>
      </c>
      <c r="Y1505" s="62"/>
      <c r="Z1505" s="62"/>
      <c r="AA1505" s="53"/>
      <c r="AB1505" s="53"/>
      <c r="AC1505" s="53">
        <v>77.330555555555577</v>
      </c>
      <c r="AD1505" s="53">
        <v>111.28055555555557</v>
      </c>
      <c r="AE1505" s="53" t="str">
        <f>_xlfn.XLOOKUP(Master[[#This Row],[cu_id]],'[1]Customer Revenue'!$Q:$Q,'[1]Customer Revenue'!$K:$K, "None")</f>
        <v>None</v>
      </c>
      <c r="AF1505" s="53" t="str">
        <f>_xlfn.XLOOKUP(Master[[#This Row],[cu_id]],'[1]Customer Revenue'!$Q:$Q,'[1]Customer Revenue'!$L:$L, "None")</f>
        <v>None</v>
      </c>
      <c r="AG1505" s="53">
        <v>25.134</v>
      </c>
      <c r="AH1505" s="53">
        <v>129.166</v>
      </c>
      <c r="AI1505" s="53"/>
      <c r="AJ1505" s="53">
        <v>94.305555555555571</v>
      </c>
      <c r="AK1505" s="53" t="str">
        <f>_xlfn.XLOOKUP(Master[[#This Row],[cu_id]],'[1]Customer Revenue'!$Q:$Q,'[1]Customer Revenue'!$I:$I, "None")</f>
        <v>None</v>
      </c>
      <c r="AL1505" s="53">
        <v>77.150000000000006</v>
      </c>
      <c r="AM1505" s="61" t="s">
        <v>36</v>
      </c>
      <c r="AN1505" s="60" t="s">
        <v>36</v>
      </c>
      <c r="AO1505" s="60" t="s">
        <v>36</v>
      </c>
      <c r="AP1505" s="60" t="s">
        <v>36</v>
      </c>
      <c r="AQ1505" s="58" t="s">
        <v>0</v>
      </c>
      <c r="AR1505" s="58"/>
      <c r="AS1505" s="58"/>
      <c r="AT1505" s="52">
        <v>0</v>
      </c>
      <c r="AU1505" s="52">
        <f>IF(Master[[#This Row],[RSP StopTime override]] &lt;&gt; "",Master[[#This Row],[RSP StopTime override]],IF(Master[[#This Row],[Avg stop time helper]] &lt;&gt; 0, Master[[#This Row],[Avg stop time helper]],Average_Stop_Time))</f>
        <v>15</v>
      </c>
      <c r="AV1505" s="21">
        <v>15</v>
      </c>
      <c r="AW1505" s="20">
        <f>Master[[#This Row],[RSP StopTime override]]-Master[[#This Row],[Avg stop time helper]]</f>
        <v>15</v>
      </c>
    </row>
    <row r="1506" spans="1:49" x14ac:dyDescent="0.3">
      <c r="A1506" s="66" t="s">
        <v>5505</v>
      </c>
      <c r="B1506" s="58">
        <v>8040</v>
      </c>
      <c r="C1506" s="58" t="s">
        <v>24</v>
      </c>
      <c r="D1506" s="65">
        <v>808542</v>
      </c>
      <c r="E1506" s="65" t="s">
        <v>42</v>
      </c>
      <c r="F1506" s="65" t="s">
        <v>376</v>
      </c>
      <c r="G1506" s="65" t="s">
        <v>375</v>
      </c>
      <c r="H1506" s="65" t="s">
        <v>7</v>
      </c>
      <c r="I1506" s="65" t="s">
        <v>6</v>
      </c>
      <c r="J1506" s="65" t="s">
        <v>5</v>
      </c>
      <c r="K1506" s="65" t="s">
        <v>151</v>
      </c>
      <c r="L1506" s="64" t="s">
        <v>91</v>
      </c>
      <c r="M1506" s="58" t="s">
        <v>90</v>
      </c>
      <c r="N1506" s="58" t="s">
        <v>2</v>
      </c>
      <c r="O1506" s="58">
        <v>81</v>
      </c>
      <c r="P1506" s="58">
        <v>81</v>
      </c>
      <c r="Q1506" s="58">
        <v>0</v>
      </c>
      <c r="R1506" s="58">
        <v>0</v>
      </c>
      <c r="S1506" s="58">
        <v>0</v>
      </c>
      <c r="T1506" s="58">
        <v>0</v>
      </c>
      <c r="U1506" s="58">
        <v>21</v>
      </c>
      <c r="V1506" s="62"/>
      <c r="W1506" s="62"/>
      <c r="X1506" s="63">
        <f>IFERROR(1 -(Master[[#This Row],[Avg Garment Scans per Delivery]]/Master[[#This Row],[Garment Inventory]]), 0)</f>
        <v>0</v>
      </c>
      <c r="Y1506" s="62"/>
      <c r="Z1506" s="62"/>
      <c r="AA1506" s="53">
        <v>28.636122448979592</v>
      </c>
      <c r="AB1506" s="53">
        <v>38.549591836734692</v>
      </c>
      <c r="AC1506" s="53">
        <v>27.04999999999999</v>
      </c>
      <c r="AD1506" s="53">
        <v>37.169999999999995</v>
      </c>
      <c r="AE1506" s="53" t="str">
        <f>_xlfn.XLOOKUP(Master[[#This Row],[cu_id]],'[1]Customer Revenue'!$Q:$Q,'[1]Customer Revenue'!$K:$K, "None")</f>
        <v>None</v>
      </c>
      <c r="AF1506" s="53" t="str">
        <f>_xlfn.XLOOKUP(Master[[#This Row],[cu_id]],'[1]Customer Revenue'!$Q:$Q,'[1]Customer Revenue'!$L:$L, "None")</f>
        <v>None</v>
      </c>
      <c r="AG1506" s="53">
        <v>28.676508875739643</v>
      </c>
      <c r="AH1506" s="53">
        <v>38.272721893491124</v>
      </c>
      <c r="AI1506" s="53">
        <v>33.592857142857142</v>
      </c>
      <c r="AJ1506" s="53">
        <v>32.109999999999992</v>
      </c>
      <c r="AK1506" s="53" t="str">
        <f>_xlfn.XLOOKUP(Master[[#This Row],[cu_id]],'[1]Customer Revenue'!$Q:$Q,'[1]Customer Revenue'!$I:$I, "None")</f>
        <v>None</v>
      </c>
      <c r="AL1506" s="53">
        <v>33.474615384615383</v>
      </c>
      <c r="AM1506" s="61">
        <v>0.41666666666666669</v>
      </c>
      <c r="AN1506" s="60">
        <v>0.95833333333333337</v>
      </c>
      <c r="AO1506" s="60" t="s">
        <v>36</v>
      </c>
      <c r="AP1506" s="60" t="s">
        <v>36</v>
      </c>
      <c r="AQ1506" s="58" t="s">
        <v>0</v>
      </c>
      <c r="AR1506" s="58"/>
      <c r="AS1506" s="58"/>
      <c r="AT1506" s="52">
        <v>0</v>
      </c>
      <c r="AU1506" s="52">
        <f>IF(Master[[#This Row],[RSP StopTime override]] &lt;&gt; "",Master[[#This Row],[RSP StopTime override]],IF(Master[[#This Row],[Avg stop time helper]] &lt;&gt; 0, Master[[#This Row],[Avg stop time helper]],Average_Stop_Time))</f>
        <v>10</v>
      </c>
      <c r="AV1506" s="21">
        <v>10</v>
      </c>
      <c r="AW1506" s="20">
        <f>Master[[#This Row],[RSP StopTime override]]-Master[[#This Row],[Avg stop time helper]]</f>
        <v>10</v>
      </c>
    </row>
    <row r="1507" spans="1:49" x14ac:dyDescent="0.3">
      <c r="A1507" s="66" t="s">
        <v>5506</v>
      </c>
      <c r="B1507" s="58">
        <v>8040</v>
      </c>
      <c r="C1507" s="58" t="s">
        <v>10</v>
      </c>
      <c r="D1507" s="65">
        <v>802237</v>
      </c>
      <c r="E1507" s="65" t="s">
        <v>42</v>
      </c>
      <c r="F1507" s="65" t="s">
        <v>374</v>
      </c>
      <c r="G1507" s="65" t="s">
        <v>373</v>
      </c>
      <c r="H1507" s="65" t="s">
        <v>7</v>
      </c>
      <c r="I1507" s="65" t="s">
        <v>6</v>
      </c>
      <c r="J1507" s="65" t="s">
        <v>5</v>
      </c>
      <c r="K1507" s="65" t="s">
        <v>68</v>
      </c>
      <c r="L1507" s="64" t="s">
        <v>67</v>
      </c>
      <c r="M1507" s="58" t="s">
        <v>3</v>
      </c>
      <c r="N1507" s="58" t="s">
        <v>2</v>
      </c>
      <c r="O1507" s="58">
        <v>60</v>
      </c>
      <c r="P1507" s="58">
        <v>0</v>
      </c>
      <c r="Q1507" s="58">
        <v>0</v>
      </c>
      <c r="R1507" s="58">
        <v>180</v>
      </c>
      <c r="S1507" s="58">
        <v>0</v>
      </c>
      <c r="T1507" s="58">
        <v>0</v>
      </c>
      <c r="U1507" s="58">
        <v>39</v>
      </c>
      <c r="V1507" s="62"/>
      <c r="W1507" s="62"/>
      <c r="X1507" s="63">
        <f>IFERROR(1 -(Master[[#This Row],[Avg Garment Scans per Delivery]]/Master[[#This Row],[Garment Inventory]]), 0)</f>
        <v>0</v>
      </c>
      <c r="Y1507" s="62"/>
      <c r="Z1507" s="62"/>
      <c r="AA1507" s="53">
        <v>20.37153846153846</v>
      </c>
      <c r="AB1507" s="53">
        <v>21.848461538461539</v>
      </c>
      <c r="AC1507" s="53">
        <v>19.405266272189351</v>
      </c>
      <c r="AD1507" s="53">
        <v>20.52242603550296</v>
      </c>
      <c r="AE1507" s="53" t="str">
        <f>_xlfn.XLOOKUP(Master[[#This Row],[cu_id]],'[1]Customer Revenue'!$Q:$Q,'[1]Customer Revenue'!$K:$K, "None")</f>
        <v>None</v>
      </c>
      <c r="AF1507" s="53" t="str">
        <f>_xlfn.XLOOKUP(Master[[#This Row],[cu_id]],'[1]Customer Revenue'!$Q:$Q,'[1]Customer Revenue'!$L:$L, "None")</f>
        <v>None</v>
      </c>
      <c r="AG1507" s="53">
        <v>19.325384615384607</v>
      </c>
      <c r="AH1507" s="53">
        <v>21.294615384615369</v>
      </c>
      <c r="AI1507" s="53">
        <v>21.11</v>
      </c>
      <c r="AJ1507" s="53">
        <v>19.963846153846156</v>
      </c>
      <c r="AK1507" s="53" t="str">
        <f>_xlfn.XLOOKUP(Master[[#This Row],[cu_id]],'[1]Customer Revenue'!$Q:$Q,'[1]Customer Revenue'!$I:$I, "None")</f>
        <v>None</v>
      </c>
      <c r="AL1507" s="53">
        <v>20.309999999999988</v>
      </c>
      <c r="AM1507" s="61">
        <v>0.33333333333333331</v>
      </c>
      <c r="AN1507" s="60">
        <v>0.54166666666666663</v>
      </c>
      <c r="AO1507" s="60">
        <v>0.58333333333333337</v>
      </c>
      <c r="AP1507" s="60">
        <v>0.72916666666666663</v>
      </c>
      <c r="AQ1507" s="58" t="s">
        <v>0</v>
      </c>
      <c r="AR1507" s="58"/>
      <c r="AS1507" s="58"/>
      <c r="AT1507" s="52">
        <v>0</v>
      </c>
      <c r="AU1507" s="52">
        <f>IF(Master[[#This Row],[RSP StopTime override]] &lt;&gt; "",Master[[#This Row],[RSP StopTime override]],IF(Master[[#This Row],[Avg stop time helper]] &lt;&gt; 0, Master[[#This Row],[Avg stop time helper]],Average_Stop_Time))</f>
        <v>10</v>
      </c>
      <c r="AV1507" s="21">
        <v>10</v>
      </c>
      <c r="AW1507" s="20">
        <f>Master[[#This Row],[RSP StopTime override]]-Master[[#This Row],[Avg stop time helper]]</f>
        <v>10</v>
      </c>
    </row>
    <row r="1508" spans="1:49" x14ac:dyDescent="0.3">
      <c r="A1508" s="66" t="s">
        <v>5507</v>
      </c>
      <c r="B1508" s="58">
        <v>8040</v>
      </c>
      <c r="C1508" s="58" t="s">
        <v>10</v>
      </c>
      <c r="D1508" s="65">
        <v>803964</v>
      </c>
      <c r="E1508" s="65" t="s">
        <v>42</v>
      </c>
      <c r="F1508" s="65" t="s">
        <v>372</v>
      </c>
      <c r="G1508" s="65" t="s">
        <v>371</v>
      </c>
      <c r="H1508" s="65" t="s">
        <v>7</v>
      </c>
      <c r="I1508" s="65" t="s">
        <v>6</v>
      </c>
      <c r="J1508" s="65" t="s">
        <v>5</v>
      </c>
      <c r="K1508" s="65" t="s">
        <v>115</v>
      </c>
      <c r="L1508" s="64" t="s">
        <v>124</v>
      </c>
      <c r="M1508" s="58" t="s">
        <v>123</v>
      </c>
      <c r="N1508" s="58" t="s">
        <v>2</v>
      </c>
      <c r="O1508" s="58">
        <v>160</v>
      </c>
      <c r="P1508" s="58">
        <v>0</v>
      </c>
      <c r="Q1508" s="58">
        <v>0</v>
      </c>
      <c r="R1508" s="58">
        <v>160</v>
      </c>
      <c r="S1508" s="58">
        <v>0</v>
      </c>
      <c r="T1508" s="58">
        <v>0</v>
      </c>
      <c r="U1508" s="58">
        <v>10</v>
      </c>
      <c r="V1508" s="62"/>
      <c r="W1508" s="62"/>
      <c r="X1508" s="63">
        <f>IFERROR(1 -(Master[[#This Row],[Avg Garment Scans per Delivery]]/Master[[#This Row],[Garment Inventory]]), 0)</f>
        <v>0</v>
      </c>
      <c r="Y1508" s="62"/>
      <c r="Z1508" s="62"/>
      <c r="AA1508" s="53">
        <v>16.149999999999999</v>
      </c>
      <c r="AB1508" s="53">
        <v>16.149999999999999</v>
      </c>
      <c r="AC1508" s="53">
        <v>16.018888888888888</v>
      </c>
      <c r="AD1508" s="53">
        <v>17.067777777777778</v>
      </c>
      <c r="AE1508" s="53" t="str">
        <f>_xlfn.XLOOKUP(Master[[#This Row],[cu_id]],'[1]Customer Revenue'!$Q:$Q,'[1]Customer Revenue'!$K:$K, "None")</f>
        <v>None</v>
      </c>
      <c r="AF1508" s="53" t="str">
        <f>_xlfn.XLOOKUP(Master[[#This Row],[cu_id]],'[1]Customer Revenue'!$Q:$Q,'[1]Customer Revenue'!$L:$L, "None")</f>
        <v>None</v>
      </c>
      <c r="AG1508" s="53">
        <v>16.149999999999999</v>
      </c>
      <c r="AH1508" s="53">
        <v>16.150000000000006</v>
      </c>
      <c r="AI1508" s="53">
        <v>16.149999999999999</v>
      </c>
      <c r="AJ1508" s="53">
        <v>16.543333333333333</v>
      </c>
      <c r="AK1508" s="53" t="str">
        <f>_xlfn.XLOOKUP(Master[[#This Row],[cu_id]],'[1]Customer Revenue'!$Q:$Q,'[1]Customer Revenue'!$I:$I, "None")</f>
        <v>None</v>
      </c>
      <c r="AL1508" s="53">
        <v>16.150000000000002</v>
      </c>
      <c r="AM1508" s="61">
        <v>0.375</v>
      </c>
      <c r="AN1508" s="60">
        <v>0.70833333333333337</v>
      </c>
      <c r="AO1508" s="60" t="s">
        <v>36</v>
      </c>
      <c r="AP1508" s="60" t="s">
        <v>36</v>
      </c>
      <c r="AQ1508" s="58" t="s">
        <v>0</v>
      </c>
      <c r="AR1508" s="58"/>
      <c r="AS1508" s="58"/>
      <c r="AT1508" s="52">
        <v>0</v>
      </c>
      <c r="AU1508" s="52">
        <f>IF(Master[[#This Row],[RSP StopTime override]] &lt;&gt; "",Master[[#This Row],[RSP StopTime override]],IF(Master[[#This Row],[Avg stop time helper]] &lt;&gt; 0, Master[[#This Row],[Avg stop time helper]],Average_Stop_Time))</f>
        <v>5</v>
      </c>
      <c r="AV1508" s="21">
        <v>5</v>
      </c>
      <c r="AW1508" s="20">
        <f>Master[[#This Row],[RSP StopTime override]]-Master[[#This Row],[Avg stop time helper]]</f>
        <v>5</v>
      </c>
    </row>
    <row r="1509" spans="1:49" x14ac:dyDescent="0.3">
      <c r="A1509" s="66" t="s">
        <v>5508</v>
      </c>
      <c r="B1509" s="58">
        <v>8040</v>
      </c>
      <c r="C1509" s="58" t="s">
        <v>24</v>
      </c>
      <c r="D1509" s="65">
        <v>882664</v>
      </c>
      <c r="E1509" s="65" t="s">
        <v>370</v>
      </c>
      <c r="F1509" s="65" t="s">
        <v>369</v>
      </c>
      <c r="G1509" s="65" t="s">
        <v>368</v>
      </c>
      <c r="H1509" s="65" t="s">
        <v>7</v>
      </c>
      <c r="I1509" s="65" t="s">
        <v>6</v>
      </c>
      <c r="J1509" s="65" t="s">
        <v>5</v>
      </c>
      <c r="K1509" s="65" t="s">
        <v>367</v>
      </c>
      <c r="L1509" s="64" t="s">
        <v>67</v>
      </c>
      <c r="M1509" s="58" t="s">
        <v>3</v>
      </c>
      <c r="N1509" s="58" t="s">
        <v>2</v>
      </c>
      <c r="O1509" s="58">
        <v>53</v>
      </c>
      <c r="P1509" s="58">
        <v>53</v>
      </c>
      <c r="Q1509" s="58">
        <v>0</v>
      </c>
      <c r="R1509" s="58">
        <v>0</v>
      </c>
      <c r="S1509" s="58">
        <v>0</v>
      </c>
      <c r="T1509" s="58">
        <v>0</v>
      </c>
      <c r="U1509" s="58">
        <v>39</v>
      </c>
      <c r="V1509" s="62">
        <v>3</v>
      </c>
      <c r="W1509" s="62"/>
      <c r="X1509" s="63">
        <f>IFERROR(1 -(Master[[#This Row],[Avg Garment Scans per Delivery]]/Master[[#This Row],[Garment Inventory]]), 0)</f>
        <v>1</v>
      </c>
      <c r="Y1509" s="62">
        <v>1</v>
      </c>
      <c r="Z1509" s="62">
        <v>2</v>
      </c>
      <c r="AA1509" s="53">
        <v>15.307159763313608</v>
      </c>
      <c r="AB1509" s="53">
        <v>16.149763313609466</v>
      </c>
      <c r="AC1509" s="53">
        <v>20.682781065088758</v>
      </c>
      <c r="AD1509" s="53">
        <v>23.549526627218935</v>
      </c>
      <c r="AE1509" s="53" t="str">
        <f>_xlfn.XLOOKUP(Master[[#This Row],[cu_id]],'[1]Customer Revenue'!$Q:$Q,'[1]Customer Revenue'!$K:$K, "None")</f>
        <v>None</v>
      </c>
      <c r="AF1509" s="53" t="str">
        <f>_xlfn.XLOOKUP(Master[[#This Row],[cu_id]],'[1]Customer Revenue'!$Q:$Q,'[1]Customer Revenue'!$L:$L, "None")</f>
        <v>None</v>
      </c>
      <c r="AG1509" s="53">
        <v>14.056863905325443</v>
      </c>
      <c r="AH1509" s="53">
        <v>25.460828402366857</v>
      </c>
      <c r="AI1509" s="53">
        <v>15.728461538461538</v>
      </c>
      <c r="AJ1509" s="53">
        <v>22.116153846153846</v>
      </c>
      <c r="AK1509" s="53" t="str">
        <f>_xlfn.XLOOKUP(Master[[#This Row],[cu_id]],'[1]Customer Revenue'!$Q:$Q,'[1]Customer Revenue'!$I:$I, "None")</f>
        <v>None</v>
      </c>
      <c r="AL1509" s="53">
        <v>19.75884615384615</v>
      </c>
      <c r="AM1509" s="61">
        <v>0.33333333333333331</v>
      </c>
      <c r="AN1509" s="60">
        <v>0.70833333333333337</v>
      </c>
      <c r="AO1509" s="60" t="s">
        <v>36</v>
      </c>
      <c r="AP1509" s="60" t="s">
        <v>36</v>
      </c>
      <c r="AQ1509" s="58" t="s">
        <v>0</v>
      </c>
      <c r="AR1509" s="58"/>
      <c r="AS1509" s="58"/>
      <c r="AT1509" s="52">
        <v>0</v>
      </c>
      <c r="AU1509" s="52">
        <f>IF(Master[[#This Row],[RSP StopTime override]] &lt;&gt; "",Master[[#This Row],[RSP StopTime override]],IF(Master[[#This Row],[Avg stop time helper]] &lt;&gt; 0, Master[[#This Row],[Avg stop time helper]],Average_Stop_Time))</f>
        <v>10</v>
      </c>
      <c r="AV1509" s="21">
        <v>10</v>
      </c>
      <c r="AW1509" s="20">
        <f>Master[[#This Row],[RSP StopTime override]]-Master[[#This Row],[Avg stop time helper]]</f>
        <v>10</v>
      </c>
    </row>
    <row r="1510" spans="1:49" x14ac:dyDescent="0.3">
      <c r="A1510" s="66" t="s">
        <v>5509</v>
      </c>
      <c r="B1510" s="58">
        <v>8040</v>
      </c>
      <c r="C1510" s="58" t="s">
        <v>35</v>
      </c>
      <c r="D1510" s="65">
        <v>806074</v>
      </c>
      <c r="E1510" s="65" t="s">
        <v>42</v>
      </c>
      <c r="F1510" s="65" t="s">
        <v>366</v>
      </c>
      <c r="G1510" s="65" t="s">
        <v>365</v>
      </c>
      <c r="H1510" s="65" t="s">
        <v>7</v>
      </c>
      <c r="I1510" s="65" t="s">
        <v>6</v>
      </c>
      <c r="J1510" s="65" t="s">
        <v>5</v>
      </c>
      <c r="K1510" s="65" t="s">
        <v>68</v>
      </c>
      <c r="L1510" s="64" t="s">
        <v>67</v>
      </c>
      <c r="M1510" s="58" t="s">
        <v>3</v>
      </c>
      <c r="N1510" s="58" t="s">
        <v>2</v>
      </c>
      <c r="O1510" s="58">
        <v>60</v>
      </c>
      <c r="P1510" s="58">
        <v>0</v>
      </c>
      <c r="Q1510" s="58">
        <v>60</v>
      </c>
      <c r="R1510" s="58">
        <v>0</v>
      </c>
      <c r="S1510" s="58">
        <v>0</v>
      </c>
      <c r="T1510" s="58">
        <v>0</v>
      </c>
      <c r="U1510" s="58">
        <v>39</v>
      </c>
      <c r="V1510" s="62"/>
      <c r="W1510" s="62"/>
      <c r="X1510" s="63">
        <f>IFERROR(1 -(Master[[#This Row],[Avg Garment Scans per Delivery]]/Master[[#This Row],[Garment Inventory]]), 0)</f>
        <v>0</v>
      </c>
      <c r="Y1510" s="62"/>
      <c r="Z1510" s="62"/>
      <c r="AA1510" s="53">
        <v>55.96</v>
      </c>
      <c r="AB1510" s="53">
        <v>55.96</v>
      </c>
      <c r="AC1510" s="53">
        <v>56.753846153846141</v>
      </c>
      <c r="AD1510" s="53">
        <v>62.046153846153842</v>
      </c>
      <c r="AE1510" s="53" t="str">
        <f>_xlfn.XLOOKUP(Master[[#This Row],[cu_id]],'[1]Customer Revenue'!$Q:$Q,'[1]Customer Revenue'!$K:$K, "None")</f>
        <v>None</v>
      </c>
      <c r="AF1510" s="53" t="str">
        <f>_xlfn.XLOOKUP(Master[[#This Row],[cu_id]],'[1]Customer Revenue'!$Q:$Q,'[1]Customer Revenue'!$L:$L, "None")</f>
        <v>None</v>
      </c>
      <c r="AG1510" s="53">
        <v>55.96</v>
      </c>
      <c r="AH1510" s="53">
        <v>55.960000000000043</v>
      </c>
      <c r="AI1510" s="53">
        <v>55.96</v>
      </c>
      <c r="AJ1510" s="53">
        <v>59.399999999999991</v>
      </c>
      <c r="AK1510" s="53" t="str">
        <f>_xlfn.XLOOKUP(Master[[#This Row],[cu_id]],'[1]Customer Revenue'!$Q:$Q,'[1]Customer Revenue'!$I:$I, "None")</f>
        <v>None</v>
      </c>
      <c r="AL1510" s="53">
        <v>55.960000000000022</v>
      </c>
      <c r="AM1510" s="61">
        <v>0.33333333333333331</v>
      </c>
      <c r="AN1510" s="60">
        <v>0.70833333333333337</v>
      </c>
      <c r="AO1510" s="60" t="s">
        <v>36</v>
      </c>
      <c r="AP1510" s="60" t="s">
        <v>36</v>
      </c>
      <c r="AQ1510" s="58" t="s">
        <v>0</v>
      </c>
      <c r="AR1510" s="58"/>
      <c r="AS1510" s="58"/>
      <c r="AT1510" s="52">
        <v>0</v>
      </c>
      <c r="AU1510" s="52">
        <f>IF(Master[[#This Row],[RSP StopTime override]] &lt;&gt; "",Master[[#This Row],[RSP StopTime override]],IF(Master[[#This Row],[Avg stop time helper]] &lt;&gt; 0, Master[[#This Row],[Avg stop time helper]],Average_Stop_Time))</f>
        <v>15</v>
      </c>
      <c r="AV1510" s="21">
        <v>15</v>
      </c>
      <c r="AW1510" s="20">
        <f>Master[[#This Row],[RSP StopTime override]]-Master[[#This Row],[Avg stop time helper]]</f>
        <v>15</v>
      </c>
    </row>
    <row r="1511" spans="1:49" x14ac:dyDescent="0.3">
      <c r="A1511" s="66" t="s">
        <v>4138</v>
      </c>
      <c r="B1511" s="58">
        <v>8040</v>
      </c>
      <c r="C1511" s="58" t="s">
        <v>35</v>
      </c>
      <c r="D1511" s="65">
        <v>802990</v>
      </c>
      <c r="E1511" s="65" t="s">
        <v>42</v>
      </c>
      <c r="F1511" s="65" t="s">
        <v>364</v>
      </c>
      <c r="G1511" s="65" t="s">
        <v>363</v>
      </c>
      <c r="H1511" s="65" t="s">
        <v>7</v>
      </c>
      <c r="I1511" s="65" t="s">
        <v>6</v>
      </c>
      <c r="J1511" s="65" t="s">
        <v>5</v>
      </c>
      <c r="K1511" s="65" t="s">
        <v>68</v>
      </c>
      <c r="L1511" s="64" t="s">
        <v>77</v>
      </c>
      <c r="M1511" s="58" t="s">
        <v>29</v>
      </c>
      <c r="N1511" s="58" t="s">
        <v>2</v>
      </c>
      <c r="O1511" s="58">
        <v>78</v>
      </c>
      <c r="P1511" s="58">
        <v>0</v>
      </c>
      <c r="Q1511" s="58">
        <v>78</v>
      </c>
      <c r="R1511" s="58">
        <v>0</v>
      </c>
      <c r="S1511" s="58">
        <v>0</v>
      </c>
      <c r="T1511" s="58">
        <v>0</v>
      </c>
      <c r="U1511" s="58">
        <v>16</v>
      </c>
      <c r="V1511" s="62"/>
      <c r="W1511" s="62"/>
      <c r="X1511" s="63">
        <f>IFERROR(1 -(Master[[#This Row],[Avg Garment Scans per Delivery]]/Master[[#This Row],[Garment Inventory]]), 0)</f>
        <v>0</v>
      </c>
      <c r="Y1511" s="62"/>
      <c r="Z1511" s="62"/>
      <c r="AA1511" s="53">
        <v>12.545</v>
      </c>
      <c r="AB1511" s="53">
        <v>37.634999999999998</v>
      </c>
      <c r="AC1511" s="53">
        <v>25</v>
      </c>
      <c r="AD1511" s="53">
        <v>25</v>
      </c>
      <c r="AE1511" s="53" t="str">
        <f>_xlfn.XLOOKUP(Master[[#This Row],[cu_id]],'[1]Customer Revenue'!$Q:$Q,'[1]Customer Revenue'!$K:$K, "None")</f>
        <v>None</v>
      </c>
      <c r="AF1511" s="53" t="str">
        <f>_xlfn.XLOOKUP(Master[[#This Row],[cu_id]],'[1]Customer Revenue'!$Q:$Q,'[1]Customer Revenue'!$L:$L, "None")</f>
        <v>None</v>
      </c>
      <c r="AG1511" s="53">
        <v>16.242934911242607</v>
      </c>
      <c r="AH1511" s="53">
        <v>34.125065088757395</v>
      </c>
      <c r="AI1511" s="53">
        <v>25.09</v>
      </c>
      <c r="AJ1511" s="53">
        <v>25</v>
      </c>
      <c r="AK1511" s="53" t="str">
        <f>_xlfn.XLOOKUP(Master[[#This Row],[cu_id]],'[1]Customer Revenue'!$Q:$Q,'[1]Customer Revenue'!$I:$I, "None")</f>
        <v>None</v>
      </c>
      <c r="AL1511" s="53">
        <v>25.184000000000001</v>
      </c>
      <c r="AM1511" s="61" t="s">
        <v>36</v>
      </c>
      <c r="AN1511" s="60" t="s">
        <v>36</v>
      </c>
      <c r="AO1511" s="60" t="s">
        <v>36</v>
      </c>
      <c r="AP1511" s="60" t="s">
        <v>36</v>
      </c>
      <c r="AQ1511" s="58" t="s">
        <v>174</v>
      </c>
      <c r="AR1511" s="58"/>
      <c r="AS1511" s="58"/>
      <c r="AT1511" s="52">
        <v>0</v>
      </c>
      <c r="AU1511" s="52">
        <f>IF(Master[[#This Row],[RSP StopTime override]] &lt;&gt; "",Master[[#This Row],[RSP StopTime override]],IF(Master[[#This Row],[Avg stop time helper]] &lt;&gt; 0, Master[[#This Row],[Avg stop time helper]],Average_Stop_Time))</f>
        <v>5</v>
      </c>
      <c r="AV1511" s="21">
        <v>5</v>
      </c>
      <c r="AW1511" s="20">
        <f>Master[[#This Row],[RSP StopTime override]]-Master[[#This Row],[Avg stop time helper]]</f>
        <v>5</v>
      </c>
    </row>
    <row r="1512" spans="1:49" x14ac:dyDescent="0.3">
      <c r="A1512" s="66" t="s">
        <v>5510</v>
      </c>
      <c r="B1512" s="58">
        <v>8040</v>
      </c>
      <c r="C1512" s="58" t="s">
        <v>24</v>
      </c>
      <c r="D1512" s="65">
        <v>807960</v>
      </c>
      <c r="E1512" s="65" t="s">
        <v>42</v>
      </c>
      <c r="F1512" s="65" t="s">
        <v>362</v>
      </c>
      <c r="G1512" s="65" t="s">
        <v>361</v>
      </c>
      <c r="H1512" s="65" t="s">
        <v>7</v>
      </c>
      <c r="I1512" s="65" t="s">
        <v>6</v>
      </c>
      <c r="J1512" s="65" t="s">
        <v>5</v>
      </c>
      <c r="K1512" s="65" t="s">
        <v>68</v>
      </c>
      <c r="L1512" s="64" t="s">
        <v>67</v>
      </c>
      <c r="M1512" s="58" t="s">
        <v>3</v>
      </c>
      <c r="N1512" s="58" t="s">
        <v>2</v>
      </c>
      <c r="O1512" s="58">
        <v>170</v>
      </c>
      <c r="P1512" s="58">
        <v>170</v>
      </c>
      <c r="Q1512" s="58">
        <v>0</v>
      </c>
      <c r="R1512" s="58">
        <v>0</v>
      </c>
      <c r="S1512" s="58">
        <v>0</v>
      </c>
      <c r="T1512" s="58">
        <v>0</v>
      </c>
      <c r="U1512" s="58">
        <v>40</v>
      </c>
      <c r="V1512" s="62">
        <v>99</v>
      </c>
      <c r="W1512" s="62">
        <v>9</v>
      </c>
      <c r="X1512" s="63">
        <f>IFERROR(1 -(Master[[#This Row],[Avg Garment Scans per Delivery]]/Master[[#This Row],[Garment Inventory]]), 0)</f>
        <v>0.90909090909090906</v>
      </c>
      <c r="Y1512" s="62">
        <v>5</v>
      </c>
      <c r="Z1512" s="62">
        <v>95</v>
      </c>
      <c r="AA1512" s="53">
        <v>70.113905325443781</v>
      </c>
      <c r="AB1512" s="53">
        <v>82.561479289940806</v>
      </c>
      <c r="AC1512" s="53">
        <v>75.666863905325442</v>
      </c>
      <c r="AD1512" s="53">
        <v>82.182366863905287</v>
      </c>
      <c r="AE1512" s="53" t="str">
        <f>_xlfn.XLOOKUP(Master[[#This Row],[cu_id]],'[1]Customer Revenue'!$Q:$Q,'[1]Customer Revenue'!$K:$K, "None")</f>
        <v>None</v>
      </c>
      <c r="AF1512" s="53" t="str">
        <f>_xlfn.XLOOKUP(Master[[#This Row],[cu_id]],'[1]Customer Revenue'!$Q:$Q,'[1]Customer Revenue'!$L:$L, "None")</f>
        <v>None</v>
      </c>
      <c r="AG1512" s="53">
        <v>65.977590266876035</v>
      </c>
      <c r="AH1512" s="53">
        <v>89.217794348508647</v>
      </c>
      <c r="AI1512" s="53">
        <v>76.337692307692294</v>
      </c>
      <c r="AJ1512" s="53">
        <v>78.924615384615365</v>
      </c>
      <c r="AK1512" s="53" t="str">
        <f>_xlfn.XLOOKUP(Master[[#This Row],[cu_id]],'[1]Customer Revenue'!$Q:$Q,'[1]Customer Revenue'!$I:$I, "None")</f>
        <v>None</v>
      </c>
      <c r="AL1512" s="53">
        <v>77.597692307692341</v>
      </c>
      <c r="AM1512" s="61">
        <v>0.35416666666666669</v>
      </c>
      <c r="AN1512" s="60">
        <v>0.70833333333333337</v>
      </c>
      <c r="AO1512" s="60" t="s">
        <v>36</v>
      </c>
      <c r="AP1512" s="60" t="s">
        <v>36</v>
      </c>
      <c r="AQ1512" s="58" t="s">
        <v>0</v>
      </c>
      <c r="AR1512" s="58"/>
      <c r="AS1512" s="58"/>
      <c r="AT1512" s="52">
        <v>0</v>
      </c>
      <c r="AU1512" s="52">
        <f>IF(Master[[#This Row],[RSP StopTime override]] &lt;&gt; "",Master[[#This Row],[RSP StopTime override]],IF(Master[[#This Row],[Avg stop time helper]] &lt;&gt; 0, Master[[#This Row],[Avg stop time helper]],Average_Stop_Time))</f>
        <v>15</v>
      </c>
      <c r="AV1512" s="21">
        <v>15</v>
      </c>
      <c r="AW1512" s="20">
        <f>Master[[#This Row],[RSP StopTime override]]-Master[[#This Row],[Avg stop time helper]]</f>
        <v>15</v>
      </c>
    </row>
    <row r="1513" spans="1:49" x14ac:dyDescent="0.3">
      <c r="A1513" s="66" t="s">
        <v>5511</v>
      </c>
      <c r="B1513" s="58">
        <v>8040</v>
      </c>
      <c r="C1513" s="58" t="s">
        <v>35</v>
      </c>
      <c r="D1513" s="65">
        <v>884654</v>
      </c>
      <c r="E1513" s="65" t="s">
        <v>360</v>
      </c>
      <c r="F1513" s="65" t="s">
        <v>359</v>
      </c>
      <c r="G1513" s="65" t="s">
        <v>358</v>
      </c>
      <c r="H1513" s="65" t="s">
        <v>7</v>
      </c>
      <c r="I1513" s="65" t="s">
        <v>6</v>
      </c>
      <c r="J1513" s="65" t="s">
        <v>5</v>
      </c>
      <c r="K1513" s="65" t="s">
        <v>68</v>
      </c>
      <c r="L1513" s="64" t="s">
        <v>141</v>
      </c>
      <c r="M1513" s="58" t="s">
        <v>140</v>
      </c>
      <c r="N1513" s="58" t="s">
        <v>2</v>
      </c>
      <c r="O1513" s="58">
        <v>110</v>
      </c>
      <c r="P1513" s="58">
        <v>0</v>
      </c>
      <c r="Q1513" s="58">
        <v>110</v>
      </c>
      <c r="R1513" s="58">
        <v>0</v>
      </c>
      <c r="S1513" s="58">
        <v>0</v>
      </c>
      <c r="T1513" s="58">
        <v>0</v>
      </c>
      <c r="U1513" s="58">
        <v>10</v>
      </c>
      <c r="V1513" s="62">
        <v>0</v>
      </c>
      <c r="W1513" s="62"/>
      <c r="X1513" s="63">
        <f>IFERROR(1 -(Master[[#This Row],[Avg Garment Scans per Delivery]]/Master[[#This Row],[Garment Inventory]]), 0)</f>
        <v>0</v>
      </c>
      <c r="Y1513" s="62"/>
      <c r="Z1513" s="62"/>
      <c r="AA1513" s="53">
        <v>22.85</v>
      </c>
      <c r="AB1513" s="53">
        <v>50.27</v>
      </c>
      <c r="AC1513" s="53">
        <v>36.428888888888892</v>
      </c>
      <c r="AD1513" s="53">
        <v>37.477777777777789</v>
      </c>
      <c r="AE1513" s="53" t="str">
        <f>_xlfn.XLOOKUP(Master[[#This Row],[cu_id]],'[1]Customer Revenue'!$Q:$Q,'[1]Customer Revenue'!$K:$K, "None")</f>
        <v>None</v>
      </c>
      <c r="AF1513" s="53" t="str">
        <f>_xlfn.XLOOKUP(Master[[#This Row],[cu_id]],'[1]Customer Revenue'!$Q:$Q,'[1]Customer Revenue'!$L:$L, "None")</f>
        <v>None</v>
      </c>
      <c r="AG1513" s="53">
        <v>23.800458553791884</v>
      </c>
      <c r="AH1513" s="53">
        <v>48.94811287477954</v>
      </c>
      <c r="AI1513" s="53">
        <v>36.56</v>
      </c>
      <c r="AJ1513" s="53">
        <v>36.95333333333334</v>
      </c>
      <c r="AK1513" s="53" t="str">
        <f>_xlfn.XLOOKUP(Master[[#This Row],[cu_id]],'[1]Customer Revenue'!$Q:$Q,'[1]Customer Revenue'!$I:$I, "None")</f>
        <v>None</v>
      </c>
      <c r="AL1513" s="53">
        <v>36.374285714285712</v>
      </c>
      <c r="AM1513" s="61">
        <v>0.33333333333333331</v>
      </c>
      <c r="AN1513" s="60">
        <v>0.66666666666666663</v>
      </c>
      <c r="AO1513" s="60" t="s">
        <v>36</v>
      </c>
      <c r="AP1513" s="60" t="s">
        <v>36</v>
      </c>
      <c r="AQ1513" s="58" t="s">
        <v>0</v>
      </c>
      <c r="AR1513" s="58"/>
      <c r="AS1513" s="58"/>
      <c r="AT1513" s="52">
        <v>0</v>
      </c>
      <c r="AU1513" s="52">
        <f>IF(Master[[#This Row],[RSP StopTime override]] &lt;&gt; "",Master[[#This Row],[RSP StopTime override]],IF(Master[[#This Row],[Avg stop time helper]] &lt;&gt; 0, Master[[#This Row],[Avg stop time helper]],Average_Stop_Time))</f>
        <v>5</v>
      </c>
      <c r="AV1513" s="21">
        <v>5</v>
      </c>
      <c r="AW1513" s="20">
        <f>Master[[#This Row],[RSP StopTime override]]-Master[[#This Row],[Avg stop time helper]]</f>
        <v>5</v>
      </c>
    </row>
    <row r="1514" spans="1:49" x14ac:dyDescent="0.3">
      <c r="A1514" s="66" t="s">
        <v>5512</v>
      </c>
      <c r="B1514" s="58">
        <v>8040</v>
      </c>
      <c r="C1514" s="58" t="s">
        <v>10</v>
      </c>
      <c r="D1514" s="65">
        <v>803923</v>
      </c>
      <c r="E1514" s="65" t="s">
        <v>42</v>
      </c>
      <c r="F1514" s="65" t="s">
        <v>357</v>
      </c>
      <c r="G1514" s="65" t="s">
        <v>356</v>
      </c>
      <c r="H1514" s="65" t="s">
        <v>7</v>
      </c>
      <c r="I1514" s="65" t="s">
        <v>6</v>
      </c>
      <c r="J1514" s="65" t="s">
        <v>5</v>
      </c>
      <c r="K1514" s="65" t="s">
        <v>115</v>
      </c>
      <c r="L1514" s="64" t="s">
        <v>67</v>
      </c>
      <c r="M1514" s="58" t="s">
        <v>3</v>
      </c>
      <c r="N1514" s="58" t="s">
        <v>2</v>
      </c>
      <c r="O1514" s="58">
        <v>75</v>
      </c>
      <c r="P1514" s="58">
        <v>0</v>
      </c>
      <c r="Q1514" s="58">
        <v>0</v>
      </c>
      <c r="R1514" s="58">
        <v>50</v>
      </c>
      <c r="S1514" s="58">
        <v>0</v>
      </c>
      <c r="T1514" s="58">
        <v>0</v>
      </c>
      <c r="U1514" s="58">
        <v>39</v>
      </c>
      <c r="V1514" s="62"/>
      <c r="W1514" s="62"/>
      <c r="X1514" s="63">
        <f>IFERROR(1 -(Master[[#This Row],[Avg Garment Scans per Delivery]]/Master[[#This Row],[Garment Inventory]]), 0)</f>
        <v>0</v>
      </c>
      <c r="Y1514" s="62"/>
      <c r="Z1514" s="62"/>
      <c r="AA1514" s="53">
        <v>47.082366863905328</v>
      </c>
      <c r="AB1514" s="53">
        <v>61.576094674556224</v>
      </c>
      <c r="AC1514" s="53">
        <v>43.541538461538451</v>
      </c>
      <c r="AD1514" s="53">
        <v>64.458461538461535</v>
      </c>
      <c r="AE1514" s="53" t="str">
        <f>_xlfn.XLOOKUP(Master[[#This Row],[cu_id]],'[1]Customer Revenue'!$Q:$Q,'[1]Customer Revenue'!$K:$K, "None")</f>
        <v>None</v>
      </c>
      <c r="AF1514" s="53" t="str">
        <f>_xlfn.XLOOKUP(Master[[#This Row],[cu_id]],'[1]Customer Revenue'!$Q:$Q,'[1]Customer Revenue'!$L:$L, "None")</f>
        <v>None</v>
      </c>
      <c r="AG1514" s="53">
        <v>46.978372781065076</v>
      </c>
      <c r="AH1514" s="53">
        <v>61.423934911242597</v>
      </c>
      <c r="AI1514" s="53">
        <v>54.329230769230776</v>
      </c>
      <c r="AJ1514" s="53">
        <v>53.999999999999993</v>
      </c>
      <c r="AK1514" s="53" t="str">
        <f>_xlfn.XLOOKUP(Master[[#This Row],[cu_id]],'[1]Customer Revenue'!$Q:$Q,'[1]Customer Revenue'!$I:$I, "None")</f>
        <v>None</v>
      </c>
      <c r="AL1514" s="53">
        <v>54.201153846153836</v>
      </c>
      <c r="AM1514" s="61">
        <v>0.29166666666666669</v>
      </c>
      <c r="AN1514" s="60">
        <v>0.70833333333333337</v>
      </c>
      <c r="AO1514" s="60" t="s">
        <v>36</v>
      </c>
      <c r="AP1514" s="60" t="s">
        <v>36</v>
      </c>
      <c r="AQ1514" s="58" t="s">
        <v>0</v>
      </c>
      <c r="AR1514" s="58"/>
      <c r="AS1514" s="58"/>
      <c r="AT1514" s="52">
        <v>0</v>
      </c>
      <c r="AU1514" s="52">
        <f>IF(Master[[#This Row],[RSP StopTime override]] &lt;&gt; "",Master[[#This Row],[RSP StopTime override]],IF(Master[[#This Row],[Avg stop time helper]] &lt;&gt; 0, Master[[#This Row],[Avg stop time helper]],Average_Stop_Time))</f>
        <v>10</v>
      </c>
      <c r="AV1514" s="21">
        <v>10</v>
      </c>
      <c r="AW1514" s="20">
        <f>Master[[#This Row],[RSP StopTime override]]-Master[[#This Row],[Avg stop time helper]]</f>
        <v>10</v>
      </c>
    </row>
    <row r="1515" spans="1:49" x14ac:dyDescent="0.3">
      <c r="A1515" s="66" t="s">
        <v>5513</v>
      </c>
      <c r="B1515" s="58">
        <v>8040</v>
      </c>
      <c r="C1515" s="58" t="s">
        <v>24</v>
      </c>
      <c r="D1515" s="65">
        <v>804390</v>
      </c>
      <c r="E1515" s="65" t="s">
        <v>42</v>
      </c>
      <c r="F1515" s="65" t="s">
        <v>355</v>
      </c>
      <c r="G1515" s="65" t="s">
        <v>354</v>
      </c>
      <c r="H1515" s="65" t="s">
        <v>7</v>
      </c>
      <c r="I1515" s="65" t="s">
        <v>6</v>
      </c>
      <c r="J1515" s="65" t="s">
        <v>5</v>
      </c>
      <c r="K1515" s="65" t="s">
        <v>151</v>
      </c>
      <c r="L1515" s="64" t="s">
        <v>67</v>
      </c>
      <c r="M1515" s="58" t="s">
        <v>3</v>
      </c>
      <c r="N1515" s="58" t="s">
        <v>2</v>
      </c>
      <c r="O1515" s="58">
        <v>55</v>
      </c>
      <c r="P1515" s="58">
        <v>55</v>
      </c>
      <c r="Q1515" s="58">
        <v>0</v>
      </c>
      <c r="R1515" s="58">
        <v>0</v>
      </c>
      <c r="S1515" s="58">
        <v>0</v>
      </c>
      <c r="T1515" s="58">
        <v>0</v>
      </c>
      <c r="U1515" s="58">
        <v>39</v>
      </c>
      <c r="V1515" s="62">
        <v>201</v>
      </c>
      <c r="W1515" s="62">
        <v>14</v>
      </c>
      <c r="X1515" s="63">
        <f>IFERROR(1 -(Master[[#This Row],[Avg Garment Scans per Delivery]]/Master[[#This Row],[Garment Inventory]]), 0)</f>
        <v>0.93034825870646765</v>
      </c>
      <c r="Y1515" s="62">
        <v>9</v>
      </c>
      <c r="Z1515" s="62">
        <v>181</v>
      </c>
      <c r="AA1515" s="53">
        <v>84.182485207100598</v>
      </c>
      <c r="AB1515" s="53">
        <v>94.432899408284015</v>
      </c>
      <c r="AC1515" s="53">
        <v>63.811813186813204</v>
      </c>
      <c r="AD1515" s="53">
        <v>145.39895604395608</v>
      </c>
      <c r="AE1515" s="53" t="str">
        <f>_xlfn.XLOOKUP(Master[[#This Row],[cu_id]],'[1]Customer Revenue'!$Q:$Q,'[1]Customer Revenue'!$K:$K, "None")</f>
        <v>None</v>
      </c>
      <c r="AF1515" s="53" t="str">
        <f>_xlfn.XLOOKUP(Master[[#This Row],[cu_id]],'[1]Customer Revenue'!$Q:$Q,'[1]Customer Revenue'!$L:$L, "None")</f>
        <v>None</v>
      </c>
      <c r="AG1515" s="53">
        <v>80.862307692307709</v>
      </c>
      <c r="AH1515" s="53">
        <v>90.837692307692308</v>
      </c>
      <c r="AI1515" s="53">
        <v>89.307692307692307</v>
      </c>
      <c r="AJ1515" s="53">
        <v>104.60538461538464</v>
      </c>
      <c r="AK1515" s="53" t="str">
        <f>_xlfn.XLOOKUP(Master[[#This Row],[cu_id]],'[1]Customer Revenue'!$Q:$Q,'[1]Customer Revenue'!$I:$I, "None")</f>
        <v>None</v>
      </c>
      <c r="AL1515" s="53">
        <v>85.850000000000009</v>
      </c>
      <c r="AM1515" s="61">
        <v>0.33333333333333331</v>
      </c>
      <c r="AN1515" s="60">
        <v>0.70833333333333337</v>
      </c>
      <c r="AO1515" s="60" t="s">
        <v>36</v>
      </c>
      <c r="AP1515" s="60" t="s">
        <v>36</v>
      </c>
      <c r="AQ1515" s="58" t="s">
        <v>0</v>
      </c>
      <c r="AR1515" s="58"/>
      <c r="AS1515" s="58"/>
      <c r="AT1515" s="52">
        <v>0</v>
      </c>
      <c r="AU1515" s="52">
        <f>IF(Master[[#This Row],[RSP StopTime override]] &lt;&gt; "",Master[[#This Row],[RSP StopTime override]],IF(Master[[#This Row],[Avg stop time helper]] &lt;&gt; 0, Master[[#This Row],[Avg stop time helper]],Average_Stop_Time))</f>
        <v>25</v>
      </c>
      <c r="AV1515" s="21">
        <v>25</v>
      </c>
      <c r="AW1515" s="20">
        <f>Master[[#This Row],[RSP StopTime override]]-Master[[#This Row],[Avg stop time helper]]</f>
        <v>25</v>
      </c>
    </row>
    <row r="1516" spans="1:49" x14ac:dyDescent="0.3">
      <c r="A1516" s="66" t="s">
        <v>5514</v>
      </c>
      <c r="B1516" s="58">
        <v>8040</v>
      </c>
      <c r="C1516" s="58" t="s">
        <v>24</v>
      </c>
      <c r="D1516" s="65">
        <v>884654</v>
      </c>
      <c r="E1516" s="65" t="s">
        <v>353</v>
      </c>
      <c r="F1516" s="65" t="s">
        <v>237</v>
      </c>
      <c r="G1516" s="65" t="s">
        <v>352</v>
      </c>
      <c r="H1516" s="65" t="s">
        <v>7</v>
      </c>
      <c r="I1516" s="65" t="s">
        <v>6</v>
      </c>
      <c r="J1516" s="65" t="s">
        <v>5</v>
      </c>
      <c r="K1516" s="65" t="s">
        <v>68</v>
      </c>
      <c r="L1516" s="64" t="s">
        <v>67</v>
      </c>
      <c r="M1516" s="58" t="s">
        <v>3</v>
      </c>
      <c r="N1516" s="58" t="s">
        <v>2</v>
      </c>
      <c r="O1516" s="58">
        <v>87</v>
      </c>
      <c r="P1516" s="58">
        <v>87</v>
      </c>
      <c r="Q1516" s="58">
        <v>0</v>
      </c>
      <c r="R1516" s="58">
        <v>0</v>
      </c>
      <c r="S1516" s="58">
        <v>0</v>
      </c>
      <c r="T1516" s="58">
        <v>0</v>
      </c>
      <c r="U1516" s="58">
        <v>41</v>
      </c>
      <c r="V1516" s="62">
        <v>6</v>
      </c>
      <c r="W1516" s="62">
        <v>0</v>
      </c>
      <c r="X1516" s="63">
        <f>IFERROR(1 -(Master[[#This Row],[Avg Garment Scans per Delivery]]/Master[[#This Row],[Garment Inventory]]), 0)</f>
        <v>1</v>
      </c>
      <c r="Y1516" s="62">
        <v>3</v>
      </c>
      <c r="Z1516" s="62">
        <v>7</v>
      </c>
      <c r="AA1516" s="53">
        <v>34.613689167974876</v>
      </c>
      <c r="AB1516" s="53">
        <v>68.59246467817897</v>
      </c>
      <c r="AC1516" s="53">
        <v>37.208224852070998</v>
      </c>
      <c r="AD1516" s="53">
        <v>60.80869822485208</v>
      </c>
      <c r="AE1516" s="53" t="str">
        <f>_xlfn.XLOOKUP(Master[[#This Row],[cu_id]],'[1]Customer Revenue'!$Q:$Q,'[1]Customer Revenue'!$K:$K, "None")</f>
        <v>None</v>
      </c>
      <c r="AF1516" s="53" t="str">
        <f>_xlfn.XLOOKUP(Master[[#This Row],[cu_id]],'[1]Customer Revenue'!$Q:$Q,'[1]Customer Revenue'!$L:$L, "None")</f>
        <v>None</v>
      </c>
      <c r="AG1516" s="53">
        <v>33.251171256726813</v>
      </c>
      <c r="AH1516" s="53">
        <v>53.316521050965498</v>
      </c>
      <c r="AI1516" s="53">
        <v>51.603076923076927</v>
      </c>
      <c r="AJ1516" s="53">
        <v>49.008461538461539</v>
      </c>
      <c r="AK1516" s="53" t="str">
        <f>_xlfn.XLOOKUP(Master[[#This Row],[cu_id]],'[1]Customer Revenue'!$Q:$Q,'[1]Customer Revenue'!$I:$I, "None")</f>
        <v>None</v>
      </c>
      <c r="AL1516" s="53">
        <v>43.283846153846156</v>
      </c>
      <c r="AM1516" s="61">
        <v>0.33333333333333331</v>
      </c>
      <c r="AN1516" s="60">
        <v>0.70833333333333337</v>
      </c>
      <c r="AO1516" s="60" t="s">
        <v>36</v>
      </c>
      <c r="AP1516" s="60" t="s">
        <v>36</v>
      </c>
      <c r="AQ1516" s="58" t="s">
        <v>0</v>
      </c>
      <c r="AR1516" s="58"/>
      <c r="AS1516" s="58"/>
      <c r="AT1516" s="52">
        <v>0</v>
      </c>
      <c r="AU1516" s="52">
        <f>IF(Master[[#This Row],[RSP StopTime override]] &lt;&gt; "",Master[[#This Row],[RSP StopTime override]],IF(Master[[#This Row],[Avg stop time helper]] &lt;&gt; 0, Master[[#This Row],[Avg stop time helper]],Average_Stop_Time))</f>
        <v>10</v>
      </c>
      <c r="AV1516" s="21">
        <v>10</v>
      </c>
      <c r="AW1516" s="20">
        <f>Master[[#This Row],[RSP StopTime override]]-Master[[#This Row],[Avg stop time helper]]</f>
        <v>10</v>
      </c>
    </row>
    <row r="1517" spans="1:49" x14ac:dyDescent="0.3">
      <c r="A1517" s="66" t="s">
        <v>5515</v>
      </c>
      <c r="B1517" s="58">
        <v>8040</v>
      </c>
      <c r="C1517" s="58" t="s">
        <v>35</v>
      </c>
      <c r="D1517" s="65">
        <v>803985</v>
      </c>
      <c r="E1517" s="65" t="s">
        <v>42</v>
      </c>
      <c r="F1517" s="65" t="s">
        <v>351</v>
      </c>
      <c r="G1517" s="65" t="s">
        <v>350</v>
      </c>
      <c r="H1517" s="65" t="s">
        <v>7</v>
      </c>
      <c r="I1517" s="65" t="s">
        <v>6</v>
      </c>
      <c r="J1517" s="65" t="s">
        <v>5</v>
      </c>
      <c r="K1517" s="65" t="s">
        <v>68</v>
      </c>
      <c r="L1517" s="64" t="s">
        <v>67</v>
      </c>
      <c r="M1517" s="58" t="s">
        <v>3</v>
      </c>
      <c r="N1517" s="58" t="s">
        <v>2</v>
      </c>
      <c r="O1517" s="58">
        <v>165</v>
      </c>
      <c r="P1517" s="58">
        <v>0</v>
      </c>
      <c r="Q1517" s="58">
        <v>165</v>
      </c>
      <c r="R1517" s="58">
        <v>0</v>
      </c>
      <c r="S1517" s="58">
        <v>0</v>
      </c>
      <c r="T1517" s="58">
        <v>0</v>
      </c>
      <c r="U1517" s="58">
        <v>40</v>
      </c>
      <c r="V1517" s="62">
        <v>33</v>
      </c>
      <c r="W1517" s="62">
        <v>1</v>
      </c>
      <c r="X1517" s="63">
        <f>IFERROR(1 -(Master[[#This Row],[Avg Garment Scans per Delivery]]/Master[[#This Row],[Garment Inventory]]), 0)</f>
        <v>0.96969696969696972</v>
      </c>
      <c r="Y1517" s="62">
        <v>7</v>
      </c>
      <c r="Z1517" s="62">
        <v>47</v>
      </c>
      <c r="AA1517" s="53">
        <v>31.414693877551024</v>
      </c>
      <c r="AB1517" s="53">
        <v>53.828163265306124</v>
      </c>
      <c r="AC1517" s="53">
        <v>34.078284023668637</v>
      </c>
      <c r="AD1517" s="53">
        <v>35.883254437869816</v>
      </c>
      <c r="AE1517" s="53" t="str">
        <f>_xlfn.XLOOKUP(Master[[#This Row],[cu_id]],'[1]Customer Revenue'!$Q:$Q,'[1]Customer Revenue'!$K:$K, "None")</f>
        <v>None</v>
      </c>
      <c r="AF1517" s="53" t="str">
        <f>_xlfn.XLOOKUP(Master[[#This Row],[cu_id]],'[1]Customer Revenue'!$Q:$Q,'[1]Customer Revenue'!$L:$L, "None")</f>
        <v>None</v>
      </c>
      <c r="AG1517" s="53">
        <v>33.273786008230452</v>
      </c>
      <c r="AH1517" s="53">
        <v>46.941769547325087</v>
      </c>
      <c r="AI1517" s="53">
        <v>42.621428571428574</v>
      </c>
      <c r="AJ1517" s="53">
        <v>34.980769230769226</v>
      </c>
      <c r="AK1517" s="53" t="str">
        <f>_xlfn.XLOOKUP(Master[[#This Row],[cu_id]],'[1]Customer Revenue'!$Q:$Q,'[1]Customer Revenue'!$I:$I, "None")</f>
        <v>None</v>
      </c>
      <c r="AL1517" s="53">
        <v>40.10777777777777</v>
      </c>
      <c r="AM1517" s="61">
        <v>0.33333333333333331</v>
      </c>
      <c r="AN1517" s="60">
        <v>0.70833333333333337</v>
      </c>
      <c r="AO1517" s="60" t="s">
        <v>36</v>
      </c>
      <c r="AP1517" s="60" t="s">
        <v>36</v>
      </c>
      <c r="AQ1517" s="58" t="s">
        <v>0</v>
      </c>
      <c r="AR1517" s="58"/>
      <c r="AS1517" s="58"/>
      <c r="AT1517" s="52">
        <v>0</v>
      </c>
      <c r="AU1517" s="52">
        <f>IF(Master[[#This Row],[RSP StopTime override]] &lt;&gt; "",Master[[#This Row],[RSP StopTime override]],IF(Master[[#This Row],[Avg stop time helper]] &lt;&gt; 0, Master[[#This Row],[Avg stop time helper]],Average_Stop_Time))</f>
        <v>16</v>
      </c>
      <c r="AV1517" s="21">
        <v>16</v>
      </c>
      <c r="AW1517" s="20">
        <f>Master[[#This Row],[RSP StopTime override]]-Master[[#This Row],[Avg stop time helper]]</f>
        <v>16</v>
      </c>
    </row>
    <row r="1518" spans="1:49" x14ac:dyDescent="0.3">
      <c r="A1518" s="66" t="s">
        <v>5516</v>
      </c>
      <c r="B1518" s="58">
        <v>8040</v>
      </c>
      <c r="C1518" s="58" t="s">
        <v>24</v>
      </c>
      <c r="D1518" s="65">
        <v>804666</v>
      </c>
      <c r="E1518" s="65" t="s">
        <v>42</v>
      </c>
      <c r="F1518" s="65" t="s">
        <v>349</v>
      </c>
      <c r="G1518" s="65" t="s">
        <v>348</v>
      </c>
      <c r="H1518" s="65" t="s">
        <v>347</v>
      </c>
      <c r="I1518" s="65" t="s">
        <v>6</v>
      </c>
      <c r="J1518" s="65" t="s">
        <v>5</v>
      </c>
      <c r="K1518" s="65" t="s">
        <v>151</v>
      </c>
      <c r="L1518" s="64" t="s">
        <v>67</v>
      </c>
      <c r="M1518" s="58" t="s">
        <v>3</v>
      </c>
      <c r="N1518" s="58" t="s">
        <v>2</v>
      </c>
      <c r="O1518" s="58">
        <v>50</v>
      </c>
      <c r="P1518" s="58">
        <v>50</v>
      </c>
      <c r="Q1518" s="58">
        <v>0</v>
      </c>
      <c r="R1518" s="58">
        <v>0</v>
      </c>
      <c r="S1518" s="58">
        <v>0</v>
      </c>
      <c r="T1518" s="58">
        <v>0</v>
      </c>
      <c r="U1518" s="58">
        <v>38</v>
      </c>
      <c r="V1518" s="62"/>
      <c r="W1518" s="62"/>
      <c r="X1518" s="63">
        <f>IFERROR(1 -(Master[[#This Row],[Avg Garment Scans per Delivery]]/Master[[#This Row],[Garment Inventory]]), 0)</f>
        <v>0</v>
      </c>
      <c r="Y1518" s="62"/>
      <c r="Z1518" s="62"/>
      <c r="AA1518" s="53">
        <v>15.915680473372788</v>
      </c>
      <c r="AB1518" s="53">
        <v>21.18431952662722</v>
      </c>
      <c r="AC1518" s="53">
        <v>13.835443786982252</v>
      </c>
      <c r="AD1518" s="53">
        <v>15.590710059171601</v>
      </c>
      <c r="AE1518" s="53" t="str">
        <f>_xlfn.XLOOKUP(Master[[#This Row],[cu_id]],'[1]Customer Revenue'!$Q:$Q,'[1]Customer Revenue'!$K:$K, "None")</f>
        <v>None</v>
      </c>
      <c r="AF1518" s="53" t="str">
        <f>_xlfn.XLOOKUP(Master[[#This Row],[cu_id]],'[1]Customer Revenue'!$Q:$Q,'[1]Customer Revenue'!$L:$L, "None")</f>
        <v>None</v>
      </c>
      <c r="AG1518" s="53">
        <v>14.098925443786989</v>
      </c>
      <c r="AH1518" s="53">
        <v>19.728274556213023</v>
      </c>
      <c r="AI1518" s="53">
        <v>18.550000000000004</v>
      </c>
      <c r="AJ1518" s="53">
        <v>14.713076923076926</v>
      </c>
      <c r="AK1518" s="53" t="str">
        <f>_xlfn.XLOOKUP(Master[[#This Row],[cu_id]],'[1]Customer Revenue'!$Q:$Q,'[1]Customer Revenue'!$I:$I, "None")</f>
        <v>None</v>
      </c>
      <c r="AL1518" s="53">
        <v>16.913600000000006</v>
      </c>
      <c r="AM1518" s="61">
        <v>0.29166666666666669</v>
      </c>
      <c r="AN1518" s="60">
        <v>0.79166666666666663</v>
      </c>
      <c r="AO1518" s="60" t="s">
        <v>36</v>
      </c>
      <c r="AP1518" s="60" t="s">
        <v>36</v>
      </c>
      <c r="AQ1518" s="58" t="s">
        <v>0</v>
      </c>
      <c r="AR1518" s="58"/>
      <c r="AS1518" s="58"/>
      <c r="AT1518" s="52">
        <v>0</v>
      </c>
      <c r="AU1518" s="52">
        <f>IF(Master[[#This Row],[RSP StopTime override]] &lt;&gt; "",Master[[#This Row],[RSP StopTime override]],IF(Master[[#This Row],[Avg stop time helper]] &lt;&gt; 0, Master[[#This Row],[Avg stop time helper]],Average_Stop_Time))</f>
        <v>5</v>
      </c>
      <c r="AV1518" s="21">
        <v>5</v>
      </c>
      <c r="AW1518" s="20">
        <f>Master[[#This Row],[RSP StopTime override]]-Master[[#This Row],[Avg stop time helper]]</f>
        <v>5</v>
      </c>
    </row>
    <row r="1519" spans="1:49" x14ac:dyDescent="0.3">
      <c r="A1519" s="66" t="s">
        <v>5517</v>
      </c>
      <c r="B1519" s="58">
        <v>8040</v>
      </c>
      <c r="C1519" s="58" t="s">
        <v>24</v>
      </c>
      <c r="D1519" s="65">
        <v>803980</v>
      </c>
      <c r="E1519" s="65" t="s">
        <v>42</v>
      </c>
      <c r="F1519" s="65" t="s">
        <v>346</v>
      </c>
      <c r="G1519" s="65" t="s">
        <v>345</v>
      </c>
      <c r="H1519" s="65" t="s">
        <v>7</v>
      </c>
      <c r="I1519" s="65" t="s">
        <v>6</v>
      </c>
      <c r="J1519" s="65" t="s">
        <v>5</v>
      </c>
      <c r="K1519" s="65" t="s">
        <v>68</v>
      </c>
      <c r="L1519" s="64" t="s">
        <v>91</v>
      </c>
      <c r="M1519" s="58" t="s">
        <v>90</v>
      </c>
      <c r="N1519" s="58" t="s">
        <v>2</v>
      </c>
      <c r="O1519" s="58">
        <v>88</v>
      </c>
      <c r="P1519" s="58">
        <v>88</v>
      </c>
      <c r="Q1519" s="58">
        <v>0</v>
      </c>
      <c r="R1519" s="58">
        <v>0</v>
      </c>
      <c r="S1519" s="58">
        <v>0</v>
      </c>
      <c r="T1519" s="58">
        <v>0</v>
      </c>
      <c r="U1519" s="58">
        <v>19</v>
      </c>
      <c r="V1519" s="62"/>
      <c r="W1519" s="62"/>
      <c r="X1519" s="63">
        <f>IFERROR(1 -(Master[[#This Row],[Avg Garment Scans per Delivery]]/Master[[#This Row],[Garment Inventory]]), 0)</f>
        <v>0</v>
      </c>
      <c r="Y1519" s="62"/>
      <c r="Z1519" s="62"/>
      <c r="AA1519" s="53">
        <v>7.8059863945578263</v>
      </c>
      <c r="AB1519" s="53">
        <v>21.340680272108845</v>
      </c>
      <c r="AC1519" s="53">
        <v>8.759999999999998</v>
      </c>
      <c r="AD1519" s="53">
        <v>17.48</v>
      </c>
      <c r="AE1519" s="53" t="str">
        <f>_xlfn.XLOOKUP(Master[[#This Row],[cu_id]],'[1]Customer Revenue'!$Q:$Q,'[1]Customer Revenue'!$K:$K, "None")</f>
        <v>None</v>
      </c>
      <c r="AF1519" s="53" t="str">
        <f>_xlfn.XLOOKUP(Master[[#This Row],[cu_id]],'[1]Customer Revenue'!$Q:$Q,'[1]Customer Revenue'!$L:$L, "None")</f>
        <v>None</v>
      </c>
      <c r="AG1519" s="53">
        <v>8.1680867850098604</v>
      </c>
      <c r="AH1519" s="53">
        <v>19.525246548323473</v>
      </c>
      <c r="AI1519" s="53">
        <v>14.573333333333336</v>
      </c>
      <c r="AJ1519" s="53">
        <v>13.12</v>
      </c>
      <c r="AK1519" s="53" t="str">
        <f>_xlfn.XLOOKUP(Master[[#This Row],[cu_id]],'[1]Customer Revenue'!$Q:$Q,'[1]Customer Revenue'!$I:$I, "None")</f>
        <v>None</v>
      </c>
      <c r="AL1519" s="53">
        <v>13.846666666666666</v>
      </c>
      <c r="AM1519" s="61">
        <v>0.33333333333333331</v>
      </c>
      <c r="AN1519" s="60">
        <v>0.66666666666666663</v>
      </c>
      <c r="AO1519" s="60" t="s">
        <v>36</v>
      </c>
      <c r="AP1519" s="60" t="s">
        <v>36</v>
      </c>
      <c r="AQ1519" s="58" t="s">
        <v>0</v>
      </c>
      <c r="AR1519" s="58"/>
      <c r="AS1519" s="58"/>
      <c r="AT1519" s="52">
        <v>0</v>
      </c>
      <c r="AU1519" s="52">
        <f>IF(Master[[#This Row],[RSP StopTime override]] &lt;&gt; "",Master[[#This Row],[RSP StopTime override]],IF(Master[[#This Row],[Avg stop time helper]] &lt;&gt; 0, Master[[#This Row],[Avg stop time helper]],Average_Stop_Time))</f>
        <v>5</v>
      </c>
      <c r="AV1519" s="21">
        <v>5</v>
      </c>
      <c r="AW1519" s="20">
        <f>Master[[#This Row],[RSP StopTime override]]-Master[[#This Row],[Avg stop time helper]]</f>
        <v>5</v>
      </c>
    </row>
    <row r="1520" spans="1:49" x14ac:dyDescent="0.3">
      <c r="A1520" s="66" t="s">
        <v>5518</v>
      </c>
      <c r="B1520" s="58">
        <v>8040</v>
      </c>
      <c r="C1520" s="58" t="s">
        <v>24</v>
      </c>
      <c r="D1520" s="65">
        <v>802697</v>
      </c>
      <c r="E1520" s="65" t="s">
        <v>42</v>
      </c>
      <c r="F1520" s="65" t="s">
        <v>344</v>
      </c>
      <c r="G1520" s="65" t="s">
        <v>343</v>
      </c>
      <c r="H1520" s="65" t="s">
        <v>7</v>
      </c>
      <c r="I1520" s="65" t="s">
        <v>6</v>
      </c>
      <c r="J1520" s="65" t="s">
        <v>5</v>
      </c>
      <c r="K1520" s="65" t="s">
        <v>342</v>
      </c>
      <c r="L1520" s="64" t="s">
        <v>206</v>
      </c>
      <c r="M1520" s="58" t="s">
        <v>205</v>
      </c>
      <c r="N1520" s="58" t="s">
        <v>2</v>
      </c>
      <c r="O1520" s="58">
        <v>150</v>
      </c>
      <c r="P1520" s="58">
        <v>150</v>
      </c>
      <c r="Q1520" s="58">
        <v>0</v>
      </c>
      <c r="R1520" s="58">
        <v>0</v>
      </c>
      <c r="S1520" s="58">
        <v>0</v>
      </c>
      <c r="T1520" s="58">
        <v>0</v>
      </c>
      <c r="U1520" s="58">
        <v>9</v>
      </c>
      <c r="V1520" s="62"/>
      <c r="W1520" s="62"/>
      <c r="X1520" s="63">
        <f>IFERROR(1 -(Master[[#This Row],[Avg Garment Scans per Delivery]]/Master[[#This Row],[Garment Inventory]]), 0)</f>
        <v>0</v>
      </c>
      <c r="Y1520" s="62"/>
      <c r="Z1520" s="62"/>
      <c r="AA1520" s="53">
        <v>22.11</v>
      </c>
      <c r="AB1520" s="53">
        <v>22.11</v>
      </c>
      <c r="AC1520" s="53">
        <v>22.11</v>
      </c>
      <c r="AD1520" s="53">
        <v>37.700000000000003</v>
      </c>
      <c r="AE1520" s="53" t="str">
        <f>_xlfn.XLOOKUP(Master[[#This Row],[cu_id]],'[1]Customer Revenue'!$Q:$Q,'[1]Customer Revenue'!$K:$K, "None")</f>
        <v>None</v>
      </c>
      <c r="AF1520" s="53" t="str">
        <f>_xlfn.XLOOKUP(Master[[#This Row],[cu_id]],'[1]Customer Revenue'!$Q:$Q,'[1]Customer Revenue'!$L:$L, "None")</f>
        <v>None</v>
      </c>
      <c r="AG1520" s="53">
        <v>22.11</v>
      </c>
      <c r="AH1520" s="53">
        <v>22.11</v>
      </c>
      <c r="AI1520" s="53">
        <v>22.11</v>
      </c>
      <c r="AJ1520" s="53">
        <v>29.905000000000001</v>
      </c>
      <c r="AK1520" s="53" t="str">
        <f>_xlfn.XLOOKUP(Master[[#This Row],[cu_id]],'[1]Customer Revenue'!$Q:$Q,'[1]Customer Revenue'!$I:$I, "None")</f>
        <v>None</v>
      </c>
      <c r="AL1520" s="53">
        <v>22.11</v>
      </c>
      <c r="AM1520" s="61">
        <v>0.375</v>
      </c>
      <c r="AN1520" s="60">
        <v>0.66666666666666663</v>
      </c>
      <c r="AO1520" s="60" t="s">
        <v>36</v>
      </c>
      <c r="AP1520" s="60" t="s">
        <v>36</v>
      </c>
      <c r="AQ1520" s="58" t="s">
        <v>0</v>
      </c>
      <c r="AR1520" s="58"/>
      <c r="AS1520" s="58"/>
      <c r="AT1520" s="52">
        <v>0</v>
      </c>
      <c r="AU1520" s="52">
        <f>IF(Master[[#This Row],[RSP StopTime override]] &lt;&gt; "",Master[[#This Row],[RSP StopTime override]],IF(Master[[#This Row],[Avg stop time helper]] &lt;&gt; 0, Master[[#This Row],[Avg stop time helper]],Average_Stop_Time))</f>
        <v>5</v>
      </c>
      <c r="AV1520" s="21">
        <v>5</v>
      </c>
      <c r="AW1520" s="20">
        <f>Master[[#This Row],[RSP StopTime override]]-Master[[#This Row],[Avg stop time helper]]</f>
        <v>5</v>
      </c>
    </row>
    <row r="1521" spans="1:49" x14ac:dyDescent="0.3">
      <c r="A1521" s="66" t="s">
        <v>5519</v>
      </c>
      <c r="B1521" s="58">
        <v>8040</v>
      </c>
      <c r="C1521" s="58" t="s">
        <v>35</v>
      </c>
      <c r="D1521" s="65">
        <v>886208</v>
      </c>
      <c r="E1521" s="65" t="s">
        <v>341</v>
      </c>
      <c r="F1521" s="65" t="s">
        <v>249</v>
      </c>
      <c r="G1521" s="65" t="s">
        <v>340</v>
      </c>
      <c r="H1521" s="65" t="s">
        <v>7</v>
      </c>
      <c r="I1521" s="65" t="s">
        <v>6</v>
      </c>
      <c r="J1521" s="65" t="s">
        <v>5</v>
      </c>
      <c r="K1521" s="65" t="s">
        <v>68</v>
      </c>
      <c r="L1521" s="64" t="s">
        <v>67</v>
      </c>
      <c r="M1521" s="58" t="s">
        <v>3</v>
      </c>
      <c r="N1521" s="58" t="s">
        <v>2</v>
      </c>
      <c r="O1521" s="58">
        <v>110</v>
      </c>
      <c r="P1521" s="58">
        <v>0</v>
      </c>
      <c r="Q1521" s="58">
        <v>110</v>
      </c>
      <c r="R1521" s="58">
        <v>0</v>
      </c>
      <c r="S1521" s="58">
        <v>0</v>
      </c>
      <c r="T1521" s="58">
        <v>0</v>
      </c>
      <c r="U1521" s="58">
        <v>41</v>
      </c>
      <c r="V1521" s="62"/>
      <c r="W1521" s="62"/>
      <c r="X1521" s="63">
        <f>IFERROR(1 -(Master[[#This Row],[Avg Garment Scans per Delivery]]/Master[[#This Row],[Garment Inventory]]), 0)</f>
        <v>0</v>
      </c>
      <c r="Y1521" s="62"/>
      <c r="Z1521" s="62"/>
      <c r="AA1521" s="53">
        <v>59.892426035502957</v>
      </c>
      <c r="AB1521" s="53">
        <v>76.990650887573963</v>
      </c>
      <c r="AC1521" s="53">
        <v>60.934082840236698</v>
      </c>
      <c r="AD1521" s="53">
        <v>77.259763313609483</v>
      </c>
      <c r="AE1521" s="53" t="str">
        <f>_xlfn.XLOOKUP(Master[[#This Row],[cu_id]],'[1]Customer Revenue'!$Q:$Q,'[1]Customer Revenue'!$K:$K, "None")</f>
        <v>None</v>
      </c>
      <c r="AF1521" s="53" t="str">
        <f>_xlfn.XLOOKUP(Master[[#This Row],[cu_id]],'[1]Customer Revenue'!$Q:$Q,'[1]Customer Revenue'!$L:$L, "None")</f>
        <v>None</v>
      </c>
      <c r="AG1521" s="53">
        <v>59.179999999999993</v>
      </c>
      <c r="AH1521" s="53">
        <v>76.379999999999981</v>
      </c>
      <c r="AI1521" s="53">
        <v>68.441538461538457</v>
      </c>
      <c r="AJ1521" s="53">
        <v>69.09692307692309</v>
      </c>
      <c r="AK1521" s="53" t="str">
        <f>_xlfn.XLOOKUP(Master[[#This Row],[cu_id]],'[1]Customer Revenue'!$Q:$Q,'[1]Customer Revenue'!$I:$I, "None")</f>
        <v>None</v>
      </c>
      <c r="AL1521" s="53">
        <v>67.779999999999987</v>
      </c>
      <c r="AM1521" s="61">
        <v>0.41666666666666669</v>
      </c>
      <c r="AN1521" s="60">
        <v>0.83333333333333337</v>
      </c>
      <c r="AO1521" s="60" t="s">
        <v>36</v>
      </c>
      <c r="AP1521" s="60" t="s">
        <v>36</v>
      </c>
      <c r="AQ1521" s="58" t="s">
        <v>0</v>
      </c>
      <c r="AR1521" s="58"/>
      <c r="AS1521" s="58"/>
      <c r="AT1521" s="52">
        <v>0</v>
      </c>
      <c r="AU1521" s="52">
        <f>IF(Master[[#This Row],[RSP StopTime override]] &lt;&gt; "",Master[[#This Row],[RSP StopTime override]],IF(Master[[#This Row],[Avg stop time helper]] &lt;&gt; 0, Master[[#This Row],[Avg stop time helper]],Average_Stop_Time))</f>
        <v>15</v>
      </c>
      <c r="AV1521" s="21">
        <v>15</v>
      </c>
      <c r="AW1521" s="20">
        <f>Master[[#This Row],[RSP StopTime override]]-Master[[#This Row],[Avg stop time helper]]</f>
        <v>15</v>
      </c>
    </row>
    <row r="1522" spans="1:49" x14ac:dyDescent="0.3">
      <c r="A1522" s="66" t="s">
        <v>5520</v>
      </c>
      <c r="B1522" s="67">
        <v>8040</v>
      </c>
      <c r="C1522" s="67" t="s">
        <v>35</v>
      </c>
      <c r="D1522" s="70">
        <v>804569</v>
      </c>
      <c r="E1522" s="70" t="s">
        <v>42</v>
      </c>
      <c r="F1522" s="70" t="s">
        <v>339</v>
      </c>
      <c r="G1522" s="65" t="s">
        <v>338</v>
      </c>
      <c r="H1522" s="65" t="s">
        <v>7</v>
      </c>
      <c r="I1522" s="65" t="s">
        <v>6</v>
      </c>
      <c r="J1522" s="65" t="s">
        <v>5</v>
      </c>
      <c r="K1522" s="65" t="s">
        <v>68</v>
      </c>
      <c r="L1522" s="64" t="s">
        <v>77</v>
      </c>
      <c r="M1522" s="58" t="s">
        <v>29</v>
      </c>
      <c r="N1522" s="58" t="s">
        <v>2</v>
      </c>
      <c r="O1522" s="58">
        <v>141</v>
      </c>
      <c r="P1522" s="58">
        <v>0</v>
      </c>
      <c r="Q1522" s="58">
        <v>141</v>
      </c>
      <c r="R1522" s="58">
        <v>0</v>
      </c>
      <c r="S1522" s="58">
        <v>0</v>
      </c>
      <c r="T1522" s="58">
        <v>0</v>
      </c>
      <c r="U1522" s="58">
        <v>27</v>
      </c>
      <c r="V1522" s="62"/>
      <c r="W1522" s="62"/>
      <c r="X1522" s="63">
        <f>IFERROR(1 -(Master[[#This Row],[Avg Garment Scans per Delivery]]/Master[[#This Row],[Garment Inventory]]), 0)</f>
        <v>0</v>
      </c>
      <c r="Y1522" s="62"/>
      <c r="Z1522" s="62"/>
      <c r="AA1522" s="53">
        <v>23.81</v>
      </c>
      <c r="AB1522" s="53">
        <v>23.81</v>
      </c>
      <c r="AC1522" s="53">
        <v>19.968163265306121</v>
      </c>
      <c r="AD1522" s="53">
        <v>20.180408163265309</v>
      </c>
      <c r="AE1522" s="53" t="str">
        <f>_xlfn.XLOOKUP(Master[[#This Row],[cu_id]],'[1]Customer Revenue'!$Q:$Q,'[1]Customer Revenue'!$K:$K, "None")</f>
        <v>None</v>
      </c>
      <c r="AF1522" s="53" t="str">
        <f>_xlfn.XLOOKUP(Master[[#This Row],[cu_id]],'[1]Customer Revenue'!$Q:$Q,'[1]Customer Revenue'!$L:$L, "None")</f>
        <v>None</v>
      </c>
      <c r="AG1522" s="53">
        <v>21.710612244897966</v>
      </c>
      <c r="AH1522" s="53">
        <v>24.276530612244898</v>
      </c>
      <c r="AI1522" s="53">
        <v>23.81</v>
      </c>
      <c r="AJ1522" s="53">
        <v>20.074285714285715</v>
      </c>
      <c r="AK1522" s="53" t="str">
        <f>_xlfn.XLOOKUP(Master[[#This Row],[cu_id]],'[1]Customer Revenue'!$Q:$Q,'[1]Customer Revenue'!$I:$I, "None")</f>
        <v>None</v>
      </c>
      <c r="AL1522" s="53">
        <v>22.993571428571432</v>
      </c>
      <c r="AM1522" s="69">
        <v>0.41666666666666669</v>
      </c>
      <c r="AN1522" s="68">
        <v>0.70833333333333337</v>
      </c>
      <c r="AO1522" s="68" t="s">
        <v>36</v>
      </c>
      <c r="AP1522" s="68" t="s">
        <v>36</v>
      </c>
      <c r="AQ1522" s="67" t="s">
        <v>0</v>
      </c>
      <c r="AR1522" s="67"/>
      <c r="AS1522" s="67"/>
      <c r="AT1522" s="52">
        <v>0</v>
      </c>
      <c r="AU1522" s="52">
        <f>IF(Master[[#This Row],[RSP StopTime override]] &lt;&gt; "",Master[[#This Row],[RSP StopTime override]],IF(Master[[#This Row],[Avg stop time helper]] &lt;&gt; 0, Master[[#This Row],[Avg stop time helper]],Average_Stop_Time))</f>
        <v>5</v>
      </c>
      <c r="AV1522" s="21">
        <v>5</v>
      </c>
      <c r="AW1522" s="20">
        <f>Master[[#This Row],[RSP StopTime override]]-Master[[#This Row],[Avg stop time helper]]</f>
        <v>5</v>
      </c>
    </row>
    <row r="1523" spans="1:49" x14ac:dyDescent="0.3">
      <c r="A1523" s="66" t="s">
        <v>5521</v>
      </c>
      <c r="B1523" s="58">
        <v>8040</v>
      </c>
      <c r="C1523" s="58" t="s">
        <v>35</v>
      </c>
      <c r="D1523" s="65">
        <v>804510</v>
      </c>
      <c r="E1523" s="65" t="s">
        <v>42</v>
      </c>
      <c r="F1523" s="65" t="s">
        <v>337</v>
      </c>
      <c r="G1523" s="65" t="s">
        <v>336</v>
      </c>
      <c r="H1523" s="65" t="s">
        <v>7</v>
      </c>
      <c r="I1523" s="65" t="s">
        <v>6</v>
      </c>
      <c r="J1523" s="65" t="s">
        <v>5</v>
      </c>
      <c r="K1523" s="65" t="s">
        <v>68</v>
      </c>
      <c r="L1523" s="64" t="s">
        <v>67</v>
      </c>
      <c r="M1523" s="58" t="s">
        <v>3</v>
      </c>
      <c r="N1523" s="58" t="s">
        <v>2</v>
      </c>
      <c r="O1523" s="58">
        <v>70</v>
      </c>
      <c r="P1523" s="58">
        <v>0</v>
      </c>
      <c r="Q1523" s="58">
        <v>70</v>
      </c>
      <c r="R1523" s="58">
        <v>0</v>
      </c>
      <c r="S1523" s="58">
        <v>0</v>
      </c>
      <c r="T1523" s="58">
        <v>0</v>
      </c>
      <c r="U1523" s="58">
        <v>39</v>
      </c>
      <c r="V1523" s="62"/>
      <c r="W1523" s="62"/>
      <c r="X1523" s="63">
        <f>IFERROR(1 -(Master[[#This Row],[Avg Garment Scans per Delivery]]/Master[[#This Row],[Garment Inventory]]), 0)</f>
        <v>0</v>
      </c>
      <c r="Y1523" s="62"/>
      <c r="Z1523" s="62"/>
      <c r="AA1523" s="53">
        <v>47.148934911242598</v>
      </c>
      <c r="AB1523" s="53">
        <v>49.264911242603553</v>
      </c>
      <c r="AC1523" s="53">
        <v>48.67230769230769</v>
      </c>
      <c r="AD1523" s="53">
        <v>49.4476923076923</v>
      </c>
      <c r="AE1523" s="53" t="str">
        <f>_xlfn.XLOOKUP(Master[[#This Row],[cu_id]],'[1]Customer Revenue'!$Q:$Q,'[1]Customer Revenue'!$K:$K, "None")</f>
        <v>None</v>
      </c>
      <c r="AF1523" s="53" t="str">
        <f>_xlfn.XLOOKUP(Master[[#This Row],[cu_id]],'[1]Customer Revenue'!$Q:$Q,'[1]Customer Revenue'!$L:$L, "None")</f>
        <v>None</v>
      </c>
      <c r="AG1523" s="53">
        <v>47.537573964497007</v>
      </c>
      <c r="AH1523" s="53">
        <v>49.110118343195261</v>
      </c>
      <c r="AI1523" s="53">
        <v>48.206923076923076</v>
      </c>
      <c r="AJ1523" s="53">
        <v>49.059999999999995</v>
      </c>
      <c r="AK1523" s="53" t="str">
        <f>_xlfn.XLOOKUP(Master[[#This Row],[cu_id]],'[1]Customer Revenue'!$Q:$Q,'[1]Customer Revenue'!$I:$I, "None")</f>
        <v>None</v>
      </c>
      <c r="AL1523" s="53">
        <v>48.323846153846134</v>
      </c>
      <c r="AM1523" s="61">
        <v>0.33333333333333331</v>
      </c>
      <c r="AN1523" s="60">
        <v>0</v>
      </c>
      <c r="AO1523" s="60" t="s">
        <v>36</v>
      </c>
      <c r="AP1523" s="60" t="s">
        <v>36</v>
      </c>
      <c r="AQ1523" s="58" t="s">
        <v>308</v>
      </c>
      <c r="AR1523" s="58"/>
      <c r="AS1523" s="58"/>
      <c r="AT1523" s="52">
        <v>0</v>
      </c>
      <c r="AU1523" s="52">
        <f>IF(Master[[#This Row],[RSP StopTime override]] &lt;&gt; "",Master[[#This Row],[RSP StopTime override]],IF(Master[[#This Row],[Avg stop time helper]] &lt;&gt; 0, Master[[#This Row],[Avg stop time helper]],Average_Stop_Time))</f>
        <v>10</v>
      </c>
      <c r="AV1523" s="21">
        <v>10</v>
      </c>
      <c r="AW1523" s="20">
        <f>Master[[#This Row],[RSP StopTime override]]-Master[[#This Row],[Avg stop time helper]]</f>
        <v>10</v>
      </c>
    </row>
    <row r="1524" spans="1:49" x14ac:dyDescent="0.3">
      <c r="A1524" s="73" t="s">
        <v>4056</v>
      </c>
      <c r="B1524" s="64">
        <v>12</v>
      </c>
      <c r="C1524" s="64" t="s">
        <v>43</v>
      </c>
      <c r="D1524" s="65">
        <v>99161</v>
      </c>
      <c r="E1524" s="65" t="s">
        <v>3030</v>
      </c>
      <c r="F1524" s="65" t="s">
        <v>3767</v>
      </c>
      <c r="G1524" s="65" t="s">
        <v>3029</v>
      </c>
      <c r="H1524" s="65" t="s">
        <v>7</v>
      </c>
      <c r="I1524" s="65" t="s">
        <v>1600</v>
      </c>
      <c r="J1524" s="65" t="s">
        <v>5</v>
      </c>
      <c r="K1524" s="65" t="s">
        <v>1599</v>
      </c>
      <c r="L1524" s="64" t="s">
        <v>67</v>
      </c>
      <c r="M1524" s="65" t="s">
        <v>3</v>
      </c>
      <c r="N1524" s="65" t="s">
        <v>2</v>
      </c>
      <c r="O1524" s="65">
        <v>1</v>
      </c>
      <c r="P1524" s="65">
        <v>0</v>
      </c>
      <c r="Q1524" s="65">
        <v>0</v>
      </c>
      <c r="R1524" s="65">
        <v>0</v>
      </c>
      <c r="S1524" s="65">
        <v>1</v>
      </c>
      <c r="T1524" s="65">
        <v>0</v>
      </c>
      <c r="U1524" s="65"/>
      <c r="V1524" s="65"/>
      <c r="W1524" s="65"/>
      <c r="X1524" s="72">
        <f>IFERROR(1 -(Master[[#This Row],[Avg Garment Scans per Delivery]]/Master[[#This Row],[Garment Inventory]]), 0)</f>
        <v>0</v>
      </c>
      <c r="Y1524" s="65"/>
      <c r="Z1524" s="65"/>
      <c r="AA1524" s="53"/>
      <c r="AB1524" s="53"/>
      <c r="AC1524" s="53"/>
      <c r="AD1524" s="53"/>
      <c r="AE1524" s="53" t="str">
        <f>_xlfn.XLOOKUP(Master[[#This Row],[cu_id]],'[1]Customer Revenue'!$Q:$Q,'[1]Customer Revenue'!$K:$K, "0")</f>
        <v>0</v>
      </c>
      <c r="AF1524" s="53" t="str">
        <f>_xlfn.XLOOKUP(Master[[#This Row],[cu_id]],'[1]Customer Revenue'!$Q:$Q,'[1]Customer Revenue'!$L:$L, "0")</f>
        <v>0</v>
      </c>
      <c r="AG1524" s="53"/>
      <c r="AH1524" s="53"/>
      <c r="AI1524" s="53"/>
      <c r="AJ1524" s="53"/>
      <c r="AK1524" s="53" t="str">
        <f>_xlfn.XLOOKUP(Master[[#This Row],[cu_id]],'[1]Customer Revenue'!$Q:$Q,'[1]Customer Revenue'!$I:$I, "0")</f>
        <v>0</v>
      </c>
      <c r="AL1524" s="53"/>
      <c r="AM1524" s="71" t="s">
        <v>1</v>
      </c>
      <c r="AN1524" s="71" t="s">
        <v>1</v>
      </c>
      <c r="AO1524" s="71" t="s">
        <v>36</v>
      </c>
      <c r="AP1524" s="71" t="s">
        <v>36</v>
      </c>
      <c r="AQ1524" s="64" t="s">
        <v>0</v>
      </c>
      <c r="AR1524" s="64"/>
      <c r="AS1524" s="65"/>
      <c r="AT1524" s="52">
        <v>0</v>
      </c>
      <c r="AU1524" s="52" t="e">
        <f>IF(Master[[#This Row],[RSP StopTime override]] &lt;&gt; "",Master[[#This Row],[RSP StopTime override]],IF(Master[[#This Row],[Avg stop time helper]] &lt;&gt; 0, Master[[#This Row],[Avg stop time helper]],Average_Stop_Time))</f>
        <v>#DIV/0!</v>
      </c>
      <c r="AV1524" s="21"/>
      <c r="AW1524" s="20">
        <f>Master[[#This Row],[RSP StopTime override]]-Master[[#This Row],[Avg stop time helper]]</f>
        <v>0</v>
      </c>
    </row>
    <row r="1525" spans="1:49" x14ac:dyDescent="0.3">
      <c r="A1525" s="66" t="s">
        <v>5522</v>
      </c>
      <c r="B1525" s="58">
        <v>8040</v>
      </c>
      <c r="C1525" s="58" t="s">
        <v>10</v>
      </c>
      <c r="D1525" s="65">
        <v>803076</v>
      </c>
      <c r="E1525" s="65" t="s">
        <v>42</v>
      </c>
      <c r="F1525" s="65" t="s">
        <v>335</v>
      </c>
      <c r="G1525" s="65" t="s">
        <v>334</v>
      </c>
      <c r="H1525" s="65" t="s">
        <v>7</v>
      </c>
      <c r="I1525" s="65" t="s">
        <v>6</v>
      </c>
      <c r="J1525" s="65" t="s">
        <v>5</v>
      </c>
      <c r="K1525" s="65" t="s">
        <v>115</v>
      </c>
      <c r="L1525" s="64" t="s">
        <v>124</v>
      </c>
      <c r="M1525" s="58" t="s">
        <v>123</v>
      </c>
      <c r="N1525" s="58" t="s">
        <v>2</v>
      </c>
      <c r="O1525" s="58">
        <v>110</v>
      </c>
      <c r="P1525" s="58">
        <v>0</v>
      </c>
      <c r="Q1525" s="58">
        <v>0</v>
      </c>
      <c r="R1525" s="58">
        <v>185</v>
      </c>
      <c r="S1525" s="58">
        <v>0</v>
      </c>
      <c r="T1525" s="58">
        <v>0</v>
      </c>
      <c r="U1525" s="58">
        <v>9</v>
      </c>
      <c r="V1525" s="62"/>
      <c r="W1525" s="62"/>
      <c r="X1525" s="63">
        <f>IFERROR(1 -(Master[[#This Row],[Avg Garment Scans per Delivery]]/Master[[#This Row],[Garment Inventory]]), 0)</f>
        <v>0</v>
      </c>
      <c r="Y1525" s="62"/>
      <c r="Z1525" s="62"/>
      <c r="AA1525" s="53">
        <v>12.5</v>
      </c>
      <c r="AB1525" s="53">
        <v>32.5</v>
      </c>
      <c r="AC1525" s="53">
        <v>22.36888888888889</v>
      </c>
      <c r="AD1525" s="53">
        <v>23.417777777777779</v>
      </c>
      <c r="AE1525" s="53" t="str">
        <f>_xlfn.XLOOKUP(Master[[#This Row],[cu_id]],'[1]Customer Revenue'!$Q:$Q,'[1]Customer Revenue'!$K:$K, "None")</f>
        <v>None</v>
      </c>
      <c r="AF1525" s="53" t="str">
        <f>_xlfn.XLOOKUP(Master[[#This Row],[cu_id]],'[1]Customer Revenue'!$Q:$Q,'[1]Customer Revenue'!$L:$L, "None")</f>
        <v>None</v>
      </c>
      <c r="AG1525" s="53">
        <v>16.25</v>
      </c>
      <c r="AH1525" s="53">
        <v>28.75</v>
      </c>
      <c r="AI1525" s="53">
        <v>22.5</v>
      </c>
      <c r="AJ1525" s="53">
        <v>22.893333333333334</v>
      </c>
      <c r="AK1525" s="53" t="str">
        <f>_xlfn.XLOOKUP(Master[[#This Row],[cu_id]],'[1]Customer Revenue'!$Q:$Q,'[1]Customer Revenue'!$I:$I, "None")</f>
        <v>None</v>
      </c>
      <c r="AL1525" s="53">
        <v>22.5</v>
      </c>
      <c r="AM1525" s="61">
        <v>0.41666666666666669</v>
      </c>
      <c r="AN1525" s="60">
        <v>0.58333333333333337</v>
      </c>
      <c r="AO1525" s="60" t="s">
        <v>36</v>
      </c>
      <c r="AP1525" s="60" t="s">
        <v>36</v>
      </c>
      <c r="AQ1525" s="58" t="s">
        <v>308</v>
      </c>
      <c r="AR1525" s="58"/>
      <c r="AS1525" s="58"/>
      <c r="AT1525" s="52">
        <v>0</v>
      </c>
      <c r="AU1525" s="52">
        <f>IF(Master[[#This Row],[RSP StopTime override]] &lt;&gt; "",Master[[#This Row],[RSP StopTime override]],IF(Master[[#This Row],[Avg stop time helper]] &lt;&gt; 0, Master[[#This Row],[Avg stop time helper]],Average_Stop_Time))</f>
        <v>5</v>
      </c>
      <c r="AV1525" s="21">
        <v>5</v>
      </c>
      <c r="AW1525" s="20">
        <f>Master[[#This Row],[RSP StopTime override]]-Master[[#This Row],[Avg stop time helper]]</f>
        <v>5</v>
      </c>
    </row>
    <row r="1526" spans="1:49" x14ac:dyDescent="0.3">
      <c r="A1526" s="66" t="s">
        <v>5523</v>
      </c>
      <c r="B1526" s="58">
        <v>8040</v>
      </c>
      <c r="C1526" s="58" t="s">
        <v>24</v>
      </c>
      <c r="D1526" s="65">
        <v>804701</v>
      </c>
      <c r="E1526" s="65" t="s">
        <v>42</v>
      </c>
      <c r="F1526" s="65" t="s">
        <v>333</v>
      </c>
      <c r="G1526" s="65" t="s">
        <v>332</v>
      </c>
      <c r="H1526" s="65" t="s">
        <v>7</v>
      </c>
      <c r="I1526" s="65" t="s">
        <v>6</v>
      </c>
      <c r="J1526" s="65" t="s">
        <v>5</v>
      </c>
      <c r="K1526" s="65" t="s">
        <v>68</v>
      </c>
      <c r="L1526" s="64" t="s">
        <v>67</v>
      </c>
      <c r="M1526" s="58" t="s">
        <v>3</v>
      </c>
      <c r="N1526" s="58" t="s">
        <v>2</v>
      </c>
      <c r="O1526" s="58">
        <v>54</v>
      </c>
      <c r="P1526" s="58">
        <v>54</v>
      </c>
      <c r="Q1526" s="58">
        <v>0</v>
      </c>
      <c r="R1526" s="58">
        <v>0</v>
      </c>
      <c r="S1526" s="58">
        <v>0</v>
      </c>
      <c r="T1526" s="58">
        <v>0</v>
      </c>
      <c r="U1526" s="58">
        <v>38</v>
      </c>
      <c r="V1526" s="62">
        <v>13</v>
      </c>
      <c r="W1526" s="62">
        <v>1</v>
      </c>
      <c r="X1526" s="63">
        <f>IFERROR(1 -(Master[[#This Row],[Avg Garment Scans per Delivery]]/Master[[#This Row],[Garment Inventory]]), 0)</f>
        <v>0.92307692307692313</v>
      </c>
      <c r="Y1526" s="62">
        <v>1</v>
      </c>
      <c r="Z1526" s="62">
        <v>12</v>
      </c>
      <c r="AA1526" s="53">
        <v>19.8</v>
      </c>
      <c r="AB1526" s="53">
        <v>19.800000000000008</v>
      </c>
      <c r="AC1526" s="53">
        <v>19.660355029585798</v>
      </c>
      <c r="AD1526" s="53">
        <v>20.665798816568046</v>
      </c>
      <c r="AE1526" s="53" t="str">
        <f>_xlfn.XLOOKUP(Master[[#This Row],[cu_id]],'[1]Customer Revenue'!$Q:$Q,'[1]Customer Revenue'!$K:$K, "None")</f>
        <v>None</v>
      </c>
      <c r="AF1526" s="53" t="str">
        <f>_xlfn.XLOOKUP(Master[[#This Row],[cu_id]],'[1]Customer Revenue'!$Q:$Q,'[1]Customer Revenue'!$L:$L, "None")</f>
        <v>None</v>
      </c>
      <c r="AG1526" s="53">
        <v>19.8</v>
      </c>
      <c r="AH1526" s="53">
        <v>19.800000000000015</v>
      </c>
      <c r="AI1526" s="53">
        <v>19.800000000000004</v>
      </c>
      <c r="AJ1526" s="53">
        <v>20.163076923076922</v>
      </c>
      <c r="AK1526" s="53" t="str">
        <f>_xlfn.XLOOKUP(Master[[#This Row],[cu_id]],'[1]Customer Revenue'!$Q:$Q,'[1]Customer Revenue'!$I:$I, "None")</f>
        <v>None</v>
      </c>
      <c r="AL1526" s="53">
        <v>19.800000000000008</v>
      </c>
      <c r="AM1526" s="61">
        <v>0.35416666666666669</v>
      </c>
      <c r="AN1526" s="60">
        <v>0.6875</v>
      </c>
      <c r="AO1526" s="60" t="s">
        <v>36</v>
      </c>
      <c r="AP1526" s="60" t="s">
        <v>36</v>
      </c>
      <c r="AQ1526" s="58" t="s">
        <v>0</v>
      </c>
      <c r="AR1526" s="58"/>
      <c r="AS1526" s="58"/>
      <c r="AT1526" s="52">
        <v>0</v>
      </c>
      <c r="AU1526" s="52">
        <f>IF(Master[[#This Row],[RSP StopTime override]] &lt;&gt; "",Master[[#This Row],[RSP StopTime override]],IF(Master[[#This Row],[Avg stop time helper]] &lt;&gt; 0, Master[[#This Row],[Avg stop time helper]],Average_Stop_Time))</f>
        <v>7</v>
      </c>
      <c r="AV1526" s="21">
        <v>7</v>
      </c>
      <c r="AW1526" s="20">
        <f>Master[[#This Row],[RSP StopTime override]]-Master[[#This Row],[Avg stop time helper]]</f>
        <v>7</v>
      </c>
    </row>
    <row r="1527" spans="1:49" x14ac:dyDescent="0.3">
      <c r="A1527" s="66" t="s">
        <v>5524</v>
      </c>
      <c r="B1527" s="58">
        <v>8040</v>
      </c>
      <c r="C1527" s="58" t="s">
        <v>43</v>
      </c>
      <c r="D1527" s="65">
        <v>884654</v>
      </c>
      <c r="E1527" s="65" t="s">
        <v>331</v>
      </c>
      <c r="F1527" s="65" t="s">
        <v>330</v>
      </c>
      <c r="G1527" s="65" t="s">
        <v>329</v>
      </c>
      <c r="H1527" s="65" t="s">
        <v>328</v>
      </c>
      <c r="I1527" s="65" t="s">
        <v>158</v>
      </c>
      <c r="J1527" s="65" t="s">
        <v>5</v>
      </c>
      <c r="K1527" s="65" t="s">
        <v>146</v>
      </c>
      <c r="L1527" s="64" t="s">
        <v>91</v>
      </c>
      <c r="M1527" s="58" t="s">
        <v>90</v>
      </c>
      <c r="N1527" s="58" t="s">
        <v>2</v>
      </c>
      <c r="O1527" s="58">
        <v>19</v>
      </c>
      <c r="P1527" s="58">
        <v>0</v>
      </c>
      <c r="Q1527" s="58">
        <v>0</v>
      </c>
      <c r="R1527" s="58">
        <v>0</v>
      </c>
      <c r="S1527" s="58">
        <v>19</v>
      </c>
      <c r="T1527" s="58">
        <v>0</v>
      </c>
      <c r="U1527" s="58">
        <v>20</v>
      </c>
      <c r="V1527" s="62"/>
      <c r="W1527" s="62"/>
      <c r="X1527" s="63">
        <f>IFERROR(1 -(Master[[#This Row],[Avg Garment Scans per Delivery]]/Master[[#This Row],[Garment Inventory]]), 0)</f>
        <v>0</v>
      </c>
      <c r="Y1527" s="62"/>
      <c r="Z1527" s="62"/>
      <c r="AA1527" s="53">
        <v>34.18</v>
      </c>
      <c r="AB1527" s="53">
        <v>34.18</v>
      </c>
      <c r="AC1527" s="53">
        <v>34.048888888888889</v>
      </c>
      <c r="AD1527" s="53">
        <v>35.097777777777772</v>
      </c>
      <c r="AE1527" s="53" t="str">
        <f>_xlfn.XLOOKUP(Master[[#This Row],[cu_id]],'[1]Customer Revenue'!$Q:$Q,'[1]Customer Revenue'!$K:$K, "None")</f>
        <v>None</v>
      </c>
      <c r="AF1527" s="53" t="str">
        <f>_xlfn.XLOOKUP(Master[[#This Row],[cu_id]],'[1]Customer Revenue'!$Q:$Q,'[1]Customer Revenue'!$L:$L, "None")</f>
        <v>None</v>
      </c>
      <c r="AG1527" s="53">
        <v>34.18</v>
      </c>
      <c r="AH1527" s="53">
        <v>34.18</v>
      </c>
      <c r="AI1527" s="53">
        <v>34.18</v>
      </c>
      <c r="AJ1527" s="53">
        <v>34.573333333333331</v>
      </c>
      <c r="AK1527" s="53" t="str">
        <f>_xlfn.XLOOKUP(Master[[#This Row],[cu_id]],'[1]Customer Revenue'!$Q:$Q,'[1]Customer Revenue'!$I:$I, "None")</f>
        <v>None</v>
      </c>
      <c r="AL1527" s="53">
        <v>34.18</v>
      </c>
      <c r="AM1527" s="61">
        <v>0.29166666666666669</v>
      </c>
      <c r="AN1527" s="60">
        <v>0.70833333333333337</v>
      </c>
      <c r="AO1527" s="60" t="s">
        <v>36</v>
      </c>
      <c r="AP1527" s="60" t="s">
        <v>36</v>
      </c>
      <c r="AQ1527" s="58" t="s">
        <v>0</v>
      </c>
      <c r="AR1527" s="58"/>
      <c r="AS1527" s="58"/>
      <c r="AT1527" s="52">
        <v>0</v>
      </c>
      <c r="AU1527" s="52" t="e">
        <f>IF(Master[[#This Row],[RSP StopTime override]] &lt;&gt; "",Master[[#This Row],[RSP StopTime override]],IF(Master[[#This Row],[Avg stop time helper]] &lt;&gt; 0, Master[[#This Row],[Avg stop time helper]],Average_Stop_Time))</f>
        <v>#DIV/0!</v>
      </c>
      <c r="AV1527" s="21"/>
      <c r="AW1527" s="20">
        <f>Master[[#This Row],[RSP StopTime override]]-Master[[#This Row],[Avg stop time helper]]</f>
        <v>0</v>
      </c>
    </row>
    <row r="1528" spans="1:49" x14ac:dyDescent="0.3">
      <c r="A1528" s="66" t="s">
        <v>5525</v>
      </c>
      <c r="B1528" s="58">
        <v>8040</v>
      </c>
      <c r="C1528" s="58" t="s">
        <v>24</v>
      </c>
      <c r="D1528" s="65">
        <v>99033</v>
      </c>
      <c r="E1528" s="65" t="s">
        <v>327</v>
      </c>
      <c r="F1528" s="65" t="s">
        <v>326</v>
      </c>
      <c r="G1528" s="65" t="s">
        <v>325</v>
      </c>
      <c r="H1528" s="65" t="s">
        <v>7</v>
      </c>
      <c r="I1528" s="65" t="s">
        <v>6</v>
      </c>
      <c r="J1528" s="65" t="s">
        <v>5</v>
      </c>
      <c r="K1528" s="65" t="s">
        <v>115</v>
      </c>
      <c r="L1528" s="64" t="s">
        <v>67</v>
      </c>
      <c r="M1528" s="58" t="s">
        <v>3</v>
      </c>
      <c r="N1528" s="58" t="s">
        <v>2</v>
      </c>
      <c r="O1528" s="58">
        <v>25</v>
      </c>
      <c r="P1528" s="58">
        <v>25</v>
      </c>
      <c r="Q1528" s="58">
        <v>0</v>
      </c>
      <c r="R1528" s="58">
        <v>0</v>
      </c>
      <c r="S1528" s="58">
        <v>0</v>
      </c>
      <c r="T1528" s="58">
        <v>0</v>
      </c>
      <c r="U1528" s="58">
        <v>37</v>
      </c>
      <c r="V1528" s="62"/>
      <c r="W1528" s="62"/>
      <c r="X1528" s="63">
        <f>IFERROR(1 -(Master[[#This Row],[Avg Garment Scans per Delivery]]/Master[[#This Row],[Garment Inventory]]), 0)</f>
        <v>0</v>
      </c>
      <c r="Y1528" s="62"/>
      <c r="Z1528" s="62"/>
      <c r="AA1528" s="53">
        <v>87.944542857142864</v>
      </c>
      <c r="AB1528" s="53">
        <v>137.89974285714285</v>
      </c>
      <c r="AC1528" s="53">
        <v>51.560798816568052</v>
      </c>
      <c r="AD1528" s="53">
        <v>68.62920118343196</v>
      </c>
      <c r="AE1528" s="53" t="str">
        <f>_xlfn.XLOOKUP(Master[[#This Row],[cu_id]],'[1]Customer Revenue'!$Q:$Q,'[1]Customer Revenue'!$K:$K, "None")</f>
        <v>None</v>
      </c>
      <c r="AF1528" s="53" t="str">
        <f>_xlfn.XLOOKUP(Master[[#This Row],[cu_id]],'[1]Customer Revenue'!$Q:$Q,'[1]Customer Revenue'!$L:$L, "None")</f>
        <v>None</v>
      </c>
      <c r="AG1528" s="53">
        <v>81.20713435374148</v>
      </c>
      <c r="AH1528" s="53">
        <v>133.88203231292516</v>
      </c>
      <c r="AI1528" s="53">
        <v>112.92214285714286</v>
      </c>
      <c r="AJ1528" s="53">
        <v>60.095000000000006</v>
      </c>
      <c r="AK1528" s="53" t="str">
        <f>_xlfn.XLOOKUP(Master[[#This Row],[cu_id]],'[1]Customer Revenue'!$Q:$Q,'[1]Customer Revenue'!$I:$I, "None")</f>
        <v>None</v>
      </c>
      <c r="AL1528" s="53">
        <v>107.54458333333332</v>
      </c>
      <c r="AM1528" s="61">
        <v>0.33333333333333331</v>
      </c>
      <c r="AN1528" s="60">
        <v>0.66666666666666663</v>
      </c>
      <c r="AO1528" s="60" t="s">
        <v>36</v>
      </c>
      <c r="AP1528" s="60" t="s">
        <v>36</v>
      </c>
      <c r="AQ1528" s="58" t="s">
        <v>0</v>
      </c>
      <c r="AR1528" s="58"/>
      <c r="AS1528" s="58"/>
      <c r="AT1528" s="52">
        <v>0</v>
      </c>
      <c r="AU1528" s="52">
        <f>IF(Master[[#This Row],[RSP StopTime override]] &lt;&gt; "",Master[[#This Row],[RSP StopTime override]],IF(Master[[#This Row],[Avg stop time helper]] &lt;&gt; 0, Master[[#This Row],[Avg stop time helper]],Average_Stop_Time))</f>
        <v>10</v>
      </c>
      <c r="AV1528" s="21">
        <v>10</v>
      </c>
      <c r="AW1528" s="20">
        <f>Master[[#This Row],[RSP StopTime override]]-Master[[#This Row],[Avg stop time helper]]</f>
        <v>10</v>
      </c>
    </row>
    <row r="1529" spans="1:49" x14ac:dyDescent="0.3">
      <c r="A1529" s="66" t="s">
        <v>5526</v>
      </c>
      <c r="B1529" s="58">
        <v>8040</v>
      </c>
      <c r="C1529" s="58" t="s">
        <v>24</v>
      </c>
      <c r="D1529" s="65">
        <v>885910</v>
      </c>
      <c r="E1529" s="65" t="s">
        <v>324</v>
      </c>
      <c r="F1529" s="65" t="s">
        <v>323</v>
      </c>
      <c r="G1529" s="65" t="s">
        <v>322</v>
      </c>
      <c r="H1529" s="65" t="s">
        <v>7</v>
      </c>
      <c r="I1529" s="65" t="s">
        <v>6</v>
      </c>
      <c r="J1529" s="65" t="s">
        <v>5</v>
      </c>
      <c r="K1529" s="65" t="s">
        <v>68</v>
      </c>
      <c r="L1529" s="64" t="s">
        <v>67</v>
      </c>
      <c r="M1529" s="58" t="s">
        <v>3</v>
      </c>
      <c r="N1529" s="58" t="s">
        <v>2</v>
      </c>
      <c r="O1529" s="58">
        <v>79</v>
      </c>
      <c r="P1529" s="58">
        <v>79</v>
      </c>
      <c r="Q1529" s="58">
        <v>0</v>
      </c>
      <c r="R1529" s="58">
        <v>0</v>
      </c>
      <c r="S1529" s="58">
        <v>0</v>
      </c>
      <c r="T1529" s="58">
        <v>0</v>
      </c>
      <c r="U1529" s="58">
        <v>40</v>
      </c>
      <c r="V1529" s="62">
        <v>88</v>
      </c>
      <c r="W1529" s="62">
        <v>7</v>
      </c>
      <c r="X1529" s="63">
        <f>IFERROR(1 -(Master[[#This Row],[Avg Garment Scans per Delivery]]/Master[[#This Row],[Garment Inventory]]), 0)</f>
        <v>0.92045454545454541</v>
      </c>
      <c r="Y1529" s="62">
        <v>4</v>
      </c>
      <c r="Z1529" s="62">
        <v>87</v>
      </c>
      <c r="AA1529" s="53">
        <v>64.289999999999978</v>
      </c>
      <c r="AB1529" s="53">
        <v>64.290000000000006</v>
      </c>
      <c r="AC1529" s="53">
        <v>57.271656804733738</v>
      </c>
      <c r="AD1529" s="53">
        <v>65.016035502958587</v>
      </c>
      <c r="AE1529" s="53" t="str">
        <f>_xlfn.XLOOKUP(Master[[#This Row],[cu_id]],'[1]Customer Revenue'!$Q:$Q,'[1]Customer Revenue'!$K:$K, "None")</f>
        <v>None</v>
      </c>
      <c r="AF1529" s="53" t="str">
        <f>_xlfn.XLOOKUP(Master[[#This Row],[cu_id]],'[1]Customer Revenue'!$Q:$Q,'[1]Customer Revenue'!$L:$L, "None")</f>
        <v>None</v>
      </c>
      <c r="AG1529" s="53">
        <v>55.250787168935247</v>
      </c>
      <c r="AH1529" s="53">
        <v>84.476905138757004</v>
      </c>
      <c r="AI1529" s="53">
        <v>64.289999999999992</v>
      </c>
      <c r="AJ1529" s="53">
        <v>61.143846153846162</v>
      </c>
      <c r="AK1529" s="53" t="str">
        <f>_xlfn.XLOOKUP(Master[[#This Row],[cu_id]],'[1]Customer Revenue'!$Q:$Q,'[1]Customer Revenue'!$I:$I, "None")</f>
        <v>None</v>
      </c>
      <c r="AL1529" s="53">
        <v>69.863846153846126</v>
      </c>
      <c r="AM1529" s="61" t="s">
        <v>36</v>
      </c>
      <c r="AN1529" s="60" t="s">
        <v>36</v>
      </c>
      <c r="AO1529" s="60" t="s">
        <v>36</v>
      </c>
      <c r="AP1529" s="60" t="s">
        <v>36</v>
      </c>
      <c r="AQ1529" s="58" t="s">
        <v>0</v>
      </c>
      <c r="AR1529" s="58"/>
      <c r="AS1529" s="58"/>
      <c r="AT1529" s="52">
        <v>0</v>
      </c>
      <c r="AU1529" s="52">
        <f>IF(Master[[#This Row],[RSP StopTime override]] &lt;&gt; "",Master[[#This Row],[RSP StopTime override]],IF(Master[[#This Row],[Avg stop time helper]] &lt;&gt; 0, Master[[#This Row],[Avg stop time helper]],Average_Stop_Time))</f>
        <v>15</v>
      </c>
      <c r="AV1529" s="21">
        <v>15</v>
      </c>
      <c r="AW1529" s="20">
        <f>Master[[#This Row],[RSP StopTime override]]-Master[[#This Row],[Avg stop time helper]]</f>
        <v>15</v>
      </c>
    </row>
    <row r="1530" spans="1:49" x14ac:dyDescent="0.3">
      <c r="A1530" s="66" t="s">
        <v>5527</v>
      </c>
      <c r="B1530" s="58">
        <v>8040</v>
      </c>
      <c r="C1530" s="58" t="s">
        <v>35</v>
      </c>
      <c r="D1530" s="65">
        <v>806078</v>
      </c>
      <c r="E1530" s="65" t="s">
        <v>42</v>
      </c>
      <c r="F1530" s="65" t="s">
        <v>321</v>
      </c>
      <c r="G1530" s="65" t="s">
        <v>320</v>
      </c>
      <c r="H1530" s="65" t="s">
        <v>7</v>
      </c>
      <c r="I1530" s="65" t="s">
        <v>6</v>
      </c>
      <c r="J1530" s="65" t="s">
        <v>5</v>
      </c>
      <c r="K1530" s="65" t="s">
        <v>68</v>
      </c>
      <c r="L1530" s="64" t="s">
        <v>141</v>
      </c>
      <c r="M1530" s="58" t="s">
        <v>140</v>
      </c>
      <c r="N1530" s="58" t="s">
        <v>2</v>
      </c>
      <c r="O1530" s="58">
        <v>62</v>
      </c>
      <c r="P1530" s="58">
        <v>0</v>
      </c>
      <c r="Q1530" s="58">
        <v>62</v>
      </c>
      <c r="R1530" s="58">
        <v>0</v>
      </c>
      <c r="S1530" s="58">
        <v>0</v>
      </c>
      <c r="T1530" s="58">
        <v>0</v>
      </c>
      <c r="U1530" s="58">
        <v>18</v>
      </c>
      <c r="V1530" s="62"/>
      <c r="W1530" s="62"/>
      <c r="X1530" s="63">
        <f>IFERROR(1 -(Master[[#This Row],[Avg Garment Scans per Delivery]]/Master[[#This Row],[Garment Inventory]]), 0)</f>
        <v>0</v>
      </c>
      <c r="Y1530" s="62"/>
      <c r="Z1530" s="62"/>
      <c r="AA1530" s="53">
        <v>10.714666666666668</v>
      </c>
      <c r="AB1530" s="53">
        <v>26.961333333333336</v>
      </c>
      <c r="AC1530" s="53">
        <v>14.258888888888889</v>
      </c>
      <c r="AD1530" s="53">
        <v>15.307777777777778</v>
      </c>
      <c r="AE1530" s="53" t="str">
        <f>_xlfn.XLOOKUP(Master[[#This Row],[cu_id]],'[1]Customer Revenue'!$Q:$Q,'[1]Customer Revenue'!$K:$K, "None")</f>
        <v>None</v>
      </c>
      <c r="AF1530" s="53" t="str">
        <f>_xlfn.XLOOKUP(Master[[#This Row],[cu_id]],'[1]Customer Revenue'!$Q:$Q,'[1]Customer Revenue'!$L:$L, "None")</f>
        <v>None</v>
      </c>
      <c r="AG1530" s="53">
        <v>14.336326429980275</v>
      </c>
      <c r="AH1530" s="53">
        <v>29.342006903353059</v>
      </c>
      <c r="AI1530" s="53">
        <v>18.838000000000001</v>
      </c>
      <c r="AJ1530" s="53">
        <v>14.783333333333333</v>
      </c>
      <c r="AK1530" s="53" t="str">
        <f>_xlfn.XLOOKUP(Master[[#This Row],[cu_id]],'[1]Customer Revenue'!$Q:$Q,'[1]Customer Revenue'!$I:$I, "None")</f>
        <v>None</v>
      </c>
      <c r="AL1530" s="53">
        <v>21.839166666666667</v>
      </c>
      <c r="AM1530" s="61">
        <v>0.33333333333333331</v>
      </c>
      <c r="AN1530" s="60">
        <v>0.70833333333333337</v>
      </c>
      <c r="AO1530" s="60" t="s">
        <v>36</v>
      </c>
      <c r="AP1530" s="60" t="s">
        <v>36</v>
      </c>
      <c r="AQ1530" s="58" t="s">
        <v>0</v>
      </c>
      <c r="AR1530" s="58"/>
      <c r="AS1530" s="58"/>
      <c r="AT1530" s="52">
        <v>0</v>
      </c>
      <c r="AU1530" s="52" t="e">
        <f>IF(Master[[#This Row],[RSP StopTime override]] &lt;&gt; "",Master[[#This Row],[RSP StopTime override]],IF(Master[[#This Row],[Avg stop time helper]] &lt;&gt; 0, Master[[#This Row],[Avg stop time helper]],Average_Stop_Time))</f>
        <v>#DIV/0!</v>
      </c>
      <c r="AV1530" s="21"/>
      <c r="AW1530" s="20">
        <f>Master[[#This Row],[RSP StopTime override]]-Master[[#This Row],[Avg stop time helper]]</f>
        <v>0</v>
      </c>
    </row>
    <row r="1531" spans="1:49" x14ac:dyDescent="0.3">
      <c r="A1531" s="66" t="s">
        <v>5528</v>
      </c>
      <c r="B1531" s="58">
        <v>8040</v>
      </c>
      <c r="C1531" s="58" t="s">
        <v>24</v>
      </c>
      <c r="D1531" s="65">
        <v>884502</v>
      </c>
      <c r="E1531" s="65" t="s">
        <v>319</v>
      </c>
      <c r="F1531" s="65" t="s">
        <v>318</v>
      </c>
      <c r="G1531" s="65" t="s">
        <v>317</v>
      </c>
      <c r="H1531" s="65" t="s">
        <v>7</v>
      </c>
      <c r="I1531" s="65" t="s">
        <v>6</v>
      </c>
      <c r="J1531" s="65" t="s">
        <v>5</v>
      </c>
      <c r="K1531" s="65" t="s">
        <v>68</v>
      </c>
      <c r="L1531" s="64" t="s">
        <v>124</v>
      </c>
      <c r="M1531" s="58" t="s">
        <v>123</v>
      </c>
      <c r="N1531" s="58" t="s">
        <v>2</v>
      </c>
      <c r="O1531" s="58">
        <v>165</v>
      </c>
      <c r="P1531" s="58">
        <v>165</v>
      </c>
      <c r="Q1531" s="58">
        <v>0</v>
      </c>
      <c r="R1531" s="58">
        <v>0</v>
      </c>
      <c r="S1531" s="58">
        <v>0</v>
      </c>
      <c r="T1531" s="58">
        <v>0</v>
      </c>
      <c r="U1531" s="58">
        <v>15</v>
      </c>
      <c r="V1531" s="62"/>
      <c r="W1531" s="62"/>
      <c r="X1531" s="63">
        <f>IFERROR(1 -(Master[[#This Row],[Avg Garment Scans per Delivery]]/Master[[#This Row],[Garment Inventory]]), 0)</f>
        <v>0</v>
      </c>
      <c r="Y1531" s="62"/>
      <c r="Z1531" s="62"/>
      <c r="AA1531" s="53">
        <v>38.29</v>
      </c>
      <c r="AB1531" s="53">
        <v>38.29</v>
      </c>
      <c r="AC1531" s="53">
        <v>38.158888888888889</v>
      </c>
      <c r="AD1531" s="53">
        <v>39.207777777777771</v>
      </c>
      <c r="AE1531" s="53" t="str">
        <f>_xlfn.XLOOKUP(Master[[#This Row],[cu_id]],'[1]Customer Revenue'!$Q:$Q,'[1]Customer Revenue'!$K:$K, "None")</f>
        <v>None</v>
      </c>
      <c r="AF1531" s="53" t="str">
        <f>_xlfn.XLOOKUP(Master[[#This Row],[cu_id]],'[1]Customer Revenue'!$Q:$Q,'[1]Customer Revenue'!$L:$L, "None")</f>
        <v>None</v>
      </c>
      <c r="AG1531" s="53">
        <v>28.912857142857142</v>
      </c>
      <c r="AH1531" s="53">
        <v>47.667142857142856</v>
      </c>
      <c r="AI1531" s="53">
        <v>38.29</v>
      </c>
      <c r="AJ1531" s="53">
        <v>38.68333333333333</v>
      </c>
      <c r="AK1531" s="53" t="str">
        <f>_xlfn.XLOOKUP(Master[[#This Row],[cu_id]],'[1]Customer Revenue'!$Q:$Q,'[1]Customer Revenue'!$I:$I, "None")</f>
        <v>None</v>
      </c>
      <c r="AL1531" s="53">
        <v>38.29</v>
      </c>
      <c r="AM1531" s="61">
        <v>0.39583333333333331</v>
      </c>
      <c r="AN1531" s="60">
        <v>0.75</v>
      </c>
      <c r="AO1531" s="60" t="s">
        <v>36</v>
      </c>
      <c r="AP1531" s="60" t="s">
        <v>36</v>
      </c>
      <c r="AQ1531" s="58" t="s">
        <v>0</v>
      </c>
      <c r="AR1531" s="58"/>
      <c r="AS1531" s="58"/>
      <c r="AT1531" s="52">
        <v>0</v>
      </c>
      <c r="AU1531" s="52">
        <f>IF(Master[[#This Row],[RSP StopTime override]] &lt;&gt; "",Master[[#This Row],[RSP StopTime override]],IF(Master[[#This Row],[Avg stop time helper]] &lt;&gt; 0, Master[[#This Row],[Avg stop time helper]],Average_Stop_Time))</f>
        <v>10</v>
      </c>
      <c r="AV1531" s="21">
        <v>10</v>
      </c>
      <c r="AW1531" s="20">
        <f>Master[[#This Row],[RSP StopTime override]]-Master[[#This Row],[Avg stop time helper]]</f>
        <v>10</v>
      </c>
    </row>
    <row r="1532" spans="1:49" x14ac:dyDescent="0.3">
      <c r="A1532" s="66" t="s">
        <v>5529</v>
      </c>
      <c r="B1532" s="58">
        <v>8040</v>
      </c>
      <c r="C1532" s="58" t="s">
        <v>35</v>
      </c>
      <c r="D1532" s="65">
        <v>803780</v>
      </c>
      <c r="E1532" s="65" t="s">
        <v>42</v>
      </c>
      <c r="F1532" s="65" t="s">
        <v>316</v>
      </c>
      <c r="G1532" s="65" t="s">
        <v>315</v>
      </c>
      <c r="H1532" s="65" t="s">
        <v>7</v>
      </c>
      <c r="I1532" s="65" t="s">
        <v>6</v>
      </c>
      <c r="J1532" s="65" t="s">
        <v>5</v>
      </c>
      <c r="K1532" s="65" t="s">
        <v>68</v>
      </c>
      <c r="L1532" s="64" t="s">
        <v>91</v>
      </c>
      <c r="M1532" s="58" t="s">
        <v>90</v>
      </c>
      <c r="N1532" s="58" t="s">
        <v>2</v>
      </c>
      <c r="O1532" s="58">
        <v>115</v>
      </c>
      <c r="P1532" s="58">
        <v>0</v>
      </c>
      <c r="Q1532" s="58">
        <v>115</v>
      </c>
      <c r="R1532" s="58">
        <v>0</v>
      </c>
      <c r="S1532" s="58">
        <v>0</v>
      </c>
      <c r="T1532" s="58">
        <v>0</v>
      </c>
      <c r="U1532" s="58">
        <v>30</v>
      </c>
      <c r="V1532" s="62"/>
      <c r="W1532" s="62"/>
      <c r="X1532" s="63">
        <f>IFERROR(1 -(Master[[#This Row],[Avg Garment Scans per Delivery]]/Master[[#This Row],[Garment Inventory]]), 0)</f>
        <v>0</v>
      </c>
      <c r="Y1532" s="62"/>
      <c r="Z1532" s="62"/>
      <c r="AA1532" s="53">
        <v>24.21</v>
      </c>
      <c r="AB1532" s="53">
        <v>24.21</v>
      </c>
      <c r="AC1532" s="53">
        <v>27.311632653061228</v>
      </c>
      <c r="AD1532" s="53">
        <v>35.582653061224491</v>
      </c>
      <c r="AE1532" s="53" t="str">
        <f>_xlfn.XLOOKUP(Master[[#This Row],[cu_id]],'[1]Customer Revenue'!$Q:$Q,'[1]Customer Revenue'!$K:$K, "None")</f>
        <v>None</v>
      </c>
      <c r="AF1532" s="53" t="str">
        <f>_xlfn.XLOOKUP(Master[[#This Row],[cu_id]],'[1]Customer Revenue'!$Q:$Q,'[1]Customer Revenue'!$L:$L, "None")</f>
        <v>None</v>
      </c>
      <c r="AG1532" s="53">
        <v>24.209999999999994</v>
      </c>
      <c r="AH1532" s="53">
        <v>24.21</v>
      </c>
      <c r="AI1532" s="53">
        <v>24.21</v>
      </c>
      <c r="AJ1532" s="53">
        <v>31.447142857142858</v>
      </c>
      <c r="AK1532" s="53" t="str">
        <f>_xlfn.XLOOKUP(Master[[#This Row],[cu_id]],'[1]Customer Revenue'!$Q:$Q,'[1]Customer Revenue'!$I:$I, "None")</f>
        <v>None</v>
      </c>
      <c r="AL1532" s="53">
        <v>24.209999999999997</v>
      </c>
      <c r="AM1532" s="61">
        <v>0.39583333333333331</v>
      </c>
      <c r="AN1532" s="60">
        <v>0.72916666666666663</v>
      </c>
      <c r="AO1532" s="60" t="s">
        <v>36</v>
      </c>
      <c r="AP1532" s="60" t="s">
        <v>36</v>
      </c>
      <c r="AQ1532" s="58" t="s">
        <v>0</v>
      </c>
      <c r="AR1532" s="58"/>
      <c r="AS1532" s="58"/>
      <c r="AT1532" s="52">
        <v>0</v>
      </c>
      <c r="AU1532" s="52">
        <f>IF(Master[[#This Row],[RSP StopTime override]] &lt;&gt; "",Master[[#This Row],[RSP StopTime override]],IF(Master[[#This Row],[Avg stop time helper]] &lt;&gt; 0, Master[[#This Row],[Avg stop time helper]],Average_Stop_Time))</f>
        <v>1</v>
      </c>
      <c r="AV1532" s="21">
        <v>1</v>
      </c>
      <c r="AW1532" s="20">
        <f>Master[[#This Row],[RSP StopTime override]]-Master[[#This Row],[Avg stop time helper]]</f>
        <v>1</v>
      </c>
    </row>
    <row r="1533" spans="1:49" x14ac:dyDescent="0.3">
      <c r="A1533" s="66" t="s">
        <v>5530</v>
      </c>
      <c r="B1533" s="58">
        <v>8040</v>
      </c>
      <c r="C1533" s="58" t="s">
        <v>24</v>
      </c>
      <c r="D1533" s="65">
        <v>885730</v>
      </c>
      <c r="E1533" s="65" t="s">
        <v>314</v>
      </c>
      <c r="F1533" s="65" t="s">
        <v>313</v>
      </c>
      <c r="G1533" s="65" t="s">
        <v>218</v>
      </c>
      <c r="H1533" s="65" t="s">
        <v>7</v>
      </c>
      <c r="I1533" s="65" t="s">
        <v>6</v>
      </c>
      <c r="J1533" s="65" t="s">
        <v>5</v>
      </c>
      <c r="K1533" s="65" t="s">
        <v>301</v>
      </c>
      <c r="L1533" s="64" t="s">
        <v>67</v>
      </c>
      <c r="M1533" s="58" t="s">
        <v>3</v>
      </c>
      <c r="N1533" s="58" t="s">
        <v>2</v>
      </c>
      <c r="O1533" s="58">
        <v>190</v>
      </c>
      <c r="P1533" s="58">
        <v>190</v>
      </c>
      <c r="Q1533" s="58">
        <v>0</v>
      </c>
      <c r="R1533" s="58">
        <v>0</v>
      </c>
      <c r="S1533" s="58">
        <v>0</v>
      </c>
      <c r="T1533" s="58">
        <v>0</v>
      </c>
      <c r="U1533" s="58">
        <v>42</v>
      </c>
      <c r="V1533" s="62">
        <v>134</v>
      </c>
      <c r="W1533" s="62">
        <v>6</v>
      </c>
      <c r="X1533" s="63">
        <f>IFERROR(1 -(Master[[#This Row],[Avg Garment Scans per Delivery]]/Master[[#This Row],[Garment Inventory]]), 0)</f>
        <v>0.95522388059701491</v>
      </c>
      <c r="Y1533" s="62">
        <v>5</v>
      </c>
      <c r="Z1533" s="62">
        <v>126</v>
      </c>
      <c r="AA1533" s="53">
        <v>121.30004709576136</v>
      </c>
      <c r="AB1533" s="53">
        <v>204.95841444270016</v>
      </c>
      <c r="AC1533" s="53">
        <v>186.73940828402365</v>
      </c>
      <c r="AD1533" s="53">
        <v>199.82366863905324</v>
      </c>
      <c r="AE1533" s="53" t="str">
        <f>_xlfn.XLOOKUP(Master[[#This Row],[cu_id]],'[1]Customer Revenue'!$Q:$Q,'[1]Customer Revenue'!$K:$K, "None")</f>
        <v>None</v>
      </c>
      <c r="AF1533" s="53" t="str">
        <f>_xlfn.XLOOKUP(Master[[#This Row],[cu_id]],'[1]Customer Revenue'!$Q:$Q,'[1]Customer Revenue'!$L:$L, "None")</f>
        <v>None</v>
      </c>
      <c r="AG1533" s="53">
        <v>96.416355102040853</v>
      </c>
      <c r="AH1533" s="53">
        <v>210.61084489795925</v>
      </c>
      <c r="AI1533" s="53">
        <v>163.12923076923076</v>
      </c>
      <c r="AJ1533" s="53">
        <v>193.28153846153845</v>
      </c>
      <c r="AK1533" s="53" t="str">
        <f>_xlfn.XLOOKUP(Master[[#This Row],[cu_id]],'[1]Customer Revenue'!$Q:$Q,'[1]Customer Revenue'!$I:$I, "None")</f>
        <v>None</v>
      </c>
      <c r="AL1533" s="53">
        <v>153.51360000000005</v>
      </c>
      <c r="AM1533" s="61">
        <v>0.33333333333333331</v>
      </c>
      <c r="AN1533" s="60">
        <v>0.6875</v>
      </c>
      <c r="AO1533" s="60" t="s">
        <v>36</v>
      </c>
      <c r="AP1533" s="60" t="s">
        <v>36</v>
      </c>
      <c r="AQ1533" s="58" t="s">
        <v>0</v>
      </c>
      <c r="AR1533" s="58"/>
      <c r="AS1533" s="58"/>
      <c r="AT1533" s="52">
        <v>0</v>
      </c>
      <c r="AU1533" s="52">
        <f>IF(Master[[#This Row],[RSP StopTime override]] &lt;&gt; "",Master[[#This Row],[RSP StopTime override]],IF(Master[[#This Row],[Avg stop time helper]] &lt;&gt; 0, Master[[#This Row],[Avg stop time helper]],Average_Stop_Time))</f>
        <v>20</v>
      </c>
      <c r="AV1533" s="21">
        <v>20</v>
      </c>
      <c r="AW1533" s="20">
        <f>Master[[#This Row],[RSP StopTime override]]-Master[[#This Row],[Avg stop time helper]]</f>
        <v>20</v>
      </c>
    </row>
    <row r="1534" spans="1:49" x14ac:dyDescent="0.3">
      <c r="A1534" s="66" t="s">
        <v>5531</v>
      </c>
      <c r="B1534" s="58">
        <v>8040</v>
      </c>
      <c r="C1534" s="58" t="s">
        <v>10</v>
      </c>
      <c r="D1534" s="65">
        <v>884502</v>
      </c>
      <c r="E1534" s="65" t="s">
        <v>312</v>
      </c>
      <c r="F1534" s="65" t="s">
        <v>311</v>
      </c>
      <c r="G1534" s="65" t="s">
        <v>261</v>
      </c>
      <c r="H1534" s="65" t="s">
        <v>7</v>
      </c>
      <c r="I1534" s="65" t="s">
        <v>6</v>
      </c>
      <c r="J1534" s="65" t="s">
        <v>5</v>
      </c>
      <c r="K1534" s="65" t="s">
        <v>68</v>
      </c>
      <c r="L1534" s="64" t="s">
        <v>67</v>
      </c>
      <c r="M1534" s="58" t="s">
        <v>3</v>
      </c>
      <c r="N1534" s="58" t="s">
        <v>2</v>
      </c>
      <c r="O1534" s="58">
        <v>160</v>
      </c>
      <c r="P1534" s="58">
        <v>0</v>
      </c>
      <c r="Q1534" s="58">
        <v>0</v>
      </c>
      <c r="R1534" s="58">
        <v>65</v>
      </c>
      <c r="S1534" s="58">
        <v>0</v>
      </c>
      <c r="T1534" s="58">
        <v>0</v>
      </c>
      <c r="U1534" s="58">
        <v>41</v>
      </c>
      <c r="V1534" s="62"/>
      <c r="W1534" s="62"/>
      <c r="X1534" s="63">
        <f>IFERROR(1 -(Master[[#This Row],[Avg Garment Scans per Delivery]]/Master[[#This Row],[Garment Inventory]]), 0)</f>
        <v>0</v>
      </c>
      <c r="Y1534" s="62"/>
      <c r="Z1534" s="62"/>
      <c r="AA1534" s="53">
        <v>38.07</v>
      </c>
      <c r="AB1534" s="53">
        <v>38.07</v>
      </c>
      <c r="AC1534" s="53">
        <v>37.965266272189346</v>
      </c>
      <c r="AD1534" s="53">
        <v>39.082426035502955</v>
      </c>
      <c r="AE1534" s="53" t="str">
        <f>_xlfn.XLOOKUP(Master[[#This Row],[cu_id]],'[1]Customer Revenue'!$Q:$Q,'[1]Customer Revenue'!$K:$K, "None")</f>
        <v>None</v>
      </c>
      <c r="AF1534" s="53" t="str">
        <f>_xlfn.XLOOKUP(Master[[#This Row],[cu_id]],'[1]Customer Revenue'!$Q:$Q,'[1]Customer Revenue'!$L:$L, "None")</f>
        <v>None</v>
      </c>
      <c r="AG1534" s="53">
        <v>38.07</v>
      </c>
      <c r="AH1534" s="53">
        <v>38.070000000000043</v>
      </c>
      <c r="AI1534" s="53">
        <v>38.07</v>
      </c>
      <c r="AJ1534" s="53">
        <v>38.523846153846151</v>
      </c>
      <c r="AK1534" s="53" t="str">
        <f>_xlfn.XLOOKUP(Master[[#This Row],[cu_id]],'[1]Customer Revenue'!$Q:$Q,'[1]Customer Revenue'!$I:$I, "None")</f>
        <v>None</v>
      </c>
      <c r="AL1534" s="53">
        <v>38.070000000000022</v>
      </c>
      <c r="AM1534" s="61">
        <v>0.25</v>
      </c>
      <c r="AN1534" s="60">
        <v>0.66666666666666663</v>
      </c>
      <c r="AO1534" s="60" t="s">
        <v>36</v>
      </c>
      <c r="AP1534" s="60" t="s">
        <v>36</v>
      </c>
      <c r="AQ1534" s="58" t="s">
        <v>0</v>
      </c>
      <c r="AR1534" s="58"/>
      <c r="AS1534" s="58"/>
      <c r="AT1534" s="52">
        <v>0</v>
      </c>
      <c r="AU1534" s="52" t="e">
        <f>IF(Master[[#This Row],[RSP StopTime override]] &lt;&gt; "",Master[[#This Row],[RSP StopTime override]],IF(Master[[#This Row],[Avg stop time helper]] &lt;&gt; 0, Master[[#This Row],[Avg stop time helper]],Average_Stop_Time))</f>
        <v>#DIV/0!</v>
      </c>
      <c r="AV1534" s="21"/>
      <c r="AW1534" s="20">
        <f>Master[[#This Row],[RSP StopTime override]]-Master[[#This Row],[Avg stop time helper]]</f>
        <v>0</v>
      </c>
    </row>
    <row r="1535" spans="1:49" x14ac:dyDescent="0.3">
      <c r="A1535" s="66" t="s">
        <v>5532</v>
      </c>
      <c r="B1535" s="58">
        <v>8040</v>
      </c>
      <c r="C1535" s="58" t="s">
        <v>10</v>
      </c>
      <c r="D1535" s="65">
        <v>803961</v>
      </c>
      <c r="E1535" s="65" t="s">
        <v>42</v>
      </c>
      <c r="F1535" s="65" t="s">
        <v>310</v>
      </c>
      <c r="G1535" s="65" t="s">
        <v>309</v>
      </c>
      <c r="H1535" s="65" t="s">
        <v>7</v>
      </c>
      <c r="I1535" s="65" t="s">
        <v>6</v>
      </c>
      <c r="J1535" s="65" t="s">
        <v>5</v>
      </c>
      <c r="K1535" s="65" t="s">
        <v>115</v>
      </c>
      <c r="L1535" s="64" t="s">
        <v>91</v>
      </c>
      <c r="M1535" s="58" t="s">
        <v>90</v>
      </c>
      <c r="N1535" s="58" t="s">
        <v>2</v>
      </c>
      <c r="O1535" s="58">
        <v>120</v>
      </c>
      <c r="P1535" s="58">
        <v>0</v>
      </c>
      <c r="Q1535" s="58">
        <v>0</v>
      </c>
      <c r="R1535" s="58">
        <v>60</v>
      </c>
      <c r="S1535" s="58">
        <v>0</v>
      </c>
      <c r="T1535" s="58">
        <v>0</v>
      </c>
      <c r="U1535" s="58">
        <v>20</v>
      </c>
      <c r="V1535" s="62"/>
      <c r="W1535" s="62"/>
      <c r="X1535" s="63">
        <f>IFERROR(1 -(Master[[#This Row],[Avg Garment Scans per Delivery]]/Master[[#This Row],[Garment Inventory]]), 0)</f>
        <v>0</v>
      </c>
      <c r="Y1535" s="62"/>
      <c r="Z1535" s="62"/>
      <c r="AA1535" s="53">
        <v>16.88</v>
      </c>
      <c r="AB1535" s="53">
        <v>16.88</v>
      </c>
      <c r="AC1535" s="53">
        <v>16.793333333333329</v>
      </c>
      <c r="AD1535" s="53">
        <v>17.486666666666665</v>
      </c>
      <c r="AE1535" s="53" t="str">
        <f>_xlfn.XLOOKUP(Master[[#This Row],[cu_id]],'[1]Customer Revenue'!$Q:$Q,'[1]Customer Revenue'!$K:$K, "None")</f>
        <v>None</v>
      </c>
      <c r="AF1535" s="53" t="str">
        <f>_xlfn.XLOOKUP(Master[[#This Row],[cu_id]],'[1]Customer Revenue'!$Q:$Q,'[1]Customer Revenue'!$L:$L, "None")</f>
        <v>None</v>
      </c>
      <c r="AG1535" s="53">
        <v>16.88</v>
      </c>
      <c r="AH1535" s="53">
        <v>16.88</v>
      </c>
      <c r="AI1535" s="53">
        <v>16.88</v>
      </c>
      <c r="AJ1535" s="53">
        <v>17.139999999999997</v>
      </c>
      <c r="AK1535" s="53" t="str">
        <f>_xlfn.XLOOKUP(Master[[#This Row],[cu_id]],'[1]Customer Revenue'!$Q:$Q,'[1]Customer Revenue'!$I:$I, "None")</f>
        <v>None</v>
      </c>
      <c r="AL1535" s="53">
        <v>16.88</v>
      </c>
      <c r="AM1535" s="61">
        <v>0.29166666666666669</v>
      </c>
      <c r="AN1535" s="60">
        <v>0.95833333333333337</v>
      </c>
      <c r="AO1535" s="60" t="s">
        <v>36</v>
      </c>
      <c r="AP1535" s="60" t="s">
        <v>36</v>
      </c>
      <c r="AQ1535" s="58" t="s">
        <v>308</v>
      </c>
      <c r="AR1535" s="58"/>
      <c r="AS1535" s="58"/>
      <c r="AT1535" s="52">
        <v>0</v>
      </c>
      <c r="AU1535" s="52" t="e">
        <f>IF(Master[[#This Row],[RSP StopTime override]] &lt;&gt; "",Master[[#This Row],[RSP StopTime override]],IF(Master[[#This Row],[Avg stop time helper]] &lt;&gt; 0, Master[[#This Row],[Avg stop time helper]],Average_Stop_Time))</f>
        <v>#DIV/0!</v>
      </c>
      <c r="AV1535" s="21"/>
      <c r="AW1535" s="20">
        <f>Master[[#This Row],[RSP StopTime override]]-Master[[#This Row],[Avg stop time helper]]</f>
        <v>0</v>
      </c>
    </row>
    <row r="1536" spans="1:49" x14ac:dyDescent="0.3">
      <c r="A1536" s="66" t="s">
        <v>5533</v>
      </c>
      <c r="B1536" s="58">
        <v>8040</v>
      </c>
      <c r="C1536" s="58" t="s">
        <v>43</v>
      </c>
      <c r="D1536" s="65">
        <v>802578</v>
      </c>
      <c r="E1536" s="65" t="s">
        <v>42</v>
      </c>
      <c r="F1536" s="65" t="s">
        <v>307</v>
      </c>
      <c r="G1536" s="65" t="s">
        <v>306</v>
      </c>
      <c r="H1536" s="65" t="s">
        <v>7</v>
      </c>
      <c r="I1536" s="65" t="s">
        <v>161</v>
      </c>
      <c r="J1536" s="65" t="s">
        <v>5</v>
      </c>
      <c r="K1536" s="65" t="s">
        <v>146</v>
      </c>
      <c r="L1536" s="64" t="s">
        <v>141</v>
      </c>
      <c r="M1536" s="58" t="s">
        <v>140</v>
      </c>
      <c r="N1536" s="58" t="s">
        <v>2</v>
      </c>
      <c r="O1536" s="58">
        <v>145</v>
      </c>
      <c r="P1536" s="58">
        <v>0</v>
      </c>
      <c r="Q1536" s="58">
        <v>0</v>
      </c>
      <c r="R1536" s="58">
        <v>0</v>
      </c>
      <c r="S1536" s="58">
        <v>145</v>
      </c>
      <c r="T1536" s="58">
        <v>0</v>
      </c>
      <c r="U1536" s="58">
        <v>10</v>
      </c>
      <c r="V1536" s="62"/>
      <c r="W1536" s="62"/>
      <c r="X1536" s="63">
        <f>IFERROR(1 -(Master[[#This Row],[Avg Garment Scans per Delivery]]/Master[[#This Row],[Garment Inventory]]), 0)</f>
        <v>0</v>
      </c>
      <c r="Y1536" s="62"/>
      <c r="Z1536" s="62"/>
      <c r="AA1536" s="53">
        <v>34.51</v>
      </c>
      <c r="AB1536" s="53">
        <v>34.51</v>
      </c>
      <c r="AC1536" s="53">
        <v>34.378888888888888</v>
      </c>
      <c r="AD1536" s="53">
        <v>35.42777777777777</v>
      </c>
      <c r="AE1536" s="53" t="str">
        <f>_xlfn.XLOOKUP(Master[[#This Row],[cu_id]],'[1]Customer Revenue'!$Q:$Q,'[1]Customer Revenue'!$K:$K, "None")</f>
        <v>None</v>
      </c>
      <c r="AF1536" s="53" t="str">
        <f>_xlfn.XLOOKUP(Master[[#This Row],[cu_id]],'[1]Customer Revenue'!$Q:$Q,'[1]Customer Revenue'!$L:$L, "None")</f>
        <v>None</v>
      </c>
      <c r="AG1536" s="53">
        <v>26.9609375</v>
      </c>
      <c r="AH1536" s="53">
        <v>42.059062499999996</v>
      </c>
      <c r="AI1536" s="53">
        <v>34.51</v>
      </c>
      <c r="AJ1536" s="53">
        <v>34.903333333333329</v>
      </c>
      <c r="AK1536" s="53" t="str">
        <f>_xlfn.XLOOKUP(Master[[#This Row],[cu_id]],'[1]Customer Revenue'!$Q:$Q,'[1]Customer Revenue'!$I:$I, "None")</f>
        <v>None</v>
      </c>
      <c r="AL1536" s="53">
        <v>34.51</v>
      </c>
      <c r="AM1536" s="61">
        <v>0.375</v>
      </c>
      <c r="AN1536" s="60">
        <v>0.70833333333333337</v>
      </c>
      <c r="AO1536" s="60" t="s">
        <v>36</v>
      </c>
      <c r="AP1536" s="60" t="s">
        <v>36</v>
      </c>
      <c r="AQ1536" s="58" t="s">
        <v>305</v>
      </c>
      <c r="AR1536" s="58"/>
      <c r="AS1536" s="58"/>
      <c r="AT1536" s="52">
        <v>0</v>
      </c>
      <c r="AU1536" s="52" t="e">
        <f>IF(Master[[#This Row],[RSP StopTime override]] &lt;&gt; "",Master[[#This Row],[RSP StopTime override]],IF(Master[[#This Row],[Avg stop time helper]] &lt;&gt; 0, Master[[#This Row],[Avg stop time helper]],Average_Stop_Time))</f>
        <v>#DIV/0!</v>
      </c>
      <c r="AV1536" s="21"/>
      <c r="AW1536" s="20">
        <f>Master[[#This Row],[RSP StopTime override]]-Master[[#This Row],[Avg stop time helper]]</f>
        <v>0</v>
      </c>
    </row>
    <row r="1537" spans="1:49" x14ac:dyDescent="0.3">
      <c r="A1537" s="66" t="s">
        <v>5534</v>
      </c>
      <c r="B1537" s="58">
        <v>8040</v>
      </c>
      <c r="C1537" s="58" t="s">
        <v>24</v>
      </c>
      <c r="D1537" s="65">
        <v>885730</v>
      </c>
      <c r="E1537" s="65" t="s">
        <v>304</v>
      </c>
      <c r="F1537" s="65" t="s">
        <v>303</v>
      </c>
      <c r="G1537" s="65" t="s">
        <v>302</v>
      </c>
      <c r="H1537" s="65" t="s">
        <v>7</v>
      </c>
      <c r="I1537" s="65" t="s">
        <v>6</v>
      </c>
      <c r="J1537" s="65" t="s">
        <v>5</v>
      </c>
      <c r="K1537" s="65" t="s">
        <v>301</v>
      </c>
      <c r="L1537" s="64" t="s">
        <v>67</v>
      </c>
      <c r="M1537" s="58" t="s">
        <v>3</v>
      </c>
      <c r="N1537" s="58" t="s">
        <v>2</v>
      </c>
      <c r="O1537" s="58">
        <v>185</v>
      </c>
      <c r="P1537" s="58">
        <v>185</v>
      </c>
      <c r="Q1537" s="58">
        <v>0</v>
      </c>
      <c r="R1537" s="58">
        <v>0</v>
      </c>
      <c r="S1537" s="58">
        <v>0</v>
      </c>
      <c r="T1537" s="58">
        <v>0</v>
      </c>
      <c r="U1537" s="58">
        <v>43</v>
      </c>
      <c r="V1537" s="62">
        <v>197</v>
      </c>
      <c r="W1537" s="62">
        <v>5</v>
      </c>
      <c r="X1537" s="63">
        <f>IFERROR(1 -(Master[[#This Row],[Avg Garment Scans per Delivery]]/Master[[#This Row],[Garment Inventory]]), 0)</f>
        <v>0.97461928934010156</v>
      </c>
      <c r="Y1537" s="62">
        <v>5</v>
      </c>
      <c r="Z1537" s="62">
        <v>265</v>
      </c>
      <c r="AA1537" s="53">
        <v>223.64346938775509</v>
      </c>
      <c r="AB1537" s="53">
        <v>450.00510204081638</v>
      </c>
      <c r="AC1537" s="53">
        <v>267.8613814756672</v>
      </c>
      <c r="AD1537" s="53">
        <v>359.72015698587126</v>
      </c>
      <c r="AE1537" s="53" t="str">
        <f>_xlfn.XLOOKUP(Master[[#This Row],[cu_id]],'[1]Customer Revenue'!$Q:$Q,'[1]Customer Revenue'!$K:$K, "None")</f>
        <v>None</v>
      </c>
      <c r="AF1537" s="53" t="str">
        <f>_xlfn.XLOOKUP(Master[[#This Row],[cu_id]],'[1]Customer Revenue'!$Q:$Q,'[1]Customer Revenue'!$L:$L, "None")</f>
        <v>None</v>
      </c>
      <c r="AG1537" s="53">
        <v>193.0995037037037</v>
      </c>
      <c r="AH1537" s="53">
        <v>383.06568148148153</v>
      </c>
      <c r="AI1537" s="53">
        <v>336.82428571428574</v>
      </c>
      <c r="AJ1537" s="53">
        <v>313.79076923076923</v>
      </c>
      <c r="AK1537" s="53" t="str">
        <f>_xlfn.XLOOKUP(Master[[#This Row],[cu_id]],'[1]Customer Revenue'!$Q:$Q,'[1]Customer Revenue'!$I:$I, "None")</f>
        <v>None</v>
      </c>
      <c r="AL1537" s="53">
        <v>288.08259259259262</v>
      </c>
      <c r="AM1537" s="61">
        <v>0.33333333333333331</v>
      </c>
      <c r="AN1537" s="60">
        <v>0.70833333333333337</v>
      </c>
      <c r="AO1537" s="60" t="s">
        <v>36</v>
      </c>
      <c r="AP1537" s="60" t="s">
        <v>36</v>
      </c>
      <c r="AQ1537" s="58" t="s">
        <v>0</v>
      </c>
      <c r="AR1537" s="58"/>
      <c r="AS1537" s="58"/>
      <c r="AT1537" s="52">
        <v>0</v>
      </c>
      <c r="AU1537" s="52">
        <f>IF(Master[[#This Row],[RSP StopTime override]] &lt;&gt; "",Master[[#This Row],[RSP StopTime override]],IF(Master[[#This Row],[Avg stop time helper]] &lt;&gt; 0, Master[[#This Row],[Avg stop time helper]],Average_Stop_Time))</f>
        <v>20</v>
      </c>
      <c r="AV1537" s="21">
        <v>20</v>
      </c>
      <c r="AW1537" s="20">
        <f>Master[[#This Row],[RSP StopTime override]]-Master[[#This Row],[Avg stop time helper]]</f>
        <v>20</v>
      </c>
    </row>
    <row r="1538" spans="1:49" x14ac:dyDescent="0.3">
      <c r="A1538" s="66" t="s">
        <v>5535</v>
      </c>
      <c r="B1538" s="58">
        <v>8040</v>
      </c>
      <c r="C1538" s="58" t="s">
        <v>10</v>
      </c>
      <c r="D1538" s="65">
        <v>806173</v>
      </c>
      <c r="E1538" s="65" t="s">
        <v>42</v>
      </c>
      <c r="F1538" s="65" t="s">
        <v>300</v>
      </c>
      <c r="G1538" s="65" t="s">
        <v>299</v>
      </c>
      <c r="H1538" s="65" t="s">
        <v>7</v>
      </c>
      <c r="I1538" s="65" t="s">
        <v>6</v>
      </c>
      <c r="J1538" s="65" t="s">
        <v>5</v>
      </c>
      <c r="K1538" s="65" t="s">
        <v>115</v>
      </c>
      <c r="L1538" s="64" t="s">
        <v>194</v>
      </c>
      <c r="M1538" s="58" t="s">
        <v>193</v>
      </c>
      <c r="N1538" s="58" t="s">
        <v>2</v>
      </c>
      <c r="O1538" s="58">
        <v>165</v>
      </c>
      <c r="P1538" s="58">
        <v>0</v>
      </c>
      <c r="Q1538" s="58">
        <v>0</v>
      </c>
      <c r="R1538" s="58">
        <v>95</v>
      </c>
      <c r="S1538" s="58">
        <v>0</v>
      </c>
      <c r="T1538" s="58">
        <v>0</v>
      </c>
      <c r="U1538" s="58">
        <v>10</v>
      </c>
      <c r="V1538" s="62"/>
      <c r="W1538" s="62"/>
      <c r="X1538" s="63">
        <f>IFERROR(1 -(Master[[#This Row],[Avg Garment Scans per Delivery]]/Master[[#This Row],[Garment Inventory]]), 0)</f>
        <v>0</v>
      </c>
      <c r="Y1538" s="62"/>
      <c r="Z1538" s="62"/>
      <c r="AA1538" s="53">
        <v>106.09375</v>
      </c>
      <c r="AB1538" s="53">
        <v>141.95124999999999</v>
      </c>
      <c r="AC1538" s="53">
        <v>119.86777777777779</v>
      </c>
      <c r="AD1538" s="53">
        <v>151.0588888888889</v>
      </c>
      <c r="AE1538" s="53" t="str">
        <f>_xlfn.XLOOKUP(Master[[#This Row],[cu_id]],'[1]Customer Revenue'!$Q:$Q,'[1]Customer Revenue'!$K:$K, "None")</f>
        <v>None</v>
      </c>
      <c r="AF1538" s="53" t="str">
        <f>_xlfn.XLOOKUP(Master[[#This Row],[cu_id]],'[1]Customer Revenue'!$Q:$Q,'[1]Customer Revenue'!$L:$L, "None")</f>
        <v>None</v>
      </c>
      <c r="AG1538" s="53">
        <v>101.10374999999999</v>
      </c>
      <c r="AH1538" s="53">
        <v>171.71625</v>
      </c>
      <c r="AI1538" s="53">
        <v>124.02249999999999</v>
      </c>
      <c r="AJ1538" s="53">
        <v>135.46333333333334</v>
      </c>
      <c r="AK1538" s="53" t="str">
        <f>_xlfn.XLOOKUP(Master[[#This Row],[cu_id]],'[1]Customer Revenue'!$Q:$Q,'[1]Customer Revenue'!$I:$I, "None")</f>
        <v>None</v>
      </c>
      <c r="AL1538" s="53">
        <v>136.41</v>
      </c>
      <c r="AM1538" s="61">
        <v>0.29166666666666669</v>
      </c>
      <c r="AN1538" s="60">
        <v>0.6875</v>
      </c>
      <c r="AO1538" s="60" t="s">
        <v>36</v>
      </c>
      <c r="AP1538" s="60" t="s">
        <v>36</v>
      </c>
      <c r="AQ1538" s="58" t="s">
        <v>0</v>
      </c>
      <c r="AR1538" s="58"/>
      <c r="AS1538" s="58"/>
      <c r="AT1538" s="52">
        <v>0</v>
      </c>
      <c r="AU1538" s="52">
        <f>IF(Master[[#This Row],[RSP StopTime override]] &lt;&gt; "",Master[[#This Row],[RSP StopTime override]],IF(Master[[#This Row],[Avg stop time helper]] &lt;&gt; 0, Master[[#This Row],[Avg stop time helper]],Average_Stop_Time))</f>
        <v>10</v>
      </c>
      <c r="AV1538" s="21">
        <v>10</v>
      </c>
      <c r="AW1538" s="20">
        <f>Master[[#This Row],[RSP StopTime override]]-Master[[#This Row],[Avg stop time helper]]</f>
        <v>10</v>
      </c>
    </row>
    <row r="1539" spans="1:49" x14ac:dyDescent="0.3">
      <c r="A1539" s="66" t="s">
        <v>5536</v>
      </c>
      <c r="B1539" s="58">
        <v>8040</v>
      </c>
      <c r="C1539" s="58" t="s">
        <v>10</v>
      </c>
      <c r="D1539" s="65">
        <v>802369</v>
      </c>
      <c r="E1539" s="65" t="s">
        <v>42</v>
      </c>
      <c r="F1539" s="65" t="s">
        <v>298</v>
      </c>
      <c r="G1539" s="65" t="s">
        <v>297</v>
      </c>
      <c r="H1539" s="65" t="s">
        <v>7</v>
      </c>
      <c r="I1539" s="65" t="s">
        <v>6</v>
      </c>
      <c r="J1539" s="65" t="s">
        <v>5</v>
      </c>
      <c r="K1539" s="65" t="s">
        <v>115</v>
      </c>
      <c r="L1539" s="64" t="s">
        <v>91</v>
      </c>
      <c r="M1539" s="58" t="s">
        <v>90</v>
      </c>
      <c r="N1539" s="58" t="s">
        <v>2</v>
      </c>
      <c r="O1539" s="58">
        <v>80</v>
      </c>
      <c r="P1539" s="58">
        <v>0</v>
      </c>
      <c r="Q1539" s="58">
        <v>0</v>
      </c>
      <c r="R1539" s="58">
        <v>190</v>
      </c>
      <c r="S1539" s="58">
        <v>0</v>
      </c>
      <c r="T1539" s="58">
        <v>0</v>
      </c>
      <c r="U1539" s="58">
        <v>20</v>
      </c>
      <c r="V1539" s="62"/>
      <c r="W1539" s="62"/>
      <c r="X1539" s="63">
        <f>IFERROR(1 -(Master[[#This Row],[Avg Garment Scans per Delivery]]/Master[[#This Row],[Garment Inventory]]), 0)</f>
        <v>0</v>
      </c>
      <c r="Y1539" s="62"/>
      <c r="Z1539" s="62"/>
      <c r="AA1539" s="53">
        <v>13.14</v>
      </c>
      <c r="AB1539" s="53">
        <v>13.14</v>
      </c>
      <c r="AC1539" s="53">
        <v>9.8308888888888895</v>
      </c>
      <c r="AD1539" s="53">
        <v>17.393111111111111</v>
      </c>
      <c r="AE1539" s="53" t="str">
        <f>_xlfn.XLOOKUP(Master[[#This Row],[cu_id]],'[1]Customer Revenue'!$Q:$Q,'[1]Customer Revenue'!$K:$K, "None")</f>
        <v>None</v>
      </c>
      <c r="AF1539" s="53" t="str">
        <f>_xlfn.XLOOKUP(Master[[#This Row],[cu_id]],'[1]Customer Revenue'!$Q:$Q,'[1]Customer Revenue'!$L:$L, "None")</f>
        <v>None</v>
      </c>
      <c r="AG1539" s="53">
        <v>13.139999999999997</v>
      </c>
      <c r="AH1539" s="53">
        <v>13.14</v>
      </c>
      <c r="AI1539" s="53">
        <v>13.14</v>
      </c>
      <c r="AJ1539" s="53">
        <v>13.612</v>
      </c>
      <c r="AK1539" s="53" t="str">
        <f>_xlfn.XLOOKUP(Master[[#This Row],[cu_id]],'[1]Customer Revenue'!$Q:$Q,'[1]Customer Revenue'!$I:$I, "None")</f>
        <v>None</v>
      </c>
      <c r="AL1539" s="53">
        <v>13.139999999999999</v>
      </c>
      <c r="AM1539" s="61">
        <v>0.41666666666666669</v>
      </c>
      <c r="AN1539" s="60">
        <v>0.70833333333333337</v>
      </c>
      <c r="AO1539" s="60" t="s">
        <v>36</v>
      </c>
      <c r="AP1539" s="60" t="s">
        <v>36</v>
      </c>
      <c r="AQ1539" s="58" t="s">
        <v>296</v>
      </c>
      <c r="AR1539" s="58"/>
      <c r="AS1539" s="58"/>
      <c r="AT1539" s="52">
        <v>0</v>
      </c>
      <c r="AU1539" s="52" t="e">
        <f>IF(Master[[#This Row],[RSP StopTime override]] &lt;&gt; "",Master[[#This Row],[RSP StopTime override]],IF(Master[[#This Row],[Avg stop time helper]] &lt;&gt; 0, Master[[#This Row],[Avg stop time helper]],Average_Stop_Time))</f>
        <v>#DIV/0!</v>
      </c>
      <c r="AV1539" s="21"/>
      <c r="AW1539" s="20">
        <f>Master[[#This Row],[RSP StopTime override]]-Master[[#This Row],[Avg stop time helper]]</f>
        <v>0</v>
      </c>
    </row>
    <row r="1540" spans="1:49" x14ac:dyDescent="0.3">
      <c r="A1540" s="66" t="s">
        <v>5537</v>
      </c>
      <c r="B1540" s="58">
        <v>8040</v>
      </c>
      <c r="C1540" s="58" t="s">
        <v>10</v>
      </c>
      <c r="D1540" s="65">
        <v>802466</v>
      </c>
      <c r="E1540" s="65" t="s">
        <v>42</v>
      </c>
      <c r="F1540" s="65" t="s">
        <v>295</v>
      </c>
      <c r="G1540" s="65" t="s">
        <v>294</v>
      </c>
      <c r="H1540" s="65" t="s">
        <v>7</v>
      </c>
      <c r="I1540" s="65" t="s">
        <v>6</v>
      </c>
      <c r="J1540" s="65" t="s">
        <v>5</v>
      </c>
      <c r="K1540" s="65" t="s">
        <v>115</v>
      </c>
      <c r="L1540" s="64" t="s">
        <v>124</v>
      </c>
      <c r="M1540" s="58" t="s">
        <v>123</v>
      </c>
      <c r="N1540" s="58" t="s">
        <v>2</v>
      </c>
      <c r="O1540" s="58">
        <v>160</v>
      </c>
      <c r="P1540" s="58">
        <v>0</v>
      </c>
      <c r="Q1540" s="58">
        <v>0</v>
      </c>
      <c r="R1540" s="58">
        <v>100</v>
      </c>
      <c r="S1540" s="58">
        <v>0</v>
      </c>
      <c r="T1540" s="58">
        <v>0</v>
      </c>
      <c r="U1540" s="58">
        <v>10</v>
      </c>
      <c r="V1540" s="62"/>
      <c r="W1540" s="62"/>
      <c r="X1540" s="63">
        <f>IFERROR(1 -(Master[[#This Row],[Avg Garment Scans per Delivery]]/Master[[#This Row],[Garment Inventory]]), 0)</f>
        <v>0</v>
      </c>
      <c r="Y1540" s="62"/>
      <c r="Z1540" s="62"/>
      <c r="AA1540" s="53">
        <v>46.47</v>
      </c>
      <c r="AB1540" s="53">
        <v>46.47</v>
      </c>
      <c r="AC1540" s="53">
        <v>46.338888888888889</v>
      </c>
      <c r="AD1540" s="53">
        <v>47.387777777777785</v>
      </c>
      <c r="AE1540" s="53" t="str">
        <f>_xlfn.XLOOKUP(Master[[#This Row],[cu_id]],'[1]Customer Revenue'!$Q:$Q,'[1]Customer Revenue'!$K:$K, "None")</f>
        <v>None</v>
      </c>
      <c r="AF1540" s="53" t="str">
        <f>_xlfn.XLOOKUP(Master[[#This Row],[cu_id]],'[1]Customer Revenue'!$Q:$Q,'[1]Customer Revenue'!$L:$L, "None")</f>
        <v>None</v>
      </c>
      <c r="AG1540" s="53">
        <v>46.47</v>
      </c>
      <c r="AH1540" s="53">
        <v>46.47</v>
      </c>
      <c r="AI1540" s="53">
        <v>46.47</v>
      </c>
      <c r="AJ1540" s="53">
        <v>46.863333333333337</v>
      </c>
      <c r="AK1540" s="53" t="str">
        <f>_xlfn.XLOOKUP(Master[[#This Row],[cu_id]],'[1]Customer Revenue'!$Q:$Q,'[1]Customer Revenue'!$I:$I, "None")</f>
        <v>None</v>
      </c>
      <c r="AL1540" s="53">
        <v>46.47</v>
      </c>
      <c r="AM1540" s="61">
        <v>0.33333333333333331</v>
      </c>
      <c r="AN1540" s="60">
        <v>0.70833333333333337</v>
      </c>
      <c r="AO1540" s="60" t="s">
        <v>36</v>
      </c>
      <c r="AP1540" s="60" t="s">
        <v>36</v>
      </c>
      <c r="AQ1540" s="58" t="s">
        <v>0</v>
      </c>
      <c r="AR1540" s="58"/>
      <c r="AS1540" s="58"/>
      <c r="AT1540" s="52">
        <v>0</v>
      </c>
      <c r="AU1540" s="52" t="e">
        <f>IF(Master[[#This Row],[RSP StopTime override]] &lt;&gt; "",Master[[#This Row],[RSP StopTime override]],IF(Master[[#This Row],[Avg stop time helper]] &lt;&gt; 0, Master[[#This Row],[Avg stop time helper]],Average_Stop_Time))</f>
        <v>#DIV/0!</v>
      </c>
      <c r="AV1540" s="21"/>
      <c r="AW1540" s="20">
        <f>Master[[#This Row],[RSP StopTime override]]-Master[[#This Row],[Avg stop time helper]]</f>
        <v>0</v>
      </c>
    </row>
    <row r="1541" spans="1:49" x14ac:dyDescent="0.3">
      <c r="A1541" s="66" t="s">
        <v>5538</v>
      </c>
      <c r="B1541" s="58">
        <v>8040</v>
      </c>
      <c r="C1541" s="58" t="s">
        <v>43</v>
      </c>
      <c r="D1541" s="65">
        <v>882595</v>
      </c>
      <c r="E1541" s="65" t="s">
        <v>293</v>
      </c>
      <c r="F1541" s="65" t="s">
        <v>292</v>
      </c>
      <c r="G1541" s="65" t="s">
        <v>291</v>
      </c>
      <c r="H1541" s="65" t="s">
        <v>7</v>
      </c>
      <c r="I1541" s="65" t="s">
        <v>6</v>
      </c>
      <c r="J1541" s="65" t="s">
        <v>5</v>
      </c>
      <c r="K1541" s="65" t="s">
        <v>257</v>
      </c>
      <c r="L1541" s="64" t="s">
        <v>67</v>
      </c>
      <c r="M1541" s="58" t="s">
        <v>3</v>
      </c>
      <c r="N1541" s="58" t="s">
        <v>2</v>
      </c>
      <c r="O1541" s="58">
        <v>26</v>
      </c>
      <c r="P1541" s="58">
        <v>0</v>
      </c>
      <c r="Q1541" s="58">
        <v>0</v>
      </c>
      <c r="R1541" s="58">
        <v>0</v>
      </c>
      <c r="S1541" s="58">
        <v>26</v>
      </c>
      <c r="T1541" s="58">
        <v>0</v>
      </c>
      <c r="U1541" s="58">
        <v>38</v>
      </c>
      <c r="V1541" s="62">
        <v>3</v>
      </c>
      <c r="W1541" s="62">
        <v>0</v>
      </c>
      <c r="X1541" s="63">
        <f>IFERROR(1 -(Master[[#This Row],[Avg Garment Scans per Delivery]]/Master[[#This Row],[Garment Inventory]]), 0)</f>
        <v>1</v>
      </c>
      <c r="Y1541" s="62">
        <v>4</v>
      </c>
      <c r="Z1541" s="62">
        <v>24</v>
      </c>
      <c r="AA1541" s="53">
        <v>54.539411302982728</v>
      </c>
      <c r="AB1541" s="53">
        <v>72.409819466248038</v>
      </c>
      <c r="AC1541" s="53">
        <v>59.357633136094684</v>
      </c>
      <c r="AD1541" s="53">
        <v>67.876213017751496</v>
      </c>
      <c r="AE1541" s="53" t="str">
        <f>_xlfn.XLOOKUP(Master[[#This Row],[cu_id]],'[1]Customer Revenue'!$Q:$Q,'[1]Customer Revenue'!$K:$K, "None")</f>
        <v>None</v>
      </c>
      <c r="AF1541" s="53" t="str">
        <f>_xlfn.XLOOKUP(Master[[#This Row],[cu_id]],'[1]Customer Revenue'!$Q:$Q,'[1]Customer Revenue'!$L:$L, "None")</f>
        <v>None</v>
      </c>
      <c r="AG1541" s="53">
        <v>51.694990725326953</v>
      </c>
      <c r="AH1541" s="53">
        <v>148.22340927467297</v>
      </c>
      <c r="AI1541" s="53">
        <v>63.474615384615383</v>
      </c>
      <c r="AJ1541" s="53">
        <v>63.616923076923086</v>
      </c>
      <c r="AK1541" s="53" t="str">
        <f>_xlfn.XLOOKUP(Master[[#This Row],[cu_id]],'[1]Customer Revenue'!$Q:$Q,'[1]Customer Revenue'!$I:$I, "None")</f>
        <v>None</v>
      </c>
      <c r="AL1541" s="53">
        <v>99.959199999999967</v>
      </c>
      <c r="AM1541" s="61" t="s">
        <v>36</v>
      </c>
      <c r="AN1541" s="60" t="s">
        <v>36</v>
      </c>
      <c r="AO1541" s="60" t="s">
        <v>36</v>
      </c>
      <c r="AP1541" s="60" t="s">
        <v>36</v>
      </c>
      <c r="AQ1541" s="58" t="s">
        <v>0</v>
      </c>
      <c r="AR1541" s="58"/>
      <c r="AS1541" s="58"/>
      <c r="AT1541" s="52">
        <v>0</v>
      </c>
      <c r="AU1541" s="52" t="e">
        <f>IF(Master[[#This Row],[RSP StopTime override]] &lt;&gt; "",Master[[#This Row],[RSP StopTime override]],IF(Master[[#This Row],[Avg stop time helper]] &lt;&gt; 0, Master[[#This Row],[Avg stop time helper]],Average_Stop_Time))</f>
        <v>#DIV/0!</v>
      </c>
      <c r="AV1541" s="21"/>
      <c r="AW1541" s="20">
        <f>Master[[#This Row],[RSP StopTime override]]-Master[[#This Row],[Avg stop time helper]]</f>
        <v>0</v>
      </c>
    </row>
    <row r="1542" spans="1:49" x14ac:dyDescent="0.3">
      <c r="A1542" s="66" t="s">
        <v>5539</v>
      </c>
      <c r="B1542" s="58">
        <v>8040</v>
      </c>
      <c r="C1542" s="58" t="s">
        <v>24</v>
      </c>
      <c r="D1542" s="65">
        <v>888021</v>
      </c>
      <c r="E1542" s="65" t="s">
        <v>290</v>
      </c>
      <c r="F1542" s="65" t="s">
        <v>289</v>
      </c>
      <c r="G1542" s="65" t="s">
        <v>288</v>
      </c>
      <c r="H1542" s="65" t="s">
        <v>7</v>
      </c>
      <c r="I1542" s="65" t="s">
        <v>6</v>
      </c>
      <c r="J1542" s="65" t="s">
        <v>5</v>
      </c>
      <c r="K1542" s="65" t="s">
        <v>68</v>
      </c>
      <c r="L1542" s="64" t="s">
        <v>194</v>
      </c>
      <c r="M1542" s="58" t="s">
        <v>193</v>
      </c>
      <c r="N1542" s="58" t="s">
        <v>2</v>
      </c>
      <c r="O1542" s="58">
        <v>180</v>
      </c>
      <c r="P1542" s="58">
        <v>180</v>
      </c>
      <c r="Q1542" s="58">
        <v>0</v>
      </c>
      <c r="R1542" s="58">
        <v>0</v>
      </c>
      <c r="S1542" s="58">
        <v>0</v>
      </c>
      <c r="T1542" s="58">
        <v>0</v>
      </c>
      <c r="U1542" s="58">
        <v>10</v>
      </c>
      <c r="V1542" s="62"/>
      <c r="W1542" s="62"/>
      <c r="X1542" s="63">
        <f>IFERROR(1 -(Master[[#This Row],[Avg Garment Scans per Delivery]]/Master[[#This Row],[Garment Inventory]]), 0)</f>
        <v>0</v>
      </c>
      <c r="Y1542" s="62"/>
      <c r="Z1542" s="62"/>
      <c r="AA1542" s="53">
        <v>59.511250000000004</v>
      </c>
      <c r="AB1542" s="53">
        <v>62.103750000000005</v>
      </c>
      <c r="AC1542" s="53">
        <v>59.648888888888891</v>
      </c>
      <c r="AD1542" s="53">
        <v>60.697777777777787</v>
      </c>
      <c r="AE1542" s="53" t="str">
        <f>_xlfn.XLOOKUP(Master[[#This Row],[cu_id]],'[1]Customer Revenue'!$Q:$Q,'[1]Customer Revenue'!$K:$K, "None")</f>
        <v>None</v>
      </c>
      <c r="AF1542" s="53" t="str">
        <f>_xlfn.XLOOKUP(Master[[#This Row],[cu_id]],'[1]Customer Revenue'!$Q:$Q,'[1]Customer Revenue'!$L:$L, "None")</f>
        <v>None</v>
      </c>
      <c r="AG1542" s="53">
        <v>36.158028571428574</v>
      </c>
      <c r="AH1542" s="53">
        <v>88.524828571428571</v>
      </c>
      <c r="AI1542" s="53">
        <v>60.807500000000005</v>
      </c>
      <c r="AJ1542" s="53">
        <v>60.173333333333339</v>
      </c>
      <c r="AK1542" s="53" t="str">
        <f>_xlfn.XLOOKUP(Master[[#This Row],[cu_id]],'[1]Customer Revenue'!$Q:$Q,'[1]Customer Revenue'!$I:$I, "None")</f>
        <v>None</v>
      </c>
      <c r="AL1542" s="53">
        <v>62.341428571428573</v>
      </c>
      <c r="AM1542" s="61">
        <v>0.375</v>
      </c>
      <c r="AN1542" s="60">
        <v>0.70833333333333337</v>
      </c>
      <c r="AO1542" s="60" t="s">
        <v>36</v>
      </c>
      <c r="AP1542" s="60" t="s">
        <v>36</v>
      </c>
      <c r="AQ1542" s="58" t="s">
        <v>0</v>
      </c>
      <c r="AR1542" s="58"/>
      <c r="AS1542" s="58"/>
      <c r="AT1542" s="52">
        <v>0</v>
      </c>
      <c r="AU1542" s="52">
        <f>IF(Master[[#This Row],[RSP StopTime override]] &lt;&gt; "",Master[[#This Row],[RSP StopTime override]],IF(Master[[#This Row],[Avg stop time helper]] &lt;&gt; 0, Master[[#This Row],[Avg stop time helper]],Average_Stop_Time))</f>
        <v>15</v>
      </c>
      <c r="AV1542" s="21">
        <v>15</v>
      </c>
      <c r="AW1542" s="20">
        <f>Master[[#This Row],[RSP StopTime override]]-Master[[#This Row],[Avg stop time helper]]</f>
        <v>15</v>
      </c>
    </row>
    <row r="1543" spans="1:49" x14ac:dyDescent="0.3">
      <c r="A1543" s="66" t="s">
        <v>5540</v>
      </c>
      <c r="B1543" s="58">
        <v>8040</v>
      </c>
      <c r="C1543" s="58" t="s">
        <v>10</v>
      </c>
      <c r="D1543" s="65">
        <v>882175</v>
      </c>
      <c r="E1543" s="65" t="s">
        <v>287</v>
      </c>
      <c r="F1543" s="65" t="s">
        <v>286</v>
      </c>
      <c r="G1543" s="65" t="s">
        <v>285</v>
      </c>
      <c r="H1543" s="65" t="s">
        <v>7</v>
      </c>
      <c r="I1543" s="65" t="s">
        <v>6</v>
      </c>
      <c r="J1543" s="65" t="s">
        <v>5</v>
      </c>
      <c r="K1543" s="65" t="s">
        <v>115</v>
      </c>
      <c r="L1543" s="64" t="s">
        <v>77</v>
      </c>
      <c r="M1543" s="58" t="s">
        <v>29</v>
      </c>
      <c r="N1543" s="58" t="s">
        <v>2</v>
      </c>
      <c r="O1543" s="58">
        <v>25</v>
      </c>
      <c r="P1543" s="58">
        <v>0</v>
      </c>
      <c r="Q1543" s="58">
        <v>0</v>
      </c>
      <c r="R1543" s="58">
        <v>75</v>
      </c>
      <c r="S1543" s="58">
        <v>0</v>
      </c>
      <c r="T1543" s="58">
        <v>0</v>
      </c>
      <c r="U1543" s="58">
        <v>21</v>
      </c>
      <c r="V1543" s="62"/>
      <c r="W1543" s="62"/>
      <c r="X1543" s="63">
        <f>IFERROR(1 -(Master[[#This Row],[Avg Garment Scans per Delivery]]/Master[[#This Row],[Garment Inventory]]), 0)</f>
        <v>0</v>
      </c>
      <c r="Y1543" s="62"/>
      <c r="Z1543" s="62"/>
      <c r="AA1543" s="53">
        <v>70.88</v>
      </c>
      <c r="AB1543" s="53">
        <v>71.080000000000013</v>
      </c>
      <c r="AC1543" s="53">
        <v>70.840408163265309</v>
      </c>
      <c r="AD1543" s="53">
        <v>72.113877551020394</v>
      </c>
      <c r="AE1543" s="53" t="str">
        <f>_xlfn.XLOOKUP(Master[[#This Row],[cu_id]],'[1]Customer Revenue'!$Q:$Q,'[1]Customer Revenue'!$K:$K, "None")</f>
        <v>None</v>
      </c>
      <c r="AF1543" s="53" t="str">
        <f>_xlfn.XLOOKUP(Master[[#This Row],[cu_id]],'[1]Customer Revenue'!$Q:$Q,'[1]Customer Revenue'!$L:$L, "None")</f>
        <v>None</v>
      </c>
      <c r="AG1543" s="53">
        <v>66.126863905325408</v>
      </c>
      <c r="AH1543" s="53">
        <v>72.383905325443791</v>
      </c>
      <c r="AI1543" s="53">
        <v>70.98</v>
      </c>
      <c r="AJ1543" s="53">
        <v>71.477142857142852</v>
      </c>
      <c r="AK1543" s="53" t="str">
        <f>_xlfn.XLOOKUP(Master[[#This Row],[cu_id]],'[1]Customer Revenue'!$Q:$Q,'[1]Customer Revenue'!$I:$I, "None")</f>
        <v>None</v>
      </c>
      <c r="AL1543" s="53">
        <v>69.2553846153846</v>
      </c>
      <c r="AM1543" s="61">
        <v>0.3125</v>
      </c>
      <c r="AN1543" s="60">
        <v>0.70833333333333337</v>
      </c>
      <c r="AO1543" s="60" t="s">
        <v>36</v>
      </c>
      <c r="AP1543" s="60" t="s">
        <v>36</v>
      </c>
      <c r="AQ1543" s="58" t="s">
        <v>0</v>
      </c>
      <c r="AR1543" s="58"/>
      <c r="AS1543" s="58"/>
      <c r="AT1543" s="52">
        <v>0</v>
      </c>
      <c r="AU1543" s="52" t="e">
        <f>IF(Master[[#This Row],[RSP StopTime override]] &lt;&gt; "",Master[[#This Row],[RSP StopTime override]],IF(Master[[#This Row],[Avg stop time helper]] &lt;&gt; 0, Master[[#This Row],[Avg stop time helper]],Average_Stop_Time))</f>
        <v>#DIV/0!</v>
      </c>
      <c r="AV1543" s="21"/>
      <c r="AW1543" s="20">
        <f>Master[[#This Row],[RSP StopTime override]]-Master[[#This Row],[Avg stop time helper]]</f>
        <v>0</v>
      </c>
    </row>
    <row r="1544" spans="1:49" x14ac:dyDescent="0.3">
      <c r="A1544" s="66" t="s">
        <v>5541</v>
      </c>
      <c r="B1544" s="58">
        <v>8040</v>
      </c>
      <c r="C1544" s="58" t="s">
        <v>43</v>
      </c>
      <c r="D1544" s="65">
        <v>806530</v>
      </c>
      <c r="E1544" s="65" t="s">
        <v>42</v>
      </c>
      <c r="F1544" s="65" t="s">
        <v>284</v>
      </c>
      <c r="G1544" s="65" t="s">
        <v>283</v>
      </c>
      <c r="H1544" s="65" t="s">
        <v>7</v>
      </c>
      <c r="I1544" s="65" t="s">
        <v>6</v>
      </c>
      <c r="J1544" s="65" t="s">
        <v>5</v>
      </c>
      <c r="K1544" s="65" t="s">
        <v>146</v>
      </c>
      <c r="L1544" s="64" t="s">
        <v>67</v>
      </c>
      <c r="M1544" s="58" t="s">
        <v>3</v>
      </c>
      <c r="N1544" s="58" t="s">
        <v>2</v>
      </c>
      <c r="O1544" s="58">
        <v>70</v>
      </c>
      <c r="P1544" s="58">
        <v>0</v>
      </c>
      <c r="Q1544" s="58">
        <v>0</v>
      </c>
      <c r="R1544" s="58">
        <v>0</v>
      </c>
      <c r="S1544" s="58">
        <v>70</v>
      </c>
      <c r="T1544" s="58">
        <v>0</v>
      </c>
      <c r="U1544" s="58">
        <v>38</v>
      </c>
      <c r="V1544" s="62"/>
      <c r="W1544" s="62"/>
      <c r="X1544" s="63">
        <f>IFERROR(1 -(Master[[#This Row],[Avg Garment Scans per Delivery]]/Master[[#This Row],[Garment Inventory]]), 0)</f>
        <v>0</v>
      </c>
      <c r="Y1544" s="62"/>
      <c r="Z1544" s="62"/>
      <c r="AA1544" s="53">
        <v>27.27</v>
      </c>
      <c r="AB1544" s="53">
        <v>27.27</v>
      </c>
      <c r="AC1544" s="53">
        <v>23.796213017751473</v>
      </c>
      <c r="AD1544" s="53">
        <v>28.81301775147929</v>
      </c>
      <c r="AE1544" s="53" t="str">
        <f>_xlfn.XLOOKUP(Master[[#This Row],[cu_id]],'[1]Customer Revenue'!$Q:$Q,'[1]Customer Revenue'!$K:$K, "None")</f>
        <v>None</v>
      </c>
      <c r="AF1544" s="53" t="str">
        <f>_xlfn.XLOOKUP(Master[[#This Row],[cu_id]],'[1]Customer Revenue'!$Q:$Q,'[1]Customer Revenue'!$L:$L, "None")</f>
        <v>None</v>
      </c>
      <c r="AG1544" s="53">
        <v>25.252988165680456</v>
      </c>
      <c r="AH1544" s="53">
        <v>29.287011834319529</v>
      </c>
      <c r="AI1544" s="53">
        <v>27.27</v>
      </c>
      <c r="AJ1544" s="53">
        <v>26.304615384615381</v>
      </c>
      <c r="AK1544" s="53" t="str">
        <f>_xlfn.XLOOKUP(Master[[#This Row],[cu_id]],'[1]Customer Revenue'!$Q:$Q,'[1]Customer Revenue'!$I:$I, "None")</f>
        <v>None</v>
      </c>
      <c r="AL1544" s="53">
        <v>27.269999999999992</v>
      </c>
      <c r="AM1544" s="61">
        <v>0.33333333333333331</v>
      </c>
      <c r="AN1544" s="60">
        <v>0.70833333333333337</v>
      </c>
      <c r="AO1544" s="60" t="s">
        <v>36</v>
      </c>
      <c r="AP1544" s="60" t="s">
        <v>36</v>
      </c>
      <c r="AQ1544" s="58" t="s">
        <v>0</v>
      </c>
      <c r="AR1544" s="58"/>
      <c r="AS1544" s="58"/>
      <c r="AT1544" s="52">
        <v>0</v>
      </c>
      <c r="AU1544" s="52" t="e">
        <f>IF(Master[[#This Row],[RSP StopTime override]] &lt;&gt; "",Master[[#This Row],[RSP StopTime override]],IF(Master[[#This Row],[Avg stop time helper]] &lt;&gt; 0, Master[[#This Row],[Avg stop time helper]],Average_Stop_Time))</f>
        <v>#DIV/0!</v>
      </c>
      <c r="AV1544" s="21"/>
      <c r="AW1544" s="20">
        <f>Master[[#This Row],[RSP StopTime override]]-Master[[#This Row],[Avg stop time helper]]</f>
        <v>0</v>
      </c>
    </row>
    <row r="1545" spans="1:49" x14ac:dyDescent="0.3">
      <c r="A1545" s="66" t="s">
        <v>5542</v>
      </c>
      <c r="B1545" s="58">
        <v>8040</v>
      </c>
      <c r="C1545" s="58" t="s">
        <v>35</v>
      </c>
      <c r="D1545" s="65">
        <v>808881</v>
      </c>
      <c r="E1545" s="65" t="s">
        <v>42</v>
      </c>
      <c r="F1545" s="65" t="s">
        <v>282</v>
      </c>
      <c r="G1545" s="65" t="s">
        <v>281</v>
      </c>
      <c r="H1545" s="65" t="s">
        <v>7</v>
      </c>
      <c r="I1545" s="65" t="s">
        <v>6</v>
      </c>
      <c r="J1545" s="65" t="s">
        <v>5</v>
      </c>
      <c r="K1545" s="65" t="s">
        <v>68</v>
      </c>
      <c r="L1545" s="64" t="s">
        <v>77</v>
      </c>
      <c r="M1545" s="58" t="s">
        <v>29</v>
      </c>
      <c r="N1545" s="58" t="s">
        <v>2</v>
      </c>
      <c r="O1545" s="58">
        <v>70</v>
      </c>
      <c r="P1545" s="58">
        <v>0</v>
      </c>
      <c r="Q1545" s="58">
        <v>70</v>
      </c>
      <c r="R1545" s="58">
        <v>0</v>
      </c>
      <c r="S1545" s="58">
        <v>0</v>
      </c>
      <c r="T1545" s="58">
        <v>0</v>
      </c>
      <c r="U1545" s="58">
        <v>19</v>
      </c>
      <c r="V1545" s="62"/>
      <c r="W1545" s="62"/>
      <c r="X1545" s="63">
        <f>IFERROR(1 -(Master[[#This Row],[Avg Garment Scans per Delivery]]/Master[[#This Row],[Garment Inventory]]), 0)</f>
        <v>0</v>
      </c>
      <c r="Y1545" s="62"/>
      <c r="Z1545" s="62"/>
      <c r="AA1545" s="53">
        <v>36.389999999999986</v>
      </c>
      <c r="AB1545" s="53">
        <v>36.39</v>
      </c>
      <c r="AC1545" s="53">
        <v>36.262653061224491</v>
      </c>
      <c r="AD1545" s="53">
        <v>37.111632653061228</v>
      </c>
      <c r="AE1545" s="53" t="str">
        <f>_xlfn.XLOOKUP(Master[[#This Row],[cu_id]],'[1]Customer Revenue'!$Q:$Q,'[1]Customer Revenue'!$K:$K, "None")</f>
        <v>None</v>
      </c>
      <c r="AF1545" s="53" t="str">
        <f>_xlfn.XLOOKUP(Master[[#This Row],[cu_id]],'[1]Customer Revenue'!$Q:$Q,'[1]Customer Revenue'!$L:$L, "None")</f>
        <v>None</v>
      </c>
      <c r="AG1545" s="53">
        <v>34.721715976331346</v>
      </c>
      <c r="AH1545" s="53">
        <v>36.885976331360943</v>
      </c>
      <c r="AI1545" s="53">
        <v>36.389999999999993</v>
      </c>
      <c r="AJ1545" s="53">
        <v>36.687142857142859</v>
      </c>
      <c r="AK1545" s="53" t="str">
        <f>_xlfn.XLOOKUP(Master[[#This Row],[cu_id]],'[1]Customer Revenue'!$Q:$Q,'[1]Customer Revenue'!$I:$I, "None")</f>
        <v>None</v>
      </c>
      <c r="AL1545" s="53">
        <v>35.803846153846145</v>
      </c>
      <c r="AM1545" s="61" t="s">
        <v>36</v>
      </c>
      <c r="AN1545" s="60" t="s">
        <v>36</v>
      </c>
      <c r="AO1545" s="60" t="s">
        <v>36</v>
      </c>
      <c r="AP1545" s="60" t="s">
        <v>36</v>
      </c>
      <c r="AQ1545" s="58" t="s">
        <v>0</v>
      </c>
      <c r="AR1545" s="58"/>
      <c r="AS1545" s="58"/>
      <c r="AT1545" s="52">
        <v>0</v>
      </c>
      <c r="AU1545" s="52" t="e">
        <f>IF(Master[[#This Row],[RSP StopTime override]] &lt;&gt; "",Master[[#This Row],[RSP StopTime override]],IF(Master[[#This Row],[Avg stop time helper]] &lt;&gt; 0, Master[[#This Row],[Avg stop time helper]],Average_Stop_Time))</f>
        <v>#DIV/0!</v>
      </c>
      <c r="AV1545" s="21"/>
      <c r="AW1545" s="20">
        <f>Master[[#This Row],[RSP StopTime override]]-Master[[#This Row],[Avg stop time helper]]</f>
        <v>0</v>
      </c>
    </row>
    <row r="1546" spans="1:49" x14ac:dyDescent="0.3">
      <c r="A1546" s="66" t="s">
        <v>5543</v>
      </c>
      <c r="B1546" s="58">
        <v>8040</v>
      </c>
      <c r="C1546" s="58" t="s">
        <v>10</v>
      </c>
      <c r="D1546" s="65">
        <v>803957</v>
      </c>
      <c r="E1546" s="65" t="s">
        <v>42</v>
      </c>
      <c r="F1546" s="65" t="s">
        <v>280</v>
      </c>
      <c r="G1546" s="65" t="s">
        <v>279</v>
      </c>
      <c r="H1546" s="65" t="s">
        <v>7</v>
      </c>
      <c r="I1546" s="65" t="s">
        <v>6</v>
      </c>
      <c r="J1546" s="65" t="s">
        <v>5</v>
      </c>
      <c r="K1546" s="65" t="s">
        <v>115</v>
      </c>
      <c r="L1546" s="64" t="s">
        <v>91</v>
      </c>
      <c r="M1546" s="58" t="s">
        <v>90</v>
      </c>
      <c r="N1546" s="58" t="s">
        <v>2</v>
      </c>
      <c r="O1546" s="58">
        <v>90</v>
      </c>
      <c r="P1546" s="58">
        <v>0</v>
      </c>
      <c r="Q1546" s="58">
        <v>0</v>
      </c>
      <c r="R1546" s="58">
        <v>59</v>
      </c>
      <c r="S1546" s="58">
        <v>0</v>
      </c>
      <c r="T1546" s="58">
        <v>0</v>
      </c>
      <c r="U1546" s="58">
        <v>20</v>
      </c>
      <c r="V1546" s="62"/>
      <c r="W1546" s="62"/>
      <c r="X1546" s="63">
        <f>IFERROR(1 -(Master[[#This Row],[Avg Garment Scans per Delivery]]/Master[[#This Row],[Garment Inventory]]), 0)</f>
        <v>0</v>
      </c>
      <c r="Y1546" s="62"/>
      <c r="Z1546" s="62"/>
      <c r="AA1546" s="53">
        <v>42.041428571428568</v>
      </c>
      <c r="AB1546" s="53">
        <v>76.738571428571419</v>
      </c>
      <c r="AC1546" s="53">
        <v>39.543333333333337</v>
      </c>
      <c r="AD1546" s="53">
        <v>74.963333333333324</v>
      </c>
      <c r="AE1546" s="53" t="str">
        <f>_xlfn.XLOOKUP(Master[[#This Row],[cu_id]],'[1]Customer Revenue'!$Q:$Q,'[1]Customer Revenue'!$K:$K, "None")</f>
        <v>None</v>
      </c>
      <c r="AF1546" s="53" t="str">
        <f>_xlfn.XLOOKUP(Master[[#This Row],[cu_id]],'[1]Customer Revenue'!$Q:$Q,'[1]Customer Revenue'!$L:$L, "None")</f>
        <v>None</v>
      </c>
      <c r="AG1546" s="53">
        <v>40.617100591715968</v>
      </c>
      <c r="AH1546" s="53">
        <v>75.827514792899393</v>
      </c>
      <c r="AI1546" s="53">
        <v>59.389999999999993</v>
      </c>
      <c r="AJ1546" s="53">
        <v>57.25333333333333</v>
      </c>
      <c r="AK1546" s="53" t="str">
        <f>_xlfn.XLOOKUP(Master[[#This Row],[cu_id]],'[1]Customer Revenue'!$Q:$Q,'[1]Customer Revenue'!$I:$I, "None")</f>
        <v>None</v>
      </c>
      <c r="AL1546" s="53">
        <v>58.22230769230768</v>
      </c>
      <c r="AM1546" s="61" t="s">
        <v>36</v>
      </c>
      <c r="AN1546" s="60" t="s">
        <v>36</v>
      </c>
      <c r="AO1546" s="60" t="s">
        <v>36</v>
      </c>
      <c r="AP1546" s="60" t="s">
        <v>36</v>
      </c>
      <c r="AQ1546" s="58" t="s">
        <v>0</v>
      </c>
      <c r="AR1546" s="58"/>
      <c r="AS1546" s="58"/>
      <c r="AT1546" s="52">
        <v>0</v>
      </c>
      <c r="AU1546" s="52" t="e">
        <f>IF(Master[[#This Row],[RSP StopTime override]] &lt;&gt; "",Master[[#This Row],[RSP StopTime override]],IF(Master[[#This Row],[Avg stop time helper]] &lt;&gt; 0, Master[[#This Row],[Avg stop time helper]],Average_Stop_Time))</f>
        <v>#DIV/0!</v>
      </c>
      <c r="AV1546" s="21"/>
      <c r="AW1546" s="20">
        <f>Master[[#This Row],[RSP StopTime override]]-Master[[#This Row],[Avg stop time helper]]</f>
        <v>0</v>
      </c>
    </row>
    <row r="1547" spans="1:49" x14ac:dyDescent="0.3">
      <c r="A1547" s="66" t="s">
        <v>5544</v>
      </c>
      <c r="B1547" s="58">
        <v>8040</v>
      </c>
      <c r="C1547" s="58" t="s">
        <v>43</v>
      </c>
      <c r="D1547" s="65">
        <v>806121</v>
      </c>
      <c r="E1547" s="65" t="s">
        <v>42</v>
      </c>
      <c r="F1547" s="65" t="s">
        <v>278</v>
      </c>
      <c r="G1547" s="65" t="s">
        <v>277</v>
      </c>
      <c r="H1547" s="65" t="s">
        <v>7</v>
      </c>
      <c r="I1547" s="65" t="s">
        <v>6</v>
      </c>
      <c r="J1547" s="65" t="s">
        <v>5</v>
      </c>
      <c r="K1547" s="65" t="s">
        <v>276</v>
      </c>
      <c r="L1547" s="64" t="s">
        <v>67</v>
      </c>
      <c r="M1547" s="58" t="s">
        <v>3</v>
      </c>
      <c r="N1547" s="58" t="s">
        <v>2</v>
      </c>
      <c r="O1547" s="58">
        <v>20</v>
      </c>
      <c r="P1547" s="58">
        <v>0</v>
      </c>
      <c r="Q1547" s="58">
        <v>0</v>
      </c>
      <c r="R1547" s="58">
        <v>0</v>
      </c>
      <c r="S1547" s="58">
        <v>20</v>
      </c>
      <c r="T1547" s="58">
        <v>0</v>
      </c>
      <c r="U1547" s="58">
        <v>39</v>
      </c>
      <c r="V1547" s="62"/>
      <c r="W1547" s="62"/>
      <c r="X1547" s="63">
        <f>IFERROR(1 -(Master[[#This Row],[Avg Garment Scans per Delivery]]/Master[[#This Row],[Garment Inventory]]), 0)</f>
        <v>0</v>
      </c>
      <c r="Y1547" s="62"/>
      <c r="Z1547" s="62"/>
      <c r="AA1547" s="53">
        <v>27.734378698224845</v>
      </c>
      <c r="AB1547" s="53">
        <v>49.559467455621302</v>
      </c>
      <c r="AC1547" s="53">
        <v>26.739408284023661</v>
      </c>
      <c r="AD1547" s="53">
        <v>48.275976331360944</v>
      </c>
      <c r="AE1547" s="53" t="str">
        <f>_xlfn.XLOOKUP(Master[[#This Row],[cu_id]],'[1]Customer Revenue'!$Q:$Q,'[1]Customer Revenue'!$K:$K, "None")</f>
        <v>None</v>
      </c>
      <c r="AF1547" s="53" t="str">
        <f>_xlfn.XLOOKUP(Master[[#This Row],[cu_id]],'[1]Customer Revenue'!$Q:$Q,'[1]Customer Revenue'!$L:$L, "None")</f>
        <v>None</v>
      </c>
      <c r="AG1547" s="53">
        <v>25.533076923076926</v>
      </c>
      <c r="AH1547" s="53">
        <v>49.976153846153856</v>
      </c>
      <c r="AI1547" s="53">
        <v>38.646923076923073</v>
      </c>
      <c r="AJ1547" s="53">
        <v>37.507692307692302</v>
      </c>
      <c r="AK1547" s="53" t="str">
        <f>_xlfn.XLOOKUP(Master[[#This Row],[cu_id]],'[1]Customer Revenue'!$Q:$Q,'[1]Customer Revenue'!$I:$I, "None")</f>
        <v>None</v>
      </c>
      <c r="AL1547" s="53">
        <v>37.754615384615391</v>
      </c>
      <c r="AM1547" s="61">
        <v>0.3125</v>
      </c>
      <c r="AN1547" s="60">
        <v>0.70833333333333337</v>
      </c>
      <c r="AO1547" s="60" t="s">
        <v>36</v>
      </c>
      <c r="AP1547" s="60" t="s">
        <v>36</v>
      </c>
      <c r="AQ1547" s="58" t="s">
        <v>0</v>
      </c>
      <c r="AR1547" s="58"/>
      <c r="AS1547" s="58"/>
      <c r="AT1547" s="52">
        <v>0</v>
      </c>
      <c r="AU1547" s="52" t="e">
        <f>IF(Master[[#This Row],[RSP StopTime override]] &lt;&gt; "",Master[[#This Row],[RSP StopTime override]],IF(Master[[#This Row],[Avg stop time helper]] &lt;&gt; 0, Master[[#This Row],[Avg stop time helper]],Average_Stop_Time))</f>
        <v>#DIV/0!</v>
      </c>
      <c r="AV1547" s="21"/>
      <c r="AW1547" s="20">
        <f>Master[[#This Row],[RSP StopTime override]]-Master[[#This Row],[Avg stop time helper]]</f>
        <v>0</v>
      </c>
    </row>
    <row r="1548" spans="1:49" x14ac:dyDescent="0.3">
      <c r="A1548" s="66" t="s">
        <v>5545</v>
      </c>
      <c r="B1548" s="58">
        <v>8040</v>
      </c>
      <c r="C1548" s="58" t="s">
        <v>15</v>
      </c>
      <c r="D1548" s="65">
        <v>807051</v>
      </c>
      <c r="E1548" s="65" t="s">
        <v>42</v>
      </c>
      <c r="F1548" s="65" t="s">
        <v>275</v>
      </c>
      <c r="G1548" s="65" t="s">
        <v>274</v>
      </c>
      <c r="H1548" s="65" t="s">
        <v>273</v>
      </c>
      <c r="I1548" s="65" t="s">
        <v>6</v>
      </c>
      <c r="J1548" s="65" t="s">
        <v>5</v>
      </c>
      <c r="K1548" s="65" t="s">
        <v>115</v>
      </c>
      <c r="L1548" s="64" t="s">
        <v>77</v>
      </c>
      <c r="M1548" s="58" t="s">
        <v>29</v>
      </c>
      <c r="N1548" s="58" t="s">
        <v>2</v>
      </c>
      <c r="O1548" s="58">
        <v>50</v>
      </c>
      <c r="P1548" s="58">
        <v>0</v>
      </c>
      <c r="Q1548" s="58">
        <v>0</v>
      </c>
      <c r="R1548" s="58">
        <v>0</v>
      </c>
      <c r="S1548" s="58">
        <v>0</v>
      </c>
      <c r="T1548" s="58">
        <v>50</v>
      </c>
      <c r="U1548" s="58">
        <v>19</v>
      </c>
      <c r="V1548" s="62"/>
      <c r="W1548" s="62"/>
      <c r="X1548" s="63">
        <f>IFERROR(1 -(Master[[#This Row],[Avg Garment Scans per Delivery]]/Master[[#This Row],[Garment Inventory]]), 0)</f>
        <v>0</v>
      </c>
      <c r="Y1548" s="62"/>
      <c r="Z1548" s="62"/>
      <c r="AA1548" s="53">
        <v>22.805555555555554</v>
      </c>
      <c r="AB1548" s="53">
        <v>26.377777777777776</v>
      </c>
      <c r="AC1548" s="53">
        <v>23.388888888888886</v>
      </c>
      <c r="AD1548" s="53">
        <v>24.437777777777775</v>
      </c>
      <c r="AE1548" s="53" t="str">
        <f>_xlfn.XLOOKUP(Master[[#This Row],[cu_id]],'[1]Customer Revenue'!$Q:$Q,'[1]Customer Revenue'!$K:$K, "None")</f>
        <v>None</v>
      </c>
      <c r="AF1548" s="53" t="str">
        <f>_xlfn.XLOOKUP(Master[[#This Row],[cu_id]],'[1]Customer Revenue'!$Q:$Q,'[1]Customer Revenue'!$L:$L, "None")</f>
        <v>None</v>
      </c>
      <c r="AG1548" s="53">
        <v>22.126454635108473</v>
      </c>
      <c r="AH1548" s="53">
        <v>32.415212031558184</v>
      </c>
      <c r="AI1548" s="53">
        <v>24.591666666666665</v>
      </c>
      <c r="AJ1548" s="53">
        <v>23.91333333333333</v>
      </c>
      <c r="AK1548" s="53" t="str">
        <f>_xlfn.XLOOKUP(Master[[#This Row],[cu_id]],'[1]Customer Revenue'!$Q:$Q,'[1]Customer Revenue'!$I:$I, "None")</f>
        <v>None</v>
      </c>
      <c r="AL1548" s="53">
        <v>27.270833333333329</v>
      </c>
      <c r="AM1548" s="61">
        <v>0.33333333333333331</v>
      </c>
      <c r="AN1548" s="60">
        <v>0.75</v>
      </c>
      <c r="AO1548" s="60" t="s">
        <v>36</v>
      </c>
      <c r="AP1548" s="60" t="s">
        <v>36</v>
      </c>
      <c r="AQ1548" s="58" t="s">
        <v>0</v>
      </c>
      <c r="AR1548" s="58"/>
      <c r="AS1548" s="58"/>
      <c r="AT1548" s="52">
        <v>0</v>
      </c>
      <c r="AU1548" s="52" t="e">
        <f>IF(Master[[#This Row],[RSP StopTime override]] &lt;&gt; "",Master[[#This Row],[RSP StopTime override]],IF(Master[[#This Row],[Avg stop time helper]] &lt;&gt; 0, Master[[#This Row],[Avg stop time helper]],Average_Stop_Time))</f>
        <v>#DIV/0!</v>
      </c>
      <c r="AV1548" s="21"/>
      <c r="AW1548" s="51">
        <f>Master[[#This Row],[RSP StopTime override]]-Master[[#This Row],[Avg stop time helper]]</f>
        <v>0</v>
      </c>
    </row>
    <row r="1549" spans="1:49" x14ac:dyDescent="0.3">
      <c r="A1549" s="66" t="s">
        <v>5546</v>
      </c>
      <c r="B1549" s="58">
        <v>8040</v>
      </c>
      <c r="C1549" s="58" t="s">
        <v>10</v>
      </c>
      <c r="D1549" s="65">
        <v>882175</v>
      </c>
      <c r="E1549" s="65" t="s">
        <v>272</v>
      </c>
      <c r="F1549" s="65" t="s">
        <v>271</v>
      </c>
      <c r="G1549" s="65" t="s">
        <v>270</v>
      </c>
      <c r="H1549" s="65" t="s">
        <v>7</v>
      </c>
      <c r="I1549" s="65" t="s">
        <v>6</v>
      </c>
      <c r="J1549" s="65" t="s">
        <v>5</v>
      </c>
      <c r="K1549" s="65" t="s">
        <v>146</v>
      </c>
      <c r="L1549" s="64" t="s">
        <v>67</v>
      </c>
      <c r="M1549" s="58" t="s">
        <v>3</v>
      </c>
      <c r="N1549" s="58" t="s">
        <v>2</v>
      </c>
      <c r="O1549" s="58">
        <v>30</v>
      </c>
      <c r="P1549" s="58">
        <v>0</v>
      </c>
      <c r="Q1549" s="58">
        <v>0</v>
      </c>
      <c r="R1549" s="58">
        <v>80</v>
      </c>
      <c r="S1549" s="58">
        <v>0</v>
      </c>
      <c r="T1549" s="58">
        <v>0</v>
      </c>
      <c r="U1549" s="58">
        <v>41</v>
      </c>
      <c r="V1549" s="62">
        <v>22</v>
      </c>
      <c r="W1549" s="62">
        <v>2</v>
      </c>
      <c r="X1549" s="63">
        <f>IFERROR(1 -(Master[[#This Row],[Avg Garment Scans per Delivery]]/Master[[#This Row],[Garment Inventory]]), 0)</f>
        <v>0.90909090909090906</v>
      </c>
      <c r="Y1549" s="62">
        <v>1</v>
      </c>
      <c r="Z1549" s="62">
        <v>22</v>
      </c>
      <c r="AA1549" s="53">
        <v>4.8499408284023708</v>
      </c>
      <c r="AB1549" s="53">
        <v>65.402366863905328</v>
      </c>
      <c r="AC1549" s="53">
        <v>9.7013609467455595</v>
      </c>
      <c r="AD1549" s="53">
        <v>82.235562130177527</v>
      </c>
      <c r="AE1549" s="53" t="str">
        <f>_xlfn.XLOOKUP(Master[[#This Row],[cu_id]],'[1]Customer Revenue'!$Q:$Q,'[1]Customer Revenue'!$K:$K, "None")</f>
        <v>None</v>
      </c>
      <c r="AF1549" s="53" t="str">
        <f>_xlfn.XLOOKUP(Master[[#This Row],[cu_id]],'[1]Customer Revenue'!$Q:$Q,'[1]Customer Revenue'!$L:$L, "None")</f>
        <v>None</v>
      </c>
      <c r="AG1549" s="53">
        <v>5.7554320987654357</v>
      </c>
      <c r="AH1549" s="53">
        <v>65.791975308641952</v>
      </c>
      <c r="AI1549" s="53">
        <v>35.126153846153848</v>
      </c>
      <c r="AJ1549" s="53">
        <v>45.96846153846154</v>
      </c>
      <c r="AK1549" s="53" t="str">
        <f>_xlfn.XLOOKUP(Master[[#This Row],[cu_id]],'[1]Customer Revenue'!$Q:$Q,'[1]Customer Revenue'!$I:$I, "None")</f>
        <v>None</v>
      </c>
      <c r="AL1549" s="53">
        <v>35.773703703703696</v>
      </c>
      <c r="AM1549" s="61">
        <v>0.3125</v>
      </c>
      <c r="AN1549" s="60">
        <v>0.70833333333333337</v>
      </c>
      <c r="AO1549" s="60" t="s">
        <v>36</v>
      </c>
      <c r="AP1549" s="60" t="s">
        <v>36</v>
      </c>
      <c r="AQ1549" s="58" t="s">
        <v>0</v>
      </c>
      <c r="AR1549" s="58"/>
      <c r="AS1549" s="58"/>
      <c r="AT1549" s="52">
        <v>0</v>
      </c>
      <c r="AU1549" s="52" t="e">
        <f>IF(Master[[#This Row],[RSP StopTime override]] &lt;&gt; "",Master[[#This Row],[RSP StopTime override]],IF(Master[[#This Row],[Avg stop time helper]] &lt;&gt; 0, Master[[#This Row],[Avg stop time helper]],Average_Stop_Time))</f>
        <v>#DIV/0!</v>
      </c>
      <c r="AV1549" s="21"/>
      <c r="AW1549" s="20">
        <f>Master[[#This Row],[RSP StopTime override]]-Master[[#This Row],[Avg stop time helper]]</f>
        <v>0</v>
      </c>
    </row>
    <row r="1550" spans="1:49" x14ac:dyDescent="0.3">
      <c r="A1550" s="66" t="s">
        <v>5547</v>
      </c>
      <c r="B1550" s="58">
        <v>8040</v>
      </c>
      <c r="C1550" s="58" t="s">
        <v>15</v>
      </c>
      <c r="D1550" s="65">
        <v>809425</v>
      </c>
      <c r="E1550" s="65" t="s">
        <v>42</v>
      </c>
      <c r="F1550" s="65" t="s">
        <v>269</v>
      </c>
      <c r="G1550" s="65" t="s">
        <v>268</v>
      </c>
      <c r="H1550" s="65" t="s">
        <v>7</v>
      </c>
      <c r="I1550" s="65" t="s">
        <v>6</v>
      </c>
      <c r="J1550" s="65" t="s">
        <v>5</v>
      </c>
      <c r="K1550" s="65" t="s">
        <v>115</v>
      </c>
      <c r="L1550" s="64" t="s">
        <v>67</v>
      </c>
      <c r="M1550" s="58" t="s">
        <v>3</v>
      </c>
      <c r="N1550" s="58" t="s">
        <v>2</v>
      </c>
      <c r="O1550" s="58">
        <v>30</v>
      </c>
      <c r="P1550" s="58">
        <v>0</v>
      </c>
      <c r="Q1550" s="58">
        <v>0</v>
      </c>
      <c r="R1550" s="58">
        <v>0</v>
      </c>
      <c r="S1550" s="58">
        <v>0</v>
      </c>
      <c r="T1550" s="58">
        <v>30</v>
      </c>
      <c r="U1550" s="58">
        <v>39</v>
      </c>
      <c r="V1550" s="62"/>
      <c r="W1550" s="62"/>
      <c r="X1550" s="63">
        <f>IFERROR(1 -(Master[[#This Row],[Avg Garment Scans per Delivery]]/Master[[#This Row],[Garment Inventory]]), 0)</f>
        <v>0</v>
      </c>
      <c r="Y1550" s="62"/>
      <c r="Z1550" s="62"/>
      <c r="AA1550" s="53">
        <v>30.509999999999998</v>
      </c>
      <c r="AB1550" s="53">
        <v>47.193333333333335</v>
      </c>
      <c r="AC1550" s="53">
        <v>21.557928994082857</v>
      </c>
      <c r="AD1550" s="53">
        <v>115.52668639053255</v>
      </c>
      <c r="AE1550" s="53" t="str">
        <f>_xlfn.XLOOKUP(Master[[#This Row],[cu_id]],'[1]Customer Revenue'!$Q:$Q,'[1]Customer Revenue'!$K:$K, "None")</f>
        <v>None</v>
      </c>
      <c r="AF1550" s="53" t="str">
        <f>_xlfn.XLOOKUP(Master[[#This Row],[cu_id]],'[1]Customer Revenue'!$Q:$Q,'[1]Customer Revenue'!$L:$L, "None")</f>
        <v>None</v>
      </c>
      <c r="AG1550" s="53">
        <v>28.76471999999999</v>
      </c>
      <c r="AH1550" s="53">
        <v>45.743279999999992</v>
      </c>
      <c r="AI1550" s="53">
        <v>38.851666666666667</v>
      </c>
      <c r="AJ1550" s="53">
        <v>68.542307692307702</v>
      </c>
      <c r="AK1550" s="53" t="str">
        <f>_xlfn.XLOOKUP(Master[[#This Row],[cu_id]],'[1]Customer Revenue'!$Q:$Q,'[1]Customer Revenue'!$I:$I, "None")</f>
        <v>None</v>
      </c>
      <c r="AL1550" s="53">
        <v>37.253999999999991</v>
      </c>
      <c r="AM1550" s="61">
        <v>0.33333333333333331</v>
      </c>
      <c r="AN1550" s="60">
        <v>0.79166666666666663</v>
      </c>
      <c r="AO1550" s="60" t="s">
        <v>36</v>
      </c>
      <c r="AP1550" s="60" t="s">
        <v>36</v>
      </c>
      <c r="AQ1550" s="58" t="s">
        <v>0</v>
      </c>
      <c r="AR1550" s="58"/>
      <c r="AS1550" s="58"/>
      <c r="AT1550" s="52">
        <v>0</v>
      </c>
      <c r="AU1550" s="52" t="e">
        <f>IF(Master[[#This Row],[RSP StopTime override]] &lt;&gt; "",Master[[#This Row],[RSP StopTime override]],IF(Master[[#This Row],[Avg stop time helper]] &lt;&gt; 0, Master[[#This Row],[Avg stop time helper]],Average_Stop_Time))</f>
        <v>#DIV/0!</v>
      </c>
      <c r="AV1550" s="21"/>
      <c r="AW1550" s="20">
        <f>Master[[#This Row],[RSP StopTime override]]-Master[[#This Row],[Avg stop time helper]]</f>
        <v>0</v>
      </c>
    </row>
    <row r="1551" spans="1:49" x14ac:dyDescent="0.3">
      <c r="A1551" s="59" t="s">
        <v>5548</v>
      </c>
      <c r="B1551" s="29">
        <v>8040</v>
      </c>
      <c r="C1551" s="29" t="s">
        <v>10</v>
      </c>
      <c r="D1551" s="31">
        <v>808717</v>
      </c>
      <c r="E1551" s="31" t="s">
        <v>42</v>
      </c>
      <c r="F1551" s="31" t="s">
        <v>267</v>
      </c>
      <c r="G1551" s="31" t="s">
        <v>266</v>
      </c>
      <c r="H1551" s="31" t="s">
        <v>7</v>
      </c>
      <c r="I1551" s="31" t="s">
        <v>6</v>
      </c>
      <c r="J1551" s="31" t="s">
        <v>5</v>
      </c>
      <c r="K1551" s="31" t="s">
        <v>115</v>
      </c>
      <c r="L1551" s="30" t="s">
        <v>67</v>
      </c>
      <c r="M1551" s="29" t="s">
        <v>3</v>
      </c>
      <c r="N1551" s="29" t="s">
        <v>2</v>
      </c>
      <c r="O1551" s="29">
        <v>130</v>
      </c>
      <c r="P1551" s="29">
        <v>0</v>
      </c>
      <c r="Q1551" s="29">
        <v>0</v>
      </c>
      <c r="R1551" s="29">
        <v>58</v>
      </c>
      <c r="S1551" s="29">
        <v>0</v>
      </c>
      <c r="T1551" s="29">
        <v>0</v>
      </c>
      <c r="U1551" s="29">
        <v>39</v>
      </c>
      <c r="V1551" s="27"/>
      <c r="W1551" s="27"/>
      <c r="X1551" s="28">
        <f>IFERROR(1 -(Master[[#This Row],[Avg Garment Scans per Delivery]]/Master[[#This Row],[Garment Inventory]]), 0)</f>
        <v>0</v>
      </c>
      <c r="Y1551" s="27"/>
      <c r="Z1551" s="27"/>
      <c r="AA1551" s="53">
        <v>71.444082840236689</v>
      </c>
      <c r="AB1551" s="53">
        <v>133.16668639053253</v>
      </c>
      <c r="AC1551" s="53">
        <v>56.680177514792916</v>
      </c>
      <c r="AD1551" s="53">
        <v>160.30289940828405</v>
      </c>
      <c r="AE1551" s="53" t="str">
        <f>_xlfn.XLOOKUP(Master[[#This Row],[cu_id]],'[1]Customer Revenue'!$Q:$Q,'[1]Customer Revenue'!$K:$K, "None")</f>
        <v>None</v>
      </c>
      <c r="AF1551" s="53" t="str">
        <f>_xlfn.XLOOKUP(Master[[#This Row],[cu_id]],'[1]Customer Revenue'!$Q:$Q,'[1]Customer Revenue'!$L:$L, "None")</f>
        <v>None</v>
      </c>
      <c r="AG1551" s="53">
        <v>69.792248520710046</v>
      </c>
      <c r="AH1551" s="53">
        <v>123.83467455621297</v>
      </c>
      <c r="AI1551" s="53">
        <v>102.30538461538461</v>
      </c>
      <c r="AJ1551" s="53">
        <v>108.49153846153848</v>
      </c>
      <c r="AK1551" s="53" t="str">
        <f>_xlfn.XLOOKUP(Master[[#This Row],[cu_id]],'[1]Customer Revenue'!$Q:$Q,'[1]Customer Revenue'!$I:$I, "None")</f>
        <v>None</v>
      </c>
      <c r="AL1551" s="53">
        <v>96.81346153846151</v>
      </c>
      <c r="AM1551" s="25" t="s">
        <v>36</v>
      </c>
      <c r="AN1551" s="24" t="s">
        <v>36</v>
      </c>
      <c r="AO1551" s="24" t="s">
        <v>36</v>
      </c>
      <c r="AP1551" s="24" t="s">
        <v>36</v>
      </c>
      <c r="AQ1551" s="58" t="s">
        <v>0</v>
      </c>
      <c r="AR1551" s="29"/>
      <c r="AS1551" s="29"/>
      <c r="AT1551" s="22">
        <v>0</v>
      </c>
      <c r="AU1551" s="22" t="e">
        <f>IF(Master[[#This Row],[RSP StopTime override]] &lt;&gt; "",Master[[#This Row],[RSP StopTime override]],IF(Master[[#This Row],[Avg stop time helper]] &lt;&gt; 0, Master[[#This Row],[Avg stop time helper]],Average_Stop_Time))</f>
        <v>#DIV/0!</v>
      </c>
      <c r="AV1551" s="54"/>
      <c r="AW1551" s="20">
        <f>Master[[#This Row],[RSP StopTime override]]-Master[[#This Row],[Avg stop time helper]]</f>
        <v>0</v>
      </c>
    </row>
    <row r="1552" spans="1:49" x14ac:dyDescent="0.3">
      <c r="A1552" s="49" t="s">
        <v>5549</v>
      </c>
      <c r="B1552" s="41">
        <v>8040</v>
      </c>
      <c r="C1552" s="41" t="s">
        <v>35</v>
      </c>
      <c r="D1552" s="48">
        <v>806847</v>
      </c>
      <c r="E1552" s="48" t="s">
        <v>42</v>
      </c>
      <c r="F1552" s="48" t="s">
        <v>265</v>
      </c>
      <c r="G1552" s="48" t="s">
        <v>264</v>
      </c>
      <c r="H1552" s="48" t="s">
        <v>7</v>
      </c>
      <c r="I1552" s="48" t="s">
        <v>6</v>
      </c>
      <c r="J1552" s="48" t="s">
        <v>5</v>
      </c>
      <c r="K1552" s="48" t="s">
        <v>68</v>
      </c>
      <c r="L1552" s="47" t="s">
        <v>67</v>
      </c>
      <c r="M1552" s="41" t="s">
        <v>3</v>
      </c>
      <c r="N1552" s="41" t="s">
        <v>2</v>
      </c>
      <c r="O1552" s="41">
        <v>85</v>
      </c>
      <c r="P1552" s="41">
        <v>0</v>
      </c>
      <c r="Q1552" s="41">
        <v>85</v>
      </c>
      <c r="R1552" s="41">
        <v>0</v>
      </c>
      <c r="S1552" s="41">
        <v>0</v>
      </c>
      <c r="T1552" s="41">
        <v>0</v>
      </c>
      <c r="U1552" s="41">
        <v>39</v>
      </c>
      <c r="V1552" s="45">
        <v>66</v>
      </c>
      <c r="W1552" s="45">
        <v>5</v>
      </c>
      <c r="X1552" s="46">
        <f>IFERROR(1 -(Master[[#This Row],[Avg Garment Scans per Delivery]]/Master[[#This Row],[Garment Inventory]]), 0)</f>
        <v>0.9242424242424242</v>
      </c>
      <c r="Y1552" s="45">
        <v>3</v>
      </c>
      <c r="Z1552" s="45">
        <v>56</v>
      </c>
      <c r="AA1552" s="53">
        <v>38.117751479289936</v>
      </c>
      <c r="AB1552" s="53">
        <v>43.18378698224852</v>
      </c>
      <c r="AC1552" s="53">
        <v>38.588047337278113</v>
      </c>
      <c r="AD1552" s="53">
        <v>45.082721893491126</v>
      </c>
      <c r="AE1552" s="53" t="str">
        <f>_xlfn.XLOOKUP(Master[[#This Row],[cu_id]],'[1]Customer Revenue'!$Q:$Q,'[1]Customer Revenue'!$K:$K, "None")</f>
        <v>None</v>
      </c>
      <c r="AF1552" s="53" t="str">
        <f>_xlfn.XLOOKUP(Master[[#This Row],[cu_id]],'[1]Customer Revenue'!$Q:$Q,'[1]Customer Revenue'!$L:$L, "None")</f>
        <v>None</v>
      </c>
      <c r="AG1552" s="53">
        <v>30.276243009391141</v>
      </c>
      <c r="AH1552" s="53">
        <v>75.326064682916538</v>
      </c>
      <c r="AI1552" s="53">
        <v>40.650769230769228</v>
      </c>
      <c r="AJ1552" s="53">
        <v>41.835384615384619</v>
      </c>
      <c r="AK1552" s="53" t="str">
        <f>_xlfn.XLOOKUP(Master[[#This Row],[cu_id]],'[1]Customer Revenue'!$Q:$Q,'[1]Customer Revenue'!$I:$I, "None")</f>
        <v>None</v>
      </c>
      <c r="AL1552" s="53">
        <v>52.801153846153838</v>
      </c>
      <c r="AM1552" s="43">
        <v>0.35416666666666669</v>
      </c>
      <c r="AN1552" s="42">
        <v>0</v>
      </c>
      <c r="AO1552" s="42">
        <v>0.54166666666666663</v>
      </c>
      <c r="AP1552" s="42">
        <v>0.70833333333333337</v>
      </c>
      <c r="AQ1552" s="41" t="s">
        <v>0</v>
      </c>
      <c r="AR1552" s="41"/>
      <c r="AS1552" s="41"/>
      <c r="AT1552" s="52">
        <v>0</v>
      </c>
      <c r="AU1552" s="52" t="e">
        <f>IF(Master[[#This Row],[RSP StopTime override]] &lt;&gt; "",Master[[#This Row],[RSP StopTime override]],IF(Master[[#This Row],[Avg stop time helper]] &lt;&gt; 0, Master[[#This Row],[Avg stop time helper]],Average_Stop_Time))</f>
        <v>#DIV/0!</v>
      </c>
      <c r="AV1552" s="21"/>
      <c r="AW1552" s="20">
        <f>Master[[#This Row],[RSP StopTime override]]-Master[[#This Row],[Avg stop time helper]]</f>
        <v>0</v>
      </c>
    </row>
    <row r="1553" spans="1:49" x14ac:dyDescent="0.3">
      <c r="A1553" s="49" t="s">
        <v>5550</v>
      </c>
      <c r="B1553" s="41">
        <v>8040</v>
      </c>
      <c r="C1553" s="41" t="s">
        <v>10</v>
      </c>
      <c r="D1553" s="48">
        <v>884502</v>
      </c>
      <c r="E1553" s="48" t="s">
        <v>263</v>
      </c>
      <c r="F1553" s="48" t="s">
        <v>262</v>
      </c>
      <c r="G1553" s="48" t="s">
        <v>261</v>
      </c>
      <c r="H1553" s="48" t="s">
        <v>7</v>
      </c>
      <c r="I1553" s="48" t="s">
        <v>6</v>
      </c>
      <c r="J1553" s="48" t="s">
        <v>5</v>
      </c>
      <c r="K1553" s="48" t="s">
        <v>68</v>
      </c>
      <c r="L1553" s="47" t="s">
        <v>67</v>
      </c>
      <c r="M1553" s="41" t="s">
        <v>3</v>
      </c>
      <c r="N1553" s="41" t="s">
        <v>2</v>
      </c>
      <c r="O1553" s="41">
        <v>155</v>
      </c>
      <c r="P1553" s="41">
        <v>0</v>
      </c>
      <c r="Q1553" s="41">
        <v>0</v>
      </c>
      <c r="R1553" s="41">
        <v>64</v>
      </c>
      <c r="S1553" s="41">
        <v>0</v>
      </c>
      <c r="T1553" s="41">
        <v>0</v>
      </c>
      <c r="U1553" s="41">
        <v>39</v>
      </c>
      <c r="V1553" s="45"/>
      <c r="W1553" s="45"/>
      <c r="X1553" s="46">
        <f>IFERROR(1 -(Master[[#This Row],[Avg Garment Scans per Delivery]]/Master[[#This Row],[Garment Inventory]]), 0)</f>
        <v>0</v>
      </c>
      <c r="Y1553" s="45"/>
      <c r="Z1553" s="45"/>
      <c r="AA1553" s="53">
        <v>46.929999999999986</v>
      </c>
      <c r="AB1553" s="53">
        <v>46.93</v>
      </c>
      <c r="AC1553" s="53">
        <v>46.929999999999986</v>
      </c>
      <c r="AD1553" s="53">
        <v>46.93</v>
      </c>
      <c r="AE1553" s="53" t="str">
        <f>_xlfn.XLOOKUP(Master[[#This Row],[cu_id]],'[1]Customer Revenue'!$Q:$Q,'[1]Customer Revenue'!$K:$K, "None")</f>
        <v>None</v>
      </c>
      <c r="AF1553" s="53" t="str">
        <f>_xlfn.XLOOKUP(Master[[#This Row],[cu_id]],'[1]Customer Revenue'!$Q:$Q,'[1]Customer Revenue'!$L:$L, "None")</f>
        <v>None</v>
      </c>
      <c r="AG1553" s="53">
        <v>46.929999999999986</v>
      </c>
      <c r="AH1553" s="53">
        <v>46.93</v>
      </c>
      <c r="AI1553" s="53">
        <v>46.929999999999993</v>
      </c>
      <c r="AJ1553" s="53">
        <v>46.929999999999993</v>
      </c>
      <c r="AK1553" s="53" t="str">
        <f>_xlfn.XLOOKUP(Master[[#This Row],[cu_id]],'[1]Customer Revenue'!$Q:$Q,'[1]Customer Revenue'!$I:$I, "None")</f>
        <v>None</v>
      </c>
      <c r="AL1553" s="53">
        <v>46.929999999999993</v>
      </c>
      <c r="AM1553" s="43">
        <v>0.25</v>
      </c>
      <c r="AN1553" s="42">
        <v>0.66666666666666663</v>
      </c>
      <c r="AO1553" s="42" t="s">
        <v>36</v>
      </c>
      <c r="AP1553" s="42" t="s">
        <v>36</v>
      </c>
      <c r="AQ1553" s="41" t="s">
        <v>0</v>
      </c>
      <c r="AR1553" s="41"/>
      <c r="AS1553" s="41"/>
      <c r="AT1553" s="52">
        <v>0</v>
      </c>
      <c r="AU1553" s="52" t="e">
        <f>IF(Master[[#This Row],[RSP StopTime override]] &lt;&gt; "",Master[[#This Row],[RSP StopTime override]],IF(Master[[#This Row],[Avg stop time helper]] &lt;&gt; 0, Master[[#This Row],[Avg stop time helper]],Average_Stop_Time))</f>
        <v>#DIV/0!</v>
      </c>
      <c r="AV1553" s="21"/>
      <c r="AW1553" s="20">
        <f>Master[[#This Row],[RSP StopTime override]]-Master[[#This Row],[Avg stop time helper]]</f>
        <v>0</v>
      </c>
    </row>
    <row r="1554" spans="1:49" x14ac:dyDescent="0.3">
      <c r="A1554" s="49" t="s">
        <v>5551</v>
      </c>
      <c r="B1554" s="41">
        <v>8040</v>
      </c>
      <c r="C1554" s="41" t="s">
        <v>43</v>
      </c>
      <c r="D1554" s="48">
        <v>882595</v>
      </c>
      <c r="E1554" s="48" t="s">
        <v>260</v>
      </c>
      <c r="F1554" s="48" t="s">
        <v>259</v>
      </c>
      <c r="G1554" s="48" t="s">
        <v>258</v>
      </c>
      <c r="H1554" s="48" t="s">
        <v>7</v>
      </c>
      <c r="I1554" s="48" t="s">
        <v>6</v>
      </c>
      <c r="J1554" s="48" t="s">
        <v>5</v>
      </c>
      <c r="K1554" s="48" t="s">
        <v>257</v>
      </c>
      <c r="L1554" s="47" t="s">
        <v>67</v>
      </c>
      <c r="M1554" s="41" t="s">
        <v>3</v>
      </c>
      <c r="N1554" s="41" t="s">
        <v>2</v>
      </c>
      <c r="O1554" s="41">
        <v>40</v>
      </c>
      <c r="P1554" s="41">
        <v>0</v>
      </c>
      <c r="Q1554" s="41">
        <v>0</v>
      </c>
      <c r="R1554" s="41">
        <v>0</v>
      </c>
      <c r="S1554" s="41">
        <v>40</v>
      </c>
      <c r="T1554" s="41">
        <v>0</v>
      </c>
      <c r="U1554" s="41">
        <v>37</v>
      </c>
      <c r="V1554" s="45"/>
      <c r="W1554" s="45"/>
      <c r="X1554" s="46">
        <f>IFERROR(1 -(Master[[#This Row],[Avg Garment Scans per Delivery]]/Master[[#This Row],[Garment Inventory]]), 0)</f>
        <v>0</v>
      </c>
      <c r="Y1554" s="45"/>
      <c r="Z1554" s="45"/>
      <c r="AA1554" s="53">
        <v>238.32091836734693</v>
      </c>
      <c r="AB1554" s="53">
        <v>311.21908163265306</v>
      </c>
      <c r="AC1554" s="53">
        <v>274.66526627218929</v>
      </c>
      <c r="AD1554" s="53">
        <v>275.78242603550285</v>
      </c>
      <c r="AE1554" s="53" t="str">
        <f>_xlfn.XLOOKUP(Master[[#This Row],[cu_id]],'[1]Customer Revenue'!$Q:$Q,'[1]Customer Revenue'!$K:$K, "None")</f>
        <v>None</v>
      </c>
      <c r="AF1554" s="53" t="str">
        <f>_xlfn.XLOOKUP(Master[[#This Row],[cu_id]],'[1]Customer Revenue'!$Q:$Q,'[1]Customer Revenue'!$L:$L, "None")</f>
        <v>None</v>
      </c>
      <c r="AG1554" s="53">
        <v>212.77436682520829</v>
      </c>
      <c r="AH1554" s="53">
        <v>382.71063317479195</v>
      </c>
      <c r="AI1554" s="53">
        <v>274.77</v>
      </c>
      <c r="AJ1554" s="53">
        <v>275.22384615384607</v>
      </c>
      <c r="AK1554" s="53" t="str">
        <f>_xlfn.XLOOKUP(Master[[#This Row],[cu_id]],'[1]Customer Revenue'!$Q:$Q,'[1]Customer Revenue'!$I:$I, "None")</f>
        <v>None</v>
      </c>
      <c r="AL1554" s="53">
        <v>297.74250000000012</v>
      </c>
      <c r="AM1554" s="43" t="s">
        <v>36</v>
      </c>
      <c r="AN1554" s="42" t="s">
        <v>36</v>
      </c>
      <c r="AO1554" s="42" t="s">
        <v>36</v>
      </c>
      <c r="AP1554" s="42" t="s">
        <v>36</v>
      </c>
      <c r="AQ1554" s="41" t="s">
        <v>0</v>
      </c>
      <c r="AR1554" s="41"/>
      <c r="AS1554" s="41"/>
      <c r="AT1554" s="52">
        <v>0</v>
      </c>
      <c r="AU1554" s="52">
        <f>IF(Master[[#This Row],[RSP StopTime override]] &lt;&gt; "",Master[[#This Row],[RSP StopTime override]],IF(Master[[#This Row],[Avg stop time helper]] &lt;&gt; 0, Master[[#This Row],[Avg stop time helper]],Average_Stop_Time))</f>
        <v>10</v>
      </c>
      <c r="AV1554" s="21">
        <v>10</v>
      </c>
      <c r="AW1554" s="20">
        <f>Master[[#This Row],[RSP StopTime override]]-Master[[#This Row],[Avg stop time helper]]</f>
        <v>10</v>
      </c>
    </row>
    <row r="1555" spans="1:49" x14ac:dyDescent="0.3">
      <c r="A1555" s="49" t="s">
        <v>5552</v>
      </c>
      <c r="B1555" s="41">
        <v>8040</v>
      </c>
      <c r="C1555" s="41" t="s">
        <v>10</v>
      </c>
      <c r="D1555" s="48">
        <v>809601</v>
      </c>
      <c r="E1555" s="48" t="s">
        <v>42</v>
      </c>
      <c r="F1555" s="48" t="s">
        <v>256</v>
      </c>
      <c r="G1555" s="48" t="s">
        <v>255</v>
      </c>
      <c r="H1555" s="48" t="s">
        <v>7</v>
      </c>
      <c r="I1555" s="48" t="s">
        <v>6</v>
      </c>
      <c r="J1555" s="48" t="s">
        <v>5</v>
      </c>
      <c r="K1555" s="48" t="s">
        <v>68</v>
      </c>
      <c r="L1555" s="47" t="s">
        <v>91</v>
      </c>
      <c r="M1555" s="41" t="s">
        <v>90</v>
      </c>
      <c r="N1555" s="41" t="s">
        <v>2</v>
      </c>
      <c r="O1555" s="41">
        <v>155</v>
      </c>
      <c r="P1555" s="41">
        <v>0</v>
      </c>
      <c r="Q1555" s="41">
        <v>0</v>
      </c>
      <c r="R1555" s="41">
        <v>66</v>
      </c>
      <c r="S1555" s="41">
        <v>0</v>
      </c>
      <c r="T1555" s="41">
        <v>0</v>
      </c>
      <c r="U1555" s="41">
        <v>20</v>
      </c>
      <c r="V1555" s="45"/>
      <c r="W1555" s="45"/>
      <c r="X1555" s="46">
        <f>IFERROR(1 -(Master[[#This Row],[Avg Garment Scans per Delivery]]/Master[[#This Row],[Garment Inventory]]), 0)</f>
        <v>0</v>
      </c>
      <c r="Y1555" s="45"/>
      <c r="Z1555" s="45"/>
      <c r="AA1555" s="53">
        <v>64.09</v>
      </c>
      <c r="AB1555" s="53">
        <v>64.090000000000032</v>
      </c>
      <c r="AC1555" s="53">
        <v>63.958888888888893</v>
      </c>
      <c r="AD1555" s="53">
        <v>65.007777777777775</v>
      </c>
      <c r="AE1555" s="53" t="str">
        <f>_xlfn.XLOOKUP(Master[[#This Row],[cu_id]],'[1]Customer Revenue'!$Q:$Q,'[1]Customer Revenue'!$K:$K, "None")</f>
        <v>None</v>
      </c>
      <c r="AF1555" s="53" t="str">
        <f>_xlfn.XLOOKUP(Master[[#This Row],[cu_id]],'[1]Customer Revenue'!$Q:$Q,'[1]Customer Revenue'!$L:$L, "None")</f>
        <v>None</v>
      </c>
      <c r="AG1555" s="53">
        <v>64.09</v>
      </c>
      <c r="AH1555" s="53">
        <v>64.090000000000032</v>
      </c>
      <c r="AI1555" s="53">
        <v>64.090000000000018</v>
      </c>
      <c r="AJ1555" s="53">
        <v>64.483333333333334</v>
      </c>
      <c r="AK1555" s="53" t="str">
        <f>_xlfn.XLOOKUP(Master[[#This Row],[cu_id]],'[1]Customer Revenue'!$Q:$Q,'[1]Customer Revenue'!$I:$I, "None")</f>
        <v>None</v>
      </c>
      <c r="AL1555" s="53">
        <v>64.090000000000018</v>
      </c>
      <c r="AM1555" s="43">
        <v>0.375</v>
      </c>
      <c r="AN1555" s="42">
        <v>0.70833333333333337</v>
      </c>
      <c r="AO1555" s="42" t="s">
        <v>36</v>
      </c>
      <c r="AP1555" s="42" t="s">
        <v>36</v>
      </c>
      <c r="AQ1555" s="41" t="s">
        <v>0</v>
      </c>
      <c r="AR1555" s="41"/>
      <c r="AS1555" s="41"/>
      <c r="AT1555" s="22">
        <v>0</v>
      </c>
      <c r="AU1555" s="22" t="e">
        <f>IF(Master[[#This Row],[RSP StopTime override]] &lt;&gt; "",Master[[#This Row],[RSP StopTime override]],IF(Master[[#This Row],[Avg stop time helper]] &lt;&gt; 0, Master[[#This Row],[Avg stop time helper]],Average_Stop_Time))</f>
        <v>#DIV/0!</v>
      </c>
      <c r="AV1555" s="54"/>
      <c r="AW1555" s="20">
        <f>Master[[#This Row],[RSP StopTime override]]-Master[[#This Row],[Avg stop time helper]]</f>
        <v>0</v>
      </c>
    </row>
    <row r="1556" spans="1:49" s="50" customFormat="1" x14ac:dyDescent="0.3">
      <c r="A1556" s="49" t="s">
        <v>5553</v>
      </c>
      <c r="B1556" s="41">
        <v>8040</v>
      </c>
      <c r="C1556" s="41" t="s">
        <v>10</v>
      </c>
      <c r="D1556" s="48">
        <v>807944</v>
      </c>
      <c r="E1556" s="48" t="s">
        <v>42</v>
      </c>
      <c r="F1556" s="48" t="s">
        <v>254</v>
      </c>
      <c r="G1556" s="48" t="s">
        <v>253</v>
      </c>
      <c r="H1556" s="48" t="s">
        <v>7</v>
      </c>
      <c r="I1556" s="48" t="s">
        <v>158</v>
      </c>
      <c r="J1556" s="48" t="s">
        <v>5</v>
      </c>
      <c r="K1556" s="48" t="s">
        <v>146</v>
      </c>
      <c r="L1556" s="47" t="s">
        <v>206</v>
      </c>
      <c r="M1556" s="41" t="s">
        <v>205</v>
      </c>
      <c r="N1556" s="41" t="s">
        <v>2</v>
      </c>
      <c r="O1556" s="41">
        <v>200</v>
      </c>
      <c r="P1556" s="41">
        <v>0</v>
      </c>
      <c r="Q1556" s="41">
        <v>0</v>
      </c>
      <c r="R1556" s="41">
        <v>200</v>
      </c>
      <c r="S1556" s="41">
        <v>0</v>
      </c>
      <c r="T1556" s="41">
        <v>0</v>
      </c>
      <c r="U1556" s="41">
        <v>9</v>
      </c>
      <c r="V1556" s="45"/>
      <c r="W1556" s="45"/>
      <c r="X1556" s="46">
        <f>IFERROR(1 -(Master[[#This Row],[Avg Garment Scans per Delivery]]/Master[[#This Row],[Garment Inventory]]), 0)</f>
        <v>0</v>
      </c>
      <c r="Y1556" s="45"/>
      <c r="Z1556" s="45"/>
      <c r="AA1556" s="53">
        <v>43.305555555555564</v>
      </c>
      <c r="AB1556" s="53">
        <v>125.87444444444444</v>
      </c>
      <c r="AC1556" s="53">
        <v>46.842499999999994</v>
      </c>
      <c r="AD1556" s="53">
        <v>73.30749999999999</v>
      </c>
      <c r="AE1556" s="53" t="str">
        <f>_xlfn.XLOOKUP(Master[[#This Row],[cu_id]],'[1]Customer Revenue'!$Q:$Q,'[1]Customer Revenue'!$K:$K, "None")</f>
        <v>None</v>
      </c>
      <c r="AF1556" s="53" t="str">
        <f>_xlfn.XLOOKUP(Master[[#This Row],[cu_id]],'[1]Customer Revenue'!$Q:$Q,'[1]Customer Revenue'!$L:$L, "None")</f>
        <v>None</v>
      </c>
      <c r="AG1556" s="53">
        <v>41.251802721088438</v>
      </c>
      <c r="AH1556" s="53">
        <v>87.824863945578244</v>
      </c>
      <c r="AI1556" s="53">
        <v>84.59</v>
      </c>
      <c r="AJ1556" s="53">
        <v>60.074999999999996</v>
      </c>
      <c r="AK1556" s="53" t="str">
        <f>_xlfn.XLOOKUP(Master[[#This Row],[cu_id]],'[1]Customer Revenue'!$Q:$Q,'[1]Customer Revenue'!$I:$I, "None")</f>
        <v>None</v>
      </c>
      <c r="AL1556" s="53">
        <v>64.538333333333341</v>
      </c>
      <c r="AM1556" s="43">
        <v>0.54166666666666663</v>
      </c>
      <c r="AN1556" s="42">
        <v>0.79166666666666663</v>
      </c>
      <c r="AO1556" s="42" t="s">
        <v>36</v>
      </c>
      <c r="AP1556" s="42" t="s">
        <v>36</v>
      </c>
      <c r="AQ1556" s="41" t="s">
        <v>0</v>
      </c>
      <c r="AR1556" s="41"/>
      <c r="AS1556" s="41"/>
      <c r="AT1556" s="52">
        <v>0</v>
      </c>
      <c r="AU1556" s="52" t="e">
        <f>IF(Master[[#This Row],[RSP StopTime override]] &lt;&gt; "",Master[[#This Row],[RSP StopTime override]],IF(Master[[#This Row],[Avg stop time helper]] &lt;&gt; 0, Master[[#This Row],[Avg stop time helper]],Average_Stop_Time))</f>
        <v>#DIV/0!</v>
      </c>
      <c r="AV1556" s="21"/>
      <c r="AW1556" s="20">
        <f>Master[[#This Row],[RSP StopTime override]]-Master[[#This Row],[Avg stop time helper]]</f>
        <v>0</v>
      </c>
    </row>
    <row r="1557" spans="1:49" x14ac:dyDescent="0.3">
      <c r="A1557" s="49" t="s">
        <v>5554</v>
      </c>
      <c r="B1557" s="41">
        <v>8040</v>
      </c>
      <c r="C1557" s="41" t="s">
        <v>15</v>
      </c>
      <c r="D1557" s="48">
        <v>808015</v>
      </c>
      <c r="E1557" s="48" t="s">
        <v>42</v>
      </c>
      <c r="F1557" s="48" t="s">
        <v>252</v>
      </c>
      <c r="G1557" s="48" t="s">
        <v>251</v>
      </c>
      <c r="H1557" s="48" t="s">
        <v>7</v>
      </c>
      <c r="I1557" s="48" t="s">
        <v>6</v>
      </c>
      <c r="J1557" s="48" t="s">
        <v>5</v>
      </c>
      <c r="K1557" s="48" t="s">
        <v>146</v>
      </c>
      <c r="L1557" s="47" t="s">
        <v>67</v>
      </c>
      <c r="M1557" s="41" t="s">
        <v>3</v>
      </c>
      <c r="N1557" s="41" t="s">
        <v>2</v>
      </c>
      <c r="O1557" s="41">
        <v>40</v>
      </c>
      <c r="P1557" s="41">
        <v>0</v>
      </c>
      <c r="Q1557" s="41">
        <v>0</v>
      </c>
      <c r="R1557" s="41">
        <v>0</v>
      </c>
      <c r="S1557" s="41">
        <v>0</v>
      </c>
      <c r="T1557" s="41">
        <v>40</v>
      </c>
      <c r="U1557" s="41">
        <v>37</v>
      </c>
      <c r="V1557" s="45">
        <v>78</v>
      </c>
      <c r="W1557" s="45">
        <v>1</v>
      </c>
      <c r="X1557" s="46">
        <f>IFERROR(1 -(Master[[#This Row],[Avg Garment Scans per Delivery]]/Master[[#This Row],[Garment Inventory]]), 0)</f>
        <v>0.98717948717948723</v>
      </c>
      <c r="Y1557" s="45">
        <v>2</v>
      </c>
      <c r="Z1557" s="45">
        <v>48</v>
      </c>
      <c r="AA1557" s="53">
        <v>54.709999999999994</v>
      </c>
      <c r="AB1557" s="53">
        <v>57.429999999999993</v>
      </c>
      <c r="AC1557" s="53">
        <v>47.492346938775512</v>
      </c>
      <c r="AD1557" s="53">
        <v>65.087653061224486</v>
      </c>
      <c r="AE1557" s="53" t="str">
        <f>_xlfn.XLOOKUP(Master[[#This Row],[cu_id]],'[1]Customer Revenue'!$Q:$Q,'[1]Customer Revenue'!$K:$K, "None")</f>
        <v>None</v>
      </c>
      <c r="AF1557" s="53" t="str">
        <f>_xlfn.XLOOKUP(Master[[#This Row],[cu_id]],'[1]Customer Revenue'!$Q:$Q,'[1]Customer Revenue'!$L:$L, "None")</f>
        <v>None</v>
      </c>
      <c r="AG1557" s="53">
        <v>44.896168639053272</v>
      </c>
      <c r="AH1557" s="53">
        <v>64.148831360946744</v>
      </c>
      <c r="AI1557" s="53">
        <v>56.069999999999993</v>
      </c>
      <c r="AJ1557" s="53">
        <v>56.29</v>
      </c>
      <c r="AK1557" s="53" t="str">
        <f>_xlfn.XLOOKUP(Master[[#This Row],[cu_id]],'[1]Customer Revenue'!$Q:$Q,'[1]Customer Revenue'!$I:$I, "None")</f>
        <v>None</v>
      </c>
      <c r="AL1557" s="53">
        <v>54.522500000000008</v>
      </c>
      <c r="AM1557" s="43">
        <v>0.33333333333333331</v>
      </c>
      <c r="AN1557" s="42">
        <v>0.72916666666666663</v>
      </c>
      <c r="AO1557" s="42" t="s">
        <v>36</v>
      </c>
      <c r="AP1557" s="42" t="s">
        <v>36</v>
      </c>
      <c r="AQ1557" s="41" t="s">
        <v>0</v>
      </c>
      <c r="AR1557" s="41"/>
      <c r="AS1557" s="41"/>
      <c r="AT1557" s="52">
        <v>0</v>
      </c>
      <c r="AU1557" s="52" t="e">
        <f>IF(Master[[#This Row],[RSP StopTime override]] &lt;&gt; "",Master[[#This Row],[RSP StopTime override]],IF(Master[[#This Row],[Avg stop time helper]] &lt;&gt; 0, Master[[#This Row],[Avg stop time helper]],Average_Stop_Time))</f>
        <v>#DIV/0!</v>
      </c>
      <c r="AV1557" s="21"/>
      <c r="AW1557" s="20">
        <f>Master[[#This Row],[RSP StopTime override]]-Master[[#This Row],[Avg stop time helper]]</f>
        <v>0</v>
      </c>
    </row>
    <row r="1558" spans="1:49" x14ac:dyDescent="0.3">
      <c r="A1558" s="49" t="s">
        <v>5555</v>
      </c>
      <c r="B1558" s="41">
        <v>8040</v>
      </c>
      <c r="C1558" s="41" t="s">
        <v>15</v>
      </c>
      <c r="D1558" s="48">
        <v>886208</v>
      </c>
      <c r="E1558" s="48" t="s">
        <v>250</v>
      </c>
      <c r="F1558" s="48" t="s">
        <v>249</v>
      </c>
      <c r="G1558" s="48" t="s">
        <v>248</v>
      </c>
      <c r="H1558" s="48" t="s">
        <v>7</v>
      </c>
      <c r="I1558" s="48" t="s">
        <v>6</v>
      </c>
      <c r="J1558" s="48" t="s">
        <v>5</v>
      </c>
      <c r="K1558" s="48" t="s">
        <v>247</v>
      </c>
      <c r="L1558" s="47" t="s">
        <v>67</v>
      </c>
      <c r="M1558" s="41" t="s">
        <v>3</v>
      </c>
      <c r="N1558" s="41" t="s">
        <v>2</v>
      </c>
      <c r="O1558" s="41">
        <v>70</v>
      </c>
      <c r="P1558" s="41">
        <v>0</v>
      </c>
      <c r="Q1558" s="41">
        <v>0</v>
      </c>
      <c r="R1558" s="41">
        <v>0</v>
      </c>
      <c r="S1558" s="41">
        <v>0</v>
      </c>
      <c r="T1558" s="41">
        <v>70</v>
      </c>
      <c r="U1558" s="41">
        <v>38</v>
      </c>
      <c r="V1558" s="45"/>
      <c r="W1558" s="45"/>
      <c r="X1558" s="46">
        <f>IFERROR(1 -(Master[[#This Row],[Avg Garment Scans per Delivery]]/Master[[#This Row],[Garment Inventory]]), 0)</f>
        <v>0</v>
      </c>
      <c r="Y1558" s="45"/>
      <c r="Z1558" s="45"/>
      <c r="AA1558" s="53">
        <v>52.10194444444447</v>
      </c>
      <c r="AB1558" s="53">
        <v>52.914722222222224</v>
      </c>
      <c r="AC1558" s="53">
        <v>51.846213017751474</v>
      </c>
      <c r="AD1558" s="53">
        <v>57.570710059171596</v>
      </c>
      <c r="AE1558" s="53" t="str">
        <f>_xlfn.XLOOKUP(Master[[#This Row],[cu_id]],'[1]Customer Revenue'!$Q:$Q,'[1]Customer Revenue'!$K:$K, "None")</f>
        <v>None</v>
      </c>
      <c r="AF1558" s="53" t="str">
        <f>_xlfn.XLOOKUP(Master[[#This Row],[cu_id]],'[1]Customer Revenue'!$Q:$Q,'[1]Customer Revenue'!$L:$L, "None")</f>
        <v>None</v>
      </c>
      <c r="AG1558" s="53">
        <v>52.419312000000033</v>
      </c>
      <c r="AH1558" s="53">
        <v>52.827888000000002</v>
      </c>
      <c r="AI1558" s="53">
        <v>52.508333333333347</v>
      </c>
      <c r="AJ1558" s="53">
        <v>54.708461538461535</v>
      </c>
      <c r="AK1558" s="53" t="str">
        <f>_xlfn.XLOOKUP(Master[[#This Row],[cu_id]],'[1]Customer Revenue'!$Q:$Q,'[1]Customer Revenue'!$I:$I, "None")</f>
        <v>None</v>
      </c>
      <c r="AL1558" s="53">
        <v>52.623600000000017</v>
      </c>
      <c r="AM1558" s="43">
        <v>0.41666666666666669</v>
      </c>
      <c r="AN1558" s="42">
        <v>0.79166666666666663</v>
      </c>
      <c r="AO1558" s="42" t="s">
        <v>36</v>
      </c>
      <c r="AP1558" s="42" t="s">
        <v>36</v>
      </c>
      <c r="AQ1558" s="41" t="s">
        <v>0</v>
      </c>
      <c r="AR1558" s="41"/>
      <c r="AS1558" s="41"/>
      <c r="AT1558" s="52">
        <v>0</v>
      </c>
      <c r="AU1558" s="52" t="e">
        <f>IF(Master[[#This Row],[RSP StopTime override]] &lt;&gt; "",Master[[#This Row],[RSP StopTime override]],IF(Master[[#This Row],[Avg stop time helper]] &lt;&gt; 0, Master[[#This Row],[Avg stop time helper]],Average_Stop_Time))</f>
        <v>#DIV/0!</v>
      </c>
      <c r="AV1558" s="21"/>
      <c r="AW1558" s="20">
        <f>Master[[#This Row],[RSP StopTime override]]-Master[[#This Row],[Avg stop time helper]]</f>
        <v>0</v>
      </c>
    </row>
    <row r="1559" spans="1:49" x14ac:dyDescent="0.3">
      <c r="A1559" s="49" t="s">
        <v>5556</v>
      </c>
      <c r="B1559" s="41">
        <v>8040</v>
      </c>
      <c r="C1559" s="41" t="s">
        <v>10</v>
      </c>
      <c r="D1559" s="48">
        <v>807940</v>
      </c>
      <c r="E1559" s="48" t="s">
        <v>42</v>
      </c>
      <c r="F1559" s="48" t="s">
        <v>246</v>
      </c>
      <c r="G1559" s="48" t="s">
        <v>245</v>
      </c>
      <c r="H1559" s="48" t="s">
        <v>7</v>
      </c>
      <c r="I1559" s="48" t="s">
        <v>161</v>
      </c>
      <c r="J1559" s="48" t="s">
        <v>5</v>
      </c>
      <c r="K1559" s="48" t="s">
        <v>146</v>
      </c>
      <c r="L1559" s="47" t="s">
        <v>77</v>
      </c>
      <c r="M1559" s="41" t="s">
        <v>29</v>
      </c>
      <c r="N1559" s="41" t="s">
        <v>2</v>
      </c>
      <c r="O1559" s="41">
        <v>175</v>
      </c>
      <c r="P1559" s="41">
        <v>0</v>
      </c>
      <c r="Q1559" s="41">
        <v>0</v>
      </c>
      <c r="R1559" s="41">
        <v>150</v>
      </c>
      <c r="S1559" s="41">
        <v>0</v>
      </c>
      <c r="T1559" s="41">
        <v>0</v>
      </c>
      <c r="U1559" s="41">
        <v>20</v>
      </c>
      <c r="V1559" s="45"/>
      <c r="W1559" s="45"/>
      <c r="X1559" s="46">
        <f>IFERROR(1 -(Master[[#This Row],[Avg Garment Scans per Delivery]]/Master[[#This Row],[Garment Inventory]]), 0)</f>
        <v>0</v>
      </c>
      <c r="Y1559" s="45"/>
      <c r="Z1559" s="45"/>
      <c r="AA1559" s="53">
        <v>74.337777777777788</v>
      </c>
      <c r="AB1559" s="53">
        <v>116.3588888888889</v>
      </c>
      <c r="AC1559" s="53">
        <v>82.15</v>
      </c>
      <c r="AD1559" s="53">
        <v>118.15</v>
      </c>
      <c r="AE1559" s="53" t="str">
        <f>_xlfn.XLOOKUP(Master[[#This Row],[cu_id]],'[1]Customer Revenue'!$Q:$Q,'[1]Customer Revenue'!$K:$K, "None")</f>
        <v>None</v>
      </c>
      <c r="AF1559" s="53" t="str">
        <f>_xlfn.XLOOKUP(Master[[#This Row],[cu_id]],'[1]Customer Revenue'!$Q:$Q,'[1]Customer Revenue'!$L:$L, "None")</f>
        <v>None</v>
      </c>
      <c r="AG1559" s="53">
        <v>80.887810650887573</v>
      </c>
      <c r="AH1559" s="53">
        <v>115.20449704142011</v>
      </c>
      <c r="AI1559" s="53">
        <v>95.348333333333343</v>
      </c>
      <c r="AJ1559" s="53">
        <v>100.15</v>
      </c>
      <c r="AK1559" s="53" t="str">
        <f>_xlfn.XLOOKUP(Master[[#This Row],[cu_id]],'[1]Customer Revenue'!$Q:$Q,'[1]Customer Revenue'!$I:$I, "None")</f>
        <v>None</v>
      </c>
      <c r="AL1559" s="53">
        <v>98.046153846153842</v>
      </c>
      <c r="AM1559" s="43">
        <v>0.54166666666666663</v>
      </c>
      <c r="AN1559" s="42">
        <v>0.79166666666666663</v>
      </c>
      <c r="AO1559" s="42" t="s">
        <v>36</v>
      </c>
      <c r="AP1559" s="42" t="s">
        <v>36</v>
      </c>
      <c r="AQ1559" s="41" t="s">
        <v>0</v>
      </c>
      <c r="AR1559" s="41"/>
      <c r="AS1559" s="41"/>
      <c r="AT1559" s="52">
        <v>0</v>
      </c>
      <c r="AU1559" s="52" t="e">
        <f>IF(Master[[#This Row],[RSP StopTime override]] &lt;&gt; "",Master[[#This Row],[RSP StopTime override]],IF(Master[[#This Row],[Avg stop time helper]] &lt;&gt; 0, Master[[#This Row],[Avg stop time helper]],Average_Stop_Time))</f>
        <v>#DIV/0!</v>
      </c>
      <c r="AV1559" s="21"/>
      <c r="AW1559" s="20">
        <f>Master[[#This Row],[RSP StopTime override]]-Master[[#This Row],[Avg stop time helper]]</f>
        <v>0</v>
      </c>
    </row>
    <row r="1560" spans="1:49" x14ac:dyDescent="0.3">
      <c r="A1560" s="49" t="s">
        <v>5557</v>
      </c>
      <c r="B1560" s="41">
        <v>8040</v>
      </c>
      <c r="C1560" s="41" t="s">
        <v>10</v>
      </c>
      <c r="D1560" s="48">
        <v>808170</v>
      </c>
      <c r="E1560" s="48" t="s">
        <v>42</v>
      </c>
      <c r="F1560" s="48" t="s">
        <v>244</v>
      </c>
      <c r="G1560" s="48" t="s">
        <v>243</v>
      </c>
      <c r="H1560" s="48" t="s">
        <v>7</v>
      </c>
      <c r="I1560" s="48" t="s">
        <v>158</v>
      </c>
      <c r="J1560" s="48" t="s">
        <v>5</v>
      </c>
      <c r="K1560" s="48" t="s">
        <v>146</v>
      </c>
      <c r="L1560" s="47" t="s">
        <v>67</v>
      </c>
      <c r="M1560" s="41" t="s">
        <v>3</v>
      </c>
      <c r="N1560" s="41" t="s">
        <v>2</v>
      </c>
      <c r="O1560" s="41">
        <v>35</v>
      </c>
      <c r="P1560" s="41">
        <v>0</v>
      </c>
      <c r="Q1560" s="41">
        <v>0</v>
      </c>
      <c r="R1560" s="41">
        <v>70</v>
      </c>
      <c r="S1560" s="41">
        <v>0</v>
      </c>
      <c r="T1560" s="41">
        <v>0</v>
      </c>
      <c r="U1560" s="41">
        <v>38</v>
      </c>
      <c r="V1560" s="45">
        <v>46</v>
      </c>
      <c r="W1560" s="45">
        <v>4</v>
      </c>
      <c r="X1560" s="46">
        <f>IFERROR(1 -(Master[[#This Row],[Avg Garment Scans per Delivery]]/Master[[#This Row],[Garment Inventory]]), 0)</f>
        <v>0.91304347826086962</v>
      </c>
      <c r="Y1560" s="45">
        <v>2</v>
      </c>
      <c r="Z1560" s="45">
        <v>51</v>
      </c>
      <c r="AA1560" s="53">
        <v>75.025621301775146</v>
      </c>
      <c r="AB1560" s="53">
        <v>88.898994082840233</v>
      </c>
      <c r="AC1560" s="53">
        <v>75.172485207100607</v>
      </c>
      <c r="AD1560" s="53">
        <v>85.705976331360972</v>
      </c>
      <c r="AE1560" s="53" t="str">
        <f>_xlfn.XLOOKUP(Master[[#This Row],[cu_id]],'[1]Customer Revenue'!$Q:$Q,'[1]Customer Revenue'!$K:$K, "None")</f>
        <v>None</v>
      </c>
      <c r="AF1560" s="53" t="str">
        <f>_xlfn.XLOOKUP(Master[[#This Row],[cu_id]],'[1]Customer Revenue'!$Q:$Q,'[1]Customer Revenue'!$L:$L, "None")</f>
        <v>None</v>
      </c>
      <c r="AG1560" s="53">
        <v>72.052618343195277</v>
      </c>
      <c r="AH1560" s="53">
        <v>101.55238165680474</v>
      </c>
      <c r="AI1560" s="53">
        <v>81.962307692307689</v>
      </c>
      <c r="AJ1560" s="53">
        <v>80.43923076923079</v>
      </c>
      <c r="AK1560" s="53" t="str">
        <f>_xlfn.XLOOKUP(Master[[#This Row],[cu_id]],'[1]Customer Revenue'!$Q:$Q,'[1]Customer Revenue'!$I:$I, "None")</f>
        <v>None</v>
      </c>
      <c r="AL1560" s="53">
        <v>86.802500000000009</v>
      </c>
      <c r="AM1560" s="43">
        <v>0.33333333333333331</v>
      </c>
      <c r="AN1560" s="42">
        <v>0.70833333333333337</v>
      </c>
      <c r="AO1560" s="42" t="s">
        <v>36</v>
      </c>
      <c r="AP1560" s="42" t="s">
        <v>36</v>
      </c>
      <c r="AQ1560" s="41" t="s">
        <v>0</v>
      </c>
      <c r="AR1560" s="41"/>
      <c r="AS1560" s="41"/>
      <c r="AT1560" s="52">
        <v>0</v>
      </c>
      <c r="AU1560" s="52" t="e">
        <f>IF(Master[[#This Row],[RSP StopTime override]] &lt;&gt; "",Master[[#This Row],[RSP StopTime override]],IF(Master[[#This Row],[Avg stop time helper]] &lt;&gt; 0, Master[[#This Row],[Avg stop time helper]],Average_Stop_Time))</f>
        <v>#DIV/0!</v>
      </c>
      <c r="AV1560" s="21"/>
      <c r="AW1560" s="20">
        <f>Master[[#This Row],[RSP StopTime override]]-Master[[#This Row],[Avg stop time helper]]</f>
        <v>0</v>
      </c>
    </row>
    <row r="1561" spans="1:49" x14ac:dyDescent="0.3">
      <c r="A1561" s="49" t="s">
        <v>5558</v>
      </c>
      <c r="B1561" s="41">
        <v>8040</v>
      </c>
      <c r="C1561" s="41" t="s">
        <v>15</v>
      </c>
      <c r="D1561" s="48">
        <v>809841</v>
      </c>
      <c r="E1561" s="48" t="s">
        <v>42</v>
      </c>
      <c r="F1561" s="48" t="s">
        <v>242</v>
      </c>
      <c r="G1561" s="48" t="s">
        <v>241</v>
      </c>
      <c r="H1561" s="48" t="s">
        <v>7</v>
      </c>
      <c r="I1561" s="48" t="s">
        <v>6</v>
      </c>
      <c r="J1561" s="48" t="s">
        <v>5</v>
      </c>
      <c r="K1561" s="48" t="s">
        <v>115</v>
      </c>
      <c r="L1561" s="47" t="s">
        <v>194</v>
      </c>
      <c r="M1561" s="41" t="s">
        <v>193</v>
      </c>
      <c r="N1561" s="41" t="s">
        <v>2</v>
      </c>
      <c r="O1561" s="41">
        <v>65</v>
      </c>
      <c r="P1561" s="41">
        <v>0</v>
      </c>
      <c r="Q1561" s="41">
        <v>0</v>
      </c>
      <c r="R1561" s="41">
        <v>0</v>
      </c>
      <c r="S1561" s="41">
        <v>0</v>
      </c>
      <c r="T1561" s="41">
        <v>65</v>
      </c>
      <c r="U1561" s="41">
        <v>12</v>
      </c>
      <c r="V1561" s="45"/>
      <c r="W1561" s="45"/>
      <c r="X1561" s="46">
        <f>IFERROR(1 -(Master[[#This Row],[Avg Garment Scans per Delivery]]/Master[[#This Row],[Garment Inventory]]), 0)</f>
        <v>0</v>
      </c>
      <c r="Y1561" s="45"/>
      <c r="Z1561" s="45"/>
      <c r="AA1561" s="53">
        <v>36.803750000000001</v>
      </c>
      <c r="AB1561" s="53">
        <v>43.411250000000003</v>
      </c>
      <c r="AC1561" s="53">
        <v>85.519599999999997</v>
      </c>
      <c r="AD1561" s="53">
        <v>180.12440000000001</v>
      </c>
      <c r="AE1561" s="53" t="str">
        <f>_xlfn.XLOOKUP(Master[[#This Row],[cu_id]],'[1]Customer Revenue'!$Q:$Q,'[1]Customer Revenue'!$K:$K, "None")</f>
        <v>None</v>
      </c>
      <c r="AF1561" s="53" t="str">
        <f>_xlfn.XLOOKUP(Master[[#This Row],[cu_id]],'[1]Customer Revenue'!$Q:$Q,'[1]Customer Revenue'!$L:$L, "None")</f>
        <v>None</v>
      </c>
      <c r="AG1561" s="53">
        <v>33.54870535714285</v>
      </c>
      <c r="AH1561" s="53">
        <v>70.785580357142862</v>
      </c>
      <c r="AI1561" s="53">
        <v>40.107500000000002</v>
      </c>
      <c r="AJ1561" s="53">
        <v>132.822</v>
      </c>
      <c r="AK1561" s="53" t="str">
        <f>_xlfn.XLOOKUP(Master[[#This Row],[cu_id]],'[1]Customer Revenue'!$Q:$Q,'[1]Customer Revenue'!$I:$I, "None")</f>
        <v>None</v>
      </c>
      <c r="AL1561" s="53">
        <v>52.167142857142856</v>
      </c>
      <c r="AM1561" s="43">
        <v>0.33333333333333331</v>
      </c>
      <c r="AN1561" s="42">
        <v>0.70833333333333337</v>
      </c>
      <c r="AO1561" s="42" t="s">
        <v>36</v>
      </c>
      <c r="AP1561" s="42" t="s">
        <v>36</v>
      </c>
      <c r="AQ1561" s="41" t="s">
        <v>0</v>
      </c>
      <c r="AR1561" s="41"/>
      <c r="AS1561" s="41"/>
      <c r="AT1561" s="52">
        <v>0</v>
      </c>
      <c r="AU1561" s="52" t="e">
        <f>IF(Master[[#This Row],[RSP StopTime override]] &lt;&gt; "",Master[[#This Row],[RSP StopTime override]],IF(Master[[#This Row],[Avg stop time helper]] &lt;&gt; 0, Master[[#This Row],[Avg stop time helper]],Average_Stop_Time))</f>
        <v>#DIV/0!</v>
      </c>
      <c r="AV1561" s="21"/>
      <c r="AW1561" s="20">
        <f>Master[[#This Row],[RSP StopTime override]]-Master[[#This Row],[Avg stop time helper]]</f>
        <v>0</v>
      </c>
    </row>
    <row r="1562" spans="1:49" x14ac:dyDescent="0.3">
      <c r="A1562" s="49" t="s">
        <v>5559</v>
      </c>
      <c r="B1562" s="41">
        <v>8040</v>
      </c>
      <c r="C1562" s="41" t="s">
        <v>10</v>
      </c>
      <c r="D1562" s="48">
        <v>807810</v>
      </c>
      <c r="E1562" s="48" t="s">
        <v>42</v>
      </c>
      <c r="F1562" s="48" t="s">
        <v>240</v>
      </c>
      <c r="G1562" s="48" t="s">
        <v>239</v>
      </c>
      <c r="H1562" s="48" t="s">
        <v>7</v>
      </c>
      <c r="I1562" s="48" t="s">
        <v>161</v>
      </c>
      <c r="J1562" s="48" t="s">
        <v>5</v>
      </c>
      <c r="K1562" s="48" t="s">
        <v>146</v>
      </c>
      <c r="L1562" s="47" t="s">
        <v>67</v>
      </c>
      <c r="M1562" s="41" t="s">
        <v>3</v>
      </c>
      <c r="N1562" s="41" t="s">
        <v>2</v>
      </c>
      <c r="O1562" s="41">
        <v>40</v>
      </c>
      <c r="P1562" s="41">
        <v>0</v>
      </c>
      <c r="Q1562" s="41">
        <v>0</v>
      </c>
      <c r="R1562" s="41">
        <v>210</v>
      </c>
      <c r="S1562" s="41">
        <v>0</v>
      </c>
      <c r="T1562" s="41">
        <v>0</v>
      </c>
      <c r="U1562" s="41">
        <v>38</v>
      </c>
      <c r="V1562" s="45"/>
      <c r="W1562" s="45"/>
      <c r="X1562" s="46">
        <f>IFERROR(1 -(Master[[#This Row],[Avg Garment Scans per Delivery]]/Master[[#This Row],[Garment Inventory]]), 0)</f>
        <v>0</v>
      </c>
      <c r="Y1562" s="45"/>
      <c r="Z1562" s="45"/>
      <c r="AA1562" s="53">
        <v>53.109467455621285</v>
      </c>
      <c r="AB1562" s="53">
        <v>70.690532544378684</v>
      </c>
      <c r="AC1562" s="53">
        <v>61.795266272189359</v>
      </c>
      <c r="AD1562" s="53">
        <v>62.912426035502968</v>
      </c>
      <c r="AE1562" s="53" t="str">
        <f>_xlfn.XLOOKUP(Master[[#This Row],[cu_id]],'[1]Customer Revenue'!$Q:$Q,'[1]Customer Revenue'!$K:$K, "None")</f>
        <v>None</v>
      </c>
      <c r="AF1562" s="53" t="str">
        <f>_xlfn.XLOOKUP(Master[[#This Row],[cu_id]],'[1]Customer Revenue'!$Q:$Q,'[1]Customer Revenue'!$L:$L, "None")</f>
        <v>None</v>
      </c>
      <c r="AG1562" s="53">
        <v>53.110897435897456</v>
      </c>
      <c r="AH1562" s="53">
        <v>70.6924358974359</v>
      </c>
      <c r="AI1562" s="53">
        <v>61.899999999999984</v>
      </c>
      <c r="AJ1562" s="53">
        <v>62.353846153846163</v>
      </c>
      <c r="AK1562" s="53" t="str">
        <f>_xlfn.XLOOKUP(Master[[#This Row],[cu_id]],'[1]Customer Revenue'!$Q:$Q,'[1]Customer Revenue'!$I:$I, "None")</f>
        <v>None</v>
      </c>
      <c r="AL1562" s="53">
        <v>61.901666666666678</v>
      </c>
      <c r="AM1562" s="43">
        <v>0.29166666666666669</v>
      </c>
      <c r="AN1562" s="42">
        <v>0.70833333333333337</v>
      </c>
      <c r="AO1562" s="42" t="s">
        <v>36</v>
      </c>
      <c r="AP1562" s="42" t="s">
        <v>36</v>
      </c>
      <c r="AQ1562" s="41" t="s">
        <v>0</v>
      </c>
      <c r="AR1562" s="41"/>
      <c r="AS1562" s="41"/>
      <c r="AT1562" s="52">
        <v>0</v>
      </c>
      <c r="AU1562" s="52" t="e">
        <f>IF(Master[[#This Row],[RSP StopTime override]] &lt;&gt; "",Master[[#This Row],[RSP StopTime override]],IF(Master[[#This Row],[Avg stop time helper]] &lt;&gt; 0, Master[[#This Row],[Avg stop time helper]],Average_Stop_Time))</f>
        <v>#DIV/0!</v>
      </c>
      <c r="AV1562" s="21"/>
      <c r="AW1562" s="20">
        <f>Master[[#This Row],[RSP StopTime override]]-Master[[#This Row],[Avg stop time helper]]</f>
        <v>0</v>
      </c>
    </row>
    <row r="1563" spans="1:49" x14ac:dyDescent="0.3">
      <c r="A1563" s="49" t="s">
        <v>5560</v>
      </c>
      <c r="B1563" s="41">
        <v>8040</v>
      </c>
      <c r="C1563" s="41" t="s">
        <v>43</v>
      </c>
      <c r="D1563" s="48">
        <v>884654</v>
      </c>
      <c r="E1563" s="48" t="s">
        <v>238</v>
      </c>
      <c r="F1563" s="48" t="s">
        <v>237</v>
      </c>
      <c r="G1563" s="48" t="s">
        <v>236</v>
      </c>
      <c r="H1563" s="48" t="s">
        <v>7</v>
      </c>
      <c r="I1563" s="48" t="s">
        <v>161</v>
      </c>
      <c r="J1563" s="48" t="s">
        <v>5</v>
      </c>
      <c r="K1563" s="48" t="s">
        <v>146</v>
      </c>
      <c r="L1563" s="47" t="s">
        <v>67</v>
      </c>
      <c r="M1563" s="41" t="s">
        <v>3</v>
      </c>
      <c r="N1563" s="41" t="s">
        <v>2</v>
      </c>
      <c r="O1563" s="41">
        <v>16</v>
      </c>
      <c r="P1563" s="41">
        <v>0</v>
      </c>
      <c r="Q1563" s="41">
        <v>0</v>
      </c>
      <c r="R1563" s="41">
        <v>0</v>
      </c>
      <c r="S1563" s="41">
        <v>16</v>
      </c>
      <c r="T1563" s="41">
        <v>0</v>
      </c>
      <c r="U1563" s="41">
        <v>43</v>
      </c>
      <c r="V1563" s="45">
        <v>33</v>
      </c>
      <c r="W1563" s="45">
        <v>0</v>
      </c>
      <c r="X1563" s="46">
        <f>IFERROR(1 -(Master[[#This Row],[Avg Garment Scans per Delivery]]/Master[[#This Row],[Garment Inventory]]), 0)</f>
        <v>1</v>
      </c>
      <c r="Y1563" s="45">
        <v>6</v>
      </c>
      <c r="Z1563" s="45">
        <v>16</v>
      </c>
      <c r="AA1563" s="53">
        <v>73.525562130177519</v>
      </c>
      <c r="AB1563" s="53">
        <v>104.28982248520711</v>
      </c>
      <c r="AC1563" s="53">
        <v>61.56318681318681</v>
      </c>
      <c r="AD1563" s="53">
        <v>125.46604395604396</v>
      </c>
      <c r="AE1563" s="53" t="str">
        <f>_xlfn.XLOOKUP(Master[[#This Row],[cu_id]],'[1]Customer Revenue'!$Q:$Q,'[1]Customer Revenue'!$K:$K, "None")</f>
        <v>None</v>
      </c>
      <c r="AF1563" s="53" t="str">
        <f>_xlfn.XLOOKUP(Master[[#This Row],[cu_id]],'[1]Customer Revenue'!$Q:$Q,'[1]Customer Revenue'!$L:$L, "None")</f>
        <v>None</v>
      </c>
      <c r="AG1563" s="53">
        <v>76.750769230769222</v>
      </c>
      <c r="AH1563" s="53">
        <v>104.11999999999999</v>
      </c>
      <c r="AI1563" s="53">
        <v>88.907692307692315</v>
      </c>
      <c r="AJ1563" s="53">
        <v>93.514615384615382</v>
      </c>
      <c r="AK1563" s="53" t="str">
        <f>_xlfn.XLOOKUP(Master[[#This Row],[cu_id]],'[1]Customer Revenue'!$Q:$Q,'[1]Customer Revenue'!$I:$I, "None")</f>
        <v>None</v>
      </c>
      <c r="AL1563" s="53">
        <v>90.435384615384606</v>
      </c>
      <c r="AM1563" s="43">
        <v>0.29166666666666669</v>
      </c>
      <c r="AN1563" s="42">
        <v>0.70833333333333337</v>
      </c>
      <c r="AO1563" s="42" t="s">
        <v>36</v>
      </c>
      <c r="AP1563" s="42" t="s">
        <v>36</v>
      </c>
      <c r="AQ1563" s="41" t="s">
        <v>0</v>
      </c>
      <c r="AR1563" s="41"/>
      <c r="AS1563" s="41"/>
      <c r="AT1563" s="52">
        <v>0</v>
      </c>
      <c r="AU1563" s="52">
        <f>IF(Master[[#This Row],[RSP StopTime override]] &lt;&gt; "",Master[[#This Row],[RSP StopTime override]],IF(Master[[#This Row],[Avg stop time helper]] &lt;&gt; 0, Master[[#This Row],[Avg stop time helper]],Average_Stop_Time))</f>
        <v>10</v>
      </c>
      <c r="AV1563" s="21">
        <v>10</v>
      </c>
      <c r="AW1563" s="20">
        <f>Master[[#This Row],[RSP StopTime override]]-Master[[#This Row],[Avg stop time helper]]</f>
        <v>10</v>
      </c>
    </row>
    <row r="1564" spans="1:49" x14ac:dyDescent="0.3">
      <c r="A1564" s="49" t="s">
        <v>5561</v>
      </c>
      <c r="B1564" s="41">
        <v>8040</v>
      </c>
      <c r="C1564" s="41" t="s">
        <v>15</v>
      </c>
      <c r="D1564" s="48">
        <v>809877</v>
      </c>
      <c r="E1564" s="48" t="s">
        <v>42</v>
      </c>
      <c r="F1564" s="48" t="s">
        <v>235</v>
      </c>
      <c r="G1564" s="48" t="s">
        <v>234</v>
      </c>
      <c r="H1564" s="48" t="s">
        <v>7</v>
      </c>
      <c r="I1564" s="48" t="s">
        <v>6</v>
      </c>
      <c r="J1564" s="48" t="s">
        <v>5</v>
      </c>
      <c r="K1564" s="48" t="s">
        <v>115</v>
      </c>
      <c r="L1564" s="47" t="s">
        <v>77</v>
      </c>
      <c r="M1564" s="41" t="s">
        <v>29</v>
      </c>
      <c r="N1564" s="41" t="s">
        <v>2</v>
      </c>
      <c r="O1564" s="41">
        <v>45</v>
      </c>
      <c r="P1564" s="41">
        <v>0</v>
      </c>
      <c r="Q1564" s="41">
        <v>0</v>
      </c>
      <c r="R1564" s="41">
        <v>0</v>
      </c>
      <c r="S1564" s="41">
        <v>0</v>
      </c>
      <c r="T1564" s="41">
        <v>45</v>
      </c>
      <c r="U1564" s="41">
        <v>20</v>
      </c>
      <c r="V1564" s="45"/>
      <c r="W1564" s="45"/>
      <c r="X1564" s="46">
        <f>IFERROR(1 -(Master[[#This Row],[Avg Garment Scans per Delivery]]/Master[[#This Row],[Garment Inventory]]), 0)</f>
        <v>0</v>
      </c>
      <c r="Y1564" s="45"/>
      <c r="Z1564" s="45"/>
      <c r="AA1564" s="53">
        <v>68.667777777777772</v>
      </c>
      <c r="AB1564" s="53">
        <v>90.088888888888889</v>
      </c>
      <c r="AC1564" s="53">
        <v>67.804081632653066</v>
      </c>
      <c r="AD1564" s="53">
        <v>135.31591836734694</v>
      </c>
      <c r="AE1564" s="53" t="str">
        <f>_xlfn.XLOOKUP(Master[[#This Row],[cu_id]],'[1]Customer Revenue'!$Q:$Q,'[1]Customer Revenue'!$K:$K, "None")</f>
        <v>None</v>
      </c>
      <c r="AF1564" s="53" t="str">
        <f>_xlfn.XLOOKUP(Master[[#This Row],[cu_id]],'[1]Customer Revenue'!$Q:$Q,'[1]Customer Revenue'!$L:$L, "None")</f>
        <v>None</v>
      </c>
      <c r="AG1564" s="53">
        <v>66.933846153846162</v>
      </c>
      <c r="AH1564" s="53">
        <v>83.106153846153859</v>
      </c>
      <c r="AI1564" s="53">
        <v>79.37833333333333</v>
      </c>
      <c r="AJ1564" s="53">
        <v>101.56</v>
      </c>
      <c r="AK1564" s="53" t="str">
        <f>_xlfn.XLOOKUP(Master[[#This Row],[cu_id]],'[1]Customer Revenue'!$Q:$Q,'[1]Customer Revenue'!$I:$I, "None")</f>
        <v>None</v>
      </c>
      <c r="AL1564" s="53">
        <v>75.02000000000001</v>
      </c>
      <c r="AM1564" s="43">
        <v>0.33333333333333331</v>
      </c>
      <c r="AN1564" s="42">
        <v>0.70833333333333337</v>
      </c>
      <c r="AO1564" s="42" t="s">
        <v>36</v>
      </c>
      <c r="AP1564" s="42" t="s">
        <v>36</v>
      </c>
      <c r="AQ1564" s="41" t="s">
        <v>0</v>
      </c>
      <c r="AR1564" s="41"/>
      <c r="AS1564" s="41"/>
      <c r="AT1564" s="52">
        <v>0</v>
      </c>
      <c r="AU1564" s="52" t="e">
        <f>IF(Master[[#This Row],[RSP StopTime override]] &lt;&gt; "",Master[[#This Row],[RSP StopTime override]],IF(Master[[#This Row],[Avg stop time helper]] &lt;&gt; 0, Master[[#This Row],[Avg stop time helper]],Average_Stop_Time))</f>
        <v>#DIV/0!</v>
      </c>
      <c r="AV1564" s="21"/>
      <c r="AW1564" s="20">
        <f>Master[[#This Row],[RSP StopTime override]]-Master[[#This Row],[Avg stop time helper]]</f>
        <v>0</v>
      </c>
    </row>
    <row r="1565" spans="1:49" x14ac:dyDescent="0.3">
      <c r="A1565" s="49" t="s">
        <v>5562</v>
      </c>
      <c r="B1565" s="41">
        <v>8040</v>
      </c>
      <c r="C1565" s="41" t="s">
        <v>15</v>
      </c>
      <c r="D1565" s="48">
        <v>805305</v>
      </c>
      <c r="E1565" s="48" t="s">
        <v>42</v>
      </c>
      <c r="F1565" s="48" t="s">
        <v>233</v>
      </c>
      <c r="G1565" s="48" t="s">
        <v>232</v>
      </c>
      <c r="H1565" s="48" t="s">
        <v>7</v>
      </c>
      <c r="I1565" s="48" t="s">
        <v>6</v>
      </c>
      <c r="J1565" s="48" t="s">
        <v>5</v>
      </c>
      <c r="K1565" s="48" t="s">
        <v>115</v>
      </c>
      <c r="L1565" s="47" t="s">
        <v>194</v>
      </c>
      <c r="M1565" s="41" t="s">
        <v>193</v>
      </c>
      <c r="N1565" s="41" t="s">
        <v>2</v>
      </c>
      <c r="O1565" s="41">
        <v>95</v>
      </c>
      <c r="P1565" s="41">
        <v>0</v>
      </c>
      <c r="Q1565" s="41">
        <v>0</v>
      </c>
      <c r="R1565" s="41">
        <v>0</v>
      </c>
      <c r="S1565" s="41">
        <v>0</v>
      </c>
      <c r="T1565" s="41">
        <v>95</v>
      </c>
      <c r="U1565" s="41">
        <v>9</v>
      </c>
      <c r="V1565" s="45"/>
      <c r="W1565" s="45"/>
      <c r="X1565" s="46">
        <f>IFERROR(1 -(Master[[#This Row],[Avg Garment Scans per Delivery]]/Master[[#This Row],[Garment Inventory]]), 0)</f>
        <v>0</v>
      </c>
      <c r="Y1565" s="45"/>
      <c r="Z1565" s="45"/>
      <c r="AA1565" s="53">
        <v>15.8</v>
      </c>
      <c r="AB1565" s="53">
        <v>15.800000000000004</v>
      </c>
      <c r="AC1565" s="53">
        <v>14.278400000000001</v>
      </c>
      <c r="AD1565" s="53">
        <v>32.537599999999998</v>
      </c>
      <c r="AE1565" s="53" t="str">
        <f>_xlfn.XLOOKUP(Master[[#This Row],[cu_id]],'[1]Customer Revenue'!$Q:$Q,'[1]Customer Revenue'!$K:$K, "None")</f>
        <v>None</v>
      </c>
      <c r="AF1565" s="53" t="str">
        <f>_xlfn.XLOOKUP(Master[[#This Row],[cu_id]],'[1]Customer Revenue'!$Q:$Q,'[1]Customer Revenue'!$L:$L, "None")</f>
        <v>None</v>
      </c>
      <c r="AG1565" s="53">
        <v>12.266666666666666</v>
      </c>
      <c r="AH1565" s="53">
        <v>26.986666666666665</v>
      </c>
      <c r="AI1565" s="53">
        <v>15.800000000000002</v>
      </c>
      <c r="AJ1565" s="53">
        <v>23.408000000000001</v>
      </c>
      <c r="AK1565" s="53" t="str">
        <f>_xlfn.XLOOKUP(Master[[#This Row],[cu_id]],'[1]Customer Revenue'!$Q:$Q,'[1]Customer Revenue'!$I:$I, "None")</f>
        <v>None</v>
      </c>
      <c r="AL1565" s="53">
        <v>19.626666666666665</v>
      </c>
      <c r="AM1565" s="43">
        <v>0.47916666666666669</v>
      </c>
      <c r="AN1565" s="42">
        <v>0.83333333333333337</v>
      </c>
      <c r="AO1565" s="42" t="s">
        <v>36</v>
      </c>
      <c r="AP1565" s="42" t="s">
        <v>36</v>
      </c>
      <c r="AQ1565" s="41" t="s">
        <v>0</v>
      </c>
      <c r="AR1565" s="41"/>
      <c r="AS1565" s="41"/>
      <c r="AT1565" s="52">
        <v>0</v>
      </c>
      <c r="AU1565" s="52" t="e">
        <f>IF(Master[[#This Row],[RSP StopTime override]] &lt;&gt; "",Master[[#This Row],[RSP StopTime override]],IF(Master[[#This Row],[Avg stop time helper]] &lt;&gt; 0, Master[[#This Row],[Avg stop time helper]],Average_Stop_Time))</f>
        <v>#DIV/0!</v>
      </c>
      <c r="AV1565" s="21"/>
      <c r="AW1565" s="20">
        <f>Master[[#This Row],[RSP StopTime override]]-Master[[#This Row],[Avg stop time helper]]</f>
        <v>0</v>
      </c>
    </row>
    <row r="1566" spans="1:49" x14ac:dyDescent="0.3">
      <c r="A1566" s="49" t="s">
        <v>5563</v>
      </c>
      <c r="B1566" s="41">
        <v>8040</v>
      </c>
      <c r="C1566" s="41" t="s">
        <v>10</v>
      </c>
      <c r="D1566" s="48">
        <v>888010</v>
      </c>
      <c r="E1566" s="48" t="s">
        <v>231</v>
      </c>
      <c r="F1566" s="48" t="s">
        <v>230</v>
      </c>
      <c r="G1566" s="48" t="s">
        <v>229</v>
      </c>
      <c r="H1566" s="48" t="s">
        <v>7</v>
      </c>
      <c r="I1566" s="48" t="s">
        <v>6</v>
      </c>
      <c r="J1566" s="48" t="s">
        <v>5</v>
      </c>
      <c r="K1566" s="48" t="s">
        <v>68</v>
      </c>
      <c r="L1566" s="47" t="s">
        <v>67</v>
      </c>
      <c r="M1566" s="41" t="s">
        <v>3</v>
      </c>
      <c r="N1566" s="41" t="s">
        <v>2</v>
      </c>
      <c r="O1566" s="41">
        <v>4</v>
      </c>
      <c r="P1566" s="41">
        <v>0</v>
      </c>
      <c r="Q1566" s="41">
        <v>0</v>
      </c>
      <c r="R1566" s="41">
        <v>20</v>
      </c>
      <c r="S1566" s="41">
        <v>0</v>
      </c>
      <c r="T1566" s="41">
        <v>0</v>
      </c>
      <c r="U1566" s="41">
        <v>35</v>
      </c>
      <c r="V1566" s="45"/>
      <c r="W1566" s="45"/>
      <c r="X1566" s="46">
        <f>IFERROR(1 -(Master[[#This Row],[Avg Garment Scans per Delivery]]/Master[[#This Row],[Garment Inventory]]), 0)</f>
        <v>0</v>
      </c>
      <c r="Y1566" s="45"/>
      <c r="Z1566" s="45"/>
      <c r="AA1566" s="53">
        <v>414.302716514255</v>
      </c>
      <c r="AB1566" s="53">
        <v>705.97182894029038</v>
      </c>
      <c r="AC1566" s="53">
        <v>540.77224852071004</v>
      </c>
      <c r="AD1566" s="53">
        <v>600.34005917159766</v>
      </c>
      <c r="AE1566" s="53" t="str">
        <f>_xlfn.XLOOKUP(Master[[#This Row],[cu_id]],'[1]Customer Revenue'!$Q:$Q,'[1]Customer Revenue'!$K:$K, "None")</f>
        <v>None</v>
      </c>
      <c r="AF1566" s="53" t="str">
        <f>_xlfn.XLOOKUP(Master[[#This Row],[cu_id]],'[1]Customer Revenue'!$Q:$Q,'[1]Customer Revenue'!$L:$L, "None")</f>
        <v>None</v>
      </c>
      <c r="AG1566" s="53">
        <v>416.01276614779027</v>
      </c>
      <c r="AH1566" s="53">
        <v>696.91679906960098</v>
      </c>
      <c r="AI1566" s="53">
        <v>560.13727272727272</v>
      </c>
      <c r="AJ1566" s="53">
        <v>570.55615384615385</v>
      </c>
      <c r="AK1566" s="53" t="str">
        <f>_xlfn.XLOOKUP(Master[[#This Row],[cu_id]],'[1]Customer Revenue'!$Q:$Q,'[1]Customer Revenue'!$I:$I, "None")</f>
        <v>None</v>
      </c>
      <c r="AL1566" s="53">
        <v>556.4647826086956</v>
      </c>
      <c r="AM1566" s="43" t="s">
        <v>36</v>
      </c>
      <c r="AN1566" s="42" t="s">
        <v>36</v>
      </c>
      <c r="AO1566" s="42" t="s">
        <v>36</v>
      </c>
      <c r="AP1566" s="42" t="s">
        <v>36</v>
      </c>
      <c r="AQ1566" s="41" t="s">
        <v>0</v>
      </c>
      <c r="AR1566" s="41"/>
      <c r="AS1566" s="41"/>
      <c r="AT1566" s="52">
        <v>0</v>
      </c>
      <c r="AU1566" s="52">
        <f>IF(Master[[#This Row],[RSP StopTime override]] &lt;&gt; "",Master[[#This Row],[RSP StopTime override]],IF(Master[[#This Row],[Avg stop time helper]] &lt;&gt; 0, Master[[#This Row],[Avg stop time helper]],Average_Stop_Time))</f>
        <v>10</v>
      </c>
      <c r="AV1566" s="21">
        <v>10</v>
      </c>
      <c r="AW1566" s="20">
        <f>Master[[#This Row],[RSP StopTime override]]-Master[[#This Row],[Avg stop time helper]]</f>
        <v>10</v>
      </c>
    </row>
    <row r="1567" spans="1:49" x14ac:dyDescent="0.3">
      <c r="A1567" s="49" t="s">
        <v>5564</v>
      </c>
      <c r="B1567" s="41">
        <v>8040</v>
      </c>
      <c r="C1567" s="41" t="s">
        <v>10</v>
      </c>
      <c r="D1567" s="48">
        <v>803880</v>
      </c>
      <c r="E1567" s="48" t="s">
        <v>42</v>
      </c>
      <c r="F1567" s="48" t="s">
        <v>228</v>
      </c>
      <c r="G1567" s="48" t="s">
        <v>227</v>
      </c>
      <c r="H1567" s="48" t="s">
        <v>21</v>
      </c>
      <c r="I1567" s="48" t="s">
        <v>6</v>
      </c>
      <c r="J1567" s="48" t="s">
        <v>5</v>
      </c>
      <c r="K1567" s="48" t="s">
        <v>115</v>
      </c>
      <c r="L1567" s="47" t="s">
        <v>67</v>
      </c>
      <c r="M1567" s="41" t="s">
        <v>3</v>
      </c>
      <c r="N1567" s="41" t="s">
        <v>2</v>
      </c>
      <c r="O1567" s="41">
        <v>50</v>
      </c>
      <c r="P1567" s="41">
        <v>0</v>
      </c>
      <c r="Q1567" s="41">
        <v>0</v>
      </c>
      <c r="R1567" s="41">
        <v>57</v>
      </c>
      <c r="S1567" s="41">
        <v>0</v>
      </c>
      <c r="T1567" s="41">
        <v>0</v>
      </c>
      <c r="U1567" s="41">
        <v>37</v>
      </c>
      <c r="V1567" s="45"/>
      <c r="W1567" s="45"/>
      <c r="X1567" s="46">
        <f>IFERROR(1 -(Master[[#This Row],[Avg Garment Scans per Delivery]]/Master[[#This Row],[Garment Inventory]]), 0)</f>
        <v>0</v>
      </c>
      <c r="Y1567" s="45"/>
      <c r="Z1567" s="45"/>
      <c r="AA1567" s="53">
        <v>73.632083333333298</v>
      </c>
      <c r="AB1567" s="53">
        <v>100.18791666666667</v>
      </c>
      <c r="AC1567" s="53">
        <v>86.805266272189328</v>
      </c>
      <c r="AD1567" s="53">
        <v>87.922426035502951</v>
      </c>
      <c r="AE1567" s="53" t="str">
        <f>_xlfn.XLOOKUP(Master[[#This Row],[cu_id]],'[1]Customer Revenue'!$Q:$Q,'[1]Customer Revenue'!$K:$K, "None")</f>
        <v>None</v>
      </c>
      <c r="AF1567" s="53" t="str">
        <f>_xlfn.XLOOKUP(Master[[#This Row],[cu_id]],'[1]Customer Revenue'!$Q:$Q,'[1]Customer Revenue'!$L:$L, "None")</f>
        <v>None</v>
      </c>
      <c r="AG1567" s="53">
        <v>80.23531200000005</v>
      </c>
      <c r="AH1567" s="53">
        <v>93.584688</v>
      </c>
      <c r="AI1567" s="53">
        <v>86.909999999999982</v>
      </c>
      <c r="AJ1567" s="53">
        <v>87.36384615384614</v>
      </c>
      <c r="AK1567" s="53" t="str">
        <f>_xlfn.XLOOKUP(Master[[#This Row],[cu_id]],'[1]Customer Revenue'!$Q:$Q,'[1]Customer Revenue'!$I:$I, "None")</f>
        <v>None</v>
      </c>
      <c r="AL1567" s="53">
        <v>86.910000000000025</v>
      </c>
      <c r="AM1567" s="43">
        <v>0.29166666666666669</v>
      </c>
      <c r="AN1567" s="42">
        <v>0.875</v>
      </c>
      <c r="AO1567" s="42" t="s">
        <v>36</v>
      </c>
      <c r="AP1567" s="42" t="s">
        <v>36</v>
      </c>
      <c r="AQ1567" s="41" t="s">
        <v>0</v>
      </c>
      <c r="AR1567" s="41"/>
      <c r="AS1567" s="41"/>
      <c r="AT1567" s="52">
        <v>0</v>
      </c>
      <c r="AU1567" s="52" t="e">
        <f>IF(Master[[#This Row],[RSP StopTime override]] &lt;&gt; "",Master[[#This Row],[RSP StopTime override]],IF(Master[[#This Row],[Avg stop time helper]] &lt;&gt; 0, Master[[#This Row],[Avg stop time helper]],Average_Stop_Time))</f>
        <v>#DIV/0!</v>
      </c>
      <c r="AV1567" s="21"/>
      <c r="AW1567" s="20">
        <f>Master[[#This Row],[RSP StopTime override]]-Master[[#This Row],[Avg stop time helper]]</f>
        <v>0</v>
      </c>
    </row>
    <row r="1568" spans="1:49" x14ac:dyDescent="0.3">
      <c r="A1568" s="49" t="s">
        <v>5565</v>
      </c>
      <c r="B1568" s="41">
        <v>8040</v>
      </c>
      <c r="C1568" s="41" t="s">
        <v>43</v>
      </c>
      <c r="D1568" s="48">
        <v>882688</v>
      </c>
      <c r="E1568" s="48" t="s">
        <v>226</v>
      </c>
      <c r="F1568" s="48" t="s">
        <v>225</v>
      </c>
      <c r="G1568" s="48" t="s">
        <v>224</v>
      </c>
      <c r="H1568" s="48" t="s">
        <v>7</v>
      </c>
      <c r="I1568" s="48" t="s">
        <v>6</v>
      </c>
      <c r="J1568" s="48" t="s">
        <v>5</v>
      </c>
      <c r="K1568" s="48" t="s">
        <v>223</v>
      </c>
      <c r="L1568" s="47" t="s">
        <v>67</v>
      </c>
      <c r="M1568" s="41" t="s">
        <v>3</v>
      </c>
      <c r="N1568" s="41" t="s">
        <v>2</v>
      </c>
      <c r="O1568" s="41">
        <v>1</v>
      </c>
      <c r="P1568" s="41">
        <v>0</v>
      </c>
      <c r="Q1568" s="41">
        <v>0</v>
      </c>
      <c r="R1568" s="41">
        <v>0</v>
      </c>
      <c r="S1568" s="41">
        <v>1</v>
      </c>
      <c r="T1568" s="41">
        <v>0</v>
      </c>
      <c r="U1568" s="41">
        <v>51</v>
      </c>
      <c r="V1568" s="45">
        <v>11</v>
      </c>
      <c r="W1568" s="45"/>
      <c r="X1568" s="46">
        <f>IFERROR(1 -(Master[[#This Row],[Avg Garment Scans per Delivery]]/Master[[#This Row],[Garment Inventory]]), 0)</f>
        <v>1</v>
      </c>
      <c r="Y1568" s="45"/>
      <c r="Z1568" s="45"/>
      <c r="AA1568" s="53">
        <v>115.43686390532538</v>
      </c>
      <c r="AB1568" s="53">
        <v>160.24159763313605</v>
      </c>
      <c r="AC1568" s="53">
        <v>116.89189349112425</v>
      </c>
      <c r="AD1568" s="53">
        <v>166.03887573964496</v>
      </c>
      <c r="AE1568" s="53" t="str">
        <f>_xlfn.XLOOKUP(Master[[#This Row],[cu_id]],'[1]Customer Revenue'!$Q:$Q,'[1]Customer Revenue'!$K:$K, "None")</f>
        <v>None</v>
      </c>
      <c r="AF1568" s="53" t="str">
        <f>_xlfn.XLOOKUP(Master[[#This Row],[cu_id]],'[1]Customer Revenue'!$Q:$Q,'[1]Customer Revenue'!$L:$L, "None")</f>
        <v>None</v>
      </c>
      <c r="AG1568" s="53">
        <v>106.86305839002273</v>
      </c>
      <c r="AH1568" s="53">
        <v>159.51249716553292</v>
      </c>
      <c r="AI1568" s="53">
        <v>137.83923076923071</v>
      </c>
      <c r="AJ1568" s="53">
        <v>141.46538461538461</v>
      </c>
      <c r="AK1568" s="53" t="str">
        <f>_xlfn.XLOOKUP(Master[[#This Row],[cu_id]],'[1]Customer Revenue'!$Q:$Q,'[1]Customer Revenue'!$I:$I, "None")</f>
        <v>None</v>
      </c>
      <c r="AL1568" s="53">
        <v>133.18777777777782</v>
      </c>
      <c r="AM1568" s="43" t="s">
        <v>36</v>
      </c>
      <c r="AN1568" s="42" t="s">
        <v>36</v>
      </c>
      <c r="AO1568" s="42" t="s">
        <v>36</v>
      </c>
      <c r="AP1568" s="42" t="s">
        <v>36</v>
      </c>
      <c r="AQ1568" s="41" t="s">
        <v>0</v>
      </c>
      <c r="AR1568" s="41"/>
      <c r="AS1568" s="41"/>
      <c r="AT1568" s="52">
        <v>0</v>
      </c>
      <c r="AU1568" s="52" t="e">
        <f>IF(Master[[#This Row],[RSP StopTime override]] &lt;&gt; "",Master[[#This Row],[RSP StopTime override]],IF(Master[[#This Row],[Avg stop time helper]] &lt;&gt; 0, Master[[#This Row],[Avg stop time helper]],Average_Stop_Time))</f>
        <v>#DIV/0!</v>
      </c>
      <c r="AV1568" s="21"/>
      <c r="AW1568" s="20">
        <f>Master[[#This Row],[RSP StopTime override]]-Master[[#This Row],[Avg stop time helper]]</f>
        <v>0</v>
      </c>
    </row>
    <row r="1569" spans="1:49" x14ac:dyDescent="0.3">
      <c r="A1569" s="49" t="s">
        <v>5566</v>
      </c>
      <c r="B1569" s="41">
        <v>8040</v>
      </c>
      <c r="C1569" s="41" t="s">
        <v>15</v>
      </c>
      <c r="D1569" s="48">
        <v>806045</v>
      </c>
      <c r="E1569" s="48" t="s">
        <v>42</v>
      </c>
      <c r="F1569" s="48" t="s">
        <v>222</v>
      </c>
      <c r="G1569" s="48" t="s">
        <v>221</v>
      </c>
      <c r="H1569" s="48" t="s">
        <v>7</v>
      </c>
      <c r="I1569" s="48" t="s">
        <v>6</v>
      </c>
      <c r="J1569" s="48" t="s">
        <v>5</v>
      </c>
      <c r="K1569" s="48" t="s">
        <v>115</v>
      </c>
      <c r="L1569" s="47" t="s">
        <v>77</v>
      </c>
      <c r="M1569" s="41" t="s">
        <v>29</v>
      </c>
      <c r="N1569" s="41" t="s">
        <v>2</v>
      </c>
      <c r="O1569" s="41">
        <v>65</v>
      </c>
      <c r="P1569" s="41">
        <v>0</v>
      </c>
      <c r="Q1569" s="41">
        <v>0</v>
      </c>
      <c r="R1569" s="41">
        <v>0</v>
      </c>
      <c r="S1569" s="41">
        <v>0</v>
      </c>
      <c r="T1569" s="41">
        <v>65</v>
      </c>
      <c r="U1569" s="41">
        <v>31</v>
      </c>
      <c r="V1569" s="45"/>
      <c r="W1569" s="45"/>
      <c r="X1569" s="46">
        <f>IFERROR(1 -(Master[[#This Row],[Avg Garment Scans per Delivery]]/Master[[#This Row],[Garment Inventory]]), 0)</f>
        <v>0</v>
      </c>
      <c r="Y1569" s="45"/>
      <c r="Z1569" s="45"/>
      <c r="AA1569" s="53">
        <v>97.33</v>
      </c>
      <c r="AB1569" s="53">
        <v>136.66000000000003</v>
      </c>
      <c r="AC1569" s="53">
        <v>98.026875000000004</v>
      </c>
      <c r="AD1569" s="53">
        <v>159.16062499999998</v>
      </c>
      <c r="AE1569" s="53" t="str">
        <f>_xlfn.XLOOKUP(Master[[#This Row],[cu_id]],'[1]Customer Revenue'!$Q:$Q,'[1]Customer Revenue'!$K:$K, "None")</f>
        <v>None</v>
      </c>
      <c r="AF1569" s="53" t="str">
        <f>_xlfn.XLOOKUP(Master[[#This Row],[cu_id]],'[1]Customer Revenue'!$Q:$Q,'[1]Customer Revenue'!$L:$L, "None")</f>
        <v>None</v>
      </c>
      <c r="AG1569" s="53">
        <v>74.264999999999986</v>
      </c>
      <c r="AH1569" s="53">
        <v>129.33250000000001</v>
      </c>
      <c r="AI1569" s="53">
        <v>116.995</v>
      </c>
      <c r="AJ1569" s="53">
        <v>128.59375</v>
      </c>
      <c r="AK1569" s="53" t="str">
        <f>_xlfn.XLOOKUP(Master[[#This Row],[cu_id]],'[1]Customer Revenue'!$Q:$Q,'[1]Customer Revenue'!$I:$I, "None")</f>
        <v>None</v>
      </c>
      <c r="AL1569" s="53">
        <v>101.79875</v>
      </c>
      <c r="AM1569" s="43">
        <v>0.4375</v>
      </c>
      <c r="AN1569" s="42">
        <v>0.83333333333333337</v>
      </c>
      <c r="AO1569" s="42" t="s">
        <v>36</v>
      </c>
      <c r="AP1569" s="42" t="s">
        <v>36</v>
      </c>
      <c r="AQ1569" s="41" t="s">
        <v>0</v>
      </c>
      <c r="AR1569" s="41"/>
      <c r="AS1569" s="41"/>
      <c r="AT1569" s="52">
        <v>0</v>
      </c>
      <c r="AU1569" s="52" t="e">
        <f>IF(Master[[#This Row],[RSP StopTime override]] &lt;&gt; "",Master[[#This Row],[RSP StopTime override]],IF(Master[[#This Row],[Avg stop time helper]] &lt;&gt; 0, Master[[#This Row],[Avg stop time helper]],Average_Stop_Time))</f>
        <v>#DIV/0!</v>
      </c>
      <c r="AV1569" s="21"/>
      <c r="AW1569" s="20">
        <f>Master[[#This Row],[RSP StopTime override]]-Master[[#This Row],[Avg stop time helper]]</f>
        <v>0</v>
      </c>
    </row>
    <row r="1570" spans="1:49" x14ac:dyDescent="0.3">
      <c r="A1570" s="49" t="s">
        <v>5567</v>
      </c>
      <c r="B1570" s="41">
        <v>8040</v>
      </c>
      <c r="C1570" s="41" t="s">
        <v>43</v>
      </c>
      <c r="D1570" s="48">
        <v>885730</v>
      </c>
      <c r="E1570" s="48" t="s">
        <v>220</v>
      </c>
      <c r="F1570" s="48" t="s">
        <v>219</v>
      </c>
      <c r="G1570" s="48" t="s">
        <v>218</v>
      </c>
      <c r="H1570" s="48" t="s">
        <v>7</v>
      </c>
      <c r="I1570" s="48" t="s">
        <v>6</v>
      </c>
      <c r="J1570" s="48" t="s">
        <v>5</v>
      </c>
      <c r="K1570" s="48" t="s">
        <v>146</v>
      </c>
      <c r="L1570" s="47" t="s">
        <v>67</v>
      </c>
      <c r="M1570" s="41" t="s">
        <v>3</v>
      </c>
      <c r="N1570" s="41" t="s">
        <v>2</v>
      </c>
      <c r="O1570" s="41">
        <v>125</v>
      </c>
      <c r="P1570" s="41">
        <v>0</v>
      </c>
      <c r="Q1570" s="41">
        <v>0</v>
      </c>
      <c r="R1570" s="41">
        <v>0</v>
      </c>
      <c r="S1570" s="41">
        <v>125</v>
      </c>
      <c r="T1570" s="41">
        <v>0</v>
      </c>
      <c r="U1570" s="41">
        <v>37</v>
      </c>
      <c r="V1570" s="45">
        <v>0</v>
      </c>
      <c r="W1570" s="45"/>
      <c r="X1570" s="46">
        <f>IFERROR(1 -(Master[[#This Row],[Avg Garment Scans per Delivery]]/Master[[#This Row],[Garment Inventory]]), 0)</f>
        <v>0</v>
      </c>
      <c r="Y1570" s="45">
        <v>1</v>
      </c>
      <c r="Z1570" s="45">
        <v>1</v>
      </c>
      <c r="AA1570" s="53">
        <v>140.65</v>
      </c>
      <c r="AB1570" s="53">
        <v>140.65000000000006</v>
      </c>
      <c r="AC1570" s="53">
        <v>137.43917159763316</v>
      </c>
      <c r="AD1570" s="53">
        <v>190.05313609467458</v>
      </c>
      <c r="AE1570" s="53" t="str">
        <f>_xlfn.XLOOKUP(Master[[#This Row],[cu_id]],'[1]Customer Revenue'!$Q:$Q,'[1]Customer Revenue'!$K:$K, "None")</f>
        <v>None</v>
      </c>
      <c r="AF1570" s="53" t="str">
        <f>_xlfn.XLOOKUP(Master[[#This Row],[cu_id]],'[1]Customer Revenue'!$Q:$Q,'[1]Customer Revenue'!$L:$L, "None")</f>
        <v>None</v>
      </c>
      <c r="AG1570" s="53">
        <v>71.898071992110488</v>
      </c>
      <c r="AH1570" s="53">
        <v>164.33026134122289</v>
      </c>
      <c r="AI1570" s="53">
        <v>140.65000000000003</v>
      </c>
      <c r="AJ1570" s="53">
        <v>163.74615384615387</v>
      </c>
      <c r="AK1570" s="53" t="str">
        <f>_xlfn.XLOOKUP(Master[[#This Row],[cu_id]],'[1]Customer Revenue'!$Q:$Q,'[1]Customer Revenue'!$I:$I, "None")</f>
        <v>None</v>
      </c>
      <c r="AL1570" s="53">
        <v>118.11416666666669</v>
      </c>
      <c r="AM1570" s="43">
        <v>0.33333333333333331</v>
      </c>
      <c r="AN1570" s="42">
        <v>0.70833333333333337</v>
      </c>
      <c r="AO1570" s="42" t="s">
        <v>36</v>
      </c>
      <c r="AP1570" s="42" t="s">
        <v>36</v>
      </c>
      <c r="AQ1570" s="41" t="s">
        <v>0</v>
      </c>
      <c r="AR1570" s="41"/>
      <c r="AS1570" s="41"/>
      <c r="AT1570" s="52">
        <v>0</v>
      </c>
      <c r="AU1570" s="52" t="e">
        <f>IF(Master[[#This Row],[RSP StopTime override]] &lt;&gt; "",Master[[#This Row],[RSP StopTime override]],IF(Master[[#This Row],[Avg stop time helper]] &lt;&gt; 0, Master[[#This Row],[Avg stop time helper]],Average_Stop_Time))</f>
        <v>#DIV/0!</v>
      </c>
      <c r="AV1570" s="21"/>
      <c r="AW1570" s="20">
        <f>Master[[#This Row],[RSP StopTime override]]-Master[[#This Row],[Avg stop time helper]]</f>
        <v>0</v>
      </c>
    </row>
    <row r="1571" spans="1:49" x14ac:dyDescent="0.3">
      <c r="A1571" s="49" t="s">
        <v>5568</v>
      </c>
      <c r="B1571" s="41">
        <v>8060</v>
      </c>
      <c r="C1571" s="41" t="s">
        <v>35</v>
      </c>
      <c r="D1571" s="48">
        <v>802171</v>
      </c>
      <c r="E1571" s="48" t="s">
        <v>42</v>
      </c>
      <c r="F1571" s="48" t="s">
        <v>217</v>
      </c>
      <c r="G1571" s="48" t="s">
        <v>216</v>
      </c>
      <c r="H1571" s="48" t="s">
        <v>7</v>
      </c>
      <c r="I1571" s="48" t="s">
        <v>6</v>
      </c>
      <c r="J1571" s="48" t="s">
        <v>5</v>
      </c>
      <c r="K1571" s="48" t="s">
        <v>115</v>
      </c>
      <c r="L1571" s="47" t="s">
        <v>124</v>
      </c>
      <c r="M1571" s="41" t="s">
        <v>123</v>
      </c>
      <c r="N1571" s="41" t="s">
        <v>2</v>
      </c>
      <c r="O1571" s="41">
        <v>50</v>
      </c>
      <c r="P1571" s="41">
        <v>0</v>
      </c>
      <c r="Q1571" s="41">
        <v>50</v>
      </c>
      <c r="R1571" s="41">
        <v>0</v>
      </c>
      <c r="S1571" s="41">
        <v>0</v>
      </c>
      <c r="T1571" s="41">
        <v>0</v>
      </c>
      <c r="U1571" s="41">
        <v>10</v>
      </c>
      <c r="V1571" s="45"/>
      <c r="W1571" s="45"/>
      <c r="X1571" s="46">
        <f>IFERROR(1 -(Master[[#This Row],[Avg Garment Scans per Delivery]]/Master[[#This Row],[Garment Inventory]]), 0)</f>
        <v>0</v>
      </c>
      <c r="Y1571" s="45"/>
      <c r="Z1571" s="45"/>
      <c r="AA1571" s="53">
        <v>20.307777777777773</v>
      </c>
      <c r="AB1571" s="53">
        <v>25.018888888888888</v>
      </c>
      <c r="AC1571" s="53">
        <v>24.298888888888889</v>
      </c>
      <c r="AD1571" s="53">
        <v>25.347777777777779</v>
      </c>
      <c r="AE1571" s="53" t="str">
        <f>_xlfn.XLOOKUP(Master[[#This Row],[cu_id]],'[1]Customer Revenue'!$Q:$Q,'[1]Customer Revenue'!$K:$K, "None")</f>
        <v>None</v>
      </c>
      <c r="AF1571" s="53" t="str">
        <f>_xlfn.XLOOKUP(Master[[#This Row],[cu_id]],'[1]Customer Revenue'!$Q:$Q,'[1]Customer Revenue'!$L:$L, "None")</f>
        <v>None</v>
      </c>
      <c r="AG1571" s="53">
        <v>22.074444444444445</v>
      </c>
      <c r="AH1571" s="53">
        <v>25.018888888888888</v>
      </c>
      <c r="AI1571" s="53">
        <v>22.66333333333333</v>
      </c>
      <c r="AJ1571" s="53">
        <v>24.823333333333334</v>
      </c>
      <c r="AK1571" s="53" t="str">
        <f>_xlfn.XLOOKUP(Master[[#This Row],[cu_id]],'[1]Customer Revenue'!$Q:$Q,'[1]Customer Revenue'!$I:$I, "None")</f>
        <v>None</v>
      </c>
      <c r="AL1571" s="53">
        <v>23.546666666666667</v>
      </c>
      <c r="AM1571" s="43">
        <v>0.41666666666666669</v>
      </c>
      <c r="AN1571" s="42">
        <v>0.66666666666666663</v>
      </c>
      <c r="AO1571" s="42" t="s">
        <v>36</v>
      </c>
      <c r="AP1571" s="42" t="s">
        <v>36</v>
      </c>
      <c r="AQ1571" s="41" t="s">
        <v>0</v>
      </c>
      <c r="AR1571" s="41"/>
      <c r="AS1571" s="41"/>
      <c r="AT1571" s="52">
        <v>0</v>
      </c>
      <c r="AU1571" s="52">
        <f>IF(Master[[#This Row],[RSP StopTime override]] &lt;&gt; "",Master[[#This Row],[RSP StopTime override]],IF(Master[[#This Row],[Avg stop time helper]] &lt;&gt; 0, Master[[#This Row],[Avg stop time helper]],Average_Stop_Time))</f>
        <v>7</v>
      </c>
      <c r="AV1571" s="21">
        <v>7</v>
      </c>
      <c r="AW1571" s="20">
        <f>Master[[#This Row],[RSP StopTime override]]-Master[[#This Row],[Avg stop time helper]]</f>
        <v>7</v>
      </c>
    </row>
    <row r="1572" spans="1:49" x14ac:dyDescent="0.3">
      <c r="A1572" s="49" t="s">
        <v>5569</v>
      </c>
      <c r="B1572" s="41">
        <v>8060</v>
      </c>
      <c r="C1572" s="41" t="s">
        <v>35</v>
      </c>
      <c r="D1572" s="48">
        <v>802569</v>
      </c>
      <c r="E1572" s="48" t="s">
        <v>42</v>
      </c>
      <c r="F1572" s="48" t="s">
        <v>214</v>
      </c>
      <c r="G1572" s="48" t="s">
        <v>215</v>
      </c>
      <c r="H1572" s="48" t="s">
        <v>7</v>
      </c>
      <c r="I1572" s="48" t="s">
        <v>6</v>
      </c>
      <c r="J1572" s="48" t="s">
        <v>5</v>
      </c>
      <c r="K1572" s="48" t="s">
        <v>115</v>
      </c>
      <c r="L1572" s="47" t="s">
        <v>194</v>
      </c>
      <c r="M1572" s="41" t="s">
        <v>193</v>
      </c>
      <c r="N1572" s="41" t="s">
        <v>2</v>
      </c>
      <c r="O1572" s="41">
        <v>30</v>
      </c>
      <c r="P1572" s="41">
        <v>0</v>
      </c>
      <c r="Q1572" s="41">
        <v>30</v>
      </c>
      <c r="R1572" s="41">
        <v>0</v>
      </c>
      <c r="S1572" s="41">
        <v>0</v>
      </c>
      <c r="T1572" s="41">
        <v>0</v>
      </c>
      <c r="U1572" s="41">
        <v>10</v>
      </c>
      <c r="V1572" s="45"/>
      <c r="W1572" s="45"/>
      <c r="X1572" s="46">
        <f>IFERROR(1 -(Master[[#This Row],[Avg Garment Scans per Delivery]]/Master[[#This Row],[Garment Inventory]]), 0)</f>
        <v>0</v>
      </c>
      <c r="Y1572" s="45"/>
      <c r="Z1572" s="45"/>
      <c r="AA1572" s="53">
        <v>36.799999999999997</v>
      </c>
      <c r="AB1572" s="53">
        <v>36.799999999999997</v>
      </c>
      <c r="AC1572" s="53">
        <v>27.248888888888885</v>
      </c>
      <c r="AD1572" s="53">
        <v>28.297777777777775</v>
      </c>
      <c r="AE1572" s="53" t="str">
        <f>_xlfn.XLOOKUP(Master[[#This Row],[cu_id]],'[1]Customer Revenue'!$Q:$Q,'[1]Customer Revenue'!$K:$K, "None")</f>
        <v>None</v>
      </c>
      <c r="AF1572" s="53" t="str">
        <f>_xlfn.XLOOKUP(Master[[#This Row],[cu_id]],'[1]Customer Revenue'!$Q:$Q,'[1]Customer Revenue'!$L:$L, "None")</f>
        <v>None</v>
      </c>
      <c r="AG1572" s="53">
        <v>26.788035714285719</v>
      </c>
      <c r="AH1572" s="53">
        <v>44.120535714285715</v>
      </c>
      <c r="AI1572" s="53">
        <v>36.799999999999997</v>
      </c>
      <c r="AJ1572" s="53">
        <v>27.77333333333333</v>
      </c>
      <c r="AK1572" s="53" t="str">
        <f>_xlfn.XLOOKUP(Master[[#This Row],[cu_id]],'[1]Customer Revenue'!$Q:$Q,'[1]Customer Revenue'!$I:$I, "None")</f>
        <v>None</v>
      </c>
      <c r="AL1572" s="53">
        <v>35.454285714285717</v>
      </c>
      <c r="AM1572" s="43">
        <v>0.39583333333333331</v>
      </c>
      <c r="AN1572" s="42">
        <v>0.66666666666666663</v>
      </c>
      <c r="AO1572" s="42" t="s">
        <v>36</v>
      </c>
      <c r="AP1572" s="42" t="s">
        <v>36</v>
      </c>
      <c r="AQ1572" s="41" t="s">
        <v>0</v>
      </c>
      <c r="AR1572" s="41"/>
      <c r="AS1572" s="41"/>
      <c r="AT1572" s="52">
        <v>0</v>
      </c>
      <c r="AU1572" s="52">
        <f>IF(Master[[#This Row],[RSP StopTime override]] &lt;&gt; "",Master[[#This Row],[RSP StopTime override]],IF(Master[[#This Row],[Avg stop time helper]] &lt;&gt; 0, Master[[#This Row],[Avg stop time helper]],Average_Stop_Time))</f>
        <v>12</v>
      </c>
      <c r="AV1572" s="21">
        <v>12</v>
      </c>
      <c r="AW1572" s="20">
        <f>Master[[#This Row],[RSP StopTime override]]-Master[[#This Row],[Avg stop time helper]]</f>
        <v>12</v>
      </c>
    </row>
    <row r="1573" spans="1:49" x14ac:dyDescent="0.3">
      <c r="A1573" s="49" t="s">
        <v>5570</v>
      </c>
      <c r="B1573" s="41">
        <v>8060</v>
      </c>
      <c r="C1573" s="41" t="s">
        <v>35</v>
      </c>
      <c r="D1573" s="48">
        <v>802570</v>
      </c>
      <c r="E1573" s="48" t="s">
        <v>42</v>
      </c>
      <c r="F1573" s="48" t="s">
        <v>214</v>
      </c>
      <c r="G1573" s="48" t="s">
        <v>213</v>
      </c>
      <c r="H1573" s="48" t="s">
        <v>7</v>
      </c>
      <c r="I1573" s="48" t="s">
        <v>6</v>
      </c>
      <c r="J1573" s="48" t="s">
        <v>5</v>
      </c>
      <c r="K1573" s="48" t="s">
        <v>7</v>
      </c>
      <c r="L1573" s="47" t="s">
        <v>194</v>
      </c>
      <c r="M1573" s="41" t="s">
        <v>193</v>
      </c>
      <c r="N1573" s="41" t="s">
        <v>2</v>
      </c>
      <c r="O1573" s="41">
        <v>135</v>
      </c>
      <c r="P1573" s="41">
        <v>0</v>
      </c>
      <c r="Q1573" s="41">
        <v>135</v>
      </c>
      <c r="R1573" s="41">
        <v>0</v>
      </c>
      <c r="S1573" s="41">
        <v>0</v>
      </c>
      <c r="T1573" s="41">
        <v>0</v>
      </c>
      <c r="U1573" s="41">
        <v>10</v>
      </c>
      <c r="V1573" s="45"/>
      <c r="W1573" s="45"/>
      <c r="X1573" s="46">
        <f>IFERROR(1 -(Master[[#This Row],[Avg Garment Scans per Delivery]]/Master[[#This Row],[Garment Inventory]]), 0)</f>
        <v>0</v>
      </c>
      <c r="Y1573" s="45"/>
      <c r="Z1573" s="45"/>
      <c r="AA1573" s="53">
        <v>48.06</v>
      </c>
      <c r="AB1573" s="53">
        <v>48.06</v>
      </c>
      <c r="AC1573" s="53">
        <v>47.928888888888892</v>
      </c>
      <c r="AD1573" s="53">
        <v>48.977777777777789</v>
      </c>
      <c r="AE1573" s="53" t="str">
        <f>_xlfn.XLOOKUP(Master[[#This Row],[cu_id]],'[1]Customer Revenue'!$Q:$Q,'[1]Customer Revenue'!$K:$K, "None")</f>
        <v>None</v>
      </c>
      <c r="AF1573" s="53" t="str">
        <f>_xlfn.XLOOKUP(Master[[#This Row],[cu_id]],'[1]Customer Revenue'!$Q:$Q,'[1]Customer Revenue'!$L:$L, "None")</f>
        <v>None</v>
      </c>
      <c r="AG1573" s="53">
        <v>21.768589065255735</v>
      </c>
      <c r="AH1573" s="53">
        <v>74.354268077601404</v>
      </c>
      <c r="AI1573" s="53">
        <v>48.06</v>
      </c>
      <c r="AJ1573" s="53">
        <v>48.45333333333334</v>
      </c>
      <c r="AK1573" s="53" t="str">
        <f>_xlfn.XLOOKUP(Master[[#This Row],[cu_id]],'[1]Customer Revenue'!$Q:$Q,'[1]Customer Revenue'!$I:$I, "None")</f>
        <v>None</v>
      </c>
      <c r="AL1573" s="53">
        <v>48.061428571428571</v>
      </c>
      <c r="AM1573" s="43">
        <v>0.39583333333333331</v>
      </c>
      <c r="AN1573" s="42">
        <v>0.66666666666666663</v>
      </c>
      <c r="AO1573" s="42" t="s">
        <v>36</v>
      </c>
      <c r="AP1573" s="42" t="s">
        <v>36</v>
      </c>
      <c r="AQ1573" s="41" t="s">
        <v>0</v>
      </c>
      <c r="AR1573" s="41"/>
      <c r="AS1573" s="41"/>
      <c r="AT1573" s="52">
        <v>0</v>
      </c>
      <c r="AU1573" s="52">
        <f>IF(Master[[#This Row],[RSP StopTime override]] &lt;&gt; "",Master[[#This Row],[RSP StopTime override]],IF(Master[[#This Row],[Avg stop time helper]] &lt;&gt; 0, Master[[#This Row],[Avg stop time helper]],Average_Stop_Time))</f>
        <v>15</v>
      </c>
      <c r="AV1573" s="21">
        <v>15</v>
      </c>
      <c r="AW1573" s="20">
        <f>Master[[#This Row],[RSP StopTime override]]-Master[[#This Row],[Avg stop time helper]]</f>
        <v>15</v>
      </c>
    </row>
    <row r="1574" spans="1:49" x14ac:dyDescent="0.3">
      <c r="A1574" s="49" t="s">
        <v>5571</v>
      </c>
      <c r="B1574" s="41">
        <v>8060</v>
      </c>
      <c r="C1574" s="41" t="s">
        <v>35</v>
      </c>
      <c r="D1574" s="48">
        <v>802588</v>
      </c>
      <c r="E1574" s="48" t="s">
        <v>42</v>
      </c>
      <c r="F1574" s="48" t="s">
        <v>212</v>
      </c>
      <c r="G1574" s="48" t="s">
        <v>211</v>
      </c>
      <c r="H1574" s="48" t="s">
        <v>7</v>
      </c>
      <c r="I1574" s="48" t="s">
        <v>6</v>
      </c>
      <c r="J1574" s="48" t="s">
        <v>5</v>
      </c>
      <c r="K1574" s="48" t="s">
        <v>146</v>
      </c>
      <c r="L1574" s="47" t="s">
        <v>67</v>
      </c>
      <c r="M1574" s="41" t="s">
        <v>3</v>
      </c>
      <c r="N1574" s="41" t="s">
        <v>2</v>
      </c>
      <c r="O1574" s="41">
        <v>140</v>
      </c>
      <c r="P1574" s="41">
        <v>0</v>
      </c>
      <c r="Q1574" s="41">
        <v>140</v>
      </c>
      <c r="R1574" s="41">
        <v>0</v>
      </c>
      <c r="S1574" s="41">
        <v>0</v>
      </c>
      <c r="T1574" s="41">
        <v>0</v>
      </c>
      <c r="U1574" s="41">
        <v>39</v>
      </c>
      <c r="V1574" s="45">
        <v>0</v>
      </c>
      <c r="W1574" s="45">
        <v>0</v>
      </c>
      <c r="X1574" s="46">
        <f>IFERROR(1 -(Master[[#This Row],[Avg Garment Scans per Delivery]]/Master[[#This Row],[Garment Inventory]]), 0)</f>
        <v>0</v>
      </c>
      <c r="Y1574" s="45">
        <v>1</v>
      </c>
      <c r="Z1574" s="45">
        <v>19</v>
      </c>
      <c r="AA1574" s="53">
        <v>26.726804733727811</v>
      </c>
      <c r="AB1574" s="53">
        <v>39.640887573964498</v>
      </c>
      <c r="AC1574" s="53">
        <v>26.218639053254435</v>
      </c>
      <c r="AD1574" s="53">
        <v>50.939822485207102</v>
      </c>
      <c r="AE1574" s="53" t="str">
        <f>_xlfn.XLOOKUP(Master[[#This Row],[cu_id]],'[1]Customer Revenue'!$Q:$Q,'[1]Customer Revenue'!$K:$K, "None")</f>
        <v>None</v>
      </c>
      <c r="AF1574" s="53" t="str">
        <f>_xlfn.XLOOKUP(Master[[#This Row],[cu_id]],'[1]Customer Revenue'!$Q:$Q,'[1]Customer Revenue'!$L:$L, "None")</f>
        <v>None</v>
      </c>
      <c r="AG1574" s="53">
        <v>26.589497041420117</v>
      </c>
      <c r="AH1574" s="53">
        <v>41.365118343195263</v>
      </c>
      <c r="AI1574" s="53">
        <v>33.183846153846154</v>
      </c>
      <c r="AJ1574" s="53">
        <v>38.579230769230769</v>
      </c>
      <c r="AK1574" s="53" t="str">
        <f>_xlfn.XLOOKUP(Master[[#This Row],[cu_id]],'[1]Customer Revenue'!$Q:$Q,'[1]Customer Revenue'!$I:$I, "None")</f>
        <v>None</v>
      </c>
      <c r="AL1574" s="53">
        <v>33.97730769230769</v>
      </c>
      <c r="AM1574" s="43">
        <v>0.39583333333333331</v>
      </c>
      <c r="AN1574" s="42">
        <v>0.66666666666666663</v>
      </c>
      <c r="AO1574" s="42" t="s">
        <v>36</v>
      </c>
      <c r="AP1574" s="42" t="s">
        <v>36</v>
      </c>
      <c r="AQ1574" s="41" t="s">
        <v>0</v>
      </c>
      <c r="AR1574" s="41"/>
      <c r="AS1574" s="41"/>
      <c r="AT1574" s="52">
        <v>0</v>
      </c>
      <c r="AU1574" s="52">
        <f>IF(Master[[#This Row],[RSP StopTime override]] &lt;&gt; "",Master[[#This Row],[RSP StopTime override]],IF(Master[[#This Row],[Avg stop time helper]] &lt;&gt; 0, Master[[#This Row],[Avg stop time helper]],Average_Stop_Time))</f>
        <v>12</v>
      </c>
      <c r="AV1574" s="21">
        <v>12</v>
      </c>
      <c r="AW1574" s="20">
        <f>Master[[#This Row],[RSP StopTime override]]-Master[[#This Row],[Avg stop time helper]]</f>
        <v>12</v>
      </c>
    </row>
    <row r="1575" spans="1:49" x14ac:dyDescent="0.3">
      <c r="A1575" s="49" t="s">
        <v>5572</v>
      </c>
      <c r="B1575" s="41">
        <v>8060</v>
      </c>
      <c r="C1575" s="41" t="s">
        <v>35</v>
      </c>
      <c r="D1575" s="48">
        <v>803505</v>
      </c>
      <c r="E1575" s="48" t="s">
        <v>42</v>
      </c>
      <c r="F1575" s="48" t="s">
        <v>210</v>
      </c>
      <c r="G1575" s="48" t="s">
        <v>209</v>
      </c>
      <c r="H1575" s="48" t="s">
        <v>7</v>
      </c>
      <c r="I1575" s="48" t="s">
        <v>6</v>
      </c>
      <c r="J1575" s="48" t="s">
        <v>5</v>
      </c>
      <c r="K1575" s="48" t="s">
        <v>115</v>
      </c>
      <c r="L1575" s="47" t="s">
        <v>77</v>
      </c>
      <c r="M1575" s="41" t="s">
        <v>29</v>
      </c>
      <c r="N1575" s="41" t="s">
        <v>2</v>
      </c>
      <c r="O1575" s="41">
        <v>80</v>
      </c>
      <c r="P1575" s="41">
        <v>0</v>
      </c>
      <c r="Q1575" s="41">
        <v>80</v>
      </c>
      <c r="R1575" s="41">
        <v>0</v>
      </c>
      <c r="S1575" s="41">
        <v>0</v>
      </c>
      <c r="T1575" s="41">
        <v>0</v>
      </c>
      <c r="U1575" s="41">
        <v>21</v>
      </c>
      <c r="V1575" s="45"/>
      <c r="W1575" s="45"/>
      <c r="X1575" s="46">
        <f>IFERROR(1 -(Master[[#This Row],[Avg Garment Scans per Delivery]]/Master[[#This Row],[Garment Inventory]]), 0)</f>
        <v>0</v>
      </c>
      <c r="Y1575" s="45"/>
      <c r="Z1575" s="45"/>
      <c r="AA1575" s="53">
        <v>56.57</v>
      </c>
      <c r="AB1575" s="53">
        <v>81.53</v>
      </c>
      <c r="AC1575" s="53">
        <v>59.361428571428569</v>
      </c>
      <c r="AD1575" s="53">
        <v>92.858571428571423</v>
      </c>
      <c r="AE1575" s="53" t="str">
        <f>_xlfn.XLOOKUP(Master[[#This Row],[cu_id]],'[1]Customer Revenue'!$Q:$Q,'[1]Customer Revenue'!$K:$K, "None")</f>
        <v>None</v>
      </c>
      <c r="AF1575" s="53" t="str">
        <f>_xlfn.XLOOKUP(Master[[#This Row],[cu_id]],'[1]Customer Revenue'!$Q:$Q,'[1]Customer Revenue'!$L:$L, "None")</f>
        <v>None</v>
      </c>
      <c r="AG1575" s="53">
        <v>52.382161904761908</v>
      </c>
      <c r="AH1575" s="53">
        <v>80.270695238095243</v>
      </c>
      <c r="AI1575" s="53">
        <v>69.05</v>
      </c>
      <c r="AJ1575" s="53">
        <v>76.11</v>
      </c>
      <c r="AK1575" s="53" t="str">
        <f>_xlfn.XLOOKUP(Master[[#This Row],[cu_id]],'[1]Customer Revenue'!$Q:$Q,'[1]Customer Revenue'!$I:$I, "None")</f>
        <v>None</v>
      </c>
      <c r="AL1575" s="53">
        <v>66.326428571428579</v>
      </c>
      <c r="AM1575" s="43">
        <v>0.375</v>
      </c>
      <c r="AN1575" s="42">
        <v>0</v>
      </c>
      <c r="AO1575" s="42">
        <v>0.54166666666666663</v>
      </c>
      <c r="AP1575" s="42">
        <v>0.625</v>
      </c>
      <c r="AQ1575" s="41" t="s">
        <v>0</v>
      </c>
      <c r="AR1575" s="41"/>
      <c r="AS1575" s="41"/>
      <c r="AT1575" s="52">
        <v>0</v>
      </c>
      <c r="AU1575" s="52">
        <f>IF(Master[[#This Row],[RSP StopTime override]] &lt;&gt; "",Master[[#This Row],[RSP StopTime override]],IF(Master[[#This Row],[Avg stop time helper]] &lt;&gt; 0, Master[[#This Row],[Avg stop time helper]],Average_Stop_Time))</f>
        <v>17</v>
      </c>
      <c r="AV1575" s="21">
        <v>17</v>
      </c>
      <c r="AW1575" s="20">
        <f>Master[[#This Row],[RSP StopTime override]]-Master[[#This Row],[Avg stop time helper]]</f>
        <v>17</v>
      </c>
    </row>
    <row r="1576" spans="1:49" x14ac:dyDescent="0.3">
      <c r="A1576" s="49" t="s">
        <v>5573</v>
      </c>
      <c r="B1576" s="41">
        <v>8060</v>
      </c>
      <c r="C1576" s="41" t="s">
        <v>35</v>
      </c>
      <c r="D1576" s="48">
        <v>803510</v>
      </c>
      <c r="E1576" s="48" t="s">
        <v>42</v>
      </c>
      <c r="F1576" s="48" t="s">
        <v>208</v>
      </c>
      <c r="G1576" s="48" t="s">
        <v>207</v>
      </c>
      <c r="H1576" s="48" t="s">
        <v>7</v>
      </c>
      <c r="I1576" s="48" t="s">
        <v>6</v>
      </c>
      <c r="J1576" s="48" t="s">
        <v>5</v>
      </c>
      <c r="K1576" s="48" t="s">
        <v>115</v>
      </c>
      <c r="L1576" s="47" t="s">
        <v>206</v>
      </c>
      <c r="M1576" s="41" t="s">
        <v>205</v>
      </c>
      <c r="N1576" s="41" t="s">
        <v>2</v>
      </c>
      <c r="O1576" s="41">
        <v>28</v>
      </c>
      <c r="P1576" s="41">
        <v>0</v>
      </c>
      <c r="Q1576" s="41">
        <v>28</v>
      </c>
      <c r="R1576" s="41">
        <v>0</v>
      </c>
      <c r="S1576" s="41">
        <v>0</v>
      </c>
      <c r="T1576" s="41">
        <v>0</v>
      </c>
      <c r="U1576" s="41">
        <v>10</v>
      </c>
      <c r="V1576" s="45"/>
      <c r="W1576" s="45"/>
      <c r="X1576" s="46">
        <f>IFERROR(1 -(Master[[#This Row],[Avg Garment Scans per Delivery]]/Master[[#This Row],[Garment Inventory]]), 0)</f>
        <v>0</v>
      </c>
      <c r="Y1576" s="45"/>
      <c r="Z1576" s="45"/>
      <c r="AA1576" s="53">
        <v>36.306249999999999</v>
      </c>
      <c r="AB1576" s="53">
        <v>79.873750000000001</v>
      </c>
      <c r="AC1576" s="53">
        <v>51.79</v>
      </c>
      <c r="AD1576" s="53">
        <v>58.089999999999996</v>
      </c>
      <c r="AE1576" s="53" t="str">
        <f>_xlfn.XLOOKUP(Master[[#This Row],[cu_id]],'[1]Customer Revenue'!$Q:$Q,'[1]Customer Revenue'!$K:$K, "None")</f>
        <v>None</v>
      </c>
      <c r="AF1576" s="53" t="str">
        <f>_xlfn.XLOOKUP(Master[[#This Row],[cu_id]],'[1]Customer Revenue'!$Q:$Q,'[1]Customer Revenue'!$L:$L, "None")</f>
        <v>None</v>
      </c>
      <c r="AG1576" s="53">
        <v>42.996768707482985</v>
      </c>
      <c r="AH1576" s="53">
        <v>70.88656462585034</v>
      </c>
      <c r="AI1576" s="53">
        <v>58.09</v>
      </c>
      <c r="AJ1576" s="53">
        <v>54.94</v>
      </c>
      <c r="AK1576" s="53" t="str">
        <f>_xlfn.XLOOKUP(Master[[#This Row],[cu_id]],'[1]Customer Revenue'!$Q:$Q,'[1]Customer Revenue'!$I:$I, "None")</f>
        <v>None</v>
      </c>
      <c r="AL1576" s="53">
        <v>56.941666666666663</v>
      </c>
      <c r="AM1576" s="43">
        <v>4.1666666666666664E-2</v>
      </c>
      <c r="AN1576" s="42">
        <v>0.625</v>
      </c>
      <c r="AO1576" s="42" t="s">
        <v>36</v>
      </c>
      <c r="AP1576" s="42" t="s">
        <v>36</v>
      </c>
      <c r="AQ1576" s="41" t="s">
        <v>174</v>
      </c>
      <c r="AR1576" s="41"/>
      <c r="AS1576" s="41"/>
      <c r="AT1576" s="22">
        <v>0</v>
      </c>
      <c r="AU1576" s="22">
        <f>IF(Master[[#This Row],[RSP StopTime override]] &lt;&gt; "",Master[[#This Row],[RSP StopTime override]],IF(Master[[#This Row],[Avg stop time helper]] &lt;&gt; 0, Master[[#This Row],[Avg stop time helper]],Average_Stop_Time))</f>
        <v>10</v>
      </c>
      <c r="AV1576" s="54">
        <v>10</v>
      </c>
      <c r="AW1576" s="20">
        <f>Master[[#This Row],[RSP StopTime override]]-Master[[#This Row],[Avg stop time helper]]</f>
        <v>10</v>
      </c>
    </row>
    <row r="1577" spans="1:49" x14ac:dyDescent="0.3">
      <c r="A1577" s="49" t="s">
        <v>5574</v>
      </c>
      <c r="B1577" s="41">
        <v>8060</v>
      </c>
      <c r="C1577" s="41" t="s">
        <v>35</v>
      </c>
      <c r="D1577" s="48">
        <v>803855</v>
      </c>
      <c r="E1577" s="48" t="s">
        <v>42</v>
      </c>
      <c r="F1577" s="48" t="s">
        <v>204</v>
      </c>
      <c r="G1577" s="48" t="s">
        <v>203</v>
      </c>
      <c r="H1577" s="48" t="s">
        <v>7</v>
      </c>
      <c r="I1577" s="48" t="s">
        <v>6</v>
      </c>
      <c r="J1577" s="48" t="s">
        <v>5</v>
      </c>
      <c r="K1577" s="48" t="s">
        <v>146</v>
      </c>
      <c r="L1577" s="47" t="s">
        <v>91</v>
      </c>
      <c r="M1577" s="41" t="s">
        <v>90</v>
      </c>
      <c r="N1577" s="41" t="s">
        <v>2</v>
      </c>
      <c r="O1577" s="41">
        <v>70</v>
      </c>
      <c r="P1577" s="41">
        <v>0</v>
      </c>
      <c r="Q1577" s="41">
        <v>70</v>
      </c>
      <c r="R1577" s="41">
        <v>0</v>
      </c>
      <c r="S1577" s="41">
        <v>0</v>
      </c>
      <c r="T1577" s="41">
        <v>0</v>
      </c>
      <c r="U1577" s="41">
        <v>15</v>
      </c>
      <c r="V1577" s="45"/>
      <c r="W1577" s="45"/>
      <c r="X1577" s="46">
        <f>IFERROR(1 -(Master[[#This Row],[Avg Garment Scans per Delivery]]/Master[[#This Row],[Garment Inventory]]), 0)</f>
        <v>0</v>
      </c>
      <c r="Y1577" s="45"/>
      <c r="Z1577" s="45"/>
      <c r="AA1577" s="53">
        <v>61.172083333333326</v>
      </c>
      <c r="AB1577" s="53">
        <v>162.22458333333333</v>
      </c>
      <c r="AC1577" s="53">
        <v>59.201666666666689</v>
      </c>
      <c r="AD1577" s="53">
        <v>177.60500000000002</v>
      </c>
      <c r="AE1577" s="53" t="str">
        <f>_xlfn.XLOOKUP(Master[[#This Row],[cu_id]],'[1]Customer Revenue'!$Q:$Q,'[1]Customer Revenue'!$K:$K, "None")</f>
        <v>None</v>
      </c>
      <c r="AF1577" s="53" t="str">
        <f>_xlfn.XLOOKUP(Master[[#This Row],[cu_id]],'[1]Customer Revenue'!$Q:$Q,'[1]Customer Revenue'!$L:$L, "None")</f>
        <v>None</v>
      </c>
      <c r="AG1577" s="53">
        <v>78.993937600860647</v>
      </c>
      <c r="AH1577" s="53">
        <v>165.25878967186659</v>
      </c>
      <c r="AI1577" s="53">
        <v>111.69833333333332</v>
      </c>
      <c r="AJ1577" s="53">
        <v>118.40333333333335</v>
      </c>
      <c r="AK1577" s="53" t="str">
        <f>_xlfn.XLOOKUP(Master[[#This Row],[cu_id]],'[1]Customer Revenue'!$Q:$Q,'[1]Customer Revenue'!$I:$I, "None")</f>
        <v>None</v>
      </c>
      <c r="AL1577" s="53">
        <v>122.12636363636362</v>
      </c>
      <c r="AM1577" s="43">
        <v>0.375</v>
      </c>
      <c r="AN1577" s="42">
        <v>0.66666666666666663</v>
      </c>
      <c r="AO1577" s="42" t="s">
        <v>36</v>
      </c>
      <c r="AP1577" s="42" t="s">
        <v>36</v>
      </c>
      <c r="AQ1577" s="41" t="s">
        <v>0</v>
      </c>
      <c r="AR1577" s="41"/>
      <c r="AS1577" s="41"/>
      <c r="AT1577" s="52">
        <v>0</v>
      </c>
      <c r="AU1577" s="52">
        <f>IF(Master[[#This Row],[RSP StopTime override]] &lt;&gt; "",Master[[#This Row],[RSP StopTime override]],IF(Master[[#This Row],[Avg stop time helper]] &lt;&gt; 0, Master[[#This Row],[Avg stop time helper]],Average_Stop_Time))</f>
        <v>25</v>
      </c>
      <c r="AV1577" s="21">
        <v>25</v>
      </c>
      <c r="AW1577" s="20">
        <f>Master[[#This Row],[RSP StopTime override]]-Master[[#This Row],[Avg stop time helper]]</f>
        <v>25</v>
      </c>
    </row>
    <row r="1578" spans="1:49" x14ac:dyDescent="0.3">
      <c r="A1578" s="49" t="s">
        <v>5575</v>
      </c>
      <c r="B1578" s="41">
        <v>8060</v>
      </c>
      <c r="C1578" s="41" t="s">
        <v>35</v>
      </c>
      <c r="D1578" s="48">
        <v>803857</v>
      </c>
      <c r="E1578" s="48" t="s">
        <v>42</v>
      </c>
      <c r="F1578" s="48" t="s">
        <v>202</v>
      </c>
      <c r="G1578" s="48" t="s">
        <v>201</v>
      </c>
      <c r="H1578" s="48" t="s">
        <v>7</v>
      </c>
      <c r="I1578" s="48" t="s">
        <v>161</v>
      </c>
      <c r="J1578" s="48" t="s">
        <v>5</v>
      </c>
      <c r="K1578" s="48" t="s">
        <v>146</v>
      </c>
      <c r="L1578" s="47" t="s">
        <v>67</v>
      </c>
      <c r="M1578" s="41" t="s">
        <v>3</v>
      </c>
      <c r="N1578" s="41" t="s">
        <v>2</v>
      </c>
      <c r="O1578" s="41">
        <v>75</v>
      </c>
      <c r="P1578" s="41">
        <v>0</v>
      </c>
      <c r="Q1578" s="41">
        <v>75</v>
      </c>
      <c r="R1578" s="41">
        <v>0</v>
      </c>
      <c r="S1578" s="41">
        <v>0</v>
      </c>
      <c r="T1578" s="41">
        <v>0</v>
      </c>
      <c r="U1578" s="41">
        <v>40</v>
      </c>
      <c r="V1578" s="45"/>
      <c r="W1578" s="45"/>
      <c r="X1578" s="46">
        <f>IFERROR(1 -(Master[[#This Row],[Avg Garment Scans per Delivery]]/Master[[#This Row],[Garment Inventory]]), 0)</f>
        <v>0</v>
      </c>
      <c r="Y1578" s="45"/>
      <c r="Z1578" s="45"/>
      <c r="AA1578" s="53">
        <v>11.290236686390529</v>
      </c>
      <c r="AB1578" s="53">
        <v>44.354378698224849</v>
      </c>
      <c r="AC1578" s="53">
        <v>10.46748037676609</v>
      </c>
      <c r="AD1578" s="53">
        <v>42.724827315541596</v>
      </c>
      <c r="AE1578" s="53" t="str">
        <f>_xlfn.XLOOKUP(Master[[#This Row],[cu_id]],'[1]Customer Revenue'!$Q:$Q,'[1]Customer Revenue'!$K:$K, "None")</f>
        <v>None</v>
      </c>
      <c r="AF1578" s="53" t="str">
        <f>_xlfn.XLOOKUP(Master[[#This Row],[cu_id]],'[1]Customer Revenue'!$Q:$Q,'[1]Customer Revenue'!$L:$L, "None")</f>
        <v>None</v>
      </c>
      <c r="AG1578" s="53">
        <v>13.919674556213016</v>
      </c>
      <c r="AH1578" s="53">
        <v>44.248786982248518</v>
      </c>
      <c r="AI1578" s="53">
        <v>27.822307692307689</v>
      </c>
      <c r="AJ1578" s="53">
        <v>26.596153846153843</v>
      </c>
      <c r="AK1578" s="53" t="str">
        <f>_xlfn.XLOOKUP(Master[[#This Row],[cu_id]],'[1]Customer Revenue'!$Q:$Q,'[1]Customer Revenue'!$I:$I, "None")</f>
        <v>None</v>
      </c>
      <c r="AL1578" s="53">
        <v>29.084230769230768</v>
      </c>
      <c r="AM1578" s="43">
        <v>0.45833333333333331</v>
      </c>
      <c r="AN1578" s="42">
        <v>0.95833333333333337</v>
      </c>
      <c r="AO1578" s="42" t="s">
        <v>36</v>
      </c>
      <c r="AP1578" s="42" t="s">
        <v>36</v>
      </c>
      <c r="AQ1578" s="41" t="s">
        <v>0</v>
      </c>
      <c r="AR1578" s="41"/>
      <c r="AS1578" s="41"/>
      <c r="AT1578" s="52">
        <v>0</v>
      </c>
      <c r="AU1578" s="52">
        <f>IF(Master[[#This Row],[RSP StopTime override]] &lt;&gt; "",Master[[#This Row],[RSP StopTime override]],IF(Master[[#This Row],[Avg stop time helper]] &lt;&gt; 0, Master[[#This Row],[Avg stop time helper]],Average_Stop_Time))</f>
        <v>5</v>
      </c>
      <c r="AV1578" s="21">
        <v>5</v>
      </c>
      <c r="AW1578" s="20">
        <f>Master[[#This Row],[RSP StopTime override]]-Master[[#This Row],[Avg stop time helper]]</f>
        <v>5</v>
      </c>
    </row>
    <row r="1579" spans="1:49" x14ac:dyDescent="0.3">
      <c r="A1579" s="49" t="s">
        <v>5576</v>
      </c>
      <c r="B1579" s="41">
        <v>8060</v>
      </c>
      <c r="C1579" s="41" t="s">
        <v>35</v>
      </c>
      <c r="D1579" s="48">
        <v>803890</v>
      </c>
      <c r="E1579" s="48" t="s">
        <v>42</v>
      </c>
      <c r="F1579" s="48" t="s">
        <v>200</v>
      </c>
      <c r="G1579" s="48" t="s">
        <v>199</v>
      </c>
      <c r="H1579" s="48" t="s">
        <v>198</v>
      </c>
      <c r="I1579" s="48" t="s">
        <v>12</v>
      </c>
      <c r="J1579" s="48" t="s">
        <v>5</v>
      </c>
      <c r="K1579" s="48" t="s">
        <v>197</v>
      </c>
      <c r="L1579" s="47" t="s">
        <v>67</v>
      </c>
      <c r="M1579" s="41" t="s">
        <v>3</v>
      </c>
      <c r="N1579" s="41" t="s">
        <v>2</v>
      </c>
      <c r="O1579" s="41">
        <v>10</v>
      </c>
      <c r="P1579" s="41">
        <v>0</v>
      </c>
      <c r="Q1579" s="41">
        <v>10</v>
      </c>
      <c r="R1579" s="41">
        <v>0</v>
      </c>
      <c r="S1579" s="41">
        <v>0</v>
      </c>
      <c r="T1579" s="41">
        <v>0</v>
      </c>
      <c r="U1579" s="41">
        <v>40</v>
      </c>
      <c r="V1579" s="45"/>
      <c r="W1579" s="45"/>
      <c r="X1579" s="46">
        <f>IFERROR(1 -(Master[[#This Row],[Avg Garment Scans per Delivery]]/Master[[#This Row],[Garment Inventory]]), 0)</f>
        <v>0</v>
      </c>
      <c r="Y1579" s="45"/>
      <c r="Z1579" s="45"/>
      <c r="AA1579" s="53">
        <v>66.188383045525882</v>
      </c>
      <c r="AB1579" s="53">
        <v>87.577770800627945</v>
      </c>
      <c r="AC1579" s="53">
        <v>67.765502958579887</v>
      </c>
      <c r="AD1579" s="53">
        <v>68.94988165680472</v>
      </c>
      <c r="AE1579" s="53" t="str">
        <f>_xlfn.XLOOKUP(Master[[#This Row],[cu_id]],'[1]Customer Revenue'!$Q:$Q,'[1]Customer Revenue'!$K:$K, "None")</f>
        <v>None</v>
      </c>
      <c r="AF1579" s="53" t="str">
        <f>_xlfn.XLOOKUP(Master[[#This Row],[cu_id]],'[1]Customer Revenue'!$Q:$Q,'[1]Customer Revenue'!$L:$L, "None")</f>
        <v>None</v>
      </c>
      <c r="AG1579" s="53">
        <v>71.266140656325916</v>
      </c>
      <c r="AH1579" s="53">
        <v>83.246936266751078</v>
      </c>
      <c r="AI1579" s="53">
        <v>76.883076923076914</v>
      </c>
      <c r="AJ1579" s="53">
        <v>68.357692307692304</v>
      </c>
      <c r="AK1579" s="53" t="str">
        <f>_xlfn.XLOOKUP(Master[[#This Row],[cu_id]],'[1]Customer Revenue'!$Q:$Q,'[1]Customer Revenue'!$I:$I, "None")</f>
        <v>None</v>
      </c>
      <c r="AL1579" s="53">
        <v>77.256538461538497</v>
      </c>
      <c r="AM1579" s="43">
        <v>0.20833333333333334</v>
      </c>
      <c r="AN1579" s="42">
        <v>0.70833333333333337</v>
      </c>
      <c r="AO1579" s="42" t="s">
        <v>36</v>
      </c>
      <c r="AP1579" s="42" t="s">
        <v>36</v>
      </c>
      <c r="AQ1579" s="41" t="s">
        <v>0</v>
      </c>
      <c r="AR1579" s="41"/>
      <c r="AS1579" s="41"/>
      <c r="AT1579" s="52">
        <v>0</v>
      </c>
      <c r="AU1579" s="52">
        <f>IF(Master[[#This Row],[RSP StopTime override]] &lt;&gt; "",Master[[#This Row],[RSP StopTime override]],IF(Master[[#This Row],[Avg stop time helper]] &lt;&gt; 0, Master[[#This Row],[Avg stop time helper]],Average_Stop_Time))</f>
        <v>25</v>
      </c>
      <c r="AV1579" s="21">
        <v>25</v>
      </c>
      <c r="AW1579" s="20">
        <f>Master[[#This Row],[RSP StopTime override]]-Master[[#This Row],[Avg stop time helper]]</f>
        <v>25</v>
      </c>
    </row>
    <row r="1580" spans="1:49" x14ac:dyDescent="0.3">
      <c r="A1580" s="49" t="s">
        <v>5577</v>
      </c>
      <c r="B1580" s="41">
        <v>8060</v>
      </c>
      <c r="C1580" s="41" t="s">
        <v>35</v>
      </c>
      <c r="D1580" s="48">
        <v>803990</v>
      </c>
      <c r="E1580" s="48" t="s">
        <v>42</v>
      </c>
      <c r="F1580" s="48" t="s">
        <v>196</v>
      </c>
      <c r="G1580" s="48" t="s">
        <v>195</v>
      </c>
      <c r="H1580" s="48" t="s">
        <v>7</v>
      </c>
      <c r="I1580" s="48" t="s">
        <v>6</v>
      </c>
      <c r="J1580" s="48" t="s">
        <v>5</v>
      </c>
      <c r="K1580" s="48" t="s">
        <v>68</v>
      </c>
      <c r="L1580" s="47" t="s">
        <v>194</v>
      </c>
      <c r="M1580" s="41" t="s">
        <v>193</v>
      </c>
      <c r="N1580" s="41" t="s">
        <v>2</v>
      </c>
      <c r="O1580" s="41">
        <v>130</v>
      </c>
      <c r="P1580" s="41">
        <v>0</v>
      </c>
      <c r="Q1580" s="41">
        <v>130</v>
      </c>
      <c r="R1580" s="41">
        <v>0</v>
      </c>
      <c r="S1580" s="41">
        <v>0</v>
      </c>
      <c r="T1580" s="41">
        <v>0</v>
      </c>
      <c r="U1580" s="41">
        <v>10</v>
      </c>
      <c r="V1580" s="45"/>
      <c r="W1580" s="45"/>
      <c r="X1580" s="46">
        <f>IFERROR(1 -(Master[[#This Row],[Avg Garment Scans per Delivery]]/Master[[#This Row],[Garment Inventory]]), 0)</f>
        <v>0</v>
      </c>
      <c r="Y1580" s="45"/>
      <c r="Z1580" s="45"/>
      <c r="AA1580" s="53">
        <v>67.430000000000007</v>
      </c>
      <c r="AB1580" s="53">
        <v>67.430000000000007</v>
      </c>
      <c r="AC1580" s="53">
        <v>21.388888888888889</v>
      </c>
      <c r="AD1580" s="53">
        <v>55.611111111111114</v>
      </c>
      <c r="AE1580" s="53" t="str">
        <f>_xlfn.XLOOKUP(Master[[#This Row],[cu_id]],'[1]Customer Revenue'!$Q:$Q,'[1]Customer Revenue'!$K:$K, "None")</f>
        <v>None</v>
      </c>
      <c r="AF1580" s="53" t="str">
        <f>_xlfn.XLOOKUP(Master[[#This Row],[cu_id]],'[1]Customer Revenue'!$Q:$Q,'[1]Customer Revenue'!$L:$L, "None")</f>
        <v>None</v>
      </c>
      <c r="AG1580" s="53">
        <v>44.83982142857144</v>
      </c>
      <c r="AH1580" s="53">
        <v>81.417321428571427</v>
      </c>
      <c r="AI1580" s="53">
        <v>67.430000000000007</v>
      </c>
      <c r="AJ1580" s="53">
        <v>38.5</v>
      </c>
      <c r="AK1580" s="53" t="str">
        <f>_xlfn.XLOOKUP(Master[[#This Row],[cu_id]],'[1]Customer Revenue'!$Q:$Q,'[1]Customer Revenue'!$I:$I, "None")</f>
        <v>None</v>
      </c>
      <c r="AL1580" s="53">
        <v>63.128571428571433</v>
      </c>
      <c r="AM1580" s="43">
        <v>0.41666666666666669</v>
      </c>
      <c r="AN1580" s="42">
        <v>0.625</v>
      </c>
      <c r="AO1580" s="42" t="s">
        <v>36</v>
      </c>
      <c r="AP1580" s="42" t="s">
        <v>36</v>
      </c>
      <c r="AQ1580" s="41" t="s">
        <v>0</v>
      </c>
      <c r="AR1580" s="41"/>
      <c r="AS1580" s="41"/>
      <c r="AT1580" s="52">
        <v>0</v>
      </c>
      <c r="AU1580" s="52">
        <f>IF(Master[[#This Row],[RSP StopTime override]] &lt;&gt; "",Master[[#This Row],[RSP StopTime override]],IF(Master[[#This Row],[Avg stop time helper]] &lt;&gt; 0, Master[[#This Row],[Avg stop time helper]],Average_Stop_Time))</f>
        <v>12</v>
      </c>
      <c r="AV1580" s="21">
        <v>12</v>
      </c>
      <c r="AW1580" s="20">
        <f>Master[[#This Row],[RSP StopTime override]]-Master[[#This Row],[Avg stop time helper]]</f>
        <v>12</v>
      </c>
    </row>
    <row r="1581" spans="1:49" x14ac:dyDescent="0.3">
      <c r="A1581" s="49" t="s">
        <v>5578</v>
      </c>
      <c r="B1581" s="41">
        <v>8060</v>
      </c>
      <c r="C1581" s="41" t="s">
        <v>35</v>
      </c>
      <c r="D1581" s="48">
        <v>804010</v>
      </c>
      <c r="E1581" s="48" t="s">
        <v>42</v>
      </c>
      <c r="F1581" s="48" t="s">
        <v>192</v>
      </c>
      <c r="G1581" s="48" t="s">
        <v>191</v>
      </c>
      <c r="H1581" s="48" t="s">
        <v>7</v>
      </c>
      <c r="I1581" s="48" t="s">
        <v>6</v>
      </c>
      <c r="J1581" s="48" t="s">
        <v>5</v>
      </c>
      <c r="K1581" s="48" t="s">
        <v>151</v>
      </c>
      <c r="L1581" s="47" t="s">
        <v>67</v>
      </c>
      <c r="M1581" s="41" t="s">
        <v>3</v>
      </c>
      <c r="N1581" s="41" t="s">
        <v>2</v>
      </c>
      <c r="O1581" s="41">
        <v>115</v>
      </c>
      <c r="P1581" s="41">
        <v>0</v>
      </c>
      <c r="Q1581" s="41">
        <v>115</v>
      </c>
      <c r="R1581" s="41">
        <v>0</v>
      </c>
      <c r="S1581" s="41">
        <v>0</v>
      </c>
      <c r="T1581" s="41">
        <v>0</v>
      </c>
      <c r="U1581" s="41">
        <v>20</v>
      </c>
      <c r="V1581" s="45"/>
      <c r="W1581" s="45"/>
      <c r="X1581" s="46">
        <f>IFERROR(1 -(Master[[#This Row],[Avg Garment Scans per Delivery]]/Master[[#This Row],[Garment Inventory]]), 0)</f>
        <v>0</v>
      </c>
      <c r="Y1581" s="45"/>
      <c r="Z1581" s="45"/>
      <c r="AA1581" s="53">
        <v>30.869972451790634</v>
      </c>
      <c r="AB1581" s="53">
        <v>74.063360881542707</v>
      </c>
      <c r="AC1581" s="53">
        <v>53.114260355029586</v>
      </c>
      <c r="AD1581" s="53">
        <v>64.084201183431944</v>
      </c>
      <c r="AE1581" s="53" t="str">
        <f>_xlfn.XLOOKUP(Master[[#This Row],[cu_id]],'[1]Customer Revenue'!$Q:$Q,'[1]Customer Revenue'!$K:$K, "None")</f>
        <v>None</v>
      </c>
      <c r="AF1581" s="53" t="str">
        <f>_xlfn.XLOOKUP(Master[[#This Row],[cu_id]],'[1]Customer Revenue'!$Q:$Q,'[1]Customer Revenue'!$L:$L, "None")</f>
        <v>None</v>
      </c>
      <c r="AG1581" s="53">
        <v>36.738256172839499</v>
      </c>
      <c r="AH1581" s="53">
        <v>71.219243827160483</v>
      </c>
      <c r="AI1581" s="53">
        <v>52.466666666666669</v>
      </c>
      <c r="AJ1581" s="53">
        <v>58.599230769230765</v>
      </c>
      <c r="AK1581" s="53" t="str">
        <f>_xlfn.XLOOKUP(Master[[#This Row],[cu_id]],'[1]Customer Revenue'!$Q:$Q,'[1]Customer Revenue'!$I:$I, "None")</f>
        <v>None</v>
      </c>
      <c r="AL1581" s="53">
        <v>53.978749999999991</v>
      </c>
      <c r="AM1581" s="43">
        <v>0.375</v>
      </c>
      <c r="AN1581" s="42">
        <v>0.625</v>
      </c>
      <c r="AO1581" s="42" t="s">
        <v>36</v>
      </c>
      <c r="AP1581" s="42" t="s">
        <v>36</v>
      </c>
      <c r="AQ1581" s="41" t="s">
        <v>0</v>
      </c>
      <c r="AR1581" s="41"/>
      <c r="AS1581" s="41"/>
      <c r="AT1581" s="52">
        <v>0</v>
      </c>
      <c r="AU1581" s="52">
        <f>IF(Master[[#This Row],[RSP StopTime override]] &lt;&gt; "",Master[[#This Row],[RSP StopTime override]],IF(Master[[#This Row],[Avg stop time helper]] &lt;&gt; 0, Master[[#This Row],[Avg stop time helper]],Average_Stop_Time))</f>
        <v>15</v>
      </c>
      <c r="AV1581" s="21">
        <v>15</v>
      </c>
      <c r="AW1581" s="20">
        <f>Master[[#This Row],[RSP StopTime override]]-Master[[#This Row],[Avg stop time helper]]</f>
        <v>15</v>
      </c>
    </row>
    <row r="1582" spans="1:49" x14ac:dyDescent="0.3">
      <c r="A1582" s="49" t="s">
        <v>5579</v>
      </c>
      <c r="B1582" s="41">
        <v>8060</v>
      </c>
      <c r="C1582" s="41" t="s">
        <v>35</v>
      </c>
      <c r="D1582" s="48">
        <v>804770</v>
      </c>
      <c r="E1582" s="48" t="s">
        <v>42</v>
      </c>
      <c r="F1582" s="48" t="s">
        <v>190</v>
      </c>
      <c r="G1582" s="48" t="s">
        <v>189</v>
      </c>
      <c r="H1582" s="48" t="s">
        <v>7</v>
      </c>
      <c r="I1582" s="48" t="s">
        <v>6</v>
      </c>
      <c r="J1582" s="48" t="s">
        <v>5</v>
      </c>
      <c r="K1582" s="48" t="s">
        <v>68</v>
      </c>
      <c r="L1582" s="47" t="s">
        <v>77</v>
      </c>
      <c r="M1582" s="41" t="s">
        <v>29</v>
      </c>
      <c r="N1582" s="41" t="s">
        <v>2</v>
      </c>
      <c r="O1582" s="41">
        <v>95</v>
      </c>
      <c r="P1582" s="41">
        <v>0</v>
      </c>
      <c r="Q1582" s="41">
        <v>95</v>
      </c>
      <c r="R1582" s="41">
        <v>0</v>
      </c>
      <c r="S1582" s="41">
        <v>0</v>
      </c>
      <c r="T1582" s="41">
        <v>0</v>
      </c>
      <c r="U1582" s="41">
        <v>20</v>
      </c>
      <c r="V1582" s="45"/>
      <c r="W1582" s="45"/>
      <c r="X1582" s="46">
        <f>IFERROR(1 -(Master[[#This Row],[Avg Garment Scans per Delivery]]/Master[[#This Row],[Garment Inventory]]), 0)</f>
        <v>0</v>
      </c>
      <c r="Y1582" s="45"/>
      <c r="Z1582" s="45"/>
      <c r="AA1582" s="53">
        <v>94.206530612244904</v>
      </c>
      <c r="AB1582" s="53">
        <v>155.31346938775511</v>
      </c>
      <c r="AC1582" s="53">
        <v>126.03265306122449</v>
      </c>
      <c r="AD1582" s="53">
        <v>141.30448979591836</v>
      </c>
      <c r="AE1582" s="53" t="str">
        <f>_xlfn.XLOOKUP(Master[[#This Row],[cu_id]],'[1]Customer Revenue'!$Q:$Q,'[1]Customer Revenue'!$K:$K, "None")</f>
        <v>None</v>
      </c>
      <c r="AF1582" s="53" t="str">
        <f>_xlfn.XLOOKUP(Master[[#This Row],[cu_id]],'[1]Customer Revenue'!$Q:$Q,'[1]Customer Revenue'!$L:$L, "None")</f>
        <v>None</v>
      </c>
      <c r="AG1582" s="53">
        <v>108.18485086342228</v>
      </c>
      <c r="AH1582" s="53">
        <v>141.27668759811618</v>
      </c>
      <c r="AI1582" s="53">
        <v>124.76</v>
      </c>
      <c r="AJ1582" s="53">
        <v>133.66857142857143</v>
      </c>
      <c r="AK1582" s="53" t="str">
        <f>_xlfn.XLOOKUP(Master[[#This Row],[cu_id]],'[1]Customer Revenue'!$Q:$Q,'[1]Customer Revenue'!$I:$I, "None")</f>
        <v>None</v>
      </c>
      <c r="AL1582" s="53">
        <v>124.73076923076923</v>
      </c>
      <c r="AM1582" s="43">
        <v>0.33333333333333331</v>
      </c>
      <c r="AN1582" s="42">
        <v>0.625</v>
      </c>
      <c r="AO1582" s="42" t="s">
        <v>36</v>
      </c>
      <c r="AP1582" s="42" t="s">
        <v>36</v>
      </c>
      <c r="AQ1582" s="41" t="s">
        <v>0</v>
      </c>
      <c r="AR1582" s="41"/>
      <c r="AS1582" s="41"/>
      <c r="AT1582" s="52">
        <v>0</v>
      </c>
      <c r="AU1582" s="52">
        <f>IF(Master[[#This Row],[RSP StopTime override]] &lt;&gt; "",Master[[#This Row],[RSP StopTime override]],IF(Master[[#This Row],[Avg stop time helper]] &lt;&gt; 0, Master[[#This Row],[Avg stop time helper]],Average_Stop_Time))</f>
        <v>25</v>
      </c>
      <c r="AV1582" s="21">
        <v>25</v>
      </c>
      <c r="AW1582" s="20">
        <f>Master[[#This Row],[RSP StopTime override]]-Master[[#This Row],[Avg stop time helper]]</f>
        <v>25</v>
      </c>
    </row>
    <row r="1583" spans="1:49" x14ac:dyDescent="0.3">
      <c r="A1583" s="49" t="s">
        <v>5580</v>
      </c>
      <c r="B1583" s="41">
        <v>8060</v>
      </c>
      <c r="C1583" s="41" t="s">
        <v>35</v>
      </c>
      <c r="D1583" s="48">
        <v>804771</v>
      </c>
      <c r="E1583" s="48" t="s">
        <v>42</v>
      </c>
      <c r="F1583" s="48" t="s">
        <v>188</v>
      </c>
      <c r="G1583" s="48" t="s">
        <v>187</v>
      </c>
      <c r="H1583" s="48" t="s">
        <v>7</v>
      </c>
      <c r="I1583" s="48" t="s">
        <v>6</v>
      </c>
      <c r="J1583" s="48" t="s">
        <v>5</v>
      </c>
      <c r="K1583" s="48" t="s">
        <v>68</v>
      </c>
      <c r="L1583" s="47" t="s">
        <v>67</v>
      </c>
      <c r="M1583" s="41" t="s">
        <v>3</v>
      </c>
      <c r="N1583" s="41" t="s">
        <v>2</v>
      </c>
      <c r="O1583" s="41">
        <v>120</v>
      </c>
      <c r="P1583" s="41">
        <v>0</v>
      </c>
      <c r="Q1583" s="41">
        <v>120</v>
      </c>
      <c r="R1583" s="41">
        <v>0</v>
      </c>
      <c r="S1583" s="41">
        <v>0</v>
      </c>
      <c r="T1583" s="41">
        <v>0</v>
      </c>
      <c r="U1583" s="41">
        <v>26</v>
      </c>
      <c r="V1583" s="45"/>
      <c r="W1583" s="45"/>
      <c r="X1583" s="46">
        <f>IFERROR(1 -(Master[[#This Row],[Avg Garment Scans per Delivery]]/Master[[#This Row],[Garment Inventory]]), 0)</f>
        <v>0</v>
      </c>
      <c r="Y1583" s="45"/>
      <c r="Z1583" s="45"/>
      <c r="AA1583" s="53">
        <v>20.76</v>
      </c>
      <c r="AB1583" s="53">
        <v>20.76</v>
      </c>
      <c r="AC1583" s="53">
        <v>33.642083333333339</v>
      </c>
      <c r="AD1583" s="53">
        <v>40.47291666666667</v>
      </c>
      <c r="AE1583" s="53" t="str">
        <f>_xlfn.XLOOKUP(Master[[#This Row],[cu_id]],'[1]Customer Revenue'!$Q:$Q,'[1]Customer Revenue'!$K:$K, "None")</f>
        <v>None</v>
      </c>
      <c r="AF1583" s="53" t="str">
        <f>_xlfn.XLOOKUP(Master[[#This Row],[cu_id]],'[1]Customer Revenue'!$Q:$Q,'[1]Customer Revenue'!$L:$L, "None")</f>
        <v>None</v>
      </c>
      <c r="AG1583" s="53">
        <v>20.182582417582417</v>
      </c>
      <c r="AH1583" s="53">
        <v>45.089725274725275</v>
      </c>
      <c r="AI1583" s="53">
        <v>20.76</v>
      </c>
      <c r="AJ1583" s="53">
        <v>37.057500000000005</v>
      </c>
      <c r="AK1583" s="53" t="str">
        <f>_xlfn.XLOOKUP(Master[[#This Row],[cu_id]],'[1]Customer Revenue'!$Q:$Q,'[1]Customer Revenue'!$I:$I, "None")</f>
        <v>None</v>
      </c>
      <c r="AL1583" s="53">
        <v>32.636153846153846</v>
      </c>
      <c r="AM1583" s="43">
        <v>0.375</v>
      </c>
      <c r="AN1583" s="42">
        <v>0.58333333333333337</v>
      </c>
      <c r="AO1583" s="42" t="s">
        <v>36</v>
      </c>
      <c r="AP1583" s="42" t="s">
        <v>36</v>
      </c>
      <c r="AQ1583" s="41" t="s">
        <v>0</v>
      </c>
      <c r="AR1583" s="41"/>
      <c r="AS1583" s="41"/>
      <c r="AT1583" s="52">
        <v>0</v>
      </c>
      <c r="AU1583" s="52">
        <f>IF(Master[[#This Row],[RSP StopTime override]] &lt;&gt; "",Master[[#This Row],[RSP StopTime override]],IF(Master[[#This Row],[Avg stop time helper]] &lt;&gt; 0, Master[[#This Row],[Avg stop time helper]],Average_Stop_Time))</f>
        <v>12</v>
      </c>
      <c r="AV1583" s="21">
        <v>12</v>
      </c>
      <c r="AW1583" s="20">
        <f>Master[[#This Row],[RSP StopTime override]]-Master[[#This Row],[Avg stop time helper]]</f>
        <v>12</v>
      </c>
    </row>
    <row r="1584" spans="1:49" x14ac:dyDescent="0.3">
      <c r="A1584" s="49" t="s">
        <v>5581</v>
      </c>
      <c r="B1584" s="41">
        <v>8060</v>
      </c>
      <c r="C1584" s="41" t="s">
        <v>35</v>
      </c>
      <c r="D1584" s="48">
        <v>805170</v>
      </c>
      <c r="E1584" s="48" t="s">
        <v>42</v>
      </c>
      <c r="F1584" s="48" t="s">
        <v>186</v>
      </c>
      <c r="G1584" s="48" t="s">
        <v>185</v>
      </c>
      <c r="H1584" s="48" t="s">
        <v>7</v>
      </c>
      <c r="I1584" s="48" t="s">
        <v>6</v>
      </c>
      <c r="J1584" s="48" t="s">
        <v>5</v>
      </c>
      <c r="K1584" s="48" t="s">
        <v>151</v>
      </c>
      <c r="L1584" s="47" t="s">
        <v>141</v>
      </c>
      <c r="M1584" s="41" t="s">
        <v>140</v>
      </c>
      <c r="N1584" s="41" t="s">
        <v>2</v>
      </c>
      <c r="O1584" s="41">
        <v>98</v>
      </c>
      <c r="P1584" s="41">
        <v>0</v>
      </c>
      <c r="Q1584" s="41">
        <v>98</v>
      </c>
      <c r="R1584" s="41">
        <v>0</v>
      </c>
      <c r="S1584" s="41">
        <v>0</v>
      </c>
      <c r="T1584" s="41">
        <v>0</v>
      </c>
      <c r="U1584" s="41">
        <v>10</v>
      </c>
      <c r="V1584" s="45"/>
      <c r="W1584" s="45"/>
      <c r="X1584" s="46">
        <f>IFERROR(1 -(Master[[#This Row],[Avg Garment Scans per Delivery]]/Master[[#This Row],[Garment Inventory]]), 0)</f>
        <v>0</v>
      </c>
      <c r="Y1584" s="45"/>
      <c r="Z1584" s="45"/>
      <c r="AA1584" s="53">
        <v>43.954166666666666</v>
      </c>
      <c r="AB1584" s="53">
        <v>96.69916666666667</v>
      </c>
      <c r="AC1584" s="53">
        <v>66.408888888888896</v>
      </c>
      <c r="AD1584" s="53">
        <v>67.457777777777778</v>
      </c>
      <c r="AE1584" s="53" t="str">
        <f>_xlfn.XLOOKUP(Master[[#This Row],[cu_id]],'[1]Customer Revenue'!$Q:$Q,'[1]Customer Revenue'!$K:$K, "None")</f>
        <v>None</v>
      </c>
      <c r="AF1584" s="53" t="str">
        <f>_xlfn.XLOOKUP(Master[[#This Row],[cu_id]],'[1]Customer Revenue'!$Q:$Q,'[1]Customer Revenue'!$L:$L, "None")</f>
        <v>None</v>
      </c>
      <c r="AG1584" s="53">
        <v>47.785061728395064</v>
      </c>
      <c r="AH1584" s="53">
        <v>98.274938271604938</v>
      </c>
      <c r="AI1584" s="53">
        <v>70.326666666666668</v>
      </c>
      <c r="AJ1584" s="53">
        <v>66.933333333333337</v>
      </c>
      <c r="AK1584" s="53" t="str">
        <f>_xlfn.XLOOKUP(Master[[#This Row],[cu_id]],'[1]Customer Revenue'!$Q:$Q,'[1]Customer Revenue'!$I:$I, "None")</f>
        <v>None</v>
      </c>
      <c r="AL1584" s="53">
        <v>73.03</v>
      </c>
      <c r="AM1584" s="43">
        <v>0.375</v>
      </c>
      <c r="AN1584" s="42">
        <v>0.58333333333333337</v>
      </c>
      <c r="AO1584" s="42" t="s">
        <v>36</v>
      </c>
      <c r="AP1584" s="42" t="s">
        <v>36</v>
      </c>
      <c r="AQ1584" s="41" t="s">
        <v>0</v>
      </c>
      <c r="AR1584" s="41"/>
      <c r="AS1584" s="41"/>
      <c r="AT1584" s="52">
        <v>0</v>
      </c>
      <c r="AU1584" s="52">
        <f>IF(Master[[#This Row],[RSP StopTime override]] &lt;&gt; "",Master[[#This Row],[RSP StopTime override]],IF(Master[[#This Row],[Avg stop time helper]] &lt;&gt; 0, Master[[#This Row],[Avg stop time helper]],Average_Stop_Time))</f>
        <v>12</v>
      </c>
      <c r="AV1584" s="21">
        <v>12</v>
      </c>
      <c r="AW1584" s="20">
        <f>Master[[#This Row],[RSP StopTime override]]-Master[[#This Row],[Avg stop time helper]]</f>
        <v>12</v>
      </c>
    </row>
    <row r="1585" spans="1:49" x14ac:dyDescent="0.3">
      <c r="A1585" s="49" t="s">
        <v>5582</v>
      </c>
      <c r="B1585" s="41">
        <v>8060</v>
      </c>
      <c r="C1585" s="41" t="s">
        <v>35</v>
      </c>
      <c r="D1585" s="48">
        <v>805360</v>
      </c>
      <c r="E1585" s="48" t="s">
        <v>42</v>
      </c>
      <c r="F1585" s="48" t="s">
        <v>184</v>
      </c>
      <c r="G1585" s="48" t="s">
        <v>183</v>
      </c>
      <c r="H1585" s="48" t="s">
        <v>7</v>
      </c>
      <c r="I1585" s="48" t="s">
        <v>6</v>
      </c>
      <c r="J1585" s="48" t="s">
        <v>5</v>
      </c>
      <c r="K1585" s="48" t="s">
        <v>151</v>
      </c>
      <c r="L1585" s="47" t="s">
        <v>67</v>
      </c>
      <c r="M1585" s="41" t="s">
        <v>3</v>
      </c>
      <c r="N1585" s="41" t="s">
        <v>2</v>
      </c>
      <c r="O1585" s="41">
        <v>81</v>
      </c>
      <c r="P1585" s="41">
        <v>0</v>
      </c>
      <c r="Q1585" s="41">
        <v>81</v>
      </c>
      <c r="R1585" s="41">
        <v>0</v>
      </c>
      <c r="S1585" s="41">
        <v>0</v>
      </c>
      <c r="T1585" s="41">
        <v>0</v>
      </c>
      <c r="U1585" s="41">
        <v>39</v>
      </c>
      <c r="V1585" s="45"/>
      <c r="W1585" s="45"/>
      <c r="X1585" s="46">
        <f>IFERROR(1 -(Master[[#This Row],[Avg Garment Scans per Delivery]]/Master[[#This Row],[Garment Inventory]]), 0)</f>
        <v>0</v>
      </c>
      <c r="Y1585" s="45"/>
      <c r="Z1585" s="45"/>
      <c r="AA1585" s="53">
        <v>113.19</v>
      </c>
      <c r="AB1585" s="53">
        <v>113.19000000000008</v>
      </c>
      <c r="AC1585" s="53">
        <v>82.924733727810661</v>
      </c>
      <c r="AD1585" s="53">
        <v>105.60757396449705</v>
      </c>
      <c r="AE1585" s="53" t="str">
        <f>_xlfn.XLOOKUP(Master[[#This Row],[cu_id]],'[1]Customer Revenue'!$Q:$Q,'[1]Customer Revenue'!$K:$K, "None")</f>
        <v>None</v>
      </c>
      <c r="AF1585" s="53" t="str">
        <f>_xlfn.XLOOKUP(Master[[#This Row],[cu_id]],'[1]Customer Revenue'!$Q:$Q,'[1]Customer Revenue'!$L:$L, "None")</f>
        <v>None</v>
      </c>
      <c r="AG1585" s="53">
        <v>109.04268439379553</v>
      </c>
      <c r="AH1585" s="53">
        <v>126.0711617600507</v>
      </c>
      <c r="AI1585" s="53">
        <v>113.19000000000004</v>
      </c>
      <c r="AJ1585" s="53">
        <v>94.266153846153856</v>
      </c>
      <c r="AK1585" s="53" t="str">
        <f>_xlfn.XLOOKUP(Master[[#This Row],[cu_id]],'[1]Customer Revenue'!$Q:$Q,'[1]Customer Revenue'!$I:$I, "None")</f>
        <v>None</v>
      </c>
      <c r="AL1585" s="53">
        <v>117.55692307692311</v>
      </c>
      <c r="AM1585" s="43">
        <v>0.375</v>
      </c>
      <c r="AN1585" s="42">
        <v>0</v>
      </c>
      <c r="AO1585" s="42">
        <v>0.54166666666666663</v>
      </c>
      <c r="AP1585" s="42">
        <v>0.9375</v>
      </c>
      <c r="AQ1585" s="41" t="s">
        <v>174</v>
      </c>
      <c r="AR1585" s="41"/>
      <c r="AS1585" s="41"/>
      <c r="AT1585" s="52">
        <v>0</v>
      </c>
      <c r="AU1585" s="52">
        <f>IF(Master[[#This Row],[RSP StopTime override]] &lt;&gt; "",Master[[#This Row],[RSP StopTime override]],IF(Master[[#This Row],[Avg stop time helper]] &lt;&gt; 0, Master[[#This Row],[Avg stop time helper]],Average_Stop_Time))</f>
        <v>25</v>
      </c>
      <c r="AV1585" s="21">
        <v>25</v>
      </c>
      <c r="AW1585" s="20">
        <f>Master[[#This Row],[RSP StopTime override]]-Master[[#This Row],[Avg stop time helper]]</f>
        <v>25</v>
      </c>
    </row>
    <row r="1586" spans="1:49" x14ac:dyDescent="0.3">
      <c r="A1586" s="49" t="s">
        <v>5583</v>
      </c>
      <c r="B1586" s="41">
        <v>8060</v>
      </c>
      <c r="C1586" s="41" t="s">
        <v>35</v>
      </c>
      <c r="D1586" s="48">
        <v>805361</v>
      </c>
      <c r="E1586" s="48" t="s">
        <v>42</v>
      </c>
      <c r="F1586" s="48" t="s">
        <v>182</v>
      </c>
      <c r="G1586" s="48" t="s">
        <v>181</v>
      </c>
      <c r="H1586" s="48" t="s">
        <v>7</v>
      </c>
      <c r="I1586" s="48" t="s">
        <v>169</v>
      </c>
      <c r="J1586" s="48" t="s">
        <v>5</v>
      </c>
      <c r="K1586" s="48" t="s">
        <v>146</v>
      </c>
      <c r="L1586" s="47" t="s">
        <v>124</v>
      </c>
      <c r="M1586" s="41" t="s">
        <v>123</v>
      </c>
      <c r="N1586" s="41" t="s">
        <v>2</v>
      </c>
      <c r="O1586" s="41">
        <v>132</v>
      </c>
      <c r="P1586" s="41">
        <v>0</v>
      </c>
      <c r="Q1586" s="41">
        <v>132</v>
      </c>
      <c r="R1586" s="41">
        <v>0</v>
      </c>
      <c r="S1586" s="41">
        <v>0</v>
      </c>
      <c r="T1586" s="41">
        <v>0</v>
      </c>
      <c r="U1586" s="41">
        <v>8</v>
      </c>
      <c r="V1586" s="45"/>
      <c r="W1586" s="45"/>
      <c r="X1586" s="46">
        <f>IFERROR(1 -(Master[[#This Row],[Avg Garment Scans per Delivery]]/Master[[#This Row],[Garment Inventory]]), 0)</f>
        <v>0</v>
      </c>
      <c r="Y1586" s="45"/>
      <c r="Z1586" s="45"/>
      <c r="AA1586" s="53">
        <v>15.927777777777777</v>
      </c>
      <c r="AB1586" s="53">
        <v>41.412222222222226</v>
      </c>
      <c r="AC1586" s="53">
        <v>28.538888888888888</v>
      </c>
      <c r="AD1586" s="53">
        <v>29.587777777777777</v>
      </c>
      <c r="AE1586" s="53" t="str">
        <f>_xlfn.XLOOKUP(Master[[#This Row],[cu_id]],'[1]Customer Revenue'!$Q:$Q,'[1]Customer Revenue'!$K:$K, "None")</f>
        <v>None</v>
      </c>
      <c r="AF1586" s="53" t="str">
        <f>_xlfn.XLOOKUP(Master[[#This Row],[cu_id]],'[1]Customer Revenue'!$Q:$Q,'[1]Customer Revenue'!$L:$L, "None")</f>
        <v>None</v>
      </c>
      <c r="AG1586" s="53">
        <v>15.927777777777777</v>
      </c>
      <c r="AH1586" s="53">
        <v>41.412222222222226</v>
      </c>
      <c r="AI1586" s="53">
        <v>28.67</v>
      </c>
      <c r="AJ1586" s="53">
        <v>29.063333333333333</v>
      </c>
      <c r="AK1586" s="53" t="str">
        <f>_xlfn.XLOOKUP(Master[[#This Row],[cu_id]],'[1]Customer Revenue'!$Q:$Q,'[1]Customer Revenue'!$I:$I, "None")</f>
        <v>None</v>
      </c>
      <c r="AL1586" s="53">
        <v>28.67</v>
      </c>
      <c r="AM1586" s="43">
        <v>0.375</v>
      </c>
      <c r="AN1586" s="42">
        <v>0.625</v>
      </c>
      <c r="AO1586" s="42" t="s">
        <v>36</v>
      </c>
      <c r="AP1586" s="42" t="s">
        <v>36</v>
      </c>
      <c r="AQ1586" s="41" t="s">
        <v>0</v>
      </c>
      <c r="AR1586" s="41"/>
      <c r="AS1586" s="41"/>
      <c r="AT1586" s="22">
        <v>0</v>
      </c>
      <c r="AU1586" s="22">
        <f>IF(Master[[#This Row],[RSP StopTime override]] &lt;&gt; "",Master[[#This Row],[RSP StopTime override]],IF(Master[[#This Row],[Avg stop time helper]] &lt;&gt; 0, Master[[#This Row],[Avg stop time helper]],Average_Stop_Time))</f>
        <v>7</v>
      </c>
      <c r="AV1586" s="54">
        <v>7</v>
      </c>
      <c r="AW1586" s="20">
        <f>Master[[#This Row],[RSP StopTime override]]-Master[[#This Row],[Avg stop time helper]]</f>
        <v>7</v>
      </c>
    </row>
    <row r="1587" spans="1:49" x14ac:dyDescent="0.3">
      <c r="A1587" s="49" t="s">
        <v>5584</v>
      </c>
      <c r="B1587" s="41">
        <v>8060</v>
      </c>
      <c r="C1587" s="41" t="s">
        <v>35</v>
      </c>
      <c r="D1587" s="48">
        <v>805829</v>
      </c>
      <c r="E1587" s="48" t="s">
        <v>42</v>
      </c>
      <c r="F1587" s="48" t="s">
        <v>180</v>
      </c>
      <c r="G1587" s="48" t="s">
        <v>179</v>
      </c>
      <c r="H1587" s="48" t="s">
        <v>7</v>
      </c>
      <c r="I1587" s="48" t="s">
        <v>6</v>
      </c>
      <c r="J1587" s="48" t="s">
        <v>5</v>
      </c>
      <c r="K1587" s="48" t="s">
        <v>151</v>
      </c>
      <c r="L1587" s="47" t="s">
        <v>141</v>
      </c>
      <c r="M1587" s="41" t="s">
        <v>140</v>
      </c>
      <c r="N1587" s="41" t="s">
        <v>2</v>
      </c>
      <c r="O1587" s="41">
        <v>105</v>
      </c>
      <c r="P1587" s="41">
        <v>0</v>
      </c>
      <c r="Q1587" s="41">
        <v>105</v>
      </c>
      <c r="R1587" s="41">
        <v>0</v>
      </c>
      <c r="S1587" s="41">
        <v>0</v>
      </c>
      <c r="T1587" s="41">
        <v>0</v>
      </c>
      <c r="U1587" s="41">
        <v>11</v>
      </c>
      <c r="V1587" s="45"/>
      <c r="W1587" s="45"/>
      <c r="X1587" s="46">
        <f>IFERROR(1 -(Master[[#This Row],[Avg Garment Scans per Delivery]]/Master[[#This Row],[Garment Inventory]]), 0)</f>
        <v>0</v>
      </c>
      <c r="Y1587" s="45"/>
      <c r="Z1587" s="45"/>
      <c r="AA1587" s="53">
        <v>18.193750000000001</v>
      </c>
      <c r="AB1587" s="53">
        <v>40.026249999999997</v>
      </c>
      <c r="AC1587" s="53">
        <v>17.128888888888891</v>
      </c>
      <c r="AD1587" s="53">
        <v>18.177777777777781</v>
      </c>
      <c r="AE1587" s="53" t="str">
        <f>_xlfn.XLOOKUP(Master[[#This Row],[cu_id]],'[1]Customer Revenue'!$Q:$Q,'[1]Customer Revenue'!$K:$K, "None")</f>
        <v>None</v>
      </c>
      <c r="AF1587" s="53" t="str">
        <f>_xlfn.XLOOKUP(Master[[#This Row],[cu_id]],'[1]Customer Revenue'!$Q:$Q,'[1]Customer Revenue'!$L:$L, "None")</f>
        <v>None</v>
      </c>
      <c r="AG1587" s="53">
        <v>17.069371428571429</v>
      </c>
      <c r="AH1587" s="53">
        <v>44.827771428571431</v>
      </c>
      <c r="AI1587" s="53">
        <v>29.11</v>
      </c>
      <c r="AJ1587" s="53">
        <v>17.653333333333336</v>
      </c>
      <c r="AK1587" s="53" t="str">
        <f>_xlfn.XLOOKUP(Master[[#This Row],[cu_id]],'[1]Customer Revenue'!$Q:$Q,'[1]Customer Revenue'!$I:$I, "None")</f>
        <v>None</v>
      </c>
      <c r="AL1587" s="53">
        <v>30.94857142857143</v>
      </c>
      <c r="AM1587" s="43">
        <v>0.375</v>
      </c>
      <c r="AN1587" s="42">
        <v>0.66666666666666663</v>
      </c>
      <c r="AO1587" s="42" t="s">
        <v>36</v>
      </c>
      <c r="AP1587" s="42" t="s">
        <v>36</v>
      </c>
      <c r="AQ1587" s="41" t="s">
        <v>0</v>
      </c>
      <c r="AR1587" s="41"/>
      <c r="AS1587" s="41"/>
      <c r="AT1587" s="52">
        <v>0</v>
      </c>
      <c r="AU1587" s="52">
        <f>IF(Master[[#This Row],[RSP StopTime override]] &lt;&gt; "",Master[[#This Row],[RSP StopTime override]],IF(Master[[#This Row],[Avg stop time helper]] &lt;&gt; 0, Master[[#This Row],[Avg stop time helper]],Average_Stop_Time))</f>
        <v>5</v>
      </c>
      <c r="AV1587" s="21">
        <v>5</v>
      </c>
      <c r="AW1587" s="20">
        <f>Master[[#This Row],[RSP StopTime override]]-Master[[#This Row],[Avg stop time helper]]</f>
        <v>5</v>
      </c>
    </row>
    <row r="1588" spans="1:49" s="50" customFormat="1" x14ac:dyDescent="0.3">
      <c r="A1588" s="49" t="s">
        <v>5585</v>
      </c>
      <c r="B1588" s="41">
        <v>8060</v>
      </c>
      <c r="C1588" s="41" t="s">
        <v>35</v>
      </c>
      <c r="D1588" s="48">
        <v>805977</v>
      </c>
      <c r="E1588" s="48" t="s">
        <v>42</v>
      </c>
      <c r="F1588" s="48" t="s">
        <v>178</v>
      </c>
      <c r="G1588" s="48" t="s">
        <v>177</v>
      </c>
      <c r="H1588" s="48" t="s">
        <v>7</v>
      </c>
      <c r="I1588" s="48" t="s">
        <v>6</v>
      </c>
      <c r="J1588" s="48" t="s">
        <v>5</v>
      </c>
      <c r="K1588" s="48" t="s">
        <v>146</v>
      </c>
      <c r="L1588" s="47" t="s">
        <v>77</v>
      </c>
      <c r="M1588" s="41" t="s">
        <v>29</v>
      </c>
      <c r="N1588" s="41" t="s">
        <v>2</v>
      </c>
      <c r="O1588" s="41">
        <v>55</v>
      </c>
      <c r="P1588" s="41">
        <v>0</v>
      </c>
      <c r="Q1588" s="41">
        <v>55</v>
      </c>
      <c r="R1588" s="41">
        <v>0</v>
      </c>
      <c r="S1588" s="41">
        <v>0</v>
      </c>
      <c r="T1588" s="41">
        <v>0</v>
      </c>
      <c r="U1588" s="41">
        <v>21</v>
      </c>
      <c r="V1588" s="45"/>
      <c r="W1588" s="45"/>
      <c r="X1588" s="46">
        <f>IFERROR(1 -(Master[[#This Row],[Avg Garment Scans per Delivery]]/Master[[#This Row],[Garment Inventory]]), 0)</f>
        <v>0</v>
      </c>
      <c r="Y1588" s="45"/>
      <c r="Z1588" s="45"/>
      <c r="AA1588" s="53">
        <v>36.610000000000007</v>
      </c>
      <c r="AB1588" s="53">
        <v>64.676666666666677</v>
      </c>
      <c r="AC1588" s="53">
        <v>33.523061224489794</v>
      </c>
      <c r="AD1588" s="53">
        <v>50.228367346938782</v>
      </c>
      <c r="AE1588" s="53" t="str">
        <f>_xlfn.XLOOKUP(Master[[#This Row],[cu_id]],'[1]Customer Revenue'!$Q:$Q,'[1]Customer Revenue'!$K:$K, "None")</f>
        <v>None</v>
      </c>
      <c r="AF1588" s="53" t="str">
        <f>_xlfn.XLOOKUP(Master[[#This Row],[cu_id]],'[1]Customer Revenue'!$Q:$Q,'[1]Customer Revenue'!$L:$L, "None")</f>
        <v>None</v>
      </c>
      <c r="AG1588" s="53">
        <v>24.149112426035504</v>
      </c>
      <c r="AH1588" s="53">
        <v>52.598579881656804</v>
      </c>
      <c r="AI1588" s="53">
        <v>50.643333333333338</v>
      </c>
      <c r="AJ1588" s="53">
        <v>41.875714285714288</v>
      </c>
      <c r="AK1588" s="53" t="str">
        <f>_xlfn.XLOOKUP(Master[[#This Row],[cu_id]],'[1]Customer Revenue'!$Q:$Q,'[1]Customer Revenue'!$I:$I, "None")</f>
        <v>None</v>
      </c>
      <c r="AL1588" s="53">
        <v>38.373846153846152</v>
      </c>
      <c r="AM1588" s="43">
        <v>0.33333333333333331</v>
      </c>
      <c r="AN1588" s="42">
        <v>0</v>
      </c>
      <c r="AO1588" s="42" t="s">
        <v>36</v>
      </c>
      <c r="AP1588" s="42" t="s">
        <v>36</v>
      </c>
      <c r="AQ1588" s="41" t="s">
        <v>0</v>
      </c>
      <c r="AR1588" s="41"/>
      <c r="AS1588" s="41"/>
      <c r="AT1588" s="22">
        <v>0</v>
      </c>
      <c r="AU1588" s="22">
        <f>IF(Master[[#This Row],[RSP StopTime override]] &lt;&gt; "",Master[[#This Row],[RSP StopTime override]],IF(Master[[#This Row],[Avg stop time helper]] &lt;&gt; 0, Master[[#This Row],[Avg stop time helper]],Average_Stop_Time))</f>
        <v>6</v>
      </c>
      <c r="AV1588" s="54">
        <v>6</v>
      </c>
      <c r="AW1588" s="51">
        <f>Master[[#This Row],[RSP StopTime override]]-Master[[#This Row],[Avg stop time helper]]</f>
        <v>6</v>
      </c>
    </row>
    <row r="1589" spans="1:49" x14ac:dyDescent="0.3">
      <c r="A1589" s="49" t="s">
        <v>5586</v>
      </c>
      <c r="B1589" s="41">
        <v>8060</v>
      </c>
      <c r="C1589" s="41" t="s">
        <v>35</v>
      </c>
      <c r="D1589" s="48">
        <v>806187</v>
      </c>
      <c r="E1589" s="48" t="s">
        <v>42</v>
      </c>
      <c r="F1589" s="48" t="s">
        <v>176</v>
      </c>
      <c r="G1589" s="48" t="s">
        <v>175</v>
      </c>
      <c r="H1589" s="48" t="s">
        <v>7</v>
      </c>
      <c r="I1589" s="48" t="s">
        <v>6</v>
      </c>
      <c r="J1589" s="48" t="s">
        <v>5</v>
      </c>
      <c r="K1589" s="48" t="s">
        <v>68</v>
      </c>
      <c r="L1589" s="47" t="s">
        <v>67</v>
      </c>
      <c r="M1589" s="41" t="s">
        <v>3</v>
      </c>
      <c r="N1589" s="41" t="s">
        <v>2</v>
      </c>
      <c r="O1589" s="41">
        <v>82</v>
      </c>
      <c r="P1589" s="41">
        <v>0</v>
      </c>
      <c r="Q1589" s="41">
        <v>82</v>
      </c>
      <c r="R1589" s="41">
        <v>0</v>
      </c>
      <c r="S1589" s="41">
        <v>0</v>
      </c>
      <c r="T1589" s="41">
        <v>0</v>
      </c>
      <c r="U1589" s="41">
        <v>39</v>
      </c>
      <c r="V1589" s="45"/>
      <c r="W1589" s="45"/>
      <c r="X1589" s="46">
        <f>IFERROR(1 -(Master[[#This Row],[Avg Garment Scans per Delivery]]/Master[[#This Row],[Garment Inventory]]), 0)</f>
        <v>0</v>
      </c>
      <c r="Y1589" s="45"/>
      <c r="Z1589" s="45"/>
      <c r="AA1589" s="53">
        <v>57.141597633136094</v>
      </c>
      <c r="AB1589" s="53">
        <v>88.164556213017747</v>
      </c>
      <c r="AC1589" s="53">
        <v>56.346627218934913</v>
      </c>
      <c r="AD1589" s="53">
        <v>77.868757396449695</v>
      </c>
      <c r="AE1589" s="53" t="str">
        <f>_xlfn.XLOOKUP(Master[[#This Row],[cu_id]],'[1]Customer Revenue'!$Q:$Q,'[1]Customer Revenue'!$K:$K, "None")</f>
        <v>None</v>
      </c>
      <c r="AF1589" s="53" t="str">
        <f>_xlfn.XLOOKUP(Master[[#This Row],[cu_id]],'[1]Customer Revenue'!$Q:$Q,'[1]Customer Revenue'!$L:$L, "None")</f>
        <v>None</v>
      </c>
      <c r="AG1589" s="53">
        <v>59.4513775510204</v>
      </c>
      <c r="AH1589" s="53">
        <v>94.99862244897956</v>
      </c>
      <c r="AI1589" s="53">
        <v>72.653076923076924</v>
      </c>
      <c r="AJ1589" s="53">
        <v>67.107692307692304</v>
      </c>
      <c r="AK1589" s="53" t="str">
        <f>_xlfn.XLOOKUP(Master[[#This Row],[cu_id]],'[1]Customer Revenue'!$Q:$Q,'[1]Customer Revenue'!$I:$I, "None")</f>
        <v>None</v>
      </c>
      <c r="AL1589" s="53">
        <v>77.22499999999998</v>
      </c>
      <c r="AM1589" s="43">
        <v>0.41666666666666669</v>
      </c>
      <c r="AN1589" s="42">
        <v>0.70833333333333337</v>
      </c>
      <c r="AO1589" s="42" t="s">
        <v>36</v>
      </c>
      <c r="AP1589" s="42" t="s">
        <v>36</v>
      </c>
      <c r="AQ1589" s="41" t="s">
        <v>174</v>
      </c>
      <c r="AR1589" s="41"/>
      <c r="AS1589" s="41"/>
      <c r="AT1589" s="22">
        <v>0</v>
      </c>
      <c r="AU1589" s="22">
        <f>IF(Master[[#This Row],[RSP StopTime override]] &lt;&gt; "",Master[[#This Row],[RSP StopTime override]],IF(Master[[#This Row],[Avg stop time helper]] &lt;&gt; 0, Master[[#This Row],[Avg stop time helper]],Average_Stop_Time))</f>
        <v>20</v>
      </c>
      <c r="AV1589" s="54">
        <v>20</v>
      </c>
      <c r="AW1589" s="20">
        <f>Master[[#This Row],[RSP StopTime override]]-Master[[#This Row],[Avg stop time helper]]</f>
        <v>20</v>
      </c>
    </row>
    <row r="1590" spans="1:49" x14ac:dyDescent="0.3">
      <c r="A1590" s="49" t="s">
        <v>5587</v>
      </c>
      <c r="B1590" s="41">
        <v>8060</v>
      </c>
      <c r="C1590" s="41" t="s">
        <v>35</v>
      </c>
      <c r="D1590" s="48">
        <v>806384</v>
      </c>
      <c r="E1590" s="48" t="s">
        <v>42</v>
      </c>
      <c r="F1590" s="48" t="s">
        <v>173</v>
      </c>
      <c r="G1590" s="48" t="s">
        <v>172</v>
      </c>
      <c r="H1590" s="48" t="s">
        <v>7</v>
      </c>
      <c r="I1590" s="48" t="s">
        <v>6</v>
      </c>
      <c r="J1590" s="48" t="s">
        <v>5</v>
      </c>
      <c r="K1590" s="48" t="s">
        <v>115</v>
      </c>
      <c r="L1590" s="47" t="s">
        <v>91</v>
      </c>
      <c r="M1590" s="41" t="s">
        <v>90</v>
      </c>
      <c r="N1590" s="41" t="s">
        <v>2</v>
      </c>
      <c r="O1590" s="41">
        <v>45</v>
      </c>
      <c r="P1590" s="41">
        <v>0</v>
      </c>
      <c r="Q1590" s="41">
        <v>45</v>
      </c>
      <c r="R1590" s="41">
        <v>0</v>
      </c>
      <c r="S1590" s="41">
        <v>0</v>
      </c>
      <c r="T1590" s="41">
        <v>0</v>
      </c>
      <c r="U1590" s="41">
        <v>21</v>
      </c>
      <c r="V1590" s="45"/>
      <c r="W1590" s="45"/>
      <c r="X1590" s="46">
        <f>IFERROR(1 -(Master[[#This Row],[Avg Garment Scans per Delivery]]/Master[[#This Row],[Garment Inventory]]), 0)</f>
        <v>0</v>
      </c>
      <c r="Y1590" s="45"/>
      <c r="Z1590" s="45"/>
      <c r="AA1590" s="53">
        <v>46.468750000000007</v>
      </c>
      <c r="AB1590" s="53">
        <v>72.491250000000008</v>
      </c>
      <c r="AC1590" s="53">
        <v>59.348888888888887</v>
      </c>
      <c r="AD1590" s="53">
        <v>60.397777777777783</v>
      </c>
      <c r="AE1590" s="53" t="str">
        <f>_xlfn.XLOOKUP(Master[[#This Row],[cu_id]],'[1]Customer Revenue'!$Q:$Q,'[1]Customer Revenue'!$K:$K, "None")</f>
        <v>None</v>
      </c>
      <c r="AF1590" s="53" t="str">
        <f>_xlfn.XLOOKUP(Master[[#This Row],[cu_id]],'[1]Customer Revenue'!$Q:$Q,'[1]Customer Revenue'!$L:$L, "None")</f>
        <v>None</v>
      </c>
      <c r="AG1590" s="53">
        <v>51.655180533751967</v>
      </c>
      <c r="AH1590" s="53">
        <v>67.455588697017262</v>
      </c>
      <c r="AI1590" s="53">
        <v>59.480000000000004</v>
      </c>
      <c r="AJ1590" s="53">
        <v>59.873333333333335</v>
      </c>
      <c r="AK1590" s="53" t="str">
        <f>_xlfn.XLOOKUP(Master[[#This Row],[cu_id]],'[1]Customer Revenue'!$Q:$Q,'[1]Customer Revenue'!$I:$I, "None")</f>
        <v>None</v>
      </c>
      <c r="AL1590" s="53">
        <v>59.555384615384618</v>
      </c>
      <c r="AM1590" s="43">
        <v>0.375</v>
      </c>
      <c r="AN1590" s="42">
        <v>0.70833333333333337</v>
      </c>
      <c r="AO1590" s="42" t="s">
        <v>36</v>
      </c>
      <c r="AP1590" s="42" t="s">
        <v>36</v>
      </c>
      <c r="AQ1590" s="41" t="s">
        <v>0</v>
      </c>
      <c r="AR1590" s="41"/>
      <c r="AS1590" s="41"/>
      <c r="AT1590" s="22">
        <v>0</v>
      </c>
      <c r="AU1590" s="22">
        <f>IF(Master[[#This Row],[RSP StopTime override]] &lt;&gt; "",Master[[#This Row],[RSP StopTime override]],IF(Master[[#This Row],[Avg stop time helper]] &lt;&gt; 0, Master[[#This Row],[Avg stop time helper]],Average_Stop_Time))</f>
        <v>15</v>
      </c>
      <c r="AV1590" s="54">
        <v>15</v>
      </c>
      <c r="AW1590" s="20">
        <f>Master[[#This Row],[RSP StopTime override]]-Master[[#This Row],[Avg stop time helper]]</f>
        <v>15</v>
      </c>
    </row>
    <row r="1591" spans="1:49" s="50" customFormat="1" x14ac:dyDescent="0.3">
      <c r="A1591" s="49" t="s">
        <v>5588</v>
      </c>
      <c r="B1591" s="41">
        <v>8060</v>
      </c>
      <c r="C1591" s="41" t="s">
        <v>35</v>
      </c>
      <c r="D1591" s="48">
        <v>806385</v>
      </c>
      <c r="E1591" s="48" t="s">
        <v>42</v>
      </c>
      <c r="F1591" s="48" t="s">
        <v>171</v>
      </c>
      <c r="G1591" s="48" t="s">
        <v>170</v>
      </c>
      <c r="H1591" s="48" t="s">
        <v>7</v>
      </c>
      <c r="I1591" s="48" t="s">
        <v>169</v>
      </c>
      <c r="J1591" s="48" t="s">
        <v>5</v>
      </c>
      <c r="K1591" s="48" t="s">
        <v>115</v>
      </c>
      <c r="L1591" s="47" t="s">
        <v>91</v>
      </c>
      <c r="M1591" s="41" t="s">
        <v>90</v>
      </c>
      <c r="N1591" s="41" t="s">
        <v>2</v>
      </c>
      <c r="O1591" s="41">
        <v>40</v>
      </c>
      <c r="P1591" s="41">
        <v>0</v>
      </c>
      <c r="Q1591" s="41">
        <v>40</v>
      </c>
      <c r="R1591" s="41">
        <v>0</v>
      </c>
      <c r="S1591" s="41">
        <v>0</v>
      </c>
      <c r="T1591" s="41">
        <v>0</v>
      </c>
      <c r="U1591" s="41">
        <v>16</v>
      </c>
      <c r="V1591" s="45"/>
      <c r="W1591" s="45"/>
      <c r="X1591" s="46">
        <f>IFERROR(1 -(Master[[#This Row],[Avg Garment Scans per Delivery]]/Master[[#This Row],[Garment Inventory]]), 0)</f>
        <v>0</v>
      </c>
      <c r="Y1591" s="45"/>
      <c r="Z1591" s="45"/>
      <c r="AA1591" s="53">
        <v>25.68918367346939</v>
      </c>
      <c r="AB1591" s="53">
        <v>29.725102040816328</v>
      </c>
      <c r="AC1591" s="53">
        <v>34.638888888888893</v>
      </c>
      <c r="AD1591" s="53">
        <v>35.687777777777775</v>
      </c>
      <c r="AE1591" s="53" t="str">
        <f>_xlfn.XLOOKUP(Master[[#This Row],[cu_id]],'[1]Customer Revenue'!$Q:$Q,'[1]Customer Revenue'!$K:$K, "None")</f>
        <v>None</v>
      </c>
      <c r="AF1591" s="53" t="str">
        <f>_xlfn.XLOOKUP(Master[[#This Row],[cu_id]],'[1]Customer Revenue'!$Q:$Q,'[1]Customer Revenue'!$L:$L, "None")</f>
        <v>None</v>
      </c>
      <c r="AG1591" s="53">
        <v>23.56047880690738</v>
      </c>
      <c r="AH1591" s="53">
        <v>30.76721350078493</v>
      </c>
      <c r="AI1591" s="53">
        <v>27.707142857142859</v>
      </c>
      <c r="AJ1591" s="53">
        <v>35.163333333333334</v>
      </c>
      <c r="AK1591" s="53" t="str">
        <f>_xlfn.XLOOKUP(Master[[#This Row],[cu_id]],'[1]Customer Revenue'!$Q:$Q,'[1]Customer Revenue'!$I:$I, "None")</f>
        <v>None</v>
      </c>
      <c r="AL1591" s="53">
        <v>27.163846153846155</v>
      </c>
      <c r="AM1591" s="43">
        <v>0.375</v>
      </c>
      <c r="AN1591" s="42">
        <v>0.70833333333333337</v>
      </c>
      <c r="AO1591" s="42" t="s">
        <v>36</v>
      </c>
      <c r="AP1591" s="42" t="s">
        <v>36</v>
      </c>
      <c r="AQ1591" s="41" t="s">
        <v>0</v>
      </c>
      <c r="AR1591" s="41"/>
      <c r="AS1591" s="41"/>
      <c r="AT1591" s="52">
        <v>0</v>
      </c>
      <c r="AU1591" s="52">
        <f>IF(Master[[#This Row],[RSP StopTime override]] &lt;&gt; "",Master[[#This Row],[RSP StopTime override]],IF(Master[[#This Row],[Avg stop time helper]] &lt;&gt; 0, Master[[#This Row],[Avg stop time helper]],Average_Stop_Time))</f>
        <v>7</v>
      </c>
      <c r="AV1591" s="21">
        <v>7</v>
      </c>
      <c r="AW1591" s="51">
        <f>Master[[#This Row],[RSP StopTime override]]-Master[[#This Row],[Avg stop time helper]]</f>
        <v>7</v>
      </c>
    </row>
    <row r="1592" spans="1:49" x14ac:dyDescent="0.3">
      <c r="A1592" s="49" t="s">
        <v>5589</v>
      </c>
      <c r="B1592" s="41">
        <v>8060</v>
      </c>
      <c r="C1592" s="41" t="s">
        <v>35</v>
      </c>
      <c r="D1592" s="48">
        <v>806951</v>
      </c>
      <c r="E1592" s="48" t="s">
        <v>42</v>
      </c>
      <c r="F1592" s="48" t="s">
        <v>168</v>
      </c>
      <c r="G1592" s="48" t="s">
        <v>166</v>
      </c>
      <c r="H1592" s="48" t="s">
        <v>7</v>
      </c>
      <c r="I1592" s="48" t="s">
        <v>6</v>
      </c>
      <c r="J1592" s="48" t="s">
        <v>5</v>
      </c>
      <c r="K1592" s="48" t="s">
        <v>146</v>
      </c>
      <c r="L1592" s="47" t="s">
        <v>91</v>
      </c>
      <c r="M1592" s="41" t="s">
        <v>90</v>
      </c>
      <c r="N1592" s="41" t="s">
        <v>2</v>
      </c>
      <c r="O1592" s="41">
        <v>25</v>
      </c>
      <c r="P1592" s="41">
        <v>0</v>
      </c>
      <c r="Q1592" s="41">
        <v>25</v>
      </c>
      <c r="R1592" s="41">
        <v>0</v>
      </c>
      <c r="S1592" s="41">
        <v>0</v>
      </c>
      <c r="T1592" s="41">
        <v>0</v>
      </c>
      <c r="U1592" s="41">
        <v>40</v>
      </c>
      <c r="V1592" s="45"/>
      <c r="W1592" s="45"/>
      <c r="X1592" s="46">
        <f>IFERROR(1 -(Master[[#This Row],[Avg Garment Scans per Delivery]]/Master[[#This Row],[Garment Inventory]]), 0)</f>
        <v>0</v>
      </c>
      <c r="Y1592" s="45"/>
      <c r="Z1592" s="45"/>
      <c r="AA1592" s="53">
        <v>31.427455621301775</v>
      </c>
      <c r="AB1592" s="53">
        <v>52.191005917159757</v>
      </c>
      <c r="AC1592" s="53">
        <v>38.348571428571418</v>
      </c>
      <c r="AD1592" s="53">
        <v>42.931428571428569</v>
      </c>
      <c r="AE1592" s="53" t="str">
        <f>_xlfn.XLOOKUP(Master[[#This Row],[cu_id]],'[1]Customer Revenue'!$Q:$Q,'[1]Customer Revenue'!$K:$K, "None")</f>
        <v>None</v>
      </c>
      <c r="AF1592" s="53" t="str">
        <f>_xlfn.XLOOKUP(Master[[#This Row],[cu_id]],'[1]Customer Revenue'!$Q:$Q,'[1]Customer Revenue'!$L:$L, "None")</f>
        <v>None</v>
      </c>
      <c r="AG1592" s="53">
        <v>28.248106508875747</v>
      </c>
      <c r="AH1592" s="53">
        <v>43.70112426035503</v>
      </c>
      <c r="AI1592" s="53">
        <v>41.809230769230766</v>
      </c>
      <c r="AJ1592" s="53">
        <v>40.639999999999993</v>
      </c>
      <c r="AK1592" s="53" t="str">
        <f>_xlfn.XLOOKUP(Master[[#This Row],[cu_id]],'[1]Customer Revenue'!$Q:$Q,'[1]Customer Revenue'!$I:$I, "None")</f>
        <v>None</v>
      </c>
      <c r="AL1592" s="53">
        <v>35.97461538461539</v>
      </c>
      <c r="AM1592" s="43">
        <v>0.33333333333333331</v>
      </c>
      <c r="AN1592" s="42">
        <v>0.70833333333333337</v>
      </c>
      <c r="AO1592" s="42" t="s">
        <v>36</v>
      </c>
      <c r="AP1592" s="42" t="s">
        <v>36</v>
      </c>
      <c r="AQ1592" s="41" t="s">
        <v>0</v>
      </c>
      <c r="AR1592" s="41"/>
      <c r="AS1592" s="41"/>
      <c r="AT1592" s="52">
        <v>0</v>
      </c>
      <c r="AU1592" s="52">
        <f>IF(Master[[#This Row],[RSP StopTime override]] &lt;&gt; "",Master[[#This Row],[RSP StopTime override]],IF(Master[[#This Row],[Avg stop time helper]] &lt;&gt; 0, Master[[#This Row],[Avg stop time helper]],Average_Stop_Time))</f>
        <v>15</v>
      </c>
      <c r="AV1592" s="21">
        <v>15</v>
      </c>
      <c r="AW1592" s="20">
        <f>Master[[#This Row],[RSP StopTime override]]-Master[[#This Row],[Avg stop time helper]]</f>
        <v>15</v>
      </c>
    </row>
    <row r="1593" spans="1:49" s="50" customFormat="1" x14ac:dyDescent="0.3">
      <c r="A1593" s="49" t="s">
        <v>5590</v>
      </c>
      <c r="B1593" s="41">
        <v>8060</v>
      </c>
      <c r="C1593" s="41" t="s">
        <v>35</v>
      </c>
      <c r="D1593" s="48">
        <v>806952</v>
      </c>
      <c r="E1593" s="48" t="s">
        <v>42</v>
      </c>
      <c r="F1593" s="48" t="s">
        <v>167</v>
      </c>
      <c r="G1593" s="48" t="s">
        <v>166</v>
      </c>
      <c r="H1593" s="48" t="s">
        <v>7</v>
      </c>
      <c r="I1593" s="48" t="s">
        <v>165</v>
      </c>
      <c r="J1593" s="48" t="s">
        <v>5</v>
      </c>
      <c r="K1593" s="48" t="s">
        <v>164</v>
      </c>
      <c r="L1593" s="47" t="s">
        <v>67</v>
      </c>
      <c r="M1593" s="41" t="s">
        <v>3</v>
      </c>
      <c r="N1593" s="41" t="s">
        <v>2</v>
      </c>
      <c r="O1593" s="41">
        <v>20</v>
      </c>
      <c r="P1593" s="41">
        <v>0</v>
      </c>
      <c r="Q1593" s="41">
        <v>20</v>
      </c>
      <c r="R1593" s="41">
        <v>0</v>
      </c>
      <c r="S1593" s="41">
        <v>0</v>
      </c>
      <c r="T1593" s="41">
        <v>0</v>
      </c>
      <c r="U1593" s="41">
        <v>40</v>
      </c>
      <c r="V1593" s="45">
        <v>2</v>
      </c>
      <c r="W1593" s="45"/>
      <c r="X1593" s="46">
        <f>IFERROR(1 -(Master[[#This Row],[Avg Garment Scans per Delivery]]/Master[[#This Row],[Garment Inventory]]), 0)</f>
        <v>1</v>
      </c>
      <c r="Y1593" s="45"/>
      <c r="Z1593" s="45"/>
      <c r="AA1593" s="53">
        <v>85.257278106508863</v>
      </c>
      <c r="AB1593" s="53">
        <v>86.151952662721897</v>
      </c>
      <c r="AC1593" s="53">
        <v>87.331065088757413</v>
      </c>
      <c r="AD1593" s="53">
        <v>94.396627218934924</v>
      </c>
      <c r="AE1593" s="53" t="str">
        <f>_xlfn.XLOOKUP(Master[[#This Row],[cu_id]],'[1]Customer Revenue'!$Q:$Q,'[1]Customer Revenue'!$K:$K, "None")</f>
        <v>None</v>
      </c>
      <c r="AF1593" s="53" t="str">
        <f>_xlfn.XLOOKUP(Master[[#This Row],[cu_id]],'[1]Customer Revenue'!$Q:$Q,'[1]Customer Revenue'!$L:$L, "None")</f>
        <v>None</v>
      </c>
      <c r="AG1593" s="53">
        <v>80.1421597633136</v>
      </c>
      <c r="AH1593" s="53">
        <v>86.583224852070998</v>
      </c>
      <c r="AI1593" s="53">
        <v>85.70461538461538</v>
      </c>
      <c r="AJ1593" s="53">
        <v>90.863846153846168</v>
      </c>
      <c r="AK1593" s="53" t="str">
        <f>_xlfn.XLOOKUP(Master[[#This Row],[cu_id]],'[1]Customer Revenue'!$Q:$Q,'[1]Customer Revenue'!$I:$I, "None")</f>
        <v>None</v>
      </c>
      <c r="AL1593" s="53">
        <v>83.362692307692299</v>
      </c>
      <c r="AM1593" s="43">
        <v>0.33333333333333331</v>
      </c>
      <c r="AN1593" s="42">
        <v>0.70833333333333337</v>
      </c>
      <c r="AO1593" s="42" t="s">
        <v>36</v>
      </c>
      <c r="AP1593" s="42" t="s">
        <v>36</v>
      </c>
      <c r="AQ1593" s="41" t="s">
        <v>0</v>
      </c>
      <c r="AR1593" s="41"/>
      <c r="AS1593" s="41"/>
      <c r="AT1593" s="52">
        <v>0</v>
      </c>
      <c r="AU1593" s="52">
        <f>IF(Master[[#This Row],[RSP StopTime override]] &lt;&gt; "",Master[[#This Row],[RSP StopTime override]],IF(Master[[#This Row],[Avg stop time helper]] &lt;&gt; 0, Master[[#This Row],[Avg stop time helper]],Average_Stop_Time))</f>
        <v>20</v>
      </c>
      <c r="AV1593" s="21">
        <v>20</v>
      </c>
      <c r="AW1593" s="51">
        <f>Master[[#This Row],[RSP StopTime override]]-Master[[#This Row],[Avg stop time helper]]</f>
        <v>20</v>
      </c>
    </row>
    <row r="1594" spans="1:49" x14ac:dyDescent="0.3">
      <c r="A1594" s="49" t="s">
        <v>5591</v>
      </c>
      <c r="B1594" s="41">
        <v>8060</v>
      </c>
      <c r="C1594" s="41" t="s">
        <v>35</v>
      </c>
      <c r="D1594" s="48">
        <v>807751</v>
      </c>
      <c r="E1594" s="48" t="s">
        <v>42</v>
      </c>
      <c r="F1594" s="48" t="s">
        <v>163</v>
      </c>
      <c r="G1594" s="48" t="s">
        <v>162</v>
      </c>
      <c r="H1594" s="48" t="s">
        <v>7</v>
      </c>
      <c r="I1594" s="48" t="s">
        <v>161</v>
      </c>
      <c r="J1594" s="48" t="s">
        <v>5</v>
      </c>
      <c r="K1594" s="48" t="s">
        <v>146</v>
      </c>
      <c r="L1594" s="47" t="s">
        <v>91</v>
      </c>
      <c r="M1594" s="41" t="s">
        <v>90</v>
      </c>
      <c r="N1594" s="41" t="s">
        <v>2</v>
      </c>
      <c r="O1594" s="41">
        <v>133</v>
      </c>
      <c r="P1594" s="41">
        <v>0</v>
      </c>
      <c r="Q1594" s="41">
        <v>133</v>
      </c>
      <c r="R1594" s="41">
        <v>0</v>
      </c>
      <c r="S1594" s="41">
        <v>0</v>
      </c>
      <c r="T1594" s="41">
        <v>0</v>
      </c>
      <c r="U1594" s="41">
        <v>18</v>
      </c>
      <c r="V1594" s="45"/>
      <c r="W1594" s="45"/>
      <c r="X1594" s="46">
        <f>IFERROR(1 -(Master[[#This Row],[Avg Garment Scans per Delivery]]/Master[[#This Row],[Garment Inventory]]), 0)</f>
        <v>0</v>
      </c>
      <c r="Y1594" s="45"/>
      <c r="Z1594" s="45"/>
      <c r="AA1594" s="53">
        <v>72.089347442680776</v>
      </c>
      <c r="AB1594" s="53">
        <v>148.25922398589066</v>
      </c>
      <c r="AC1594" s="53">
        <v>85.503888888888895</v>
      </c>
      <c r="AD1594" s="53">
        <v>209.41277777777779</v>
      </c>
      <c r="AE1594" s="53" t="str">
        <f>_xlfn.XLOOKUP(Master[[#This Row],[cu_id]],'[1]Customer Revenue'!$Q:$Q,'[1]Customer Revenue'!$K:$K, "None")</f>
        <v>None</v>
      </c>
      <c r="AF1594" s="53" t="str">
        <f>_xlfn.XLOOKUP(Master[[#This Row],[cu_id]],'[1]Customer Revenue'!$Q:$Q,'[1]Customer Revenue'!$L:$L, "None")</f>
        <v>None</v>
      </c>
      <c r="AG1594" s="53">
        <v>50.524297245963886</v>
      </c>
      <c r="AH1594" s="53">
        <v>151.15108736942071</v>
      </c>
      <c r="AI1594" s="53">
        <v>110.17428571428572</v>
      </c>
      <c r="AJ1594" s="53">
        <v>147.45833333333334</v>
      </c>
      <c r="AK1594" s="53" t="str">
        <f>_xlfn.XLOOKUP(Master[[#This Row],[cu_id]],'[1]Customer Revenue'!$Q:$Q,'[1]Customer Revenue'!$I:$I, "None")</f>
        <v>None</v>
      </c>
      <c r="AL1594" s="53">
        <v>100.83769230769229</v>
      </c>
      <c r="AM1594" s="43">
        <v>0.41666666666666669</v>
      </c>
      <c r="AN1594" s="42">
        <v>0.70833333333333337</v>
      </c>
      <c r="AO1594" s="42" t="s">
        <v>36</v>
      </c>
      <c r="AP1594" s="42" t="s">
        <v>36</v>
      </c>
      <c r="AQ1594" s="41" t="s">
        <v>0</v>
      </c>
      <c r="AR1594" s="41"/>
      <c r="AS1594" s="41"/>
      <c r="AT1594" s="52">
        <v>0</v>
      </c>
      <c r="AU1594" s="52" t="e">
        <f>IF(Master[[#This Row],[RSP StopTime override]] &lt;&gt; "",Master[[#This Row],[RSP StopTime override]],IF(Master[[#This Row],[Avg stop time helper]] &lt;&gt; 0, Master[[#This Row],[Avg stop time helper]],Average_Stop_Time))</f>
        <v>#DIV/0!</v>
      </c>
      <c r="AV1594" s="21"/>
      <c r="AW1594" s="20">
        <f>Master[[#This Row],[RSP StopTime override]]-Master[[#This Row],[Avg stop time helper]]</f>
        <v>0</v>
      </c>
    </row>
    <row r="1595" spans="1:49" x14ac:dyDescent="0.3">
      <c r="A1595" s="49" t="s">
        <v>4087</v>
      </c>
      <c r="B1595" s="41">
        <v>8060</v>
      </c>
      <c r="C1595" s="41" t="s">
        <v>35</v>
      </c>
      <c r="D1595" s="48">
        <v>807853</v>
      </c>
      <c r="E1595" s="48" t="s">
        <v>42</v>
      </c>
      <c r="F1595" s="48" t="s">
        <v>160</v>
      </c>
      <c r="G1595" s="48" t="s">
        <v>159</v>
      </c>
      <c r="H1595" s="48" t="s">
        <v>7</v>
      </c>
      <c r="I1595" s="48" t="s">
        <v>158</v>
      </c>
      <c r="J1595" s="48" t="s">
        <v>5</v>
      </c>
      <c r="K1595" s="48" t="s">
        <v>146</v>
      </c>
      <c r="L1595" s="47" t="s">
        <v>91</v>
      </c>
      <c r="M1595" s="41" t="s">
        <v>90</v>
      </c>
      <c r="N1595" s="41" t="s">
        <v>2</v>
      </c>
      <c r="O1595" s="41">
        <v>77</v>
      </c>
      <c r="P1595" s="41">
        <v>0</v>
      </c>
      <c r="Q1595" s="41">
        <v>77</v>
      </c>
      <c r="R1595" s="41">
        <v>0</v>
      </c>
      <c r="S1595" s="41">
        <v>0</v>
      </c>
      <c r="T1595" s="41">
        <v>0</v>
      </c>
      <c r="U1595" s="41">
        <v>15</v>
      </c>
      <c r="V1595" s="45"/>
      <c r="W1595" s="45"/>
      <c r="X1595" s="46">
        <f>IFERROR(1 -(Master[[#This Row],[Avg Garment Scans per Delivery]]/Master[[#This Row],[Garment Inventory]]), 0)</f>
        <v>0</v>
      </c>
      <c r="Y1595" s="45"/>
      <c r="Z1595" s="45"/>
      <c r="AA1595" s="53">
        <v>25.219387755102048</v>
      </c>
      <c r="AB1595" s="53">
        <v>73.640612244897966</v>
      </c>
      <c r="AC1595" s="53">
        <v>2.1944444444444446</v>
      </c>
      <c r="AD1595" s="53">
        <v>5.7055555555555557</v>
      </c>
      <c r="AE1595" s="53" t="str">
        <f>_xlfn.XLOOKUP(Master[[#This Row],[cu_id]],'[1]Customer Revenue'!$Q:$Q,'[1]Customer Revenue'!$K:$K, "None")</f>
        <v>None</v>
      </c>
      <c r="AF1595" s="53" t="str">
        <f>_xlfn.XLOOKUP(Master[[#This Row],[cu_id]],'[1]Customer Revenue'!$Q:$Q,'[1]Customer Revenue'!$L:$L, "None")</f>
        <v>None</v>
      </c>
      <c r="AG1595" s="53">
        <v>22.581775147928994</v>
      </c>
      <c r="AH1595" s="53">
        <v>63.178224852071011</v>
      </c>
      <c r="AI1595" s="53">
        <v>49.430000000000007</v>
      </c>
      <c r="AJ1595" s="53">
        <v>3.95</v>
      </c>
      <c r="AK1595" s="53" t="str">
        <f>_xlfn.XLOOKUP(Master[[#This Row],[cu_id]],'[1]Customer Revenue'!$Q:$Q,'[1]Customer Revenue'!$I:$I, "None")</f>
        <v>None</v>
      </c>
      <c r="AL1595" s="53">
        <v>42.88</v>
      </c>
      <c r="AM1595" s="43">
        <v>0.45833333333333331</v>
      </c>
      <c r="AN1595" s="42">
        <v>0.70833333333333337</v>
      </c>
      <c r="AO1595" s="42" t="s">
        <v>36</v>
      </c>
      <c r="AP1595" s="42" t="s">
        <v>36</v>
      </c>
      <c r="AQ1595" s="41" t="s">
        <v>0</v>
      </c>
      <c r="AR1595" s="41"/>
      <c r="AS1595" s="41"/>
      <c r="AT1595" s="52">
        <v>0</v>
      </c>
      <c r="AU1595" s="52">
        <f>IF(Master[[#This Row],[RSP StopTime override]] &lt;&gt; "",Master[[#This Row],[RSP StopTime override]],IF(Master[[#This Row],[Avg stop time helper]] &lt;&gt; 0, Master[[#This Row],[Avg stop time helper]],Average_Stop_Time))</f>
        <v>10</v>
      </c>
      <c r="AV1595" s="21">
        <v>10</v>
      </c>
      <c r="AW1595" s="20">
        <f>Master[[#This Row],[RSP StopTime override]]-Master[[#This Row],[Avg stop time helper]]</f>
        <v>10</v>
      </c>
    </row>
    <row r="1596" spans="1:49" x14ac:dyDescent="0.3">
      <c r="A1596" s="49" t="s">
        <v>5592</v>
      </c>
      <c r="B1596" s="41">
        <v>8060</v>
      </c>
      <c r="C1596" s="41" t="s">
        <v>35</v>
      </c>
      <c r="D1596" s="48">
        <v>808186</v>
      </c>
      <c r="E1596" s="48" t="s">
        <v>42</v>
      </c>
      <c r="F1596" s="48" t="s">
        <v>157</v>
      </c>
      <c r="G1596" s="48" t="s">
        <v>156</v>
      </c>
      <c r="H1596" s="48" t="s">
        <v>7</v>
      </c>
      <c r="I1596" s="48" t="s">
        <v>6</v>
      </c>
      <c r="J1596" s="48" t="s">
        <v>5</v>
      </c>
      <c r="K1596" s="48" t="s">
        <v>155</v>
      </c>
      <c r="L1596" s="47" t="s">
        <v>124</v>
      </c>
      <c r="M1596" s="41" t="s">
        <v>123</v>
      </c>
      <c r="N1596" s="41" t="s">
        <v>2</v>
      </c>
      <c r="O1596" s="41">
        <v>125</v>
      </c>
      <c r="P1596" s="41">
        <v>0</v>
      </c>
      <c r="Q1596" s="41">
        <v>125</v>
      </c>
      <c r="R1596" s="41">
        <v>0</v>
      </c>
      <c r="S1596" s="41">
        <v>0</v>
      </c>
      <c r="T1596" s="41">
        <v>0</v>
      </c>
      <c r="U1596" s="41">
        <v>11</v>
      </c>
      <c r="V1596" s="45"/>
      <c r="W1596" s="45"/>
      <c r="X1596" s="46">
        <f>IFERROR(1 -(Master[[#This Row],[Avg Garment Scans per Delivery]]/Master[[#This Row],[Garment Inventory]]), 0)</f>
        <v>0</v>
      </c>
      <c r="Y1596" s="45"/>
      <c r="Z1596" s="45"/>
      <c r="AA1596" s="53">
        <v>51.513333333333328</v>
      </c>
      <c r="AB1596" s="53">
        <v>63.246666666666663</v>
      </c>
      <c r="AC1596" s="53">
        <v>52.848888888888887</v>
      </c>
      <c r="AD1596" s="53">
        <v>53.897777777777783</v>
      </c>
      <c r="AE1596" s="53" t="str">
        <f>_xlfn.XLOOKUP(Master[[#This Row],[cu_id]],'[1]Customer Revenue'!$Q:$Q,'[1]Customer Revenue'!$K:$K, "None")</f>
        <v>None</v>
      </c>
      <c r="AF1596" s="53" t="str">
        <f>_xlfn.XLOOKUP(Master[[#This Row],[cu_id]],'[1]Customer Revenue'!$Q:$Q,'[1]Customer Revenue'!$L:$L, "None")</f>
        <v>None</v>
      </c>
      <c r="AG1596" s="53">
        <v>46.650204081632666</v>
      </c>
      <c r="AH1596" s="53">
        <v>76.909795918367351</v>
      </c>
      <c r="AI1596" s="53">
        <v>57.379999999999995</v>
      </c>
      <c r="AJ1596" s="53">
        <v>53.373333333333335</v>
      </c>
      <c r="AK1596" s="53" t="str">
        <f>_xlfn.XLOOKUP(Master[[#This Row],[cu_id]],'[1]Customer Revenue'!$Q:$Q,'[1]Customer Revenue'!$I:$I, "None")</f>
        <v>None</v>
      </c>
      <c r="AL1596" s="53">
        <v>61.780000000000008</v>
      </c>
      <c r="AM1596" s="43">
        <v>0.375</v>
      </c>
      <c r="AN1596" s="42">
        <v>0.70833333333333337</v>
      </c>
      <c r="AO1596" s="42" t="s">
        <v>36</v>
      </c>
      <c r="AP1596" s="42" t="s">
        <v>36</v>
      </c>
      <c r="AQ1596" s="41" t="s">
        <v>0</v>
      </c>
      <c r="AR1596" s="41"/>
      <c r="AS1596" s="41"/>
      <c r="AT1596" s="52">
        <v>0</v>
      </c>
      <c r="AU1596" s="52">
        <f>IF(Master[[#This Row],[RSP StopTime override]] &lt;&gt; "",Master[[#This Row],[RSP StopTime override]],IF(Master[[#This Row],[Avg stop time helper]] &lt;&gt; 0, Master[[#This Row],[Avg stop time helper]],Average_Stop_Time))</f>
        <v>15</v>
      </c>
      <c r="AV1596" s="21">
        <v>15</v>
      </c>
      <c r="AW1596" s="20">
        <f>Master[[#This Row],[RSP StopTime override]]-Master[[#This Row],[Avg stop time helper]]</f>
        <v>15</v>
      </c>
    </row>
    <row r="1597" spans="1:49" x14ac:dyDescent="0.3">
      <c r="A1597" s="49" t="s">
        <v>5593</v>
      </c>
      <c r="B1597" s="41">
        <v>8060</v>
      </c>
      <c r="C1597" s="41" t="s">
        <v>35</v>
      </c>
      <c r="D1597" s="48">
        <v>808199</v>
      </c>
      <c r="E1597" s="48" t="s">
        <v>42</v>
      </c>
      <c r="F1597" s="48" t="s">
        <v>154</v>
      </c>
      <c r="G1597" s="48" t="s">
        <v>153</v>
      </c>
      <c r="H1597" s="48" t="s">
        <v>7</v>
      </c>
      <c r="I1597" s="48" t="s">
        <v>152</v>
      </c>
      <c r="J1597" s="48" t="s">
        <v>5</v>
      </c>
      <c r="K1597" s="48" t="s">
        <v>151</v>
      </c>
      <c r="L1597" s="47" t="s">
        <v>67</v>
      </c>
      <c r="M1597" s="41" t="s">
        <v>3</v>
      </c>
      <c r="N1597" s="41" t="s">
        <v>2</v>
      </c>
      <c r="O1597" s="41">
        <v>101</v>
      </c>
      <c r="P1597" s="41">
        <v>0</v>
      </c>
      <c r="Q1597" s="41">
        <v>101</v>
      </c>
      <c r="R1597" s="41">
        <v>0</v>
      </c>
      <c r="S1597" s="41">
        <v>0</v>
      </c>
      <c r="T1597" s="41">
        <v>0</v>
      </c>
      <c r="U1597" s="41">
        <v>39</v>
      </c>
      <c r="V1597" s="45"/>
      <c r="W1597" s="45"/>
      <c r="X1597" s="46">
        <f>IFERROR(1 -(Master[[#This Row],[Avg Garment Scans per Delivery]]/Master[[#This Row],[Garment Inventory]]), 0)</f>
        <v>0</v>
      </c>
      <c r="Y1597" s="45"/>
      <c r="Z1597" s="45"/>
      <c r="AA1597" s="53">
        <v>57.78224852071007</v>
      </c>
      <c r="AB1597" s="53">
        <v>59.571597633136108</v>
      </c>
      <c r="AC1597" s="53">
        <v>58.224260355029593</v>
      </c>
      <c r="AD1597" s="53">
        <v>64.806508875739652</v>
      </c>
      <c r="AE1597" s="53" t="str">
        <f>_xlfn.XLOOKUP(Master[[#This Row],[cu_id]],'[1]Customer Revenue'!$Q:$Q,'[1]Customer Revenue'!$K:$K, "None")</f>
        <v>None</v>
      </c>
      <c r="AF1597" s="53" t="str">
        <f>_xlfn.XLOOKUP(Master[[#This Row],[cu_id]],'[1]Customer Revenue'!$Q:$Q,'[1]Customer Revenue'!$L:$L, "None")</f>
        <v>None</v>
      </c>
      <c r="AG1597" s="53">
        <v>56.146096866096897</v>
      </c>
      <c r="AH1597" s="53">
        <v>65.663133903133925</v>
      </c>
      <c r="AI1597" s="53">
        <v>58.676923076923089</v>
      </c>
      <c r="AJ1597" s="53">
        <v>61.515384615384619</v>
      </c>
      <c r="AK1597" s="53" t="str">
        <f>_xlfn.XLOOKUP(Master[[#This Row],[cu_id]],'[1]Customer Revenue'!$Q:$Q,'[1]Customer Revenue'!$I:$I, "None")</f>
        <v>None</v>
      </c>
      <c r="AL1597" s="53">
        <v>60.904615384615411</v>
      </c>
      <c r="AM1597" s="43">
        <v>0.41666666666666669</v>
      </c>
      <c r="AN1597" s="42">
        <v>0.70833333333333337</v>
      </c>
      <c r="AO1597" s="42" t="s">
        <v>36</v>
      </c>
      <c r="AP1597" s="42" t="s">
        <v>36</v>
      </c>
      <c r="AQ1597" s="41" t="s">
        <v>0</v>
      </c>
      <c r="AR1597" s="41"/>
      <c r="AS1597" s="41"/>
      <c r="AT1597" s="52">
        <v>0</v>
      </c>
      <c r="AU1597" s="52">
        <f>IF(Master[[#This Row],[RSP StopTime override]] &lt;&gt; "",Master[[#This Row],[RSP StopTime override]],IF(Master[[#This Row],[Avg stop time helper]] &lt;&gt; 0, Master[[#This Row],[Avg stop time helper]],Average_Stop_Time))</f>
        <v>20</v>
      </c>
      <c r="AV1597" s="21">
        <v>20</v>
      </c>
      <c r="AW1597" s="20">
        <f>Master[[#This Row],[RSP StopTime override]]-Master[[#This Row],[Avg stop time helper]]</f>
        <v>20</v>
      </c>
    </row>
    <row r="1598" spans="1:49" x14ac:dyDescent="0.3">
      <c r="A1598" s="49" t="s">
        <v>5594</v>
      </c>
      <c r="B1598" s="41">
        <v>8060</v>
      </c>
      <c r="C1598" s="41" t="s">
        <v>35</v>
      </c>
      <c r="D1598" s="48">
        <v>808915</v>
      </c>
      <c r="E1598" s="48" t="s">
        <v>42</v>
      </c>
      <c r="F1598" s="48" t="s">
        <v>150</v>
      </c>
      <c r="G1598" s="48" t="s">
        <v>149</v>
      </c>
      <c r="H1598" s="48" t="s">
        <v>7</v>
      </c>
      <c r="I1598" s="48" t="s">
        <v>6</v>
      </c>
      <c r="J1598" s="48" t="s">
        <v>5</v>
      </c>
      <c r="K1598" s="48" t="s">
        <v>115</v>
      </c>
      <c r="L1598" s="47" t="s">
        <v>67</v>
      </c>
      <c r="M1598" s="41" t="s">
        <v>3</v>
      </c>
      <c r="N1598" s="41" t="s">
        <v>2</v>
      </c>
      <c r="O1598" s="41">
        <v>62</v>
      </c>
      <c r="P1598" s="41">
        <v>0</v>
      </c>
      <c r="Q1598" s="41">
        <v>62</v>
      </c>
      <c r="R1598" s="41">
        <v>0</v>
      </c>
      <c r="S1598" s="41">
        <v>0</v>
      </c>
      <c r="T1598" s="41">
        <v>0</v>
      </c>
      <c r="U1598" s="41">
        <v>27</v>
      </c>
      <c r="V1598" s="45">
        <v>22</v>
      </c>
      <c r="W1598" s="45"/>
      <c r="X1598" s="46">
        <f>IFERROR(1 -(Master[[#This Row],[Avg Garment Scans per Delivery]]/Master[[#This Row],[Garment Inventory]]), 0)</f>
        <v>1</v>
      </c>
      <c r="Y1598" s="45"/>
      <c r="Z1598" s="45"/>
      <c r="AA1598" s="53">
        <v>9.1759526627218921</v>
      </c>
      <c r="AB1598" s="53">
        <v>25.672047337278109</v>
      </c>
      <c r="AC1598" s="53">
        <v>15</v>
      </c>
      <c r="AD1598" s="53">
        <v>15</v>
      </c>
      <c r="AE1598" s="53" t="str">
        <f>_xlfn.XLOOKUP(Master[[#This Row],[cu_id]],'[1]Customer Revenue'!$Q:$Q,'[1]Customer Revenue'!$K:$K, "None")</f>
        <v>None</v>
      </c>
      <c r="AF1598" s="53" t="str">
        <f>_xlfn.XLOOKUP(Master[[#This Row],[cu_id]],'[1]Customer Revenue'!$Q:$Q,'[1]Customer Revenue'!$L:$L, "None")</f>
        <v>None</v>
      </c>
      <c r="AG1598" s="53">
        <v>13.142646482461297</v>
      </c>
      <c r="AH1598" s="53">
        <v>39.355924946110136</v>
      </c>
      <c r="AI1598" s="53">
        <v>17.423999999999999</v>
      </c>
      <c r="AJ1598" s="53">
        <v>15</v>
      </c>
      <c r="AK1598" s="53" t="str">
        <f>_xlfn.XLOOKUP(Master[[#This Row],[cu_id]],'[1]Customer Revenue'!$Q:$Q,'[1]Customer Revenue'!$I:$I, "None")</f>
        <v>None</v>
      </c>
      <c r="AL1598" s="53">
        <v>26.249285714285715</v>
      </c>
      <c r="AM1598" s="43" t="s">
        <v>36</v>
      </c>
      <c r="AN1598" s="42" t="s">
        <v>36</v>
      </c>
      <c r="AO1598" s="42" t="s">
        <v>36</v>
      </c>
      <c r="AP1598" s="42" t="s">
        <v>36</v>
      </c>
      <c r="AQ1598" s="41" t="s">
        <v>0</v>
      </c>
      <c r="AR1598" s="41"/>
      <c r="AS1598" s="41"/>
      <c r="AT1598" s="52">
        <v>0</v>
      </c>
      <c r="AU1598" s="52">
        <f>IF(Master[[#This Row],[RSP StopTime override]] &lt;&gt; "",Master[[#This Row],[RSP StopTime override]],IF(Master[[#This Row],[Avg stop time helper]] &lt;&gt; 0, Master[[#This Row],[Avg stop time helper]],Average_Stop_Time))</f>
        <v>0</v>
      </c>
      <c r="AV1598" s="21">
        <v>0</v>
      </c>
      <c r="AW1598" s="20">
        <f>Master[[#This Row],[RSP StopTime override]]-Master[[#This Row],[Avg stop time helper]]</f>
        <v>0</v>
      </c>
    </row>
    <row r="1599" spans="1:49" x14ac:dyDescent="0.3">
      <c r="A1599" s="57" t="s">
        <v>4026</v>
      </c>
      <c r="B1599" s="47">
        <v>6</v>
      </c>
      <c r="C1599" s="47" t="s">
        <v>35</v>
      </c>
      <c r="D1599" s="48">
        <v>99161</v>
      </c>
      <c r="E1599" s="48" t="s">
        <v>3148</v>
      </c>
      <c r="F1599" s="48" t="s">
        <v>3768</v>
      </c>
      <c r="G1599" s="48" t="s">
        <v>3429</v>
      </c>
      <c r="H1599" s="48" t="s">
        <v>7</v>
      </c>
      <c r="I1599" s="48" t="s">
        <v>2394</v>
      </c>
      <c r="J1599" s="48" t="s">
        <v>5</v>
      </c>
      <c r="K1599" s="48" t="s">
        <v>2393</v>
      </c>
      <c r="L1599" s="47" t="s">
        <v>67</v>
      </c>
      <c r="M1599" s="65" t="s">
        <v>3</v>
      </c>
      <c r="N1599" s="48" t="s">
        <v>2</v>
      </c>
      <c r="O1599" s="48">
        <v>1</v>
      </c>
      <c r="P1599" s="48">
        <v>0</v>
      </c>
      <c r="Q1599" s="48">
        <v>1</v>
      </c>
      <c r="R1599" s="48">
        <v>0</v>
      </c>
      <c r="S1599" s="48">
        <v>0</v>
      </c>
      <c r="T1599" s="48">
        <v>0</v>
      </c>
      <c r="U1599" s="48"/>
      <c r="V1599" s="48"/>
      <c r="W1599" s="48"/>
      <c r="X1599" s="56">
        <f>IFERROR(1 -(Master[[#This Row],[Avg Garment Scans per Delivery]]/Master[[#This Row],[Garment Inventory]]), 0)</f>
        <v>0</v>
      </c>
      <c r="Y1599" s="48"/>
      <c r="Z1599" s="48"/>
      <c r="AA1599" s="53"/>
      <c r="AB1599" s="53"/>
      <c r="AC1599" s="53"/>
      <c r="AD1599" s="53"/>
      <c r="AE1599" s="53" t="str">
        <f>_xlfn.XLOOKUP(Master[[#This Row],[cu_id]],'[1]Customer Revenue'!$Q:$Q,'[1]Customer Revenue'!$K:$K, "0")</f>
        <v>0</v>
      </c>
      <c r="AF1599" s="53" t="str">
        <f>_xlfn.XLOOKUP(Master[[#This Row],[cu_id]],'[1]Customer Revenue'!$Q:$Q,'[1]Customer Revenue'!$L:$L, "0")</f>
        <v>0</v>
      </c>
      <c r="AG1599" s="53"/>
      <c r="AH1599" s="53"/>
      <c r="AI1599" s="53"/>
      <c r="AJ1599" s="53"/>
      <c r="AK1599" s="53" t="str">
        <f>_xlfn.XLOOKUP(Master[[#This Row],[cu_id]],'[1]Customer Revenue'!$Q:$Q,'[1]Customer Revenue'!$I:$I, "0")</f>
        <v>0</v>
      </c>
      <c r="AL1599" s="53"/>
      <c r="AM1599" s="43">
        <v>0.25</v>
      </c>
      <c r="AN1599" s="42">
        <v>0.5</v>
      </c>
      <c r="AO1599" s="55" t="s">
        <v>36</v>
      </c>
      <c r="AP1599" s="55" t="s">
        <v>36</v>
      </c>
      <c r="AQ1599" s="47" t="s">
        <v>0</v>
      </c>
      <c r="AR1599" s="47"/>
      <c r="AS1599" s="48"/>
      <c r="AT1599" s="52">
        <v>0</v>
      </c>
      <c r="AU1599" s="52" t="e">
        <f>IF(Master[[#This Row],[RSP StopTime override]] &lt;&gt; "",Master[[#This Row],[RSP StopTime override]],IF(Master[[#This Row],[Avg stop time helper]] &lt;&gt; 0, Master[[#This Row],[Avg stop time helper]],Average_Stop_Time))</f>
        <v>#DIV/0!</v>
      </c>
      <c r="AV1599" s="21"/>
      <c r="AW1599" s="20">
        <f>Master[[#This Row],[RSP StopTime override]]-Master[[#This Row],[Avg stop time helper]]</f>
        <v>0</v>
      </c>
    </row>
    <row r="1600" spans="1:49" x14ac:dyDescent="0.3">
      <c r="A1600" s="49" t="s">
        <v>5595</v>
      </c>
      <c r="B1600" s="41">
        <v>8060</v>
      </c>
      <c r="C1600" s="41" t="s">
        <v>35</v>
      </c>
      <c r="D1600" s="48">
        <v>879223</v>
      </c>
      <c r="E1600" s="48" t="s">
        <v>42</v>
      </c>
      <c r="F1600" s="48" t="s">
        <v>143</v>
      </c>
      <c r="G1600" s="48" t="s">
        <v>142</v>
      </c>
      <c r="H1600" s="48" t="s">
        <v>7</v>
      </c>
      <c r="I1600" s="48" t="s">
        <v>6</v>
      </c>
      <c r="J1600" s="48" t="s">
        <v>5</v>
      </c>
      <c r="K1600" s="48" t="s">
        <v>115</v>
      </c>
      <c r="L1600" s="47" t="s">
        <v>141</v>
      </c>
      <c r="M1600" s="41" t="s">
        <v>140</v>
      </c>
      <c r="N1600" s="41" t="s">
        <v>2</v>
      </c>
      <c r="O1600" s="41">
        <v>90</v>
      </c>
      <c r="P1600" s="41">
        <v>0</v>
      </c>
      <c r="Q1600" s="41">
        <v>90</v>
      </c>
      <c r="R1600" s="41">
        <v>0</v>
      </c>
      <c r="S1600" s="41">
        <v>0</v>
      </c>
      <c r="T1600" s="41">
        <v>0</v>
      </c>
      <c r="U1600" s="41">
        <v>10</v>
      </c>
      <c r="V1600" s="45"/>
      <c r="W1600" s="45"/>
      <c r="X1600" s="46">
        <f>IFERROR(1 -(Master[[#This Row],[Avg Garment Scans per Delivery]]/Master[[#This Row],[Garment Inventory]]), 0)</f>
        <v>0</v>
      </c>
      <c r="Y1600" s="45"/>
      <c r="Z1600" s="45"/>
      <c r="AA1600" s="53">
        <v>10.1875</v>
      </c>
      <c r="AB1600" s="53">
        <v>22.412500000000001</v>
      </c>
      <c r="AC1600" s="53">
        <v>9.3833333333333329</v>
      </c>
      <c r="AD1600" s="53">
        <v>24.396666666666668</v>
      </c>
      <c r="AE1600" s="53" t="str">
        <f>_xlfn.XLOOKUP(Master[[#This Row],[cu_id]],'[1]Customer Revenue'!$Q:$Q,'[1]Customer Revenue'!$K:$K, "None")</f>
        <v>None</v>
      </c>
      <c r="AF1600" s="53" t="str">
        <f>_xlfn.XLOOKUP(Master[[#This Row],[cu_id]],'[1]Customer Revenue'!$Q:$Q,'[1]Customer Revenue'!$L:$L, "None")</f>
        <v>None</v>
      </c>
      <c r="AG1600" s="53">
        <v>10.665432098765432</v>
      </c>
      <c r="AH1600" s="53">
        <v>21.934567901234569</v>
      </c>
      <c r="AI1600" s="53">
        <v>16.3</v>
      </c>
      <c r="AJ1600" s="53">
        <v>16.89</v>
      </c>
      <c r="AK1600" s="53" t="str">
        <f>_xlfn.XLOOKUP(Master[[#This Row],[cu_id]],'[1]Customer Revenue'!$Q:$Q,'[1]Customer Revenue'!$I:$I, "None")</f>
        <v>None</v>
      </c>
      <c r="AL1600" s="53">
        <v>16.3</v>
      </c>
      <c r="AM1600" s="43">
        <v>0.41666666666666669</v>
      </c>
      <c r="AN1600" s="42">
        <v>0.66666666666666663</v>
      </c>
      <c r="AO1600" s="42" t="s">
        <v>36</v>
      </c>
      <c r="AP1600" s="42" t="s">
        <v>36</v>
      </c>
      <c r="AQ1600" s="41" t="s">
        <v>0</v>
      </c>
      <c r="AR1600" s="41"/>
      <c r="AS1600" s="41"/>
      <c r="AT1600" s="22">
        <v>0</v>
      </c>
      <c r="AU1600" s="22">
        <f>IF(Master[[#This Row],[RSP StopTime override]] &lt;&gt; "",Master[[#This Row],[RSP StopTime override]],IF(Master[[#This Row],[Avg stop time helper]] &lt;&gt; 0, Master[[#This Row],[Avg stop time helper]],Average_Stop_Time))</f>
        <v>15</v>
      </c>
      <c r="AV1600" s="54">
        <v>15</v>
      </c>
      <c r="AW1600" s="20">
        <f>Master[[#This Row],[RSP StopTime override]]-Master[[#This Row],[Avg stop time helper]]</f>
        <v>15</v>
      </c>
    </row>
    <row r="1601" spans="1:49" x14ac:dyDescent="0.3">
      <c r="A1601" s="49" t="s">
        <v>5596</v>
      </c>
      <c r="B1601" s="41">
        <v>8060</v>
      </c>
      <c r="C1601" s="41" t="s">
        <v>35</v>
      </c>
      <c r="D1601" s="48">
        <v>882664</v>
      </c>
      <c r="E1601" s="48" t="s">
        <v>139</v>
      </c>
      <c r="F1601" s="48" t="s">
        <v>138</v>
      </c>
      <c r="G1601" s="48" t="s">
        <v>137</v>
      </c>
      <c r="H1601" s="48" t="s">
        <v>7</v>
      </c>
      <c r="I1601" s="48" t="s">
        <v>6</v>
      </c>
      <c r="J1601" s="48" t="s">
        <v>5</v>
      </c>
      <c r="K1601" s="48" t="s">
        <v>136</v>
      </c>
      <c r="L1601" s="47" t="s">
        <v>67</v>
      </c>
      <c r="M1601" s="41" t="s">
        <v>3</v>
      </c>
      <c r="N1601" s="41" t="s">
        <v>2</v>
      </c>
      <c r="O1601" s="41">
        <v>15</v>
      </c>
      <c r="P1601" s="41">
        <v>0</v>
      </c>
      <c r="Q1601" s="41">
        <v>15</v>
      </c>
      <c r="R1601" s="41">
        <v>0</v>
      </c>
      <c r="S1601" s="41">
        <v>0</v>
      </c>
      <c r="T1601" s="41">
        <v>0</v>
      </c>
      <c r="U1601" s="41">
        <v>41</v>
      </c>
      <c r="V1601" s="45"/>
      <c r="W1601" s="45"/>
      <c r="X1601" s="46">
        <f>IFERROR(1 -(Master[[#This Row],[Avg Garment Scans per Delivery]]/Master[[#This Row],[Garment Inventory]]), 0)</f>
        <v>0</v>
      </c>
      <c r="Y1601" s="45"/>
      <c r="Z1601" s="45"/>
      <c r="AA1601" s="53">
        <v>38.358224852070997</v>
      </c>
      <c r="AB1601" s="53">
        <v>44.352544378698219</v>
      </c>
      <c r="AC1601" s="53">
        <v>30.221893491124256</v>
      </c>
      <c r="AD1601" s="53">
        <v>38.528875739644967</v>
      </c>
      <c r="AE1601" s="53" t="str">
        <f>_xlfn.XLOOKUP(Master[[#This Row],[cu_id]],'[1]Customer Revenue'!$Q:$Q,'[1]Customer Revenue'!$K:$K, "None")</f>
        <v>None</v>
      </c>
      <c r="AF1601" s="53" t="str">
        <f>_xlfn.XLOOKUP(Master[[#This Row],[cu_id]],'[1]Customer Revenue'!$Q:$Q,'[1]Customer Revenue'!$L:$L, "None")</f>
        <v>None</v>
      </c>
      <c r="AG1601" s="53">
        <v>38.726153846153835</v>
      </c>
      <c r="AH1601" s="53">
        <v>48.806923076923056</v>
      </c>
      <c r="AI1601" s="53">
        <v>41.355384615384608</v>
      </c>
      <c r="AJ1601" s="53">
        <v>34.375384615384611</v>
      </c>
      <c r="AK1601" s="53" t="str">
        <f>_xlfn.XLOOKUP(Master[[#This Row],[cu_id]],'[1]Customer Revenue'!$Q:$Q,'[1]Customer Revenue'!$I:$I, "None")</f>
        <v>None</v>
      </c>
      <c r="AL1601" s="53">
        <v>43.766538461538445</v>
      </c>
      <c r="AM1601" s="43">
        <v>0.375</v>
      </c>
      <c r="AN1601" s="42">
        <v>0.54166666666666663</v>
      </c>
      <c r="AO1601" s="42" t="s">
        <v>36</v>
      </c>
      <c r="AP1601" s="42" t="s">
        <v>36</v>
      </c>
      <c r="AQ1601" s="41" t="s">
        <v>0</v>
      </c>
      <c r="AR1601" s="41"/>
      <c r="AS1601" s="41"/>
      <c r="AT1601" s="22">
        <v>0</v>
      </c>
      <c r="AU1601" s="22">
        <f>IF(Master[[#This Row],[RSP StopTime override]] &lt;&gt; "",Master[[#This Row],[RSP StopTime override]],IF(Master[[#This Row],[Avg stop time helper]] &lt;&gt; 0, Master[[#This Row],[Avg stop time helper]],Average_Stop_Time))</f>
        <v>15</v>
      </c>
      <c r="AV1601" s="54">
        <v>15</v>
      </c>
      <c r="AW1601" s="20">
        <f>Master[[#This Row],[RSP StopTime override]]-Master[[#This Row],[Avg stop time helper]]</f>
        <v>15</v>
      </c>
    </row>
    <row r="1602" spans="1:49" x14ac:dyDescent="0.3">
      <c r="A1602" s="49" t="s">
        <v>5597</v>
      </c>
      <c r="B1602" s="41">
        <v>8010</v>
      </c>
      <c r="C1602" s="41" t="s">
        <v>35</v>
      </c>
      <c r="D1602" s="48">
        <v>804700</v>
      </c>
      <c r="E1602" s="48" t="s">
        <v>42</v>
      </c>
      <c r="F1602" s="48" t="s">
        <v>135</v>
      </c>
      <c r="G1602" s="48" t="s">
        <v>134</v>
      </c>
      <c r="H1602" s="48" t="s">
        <v>7</v>
      </c>
      <c r="I1602" s="48" t="s">
        <v>6</v>
      </c>
      <c r="J1602" s="48" t="s">
        <v>5</v>
      </c>
      <c r="K1602" s="48" t="s">
        <v>68</v>
      </c>
      <c r="L1602" s="47" t="s">
        <v>91</v>
      </c>
      <c r="M1602" s="41" t="s">
        <v>90</v>
      </c>
      <c r="N1602" s="41" t="s">
        <v>2</v>
      </c>
      <c r="O1602" s="41">
        <v>5</v>
      </c>
      <c r="P1602" s="41">
        <v>0</v>
      </c>
      <c r="Q1602" s="41">
        <v>0</v>
      </c>
      <c r="R1602" s="41">
        <v>5</v>
      </c>
      <c r="S1602" s="41">
        <v>0</v>
      </c>
      <c r="T1602" s="41">
        <v>0</v>
      </c>
      <c r="U1602" s="41">
        <v>15</v>
      </c>
      <c r="V1602" s="45"/>
      <c r="W1602" s="45"/>
      <c r="X1602" s="46">
        <f>IFERROR(1 -(Master[[#This Row],[Avg Garment Scans per Delivery]]/Master[[#This Row],[Garment Inventory]]), 0)</f>
        <v>0</v>
      </c>
      <c r="Y1602" s="45"/>
      <c r="Z1602" s="45"/>
      <c r="AA1602" s="53">
        <v>208.25156249999998</v>
      </c>
      <c r="AB1602" s="53">
        <v>782.42343749999998</v>
      </c>
      <c r="AC1602" s="53">
        <v>546.61830357142856</v>
      </c>
      <c r="AD1602" s="53">
        <v>852.7245535714286</v>
      </c>
      <c r="AE1602" s="53" t="str">
        <f>_xlfn.XLOOKUP(Master[[#This Row],[cu_id]],'[1]Customer Revenue'!$Q:$Q,'[1]Customer Revenue'!$K:$K, "None")</f>
        <v>None</v>
      </c>
      <c r="AF1602" s="53" t="str">
        <f>_xlfn.XLOOKUP(Master[[#This Row],[cu_id]],'[1]Customer Revenue'!$Q:$Q,'[1]Customer Revenue'!$L:$L, "None")</f>
        <v>None</v>
      </c>
      <c r="AG1602" s="53">
        <v>186.02040000000005</v>
      </c>
      <c r="AH1602" s="53">
        <v>679.75960000000009</v>
      </c>
      <c r="AI1602" s="53">
        <v>495.33749999999998</v>
      </c>
      <c r="AJ1602" s="53">
        <v>699.67142857142858</v>
      </c>
      <c r="AK1602" s="53" t="str">
        <f>_xlfn.XLOOKUP(Master[[#This Row],[cu_id]],'[1]Customer Revenue'!$Q:$Q,'[1]Customer Revenue'!$I:$I, "None")</f>
        <v>None</v>
      </c>
      <c r="AL1602" s="53">
        <v>432.89000000000004</v>
      </c>
      <c r="AM1602" s="43">
        <v>0.20833333333333334</v>
      </c>
      <c r="AN1602" s="42">
        <v>0.70833333333333337</v>
      </c>
      <c r="AO1602" s="42" t="s">
        <v>36</v>
      </c>
      <c r="AP1602" s="42" t="s">
        <v>36</v>
      </c>
      <c r="AQ1602" s="41" t="s">
        <v>133</v>
      </c>
      <c r="AR1602" s="41"/>
      <c r="AS1602" s="41"/>
      <c r="AT1602" s="52">
        <v>0</v>
      </c>
      <c r="AU1602" s="52">
        <f>IF(Master[[#This Row],[RSP StopTime override]] &lt;&gt; "",Master[[#This Row],[RSP StopTime override]],IF(Master[[#This Row],[Avg stop time helper]] &lt;&gt; 0, Master[[#This Row],[Avg stop time helper]],Average_Stop_Time))</f>
        <v>90</v>
      </c>
      <c r="AV1602" s="21">
        <v>90</v>
      </c>
      <c r="AW1602" s="20">
        <f>Master[[#This Row],[RSP StopTime override]]-Master[[#This Row],[Avg stop time helper]]</f>
        <v>90</v>
      </c>
    </row>
    <row r="1603" spans="1:49" x14ac:dyDescent="0.3">
      <c r="A1603" s="57" t="s">
        <v>5598</v>
      </c>
      <c r="B1603" s="47">
        <v>8060</v>
      </c>
      <c r="C1603" s="47" t="s">
        <v>43</v>
      </c>
      <c r="D1603" s="48">
        <v>533613</v>
      </c>
      <c r="E1603" s="48" t="s">
        <v>42</v>
      </c>
      <c r="F1603" s="48" t="s">
        <v>132</v>
      </c>
      <c r="G1603" s="48" t="s">
        <v>131</v>
      </c>
      <c r="H1603" s="48" t="s">
        <v>7</v>
      </c>
      <c r="I1603" s="48" t="s">
        <v>130</v>
      </c>
      <c r="J1603" s="48" t="s">
        <v>5</v>
      </c>
      <c r="K1603" s="48" t="s">
        <v>129</v>
      </c>
      <c r="L1603" s="47" t="s">
        <v>91</v>
      </c>
      <c r="M1603" s="48" t="s">
        <v>90</v>
      </c>
      <c r="N1603" s="48" t="s">
        <v>2</v>
      </c>
      <c r="O1603" s="48">
        <v>1</v>
      </c>
      <c r="P1603" s="48">
        <v>0</v>
      </c>
      <c r="Q1603" s="48">
        <v>0</v>
      </c>
      <c r="R1603" s="48">
        <v>0</v>
      </c>
      <c r="S1603" s="48">
        <v>1</v>
      </c>
      <c r="T1603" s="48">
        <v>0</v>
      </c>
      <c r="U1603" s="48">
        <v>6</v>
      </c>
      <c r="V1603" s="48">
        <v>20</v>
      </c>
      <c r="W1603" s="48"/>
      <c r="X1603" s="56">
        <f>IFERROR(1 -(Master[[#This Row],[Avg Garment Scans per Delivery]]/Master[[#This Row],[Garment Inventory]]), 0)</f>
        <v>1</v>
      </c>
      <c r="Y1603" s="48"/>
      <c r="Z1603" s="48"/>
      <c r="AA1603" s="53">
        <v>28</v>
      </c>
      <c r="AB1603" s="53">
        <v>140</v>
      </c>
      <c r="AC1603" s="53">
        <v>28</v>
      </c>
      <c r="AD1603" s="53">
        <v>140</v>
      </c>
      <c r="AE1603" s="53" t="str">
        <f>_xlfn.XLOOKUP(Master[[#This Row],[cu_id]],'[1]Customer Revenue'!$Q:$Q,'[1]Customer Revenue'!$K:$K, "None")</f>
        <v>None</v>
      </c>
      <c r="AF1603" s="53" t="str">
        <f>_xlfn.XLOOKUP(Master[[#This Row],[cu_id]],'[1]Customer Revenue'!$Q:$Q,'[1]Customer Revenue'!$L:$L, "None")</f>
        <v>None</v>
      </c>
      <c r="AG1603" s="53">
        <v>28</v>
      </c>
      <c r="AH1603" s="53">
        <v>140</v>
      </c>
      <c r="AI1603" s="53">
        <v>80</v>
      </c>
      <c r="AJ1603" s="53">
        <v>80</v>
      </c>
      <c r="AK1603" s="53" t="str">
        <f>_xlfn.XLOOKUP(Master[[#This Row],[cu_id]],'[1]Customer Revenue'!$Q:$Q,'[1]Customer Revenue'!$I:$I, "None")</f>
        <v>None</v>
      </c>
      <c r="AL1603" s="53">
        <v>80</v>
      </c>
      <c r="AM1603" s="55" t="s">
        <v>1</v>
      </c>
      <c r="AN1603" s="55" t="s">
        <v>1</v>
      </c>
      <c r="AO1603" s="55" t="s">
        <v>36</v>
      </c>
      <c r="AP1603" s="55" t="s">
        <v>36</v>
      </c>
      <c r="AQ1603" s="47" t="s">
        <v>0</v>
      </c>
      <c r="AR1603" s="47"/>
      <c r="AS1603" s="48"/>
      <c r="AT1603" s="52">
        <v>0</v>
      </c>
      <c r="AU1603" s="52">
        <f>IF(Master[[#This Row],[RSP StopTime override]] &lt;&gt; "",Master[[#This Row],[RSP StopTime override]],IF(Master[[#This Row],[Avg stop time helper]] &lt;&gt; 0, Master[[#This Row],[Avg stop time helper]],Average_Stop_Time))</f>
        <v>15</v>
      </c>
      <c r="AV1603" s="21">
        <v>15</v>
      </c>
      <c r="AW1603" s="20">
        <f>Master[[#This Row],[RSP StopTime override]]-Master[[#This Row],[Avg stop time helper]]</f>
        <v>15</v>
      </c>
    </row>
    <row r="1604" spans="1:49" x14ac:dyDescent="0.3">
      <c r="A1604" s="49" t="s">
        <v>5599</v>
      </c>
      <c r="B1604" s="41">
        <v>8060</v>
      </c>
      <c r="C1604" s="41" t="s">
        <v>43</v>
      </c>
      <c r="D1604" s="48">
        <v>804505</v>
      </c>
      <c r="E1604" s="48" t="s">
        <v>42</v>
      </c>
      <c r="F1604" s="48" t="s">
        <v>128</v>
      </c>
      <c r="G1604" s="48" t="s">
        <v>127</v>
      </c>
      <c r="H1604" s="48" t="s">
        <v>7</v>
      </c>
      <c r="I1604" s="48" t="s">
        <v>126</v>
      </c>
      <c r="J1604" s="48" t="s">
        <v>5</v>
      </c>
      <c r="K1604" s="48" t="s">
        <v>125</v>
      </c>
      <c r="L1604" s="47" t="s">
        <v>124</v>
      </c>
      <c r="M1604" s="41" t="s">
        <v>123</v>
      </c>
      <c r="N1604" s="41" t="s">
        <v>2</v>
      </c>
      <c r="O1604" s="41">
        <v>110</v>
      </c>
      <c r="P1604" s="41">
        <v>0</v>
      </c>
      <c r="Q1604" s="41">
        <v>0</v>
      </c>
      <c r="R1604" s="41">
        <v>0</v>
      </c>
      <c r="S1604" s="41">
        <v>110</v>
      </c>
      <c r="T1604" s="41">
        <v>0</v>
      </c>
      <c r="U1604" s="41">
        <v>10</v>
      </c>
      <c r="V1604" s="45"/>
      <c r="W1604" s="45"/>
      <c r="X1604" s="46">
        <f>IFERROR(1 -(Master[[#This Row],[Avg Garment Scans per Delivery]]/Master[[#This Row],[Garment Inventory]]), 0)</f>
        <v>0</v>
      </c>
      <c r="Y1604" s="45"/>
      <c r="Z1604" s="45"/>
      <c r="AA1604" s="53">
        <v>34.78</v>
      </c>
      <c r="AB1604" s="53">
        <v>34.78</v>
      </c>
      <c r="AC1604" s="53">
        <v>32.884444444444448</v>
      </c>
      <c r="AD1604" s="53">
        <v>52.768888888888902</v>
      </c>
      <c r="AE1604" s="53" t="str">
        <f>_xlfn.XLOOKUP(Master[[#This Row],[cu_id]],'[1]Customer Revenue'!$Q:$Q,'[1]Customer Revenue'!$K:$K, "None")</f>
        <v>None</v>
      </c>
      <c r="AF1604" s="53" t="str">
        <f>_xlfn.XLOOKUP(Master[[#This Row],[cu_id]],'[1]Customer Revenue'!$Q:$Q,'[1]Customer Revenue'!$L:$L, "None")</f>
        <v>None</v>
      </c>
      <c r="AG1604" s="53">
        <v>34.78</v>
      </c>
      <c r="AH1604" s="53">
        <v>34.78</v>
      </c>
      <c r="AI1604" s="53">
        <v>34.78</v>
      </c>
      <c r="AJ1604" s="53">
        <v>42.826666666666675</v>
      </c>
      <c r="AK1604" s="53" t="str">
        <f>_xlfn.XLOOKUP(Master[[#This Row],[cu_id]],'[1]Customer Revenue'!$Q:$Q,'[1]Customer Revenue'!$I:$I, "None")</f>
        <v>None</v>
      </c>
      <c r="AL1604" s="53">
        <v>34.78</v>
      </c>
      <c r="AM1604" s="43">
        <v>0.33333333333333331</v>
      </c>
      <c r="AN1604" s="42">
        <v>0.66666666666666663</v>
      </c>
      <c r="AO1604" s="42" t="s">
        <v>36</v>
      </c>
      <c r="AP1604" s="42" t="s">
        <v>36</v>
      </c>
      <c r="AQ1604" s="41" t="s">
        <v>0</v>
      </c>
      <c r="AR1604" s="41"/>
      <c r="AS1604" s="41"/>
      <c r="AT1604" s="52">
        <v>0</v>
      </c>
      <c r="AU1604" s="52">
        <f>IF(Master[[#This Row],[RSP StopTime override]] &lt;&gt; "",Master[[#This Row],[RSP StopTime override]],IF(Master[[#This Row],[Avg stop time helper]] &lt;&gt; 0, Master[[#This Row],[Avg stop time helper]],Average_Stop_Time))</f>
        <v>5</v>
      </c>
      <c r="AV1604" s="21">
        <v>5</v>
      </c>
      <c r="AW1604" s="20">
        <f>Master[[#This Row],[RSP StopTime override]]-Master[[#This Row],[Avg stop time helper]]</f>
        <v>5</v>
      </c>
    </row>
    <row r="1605" spans="1:49" x14ac:dyDescent="0.3">
      <c r="A1605" s="49" t="s">
        <v>5600</v>
      </c>
      <c r="B1605" s="41">
        <v>8060</v>
      </c>
      <c r="C1605" s="41" t="s">
        <v>43</v>
      </c>
      <c r="D1605" s="48">
        <v>804562</v>
      </c>
      <c r="E1605" s="48" t="s">
        <v>42</v>
      </c>
      <c r="F1605" s="48" t="s">
        <v>122</v>
      </c>
      <c r="G1605" s="48" t="s">
        <v>121</v>
      </c>
      <c r="H1605" s="48" t="s">
        <v>7</v>
      </c>
      <c r="I1605" s="48" t="s">
        <v>6</v>
      </c>
      <c r="J1605" s="48" t="s">
        <v>5</v>
      </c>
      <c r="K1605" s="48" t="s">
        <v>78</v>
      </c>
      <c r="L1605" s="47" t="s">
        <v>91</v>
      </c>
      <c r="M1605" s="41" t="s">
        <v>90</v>
      </c>
      <c r="N1605" s="41" t="s">
        <v>2</v>
      </c>
      <c r="O1605" s="41">
        <v>100</v>
      </c>
      <c r="P1605" s="41">
        <v>0</v>
      </c>
      <c r="Q1605" s="41">
        <v>0</v>
      </c>
      <c r="R1605" s="41">
        <v>0</v>
      </c>
      <c r="S1605" s="41">
        <v>100</v>
      </c>
      <c r="T1605" s="41">
        <v>0</v>
      </c>
      <c r="U1605" s="41">
        <v>20</v>
      </c>
      <c r="V1605" s="45"/>
      <c r="W1605" s="45"/>
      <c r="X1605" s="46">
        <f>IFERROR(1 -(Master[[#This Row],[Avg Garment Scans per Delivery]]/Master[[#This Row],[Garment Inventory]]), 0)</f>
        <v>0</v>
      </c>
      <c r="Y1605" s="45"/>
      <c r="Z1605" s="45"/>
      <c r="AA1605" s="53">
        <v>13.319999999999993</v>
      </c>
      <c r="AB1605" s="53">
        <v>13.32</v>
      </c>
      <c r="AC1605" s="53">
        <v>13.290000000000001</v>
      </c>
      <c r="AD1605" s="53">
        <v>13.530000000000003</v>
      </c>
      <c r="AE1605" s="53" t="str">
        <f>_xlfn.XLOOKUP(Master[[#This Row],[cu_id]],'[1]Customer Revenue'!$Q:$Q,'[1]Customer Revenue'!$K:$K, "None")</f>
        <v>None</v>
      </c>
      <c r="AF1605" s="53" t="str">
        <f>_xlfn.XLOOKUP(Master[[#This Row],[cu_id]],'[1]Customer Revenue'!$Q:$Q,'[1]Customer Revenue'!$L:$L, "None")</f>
        <v>None</v>
      </c>
      <c r="AG1605" s="53">
        <v>12.954693877551012</v>
      </c>
      <c r="AH1605" s="53">
        <v>13.429591836734694</v>
      </c>
      <c r="AI1605" s="53">
        <v>13.319999999999997</v>
      </c>
      <c r="AJ1605" s="53">
        <v>13.410000000000002</v>
      </c>
      <c r="AK1605" s="53" t="str">
        <f>_xlfn.XLOOKUP(Master[[#This Row],[cu_id]],'[1]Customer Revenue'!$Q:$Q,'[1]Customer Revenue'!$I:$I, "None")</f>
        <v>None</v>
      </c>
      <c r="AL1605" s="53">
        <v>13.192142857142853</v>
      </c>
      <c r="AM1605" s="43">
        <v>0.33333333333333331</v>
      </c>
      <c r="AN1605" s="42">
        <v>0.66666666666666663</v>
      </c>
      <c r="AO1605" s="42" t="s">
        <v>36</v>
      </c>
      <c r="AP1605" s="42" t="s">
        <v>36</v>
      </c>
      <c r="AQ1605" s="41" t="s">
        <v>0</v>
      </c>
      <c r="AR1605" s="41"/>
      <c r="AS1605" s="41"/>
      <c r="AT1605" s="22">
        <v>0</v>
      </c>
      <c r="AU1605" s="22">
        <f>IF(Master[[#This Row],[RSP StopTime override]] &lt;&gt; "",Master[[#This Row],[RSP StopTime override]],IF(Master[[#This Row],[Avg stop time helper]] &lt;&gt; 0, Master[[#This Row],[Avg stop time helper]],Average_Stop_Time))</f>
        <v>10</v>
      </c>
      <c r="AV1605" s="54">
        <v>10</v>
      </c>
      <c r="AW1605" s="20">
        <f>Master[[#This Row],[RSP StopTime override]]-Master[[#This Row],[Avg stop time helper]]</f>
        <v>10</v>
      </c>
    </row>
    <row r="1606" spans="1:49" s="50" customFormat="1" x14ac:dyDescent="0.3">
      <c r="A1606" s="49" t="s">
        <v>5601</v>
      </c>
      <c r="B1606" s="41">
        <v>8060</v>
      </c>
      <c r="C1606" s="41" t="s">
        <v>43</v>
      </c>
      <c r="D1606" s="48">
        <v>804596</v>
      </c>
      <c r="E1606" s="48" t="s">
        <v>42</v>
      </c>
      <c r="F1606" s="48" t="s">
        <v>120</v>
      </c>
      <c r="G1606" s="48" t="s">
        <v>119</v>
      </c>
      <c r="H1606" s="48" t="s">
        <v>7</v>
      </c>
      <c r="I1606" s="48" t="s">
        <v>6</v>
      </c>
      <c r="J1606" s="48" t="s">
        <v>5</v>
      </c>
      <c r="K1606" s="48" t="s">
        <v>78</v>
      </c>
      <c r="L1606" s="47" t="s">
        <v>77</v>
      </c>
      <c r="M1606" s="41" t="s">
        <v>29</v>
      </c>
      <c r="N1606" s="41" t="s">
        <v>2</v>
      </c>
      <c r="O1606" s="41">
        <v>80</v>
      </c>
      <c r="P1606" s="41">
        <v>0</v>
      </c>
      <c r="Q1606" s="41">
        <v>0</v>
      </c>
      <c r="R1606" s="41">
        <v>0</v>
      </c>
      <c r="S1606" s="41">
        <v>80</v>
      </c>
      <c r="T1606" s="41">
        <v>0</v>
      </c>
      <c r="U1606" s="41">
        <v>20</v>
      </c>
      <c r="V1606" s="45"/>
      <c r="W1606" s="45"/>
      <c r="X1606" s="46">
        <f>IFERROR(1 -(Master[[#This Row],[Avg Garment Scans per Delivery]]/Master[[#This Row],[Garment Inventory]]), 0)</f>
        <v>0</v>
      </c>
      <c r="Y1606" s="45"/>
      <c r="Z1606" s="45"/>
      <c r="AA1606" s="53">
        <v>28.97428571428571</v>
      </c>
      <c r="AB1606" s="53">
        <v>30.545714285714286</v>
      </c>
      <c r="AC1606" s="53">
        <v>29.724444444444444</v>
      </c>
      <c r="AD1606" s="53">
        <v>30.68888888888889</v>
      </c>
      <c r="AE1606" s="53" t="str">
        <f>_xlfn.XLOOKUP(Master[[#This Row],[cu_id]],'[1]Customer Revenue'!$Q:$Q,'[1]Customer Revenue'!$K:$K, "None")</f>
        <v>None</v>
      </c>
      <c r="AF1606" s="53" t="str">
        <f>_xlfn.XLOOKUP(Master[[#This Row],[cu_id]],'[1]Customer Revenue'!$Q:$Q,'[1]Customer Revenue'!$L:$L, "None")</f>
        <v>None</v>
      </c>
      <c r="AG1606" s="53">
        <v>28.325621301775147</v>
      </c>
      <c r="AH1606" s="53">
        <v>31.645147928994081</v>
      </c>
      <c r="AI1606" s="53">
        <v>29.759999999999998</v>
      </c>
      <c r="AJ1606" s="53">
        <v>30.206666666666667</v>
      </c>
      <c r="AK1606" s="53" t="str">
        <f>_xlfn.XLOOKUP(Master[[#This Row],[cu_id]],'[1]Customer Revenue'!$Q:$Q,'[1]Customer Revenue'!$I:$I, "None")</f>
        <v>None</v>
      </c>
      <c r="AL1606" s="53">
        <v>29.985384615384614</v>
      </c>
      <c r="AM1606" s="43">
        <v>0.54166666666666663</v>
      </c>
      <c r="AN1606" s="42">
        <v>0.95833333333333337</v>
      </c>
      <c r="AO1606" s="42" t="s">
        <v>36</v>
      </c>
      <c r="AP1606" s="42" t="s">
        <v>36</v>
      </c>
      <c r="AQ1606" s="41" t="s">
        <v>116</v>
      </c>
      <c r="AR1606" s="41"/>
      <c r="AS1606" s="41"/>
      <c r="AT1606" s="52">
        <v>0</v>
      </c>
      <c r="AU1606" s="52">
        <f>IF(Master[[#This Row],[RSP StopTime override]] &lt;&gt; "",Master[[#This Row],[RSP StopTime override]],IF(Master[[#This Row],[Avg stop time helper]] &lt;&gt; 0, Master[[#This Row],[Avg stop time helper]],Average_Stop_Time))</f>
        <v>18</v>
      </c>
      <c r="AV1606" s="21">
        <v>18</v>
      </c>
      <c r="AW1606" s="51">
        <f>Master[[#This Row],[RSP StopTime override]]-Master[[#This Row],[Avg stop time helper]]</f>
        <v>18</v>
      </c>
    </row>
    <row r="1607" spans="1:49" s="50" customFormat="1" x14ac:dyDescent="0.3">
      <c r="A1607" s="49" t="s">
        <v>5602</v>
      </c>
      <c r="B1607" s="41">
        <v>8060</v>
      </c>
      <c r="C1607" s="41" t="s">
        <v>43</v>
      </c>
      <c r="D1607" s="48">
        <v>806300</v>
      </c>
      <c r="E1607" s="48" t="s">
        <v>42</v>
      </c>
      <c r="F1607" s="48" t="s">
        <v>118</v>
      </c>
      <c r="G1607" s="48" t="s">
        <v>117</v>
      </c>
      <c r="H1607" s="48" t="s">
        <v>7</v>
      </c>
      <c r="I1607" s="48" t="s">
        <v>79</v>
      </c>
      <c r="J1607" s="48" t="s">
        <v>5</v>
      </c>
      <c r="K1607" s="48" t="s">
        <v>78</v>
      </c>
      <c r="L1607" s="47" t="s">
        <v>77</v>
      </c>
      <c r="M1607" s="41" t="s">
        <v>29</v>
      </c>
      <c r="N1607" s="41" t="s">
        <v>2</v>
      </c>
      <c r="O1607" s="41">
        <v>90</v>
      </c>
      <c r="P1607" s="41">
        <v>0</v>
      </c>
      <c r="Q1607" s="41">
        <v>0</v>
      </c>
      <c r="R1607" s="41">
        <v>0</v>
      </c>
      <c r="S1607" s="41">
        <v>90</v>
      </c>
      <c r="T1607" s="41">
        <v>0</v>
      </c>
      <c r="U1607" s="41">
        <v>19</v>
      </c>
      <c r="V1607" s="45"/>
      <c r="W1607" s="45"/>
      <c r="X1607" s="46">
        <f>IFERROR(1 -(Master[[#This Row],[Avg Garment Scans per Delivery]]/Master[[#This Row],[Garment Inventory]]), 0)</f>
        <v>0</v>
      </c>
      <c r="Y1607" s="45"/>
      <c r="Z1607" s="45"/>
      <c r="AA1607" s="53">
        <v>33.603333333333332</v>
      </c>
      <c r="AB1607" s="53">
        <v>107.36333333333334</v>
      </c>
      <c r="AC1607" s="53">
        <v>10.134799999999991</v>
      </c>
      <c r="AD1607" s="53">
        <v>89.565200000000004</v>
      </c>
      <c r="AE1607" s="53" t="str">
        <f>_xlfn.XLOOKUP(Master[[#This Row],[cu_id]],'[1]Customer Revenue'!$Q:$Q,'[1]Customer Revenue'!$K:$K, "None")</f>
        <v>None</v>
      </c>
      <c r="AF1607" s="53" t="str">
        <f>_xlfn.XLOOKUP(Master[[#This Row],[cu_id]],'[1]Customer Revenue'!$Q:$Q,'[1]Customer Revenue'!$L:$L, "None")</f>
        <v>None</v>
      </c>
      <c r="AG1607" s="53">
        <v>29.92594181459565</v>
      </c>
      <c r="AH1607" s="53">
        <v>91.282391518737668</v>
      </c>
      <c r="AI1607" s="53">
        <v>70.483333333333334</v>
      </c>
      <c r="AJ1607" s="53">
        <v>49.849999999999994</v>
      </c>
      <c r="AK1607" s="53" t="str">
        <f>_xlfn.XLOOKUP(Master[[#This Row],[cu_id]],'[1]Customer Revenue'!$Q:$Q,'[1]Customer Revenue'!$I:$I, "None")</f>
        <v>None</v>
      </c>
      <c r="AL1607" s="53">
        <v>60.604166666666657</v>
      </c>
      <c r="AM1607" s="43">
        <v>0.58333333333333337</v>
      </c>
      <c r="AN1607" s="42">
        <v>0.95833333333333337</v>
      </c>
      <c r="AO1607" s="42" t="s">
        <v>36</v>
      </c>
      <c r="AP1607" s="42" t="s">
        <v>36</v>
      </c>
      <c r="AQ1607" s="41" t="s">
        <v>116</v>
      </c>
      <c r="AR1607" s="41"/>
      <c r="AS1607" s="41"/>
      <c r="AT1607" s="52">
        <v>0</v>
      </c>
      <c r="AU1607" s="52">
        <f>IF(Master[[#This Row],[RSP StopTime override]] &lt;&gt; "",Master[[#This Row],[RSP StopTime override]],IF(Master[[#This Row],[Avg stop time helper]] &lt;&gt; 0, Master[[#This Row],[Avg stop time helper]],Average_Stop_Time))</f>
        <v>15</v>
      </c>
      <c r="AV1607" s="21">
        <v>15</v>
      </c>
      <c r="AW1607" s="51">
        <f>Master[[#This Row],[RSP StopTime override]]-Master[[#This Row],[Avg stop time helper]]</f>
        <v>15</v>
      </c>
    </row>
    <row r="1608" spans="1:49" s="50" customFormat="1" x14ac:dyDescent="0.3">
      <c r="A1608" s="49" t="s">
        <v>5603</v>
      </c>
      <c r="B1608" s="41">
        <v>8060</v>
      </c>
      <c r="C1608" s="41" t="s">
        <v>35</v>
      </c>
      <c r="D1608" s="48">
        <v>856042</v>
      </c>
      <c r="E1608" s="48" t="s">
        <v>42</v>
      </c>
      <c r="F1608" s="48" t="s">
        <v>148</v>
      </c>
      <c r="G1608" s="48" t="s">
        <v>147</v>
      </c>
      <c r="H1608" s="48" t="s">
        <v>7</v>
      </c>
      <c r="I1608" s="48" t="s">
        <v>6</v>
      </c>
      <c r="J1608" s="48" t="s">
        <v>5</v>
      </c>
      <c r="K1608" s="48" t="s">
        <v>146</v>
      </c>
      <c r="L1608" s="47" t="s">
        <v>145</v>
      </c>
      <c r="M1608" s="41" t="s">
        <v>123</v>
      </c>
      <c r="N1608" s="41" t="s">
        <v>144</v>
      </c>
      <c r="O1608" s="41">
        <v>35</v>
      </c>
      <c r="P1608" s="41">
        <v>0</v>
      </c>
      <c r="Q1608" s="41">
        <v>35</v>
      </c>
      <c r="R1608" s="41">
        <v>0</v>
      </c>
      <c r="S1608" s="41">
        <v>0</v>
      </c>
      <c r="T1608" s="41">
        <v>0</v>
      </c>
      <c r="U1608" s="41">
        <v>1</v>
      </c>
      <c r="V1608" s="45"/>
      <c r="W1608" s="45"/>
      <c r="X1608" s="46">
        <f>IFERROR(1 -(Master[[#This Row],[Avg Garment Scans per Delivery]]/Master[[#This Row],[Garment Inventory]]), 0)</f>
        <v>0</v>
      </c>
      <c r="Y1608" s="45"/>
      <c r="Z1608" s="45"/>
      <c r="AA1608" s="53"/>
      <c r="AB1608" s="53"/>
      <c r="AC1608" s="53"/>
      <c r="AD1608" s="53"/>
      <c r="AE1608" s="53">
        <v>0</v>
      </c>
      <c r="AF1608" s="53">
        <v>0</v>
      </c>
      <c r="AG1608" s="53"/>
      <c r="AH1608" s="53"/>
      <c r="AI1608" s="53"/>
      <c r="AJ1608" s="53"/>
      <c r="AK1608" s="53">
        <v>0</v>
      </c>
      <c r="AL1608" s="53"/>
      <c r="AM1608" s="43">
        <v>0.41666666666666669</v>
      </c>
      <c r="AN1608" s="42">
        <v>0.70833333333333337</v>
      </c>
      <c r="AO1608" s="42" t="s">
        <v>36</v>
      </c>
      <c r="AP1608" s="42" t="s">
        <v>36</v>
      </c>
      <c r="AQ1608" s="41" t="s">
        <v>0</v>
      </c>
      <c r="AR1608" s="41"/>
      <c r="AS1608" s="41"/>
      <c r="AT1608" s="52">
        <v>0</v>
      </c>
      <c r="AU1608" s="52">
        <f>IF(Master[[#This Row],[RSP StopTime override]] &lt;&gt; "",Master[[#This Row],[RSP StopTime override]],IF(Master[[#This Row],[Avg stop time helper]] &lt;&gt; 0, Master[[#This Row],[Avg stop time helper]],Average_Stop_Time))</f>
        <v>15</v>
      </c>
      <c r="AV1608" s="21">
        <v>15</v>
      </c>
      <c r="AW1608" s="20">
        <f>Master[[#This Row],[RSP StopTime override]]-Master[[#This Row],[Avg stop time helper]]</f>
        <v>15</v>
      </c>
    </row>
    <row r="1609" spans="1:49" x14ac:dyDescent="0.3">
      <c r="A1609" s="49" t="s">
        <v>5604</v>
      </c>
      <c r="B1609" s="41">
        <v>8060</v>
      </c>
      <c r="C1609" s="41" t="s">
        <v>43</v>
      </c>
      <c r="D1609" s="48">
        <v>882351</v>
      </c>
      <c r="E1609" s="48" t="s">
        <v>114</v>
      </c>
      <c r="F1609" s="48" t="s">
        <v>113</v>
      </c>
      <c r="G1609" s="48" t="s">
        <v>112</v>
      </c>
      <c r="H1609" s="48" t="s">
        <v>7</v>
      </c>
      <c r="I1609" s="48" t="s">
        <v>6</v>
      </c>
      <c r="J1609" s="48" t="s">
        <v>5</v>
      </c>
      <c r="K1609" s="48" t="s">
        <v>68</v>
      </c>
      <c r="L1609" s="47" t="s">
        <v>67</v>
      </c>
      <c r="M1609" s="41" t="s">
        <v>3</v>
      </c>
      <c r="N1609" s="41" t="s">
        <v>2</v>
      </c>
      <c r="O1609" s="41">
        <v>6</v>
      </c>
      <c r="P1609" s="41">
        <v>0</v>
      </c>
      <c r="Q1609" s="41">
        <v>0</v>
      </c>
      <c r="R1609" s="41">
        <v>0</v>
      </c>
      <c r="S1609" s="41">
        <v>6</v>
      </c>
      <c r="T1609" s="41">
        <v>0</v>
      </c>
      <c r="U1609" s="41">
        <v>36</v>
      </c>
      <c r="V1609" s="45"/>
      <c r="W1609" s="45"/>
      <c r="X1609" s="46">
        <f>IFERROR(1 -(Master[[#This Row],[Avg Garment Scans per Delivery]]/Master[[#This Row],[Garment Inventory]]), 0)</f>
        <v>0</v>
      </c>
      <c r="Y1609" s="45"/>
      <c r="Z1609" s="45"/>
      <c r="AA1609" s="44">
        <v>23.004693877551009</v>
      </c>
      <c r="AB1609" s="44">
        <v>54.735306122448975</v>
      </c>
      <c r="AC1609" s="44">
        <v>18.99861111111111</v>
      </c>
      <c r="AD1609" s="44">
        <v>49.396388888888886</v>
      </c>
      <c r="AE1609" s="53" t="str">
        <f>_xlfn.XLOOKUP(Master[[#This Row],[cu_id]],'[1]Customer Revenue'!$Q:$Q,'[1]Customer Revenue'!$K:$K, "None")</f>
        <v>None</v>
      </c>
      <c r="AF1609" s="53" t="str">
        <f>_xlfn.XLOOKUP(Master[[#This Row],[cu_id]],'[1]Customer Revenue'!$Q:$Q,'[1]Customer Revenue'!$L:$L, "None")</f>
        <v>None</v>
      </c>
      <c r="AG1609" s="44">
        <v>24.979171075837748</v>
      </c>
      <c r="AH1609" s="44">
        <v>51.372257495590837</v>
      </c>
      <c r="AI1609" s="44">
        <v>38.86999999999999</v>
      </c>
      <c r="AJ1609" s="44">
        <v>34.197499999999998</v>
      </c>
      <c r="AK1609" s="53" t="str">
        <f>_xlfn.XLOOKUP(Master[[#This Row],[cu_id]],'[1]Customer Revenue'!$Q:$Q,'[1]Customer Revenue'!$I:$I, "None")</f>
        <v>None</v>
      </c>
      <c r="AL1609" s="44">
        <v>38.175714285714292</v>
      </c>
      <c r="AM1609" s="43">
        <v>0.29166666666666669</v>
      </c>
      <c r="AN1609" s="42">
        <v>0.625</v>
      </c>
      <c r="AO1609" s="42" t="s">
        <v>36</v>
      </c>
      <c r="AP1609" s="42" t="s">
        <v>36</v>
      </c>
      <c r="AQ1609" s="41" t="s">
        <v>0</v>
      </c>
      <c r="AR1609" s="41"/>
      <c r="AS1609" s="41"/>
      <c r="AT1609" s="40">
        <v>0</v>
      </c>
      <c r="AU1609" s="40">
        <f>IF(Master[[#This Row],[RSP StopTime override]] &lt;&gt; "",Master[[#This Row],[RSP StopTime override]],IF(Master[[#This Row],[Avg stop time helper]] &lt;&gt; 0, Master[[#This Row],[Avg stop time helper]],Average_Stop_Time))</f>
        <v>15</v>
      </c>
      <c r="AV1609" s="20">
        <v>15</v>
      </c>
      <c r="AW1609" s="20">
        <f>Master[[#This Row],[RSP StopTime override]]-Master[[#This Row],[Avg stop time helper]]</f>
        <v>15</v>
      </c>
    </row>
    <row r="1610" spans="1:49" x14ac:dyDescent="0.3">
      <c r="A1610" s="49" t="s">
        <v>5605</v>
      </c>
      <c r="B1610" s="41">
        <v>8060</v>
      </c>
      <c r="C1610" s="41" t="s">
        <v>43</v>
      </c>
      <c r="D1610" s="48">
        <v>882543</v>
      </c>
      <c r="E1610" s="48" t="s">
        <v>111</v>
      </c>
      <c r="F1610" s="48" t="s">
        <v>110</v>
      </c>
      <c r="G1610" s="150" t="s">
        <v>4143</v>
      </c>
      <c r="H1610" s="48" t="s">
        <v>7</v>
      </c>
      <c r="I1610" s="48" t="s">
        <v>6</v>
      </c>
      <c r="J1610" s="48" t="s">
        <v>5</v>
      </c>
      <c r="K1610" s="48" t="s">
        <v>68</v>
      </c>
      <c r="L1610" s="47" t="s">
        <v>67</v>
      </c>
      <c r="M1610" s="41" t="s">
        <v>3</v>
      </c>
      <c r="N1610" s="41" t="s">
        <v>2</v>
      </c>
      <c r="O1610" s="41">
        <v>8</v>
      </c>
      <c r="P1610" s="41">
        <v>0</v>
      </c>
      <c r="Q1610" s="41">
        <v>0</v>
      </c>
      <c r="R1610" s="41">
        <v>0</v>
      </c>
      <c r="S1610" s="41">
        <v>8</v>
      </c>
      <c r="T1610" s="41">
        <v>0</v>
      </c>
      <c r="U1610" s="41">
        <v>39</v>
      </c>
      <c r="V1610" s="45">
        <v>6</v>
      </c>
      <c r="W1610" s="45"/>
      <c r="X1610" s="46">
        <f>IFERROR(1 -(Master[[#This Row],[Avg Garment Scans per Delivery]]/Master[[#This Row],[Garment Inventory]]), 0)</f>
        <v>1</v>
      </c>
      <c r="Y1610" s="45"/>
      <c r="Z1610" s="45"/>
      <c r="AA1610" s="44">
        <v>54.824183673469399</v>
      </c>
      <c r="AB1610" s="44">
        <v>90.385816326530602</v>
      </c>
      <c r="AC1610" s="44">
        <v>69.955029585798812</v>
      </c>
      <c r="AD1610" s="44">
        <v>75.912662721893483</v>
      </c>
      <c r="AE1610" s="53" t="str">
        <f>_xlfn.XLOOKUP(Master[[#This Row],[cu_id]],'[1]Customer Revenue'!$Q:$Q,'[1]Customer Revenue'!$K:$K, "None")</f>
        <v>None</v>
      </c>
      <c r="AF1610" s="53" t="str">
        <f>_xlfn.XLOOKUP(Master[[#This Row],[cu_id]],'[1]Customer Revenue'!$Q:$Q,'[1]Customer Revenue'!$L:$L, "None")</f>
        <v>None</v>
      </c>
      <c r="AG1610" s="44">
        <v>58.818639440226839</v>
      </c>
      <c r="AH1610" s="44">
        <v>124.29597594438854</v>
      </c>
      <c r="AI1610" s="44">
        <v>72.605000000000004</v>
      </c>
      <c r="AJ1610" s="44">
        <v>72.933846153846147</v>
      </c>
      <c r="AK1610" s="53" t="str">
        <f>_xlfn.XLOOKUP(Master[[#This Row],[cu_id]],'[1]Customer Revenue'!$Q:$Q,'[1]Customer Revenue'!$I:$I, "None")</f>
        <v>None</v>
      </c>
      <c r="AL1610" s="44">
        <v>91.557307692307688</v>
      </c>
      <c r="AM1610" s="43">
        <v>0.29166666666666669</v>
      </c>
      <c r="AN1610" s="42">
        <v>0.625</v>
      </c>
      <c r="AO1610" s="42" t="s">
        <v>36</v>
      </c>
      <c r="AP1610" s="42" t="s">
        <v>36</v>
      </c>
      <c r="AQ1610" s="41" t="s">
        <v>0</v>
      </c>
      <c r="AR1610" s="41"/>
      <c r="AS1610" s="41"/>
      <c r="AT1610" s="40">
        <v>0</v>
      </c>
      <c r="AU1610" s="40">
        <f>IF(Master[[#This Row],[RSP StopTime override]] &lt;&gt; "",Master[[#This Row],[RSP StopTime override]],IF(Master[[#This Row],[Avg stop time helper]] &lt;&gt; 0, Master[[#This Row],[Avg stop time helper]],Average_Stop_Time))</f>
        <v>20</v>
      </c>
      <c r="AV1610" s="20">
        <v>20</v>
      </c>
      <c r="AW1610" s="20">
        <f>Master[[#This Row],[RSP StopTime override]]-Master[[#This Row],[Avg stop time helper]]</f>
        <v>20</v>
      </c>
    </row>
    <row r="1611" spans="1:49" x14ac:dyDescent="0.3">
      <c r="A1611" s="49" t="s">
        <v>5606</v>
      </c>
      <c r="B1611" s="41">
        <v>8060</v>
      </c>
      <c r="C1611" s="41" t="s">
        <v>43</v>
      </c>
      <c r="D1611" s="48">
        <v>883084</v>
      </c>
      <c r="E1611" s="48" t="s">
        <v>109</v>
      </c>
      <c r="F1611" s="48" t="s">
        <v>108</v>
      </c>
      <c r="G1611" s="48" t="s">
        <v>101</v>
      </c>
      <c r="H1611" s="48" t="s">
        <v>7</v>
      </c>
      <c r="I1611" s="48" t="s">
        <v>6</v>
      </c>
      <c r="J1611" s="48" t="s">
        <v>5</v>
      </c>
      <c r="K1611" s="48" t="s">
        <v>68</v>
      </c>
      <c r="L1611" s="47" t="s">
        <v>91</v>
      </c>
      <c r="M1611" s="41" t="s">
        <v>90</v>
      </c>
      <c r="N1611" s="41" t="s">
        <v>2</v>
      </c>
      <c r="O1611" s="41">
        <v>2</v>
      </c>
      <c r="P1611" s="41">
        <v>0</v>
      </c>
      <c r="Q1611" s="41">
        <v>0</v>
      </c>
      <c r="R1611" s="41">
        <v>0</v>
      </c>
      <c r="S1611" s="41">
        <v>2</v>
      </c>
      <c r="T1611" s="41">
        <v>0</v>
      </c>
      <c r="U1611" s="41">
        <v>20</v>
      </c>
      <c r="V1611" s="45"/>
      <c r="W1611" s="45"/>
      <c r="X1611" s="46">
        <f>IFERROR(1 -(Master[[#This Row],[Avg Garment Scans per Delivery]]/Master[[#This Row],[Garment Inventory]]), 0)</f>
        <v>0</v>
      </c>
      <c r="Y1611" s="45"/>
      <c r="Z1611" s="45"/>
      <c r="AA1611" s="44">
        <v>95.945312499999957</v>
      </c>
      <c r="AB1611" s="44">
        <v>149.6746875</v>
      </c>
      <c r="AC1611" s="44">
        <v>122.67888888888889</v>
      </c>
      <c r="AD1611" s="44">
        <v>123.72777777777777</v>
      </c>
      <c r="AE1611" s="53" t="str">
        <f>_xlfn.XLOOKUP(Master[[#This Row],[cu_id]],'[1]Customer Revenue'!$Q:$Q,'[1]Customer Revenue'!$K:$K, "None")</f>
        <v>None</v>
      </c>
      <c r="AF1611" s="53" t="str">
        <f>_xlfn.XLOOKUP(Master[[#This Row],[cu_id]],'[1]Customer Revenue'!$Q:$Q,'[1]Customer Revenue'!$L:$L, "None")</f>
        <v>None</v>
      </c>
      <c r="AG1611" s="44">
        <v>94.427244444444369</v>
      </c>
      <c r="AH1611" s="44">
        <v>151.19275555555555</v>
      </c>
      <c r="AI1611" s="44">
        <v>122.80999999999997</v>
      </c>
      <c r="AJ1611" s="44">
        <v>123.20333333333333</v>
      </c>
      <c r="AK1611" s="53" t="str">
        <f>_xlfn.XLOOKUP(Master[[#This Row],[cu_id]],'[1]Customer Revenue'!$Q:$Q,'[1]Customer Revenue'!$I:$I, "None")</f>
        <v>None</v>
      </c>
      <c r="AL1611" s="44">
        <v>122.80999999999996</v>
      </c>
      <c r="AM1611" s="43">
        <v>0.33333333333333331</v>
      </c>
      <c r="AN1611" s="42">
        <v>0.58333333333333337</v>
      </c>
      <c r="AO1611" s="42" t="s">
        <v>36</v>
      </c>
      <c r="AP1611" s="42" t="s">
        <v>36</v>
      </c>
      <c r="AQ1611" s="41" t="s">
        <v>0</v>
      </c>
      <c r="AR1611" s="41"/>
      <c r="AS1611" s="41"/>
      <c r="AT1611" s="40">
        <v>0</v>
      </c>
      <c r="AU1611" s="40">
        <f>IF(Master[[#This Row],[RSP StopTime override]] &lt;&gt; "",Master[[#This Row],[RSP StopTime override]],IF(Master[[#This Row],[Avg stop time helper]] &lt;&gt; 0, Master[[#This Row],[Avg stop time helper]],Average_Stop_Time))</f>
        <v>8</v>
      </c>
      <c r="AV1611" s="20">
        <v>8</v>
      </c>
      <c r="AW1611" s="20">
        <f>Master[[#This Row],[RSP StopTime override]]-Master[[#This Row],[Avg stop time helper]]</f>
        <v>8</v>
      </c>
    </row>
    <row r="1612" spans="1:49" x14ac:dyDescent="0.3">
      <c r="A1612" s="49" t="s">
        <v>5607</v>
      </c>
      <c r="B1612" s="41">
        <v>8060</v>
      </c>
      <c r="C1612" s="41" t="s">
        <v>43</v>
      </c>
      <c r="D1612" s="48">
        <v>883084</v>
      </c>
      <c r="E1612" s="48" t="s">
        <v>107</v>
      </c>
      <c r="F1612" s="48" t="s">
        <v>106</v>
      </c>
      <c r="G1612" s="48" t="s">
        <v>105</v>
      </c>
      <c r="H1612" s="48" t="s">
        <v>7</v>
      </c>
      <c r="I1612" s="48" t="s">
        <v>6</v>
      </c>
      <c r="J1612" s="48" t="s">
        <v>5</v>
      </c>
      <c r="K1612" s="48" t="s">
        <v>104</v>
      </c>
      <c r="L1612" s="47" t="s">
        <v>67</v>
      </c>
      <c r="M1612" s="41" t="s">
        <v>3</v>
      </c>
      <c r="N1612" s="41" t="s">
        <v>2</v>
      </c>
      <c r="O1612" s="41">
        <v>4</v>
      </c>
      <c r="P1612" s="41">
        <v>0</v>
      </c>
      <c r="Q1612" s="41">
        <v>0</v>
      </c>
      <c r="R1612" s="41">
        <v>0</v>
      </c>
      <c r="S1612" s="41">
        <v>4</v>
      </c>
      <c r="T1612" s="41">
        <v>0</v>
      </c>
      <c r="U1612" s="41">
        <v>31</v>
      </c>
      <c r="V1612" s="45">
        <v>0</v>
      </c>
      <c r="W1612" s="45"/>
      <c r="X1612" s="46">
        <f>IFERROR(1 -(Master[[#This Row],[Avg Garment Scans per Delivery]]/Master[[#This Row],[Garment Inventory]]), 0)</f>
        <v>0</v>
      </c>
      <c r="Y1612" s="45">
        <v>2</v>
      </c>
      <c r="Z1612" s="45">
        <v>97</v>
      </c>
      <c r="AA1612" s="44">
        <v>26.073044217687094</v>
      </c>
      <c r="AB1612" s="44">
        <v>42.985289115646253</v>
      </c>
      <c r="AC1612" s="44">
        <v>21.332386587771207</v>
      </c>
      <c r="AD1612" s="44">
        <v>85.17428007889545</v>
      </c>
      <c r="AE1612" s="53" t="str">
        <f>_xlfn.XLOOKUP(Master[[#This Row],[cu_id]],'[1]Customer Revenue'!$Q:$Q,'[1]Customer Revenue'!$K:$K, "None")</f>
        <v>None</v>
      </c>
      <c r="AF1612" s="53" t="str">
        <f>_xlfn.XLOOKUP(Master[[#This Row],[cu_id]],'[1]Customer Revenue'!$Q:$Q,'[1]Customer Revenue'!$L:$L, "None")</f>
        <v>None</v>
      </c>
      <c r="AG1612" s="44">
        <v>29.150504562533545</v>
      </c>
      <c r="AH1612" s="44">
        <v>56.312973698336037</v>
      </c>
      <c r="AI1612" s="44">
        <v>34.529166666666676</v>
      </c>
      <c r="AJ1612" s="44">
        <v>53.25333333333333</v>
      </c>
      <c r="AK1612" s="53" t="str">
        <f>_xlfn.XLOOKUP(Master[[#This Row],[cu_id]],'[1]Customer Revenue'!$Q:$Q,'[1]Customer Revenue'!$I:$I, "None")</f>
        <v>None</v>
      </c>
      <c r="AL1612" s="44">
        <v>42.731739130434789</v>
      </c>
      <c r="AM1612" s="43">
        <v>0.29166666666666669</v>
      </c>
      <c r="AN1612" s="42">
        <v>0.58333333333333337</v>
      </c>
      <c r="AO1612" s="42" t="s">
        <v>36</v>
      </c>
      <c r="AP1612" s="42" t="s">
        <v>36</v>
      </c>
      <c r="AQ1612" s="41" t="s">
        <v>0</v>
      </c>
      <c r="AR1612" s="41"/>
      <c r="AS1612" s="41"/>
      <c r="AT1612" s="40">
        <v>0</v>
      </c>
      <c r="AU1612" s="40">
        <f>IF(Master[[#This Row],[RSP StopTime override]] &lt;&gt; "",Master[[#This Row],[RSP StopTime override]],IF(Master[[#This Row],[Avg stop time helper]] &lt;&gt; 0, Master[[#This Row],[Avg stop time helper]],Average_Stop_Time))</f>
        <v>20</v>
      </c>
      <c r="AV1612" s="20">
        <v>20</v>
      </c>
      <c r="AW1612" s="20">
        <f>Master[[#This Row],[RSP StopTime override]]-Master[[#This Row],[Avg stop time helper]]</f>
        <v>20</v>
      </c>
    </row>
    <row r="1613" spans="1:49" x14ac:dyDescent="0.3">
      <c r="A1613" s="49" t="s">
        <v>5608</v>
      </c>
      <c r="B1613" s="41">
        <v>8060</v>
      </c>
      <c r="C1613" s="41" t="s">
        <v>43</v>
      </c>
      <c r="D1613" s="48">
        <v>883084</v>
      </c>
      <c r="E1613" s="48" t="s">
        <v>103</v>
      </c>
      <c r="F1613" s="48" t="s">
        <v>102</v>
      </c>
      <c r="G1613" s="48" t="s">
        <v>101</v>
      </c>
      <c r="H1613" s="48" t="s">
        <v>7</v>
      </c>
      <c r="I1613" s="48" t="s">
        <v>6</v>
      </c>
      <c r="J1613" s="48" t="s">
        <v>5</v>
      </c>
      <c r="K1613" s="48" t="s">
        <v>68</v>
      </c>
      <c r="L1613" s="47">
        <v>5</v>
      </c>
      <c r="M1613" s="41" t="s">
        <v>3</v>
      </c>
      <c r="N1613" s="41" t="s">
        <v>2</v>
      </c>
      <c r="O1613" s="41">
        <v>1</v>
      </c>
      <c r="P1613" s="41">
        <v>0</v>
      </c>
      <c r="Q1613" s="41">
        <v>0</v>
      </c>
      <c r="R1613" s="41">
        <v>0</v>
      </c>
      <c r="S1613" s="41">
        <v>1</v>
      </c>
      <c r="T1613" s="41">
        <v>0</v>
      </c>
      <c r="U1613" s="41">
        <v>32</v>
      </c>
      <c r="V1613" s="45"/>
      <c r="W1613" s="45"/>
      <c r="X1613" s="46">
        <f>IFERROR(1 -(Master[[#This Row],[Avg Garment Scans per Delivery]]/Master[[#This Row],[Garment Inventory]]), 0)</f>
        <v>0</v>
      </c>
      <c r="Y1613" s="45"/>
      <c r="Z1613" s="45"/>
      <c r="AA1613" s="44">
        <v>17.346938775510203</v>
      </c>
      <c r="AB1613" s="44">
        <v>22.653061224489797</v>
      </c>
      <c r="AC1613" s="44">
        <v>14.183838383838387</v>
      </c>
      <c r="AD1613" s="44">
        <v>26.19838383838384</v>
      </c>
      <c r="AE1613" s="53" t="str">
        <f>_xlfn.XLOOKUP(Master[[#This Row],[cu_id]],'[1]Customer Revenue'!$Q:$Q,'[1]Customer Revenue'!$K:$K, "None")</f>
        <v>None</v>
      </c>
      <c r="AF1613" s="53" t="str">
        <f>_xlfn.XLOOKUP(Master[[#This Row],[cu_id]],'[1]Customer Revenue'!$Q:$Q,'[1]Customer Revenue'!$L:$L, "None")</f>
        <v>None</v>
      </c>
      <c r="AG1613" s="44">
        <v>14.093327417923694</v>
      </c>
      <c r="AH1613" s="44">
        <v>25.795368234250219</v>
      </c>
      <c r="AI1613" s="44">
        <v>20</v>
      </c>
      <c r="AJ1613" s="44">
        <v>20.191111111111113</v>
      </c>
      <c r="AK1613" s="53" t="str">
        <f>_xlfn.XLOOKUP(Master[[#This Row],[cu_id]],'[1]Customer Revenue'!$Q:$Q,'[1]Customer Revenue'!$I:$I, "None")</f>
        <v>None</v>
      </c>
      <c r="AL1613" s="44">
        <v>19.944347826086958</v>
      </c>
      <c r="AM1613" s="43">
        <v>0.29166666666666669</v>
      </c>
      <c r="AN1613" s="42">
        <v>0.58333333333333337</v>
      </c>
      <c r="AO1613" s="42" t="s">
        <v>36</v>
      </c>
      <c r="AP1613" s="42" t="s">
        <v>36</v>
      </c>
      <c r="AQ1613" s="41" t="s">
        <v>0</v>
      </c>
      <c r="AR1613" s="41"/>
      <c r="AS1613" s="41"/>
      <c r="AT1613" s="40">
        <v>0</v>
      </c>
      <c r="AU1613" s="40">
        <f>IF(Master[[#This Row],[RSP StopTime override]] &lt;&gt; "",Master[[#This Row],[RSP StopTime override]],IF(Master[[#This Row],[Avg stop time helper]] &lt;&gt; 0, Master[[#This Row],[Avg stop time helper]],Average_Stop_Time))</f>
        <v>15</v>
      </c>
      <c r="AV1613" s="20">
        <v>15</v>
      </c>
      <c r="AW1613" s="20">
        <f>Master[[#This Row],[RSP StopTime override]]-Master[[#This Row],[Avg stop time helper]]</f>
        <v>15</v>
      </c>
    </row>
    <row r="1614" spans="1:49" x14ac:dyDescent="0.3">
      <c r="A1614" s="49" t="s">
        <v>5609</v>
      </c>
      <c r="B1614" s="41">
        <v>8060</v>
      </c>
      <c r="C1614" s="41" t="s">
        <v>43</v>
      </c>
      <c r="D1614" s="48">
        <v>883084</v>
      </c>
      <c r="E1614" s="48" t="s">
        <v>100</v>
      </c>
      <c r="F1614" s="48" t="s">
        <v>99</v>
      </c>
      <c r="G1614" s="48" t="s">
        <v>95</v>
      </c>
      <c r="H1614" s="48" t="s">
        <v>7</v>
      </c>
      <c r="I1614" s="48" t="s">
        <v>6</v>
      </c>
      <c r="J1614" s="48" t="s">
        <v>5</v>
      </c>
      <c r="K1614" s="48" t="s">
        <v>98</v>
      </c>
      <c r="L1614" s="47" t="s">
        <v>67</v>
      </c>
      <c r="M1614" s="41" t="s">
        <v>3</v>
      </c>
      <c r="N1614" s="41" t="s">
        <v>2</v>
      </c>
      <c r="O1614" s="41">
        <v>5</v>
      </c>
      <c r="P1614" s="41">
        <v>0</v>
      </c>
      <c r="Q1614" s="41">
        <v>0</v>
      </c>
      <c r="R1614" s="41">
        <v>0</v>
      </c>
      <c r="S1614" s="41">
        <v>5</v>
      </c>
      <c r="T1614" s="41">
        <v>0</v>
      </c>
      <c r="U1614" s="41">
        <v>29</v>
      </c>
      <c r="V1614" s="45"/>
      <c r="W1614" s="45"/>
      <c r="X1614" s="46">
        <f>IFERROR(1 -(Master[[#This Row],[Avg Garment Scans per Delivery]]/Master[[#This Row],[Garment Inventory]]), 0)</f>
        <v>0</v>
      </c>
      <c r="Y1614" s="45"/>
      <c r="Z1614" s="45"/>
      <c r="AA1614" s="44">
        <v>63.402142857142884</v>
      </c>
      <c r="AB1614" s="44">
        <v>104.52785714285716</v>
      </c>
      <c r="AC1614" s="44">
        <v>68.029881656804747</v>
      </c>
      <c r="AD1614" s="44">
        <v>90.550118343195265</v>
      </c>
      <c r="AE1614" s="53" t="str">
        <f>_xlfn.XLOOKUP(Master[[#This Row],[cu_id]],'[1]Customer Revenue'!$Q:$Q,'[1]Customer Revenue'!$K:$K, "None")</f>
        <v>None</v>
      </c>
      <c r="AF1614" s="53" t="str">
        <f>_xlfn.XLOOKUP(Master[[#This Row],[cu_id]],'[1]Customer Revenue'!$Q:$Q,'[1]Customer Revenue'!$L:$L, "None")</f>
        <v>None</v>
      </c>
      <c r="AG1614" s="44">
        <v>58.704582963620211</v>
      </c>
      <c r="AH1614" s="44">
        <v>107.44846051464064</v>
      </c>
      <c r="AI1614" s="44">
        <v>83.965000000000018</v>
      </c>
      <c r="AJ1614" s="44">
        <v>79.290000000000006</v>
      </c>
      <c r="AK1614" s="53" t="str">
        <f>_xlfn.XLOOKUP(Master[[#This Row],[cu_id]],'[1]Customer Revenue'!$Q:$Q,'[1]Customer Revenue'!$I:$I, "None")</f>
        <v>None</v>
      </c>
      <c r="AL1614" s="44">
        <v>83.076521739130428</v>
      </c>
      <c r="AM1614" s="43">
        <v>0.29166666666666669</v>
      </c>
      <c r="AN1614" s="42">
        <v>0.375</v>
      </c>
      <c r="AO1614" s="42">
        <v>0.45833333333333331</v>
      </c>
      <c r="AP1614" s="42">
        <v>0.58333333333333337</v>
      </c>
      <c r="AQ1614" s="41" t="s">
        <v>0</v>
      </c>
      <c r="AR1614" s="41"/>
      <c r="AS1614" s="41"/>
      <c r="AT1614" s="40">
        <v>0</v>
      </c>
      <c r="AU1614" s="40">
        <f>IF(Master[[#This Row],[RSP StopTime override]] &lt;&gt; "",Master[[#This Row],[RSP StopTime override]],IF(Master[[#This Row],[Avg stop time helper]] &lt;&gt; 0, Master[[#This Row],[Avg stop time helper]],Average_Stop_Time))</f>
        <v>10</v>
      </c>
      <c r="AV1614" s="20">
        <v>10</v>
      </c>
      <c r="AW1614" s="20">
        <f>Master[[#This Row],[RSP StopTime override]]-Master[[#This Row],[Avg stop time helper]]</f>
        <v>10</v>
      </c>
    </row>
    <row r="1615" spans="1:49" x14ac:dyDescent="0.3">
      <c r="A1615" s="49" t="s">
        <v>5610</v>
      </c>
      <c r="B1615" s="41">
        <v>8060</v>
      </c>
      <c r="C1615" s="41" t="s">
        <v>43</v>
      </c>
      <c r="D1615" s="48">
        <v>883084</v>
      </c>
      <c r="E1615" s="48" t="s">
        <v>97</v>
      </c>
      <c r="F1615" s="48" t="s">
        <v>96</v>
      </c>
      <c r="G1615" s="48" t="s">
        <v>95</v>
      </c>
      <c r="H1615" s="48" t="s">
        <v>7</v>
      </c>
      <c r="I1615" s="48" t="s">
        <v>6</v>
      </c>
      <c r="J1615" s="48" t="s">
        <v>5</v>
      </c>
      <c r="K1615" s="48" t="s">
        <v>68</v>
      </c>
      <c r="L1615" s="47" t="s">
        <v>91</v>
      </c>
      <c r="M1615" s="41" t="s">
        <v>90</v>
      </c>
      <c r="N1615" s="41" t="s">
        <v>2</v>
      </c>
      <c r="O1615" s="41">
        <v>3</v>
      </c>
      <c r="P1615" s="41">
        <v>0</v>
      </c>
      <c r="Q1615" s="41">
        <v>0</v>
      </c>
      <c r="R1615" s="41">
        <v>0</v>
      </c>
      <c r="S1615" s="41">
        <v>3</v>
      </c>
      <c r="T1615" s="41">
        <v>0</v>
      </c>
      <c r="U1615" s="41">
        <v>14</v>
      </c>
      <c r="V1615" s="45"/>
      <c r="W1615" s="45"/>
      <c r="X1615" s="46">
        <f>IFERROR(1 -(Master[[#This Row],[Avg Garment Scans per Delivery]]/Master[[#This Row],[Garment Inventory]]), 0)</f>
        <v>0</v>
      </c>
      <c r="Y1615" s="45"/>
      <c r="Z1615" s="45"/>
      <c r="AA1615" s="44">
        <v>76.20625000000004</v>
      </c>
      <c r="AB1615" s="44">
        <v>167.65375</v>
      </c>
      <c r="AC1615" s="44">
        <v>76.75888888888889</v>
      </c>
      <c r="AD1615" s="44">
        <v>133.51777777777778</v>
      </c>
      <c r="AE1615" s="53" t="str">
        <f>_xlfn.XLOOKUP(Master[[#This Row],[cu_id]],'[1]Customer Revenue'!$Q:$Q,'[1]Customer Revenue'!$K:$K, "None")</f>
        <v>None</v>
      </c>
      <c r="AF1615" s="53" t="str">
        <f>_xlfn.XLOOKUP(Master[[#This Row],[cu_id]],'[1]Customer Revenue'!$Q:$Q,'[1]Customer Revenue'!$L:$L, "None")</f>
        <v>None</v>
      </c>
      <c r="AG1615" s="44">
        <v>80.871938775510273</v>
      </c>
      <c r="AH1615" s="44">
        <v>162.98806122448983</v>
      </c>
      <c r="AI1615" s="44">
        <v>121.93000000000002</v>
      </c>
      <c r="AJ1615" s="44">
        <v>105.13833333333334</v>
      </c>
      <c r="AK1615" s="53" t="str">
        <f>_xlfn.XLOOKUP(Master[[#This Row],[cu_id]],'[1]Customer Revenue'!$Q:$Q,'[1]Customer Revenue'!$I:$I, "None")</f>
        <v>None</v>
      </c>
      <c r="AL1615" s="44">
        <v>121.93000000000005</v>
      </c>
      <c r="AM1615" s="43">
        <v>0.29166666666666669</v>
      </c>
      <c r="AN1615" s="42">
        <v>0.58333333333333337</v>
      </c>
      <c r="AO1615" s="42">
        <v>0.45833333333333331</v>
      </c>
      <c r="AP1615" s="42">
        <v>0.58333333333333337</v>
      </c>
      <c r="AQ1615" s="41" t="s">
        <v>0</v>
      </c>
      <c r="AR1615" s="41"/>
      <c r="AS1615" s="41"/>
      <c r="AT1615" s="40">
        <v>0</v>
      </c>
      <c r="AU1615" s="40">
        <f>IF(Master[[#This Row],[RSP StopTime override]] &lt;&gt; "",Master[[#This Row],[RSP StopTime override]],IF(Master[[#This Row],[Avg stop time helper]] &lt;&gt; 0, Master[[#This Row],[Avg stop time helper]],Average_Stop_Time))</f>
        <v>10</v>
      </c>
      <c r="AV1615" s="20">
        <v>10</v>
      </c>
      <c r="AW1615" s="20">
        <f>Master[[#This Row],[RSP StopTime override]]-Master[[#This Row],[Avg stop time helper]]</f>
        <v>10</v>
      </c>
    </row>
    <row r="1616" spans="1:49" x14ac:dyDescent="0.3">
      <c r="A1616" s="49" t="s">
        <v>5611</v>
      </c>
      <c r="B1616" s="41">
        <v>8060</v>
      </c>
      <c r="C1616" s="41" t="s">
        <v>43</v>
      </c>
      <c r="D1616" s="48">
        <v>883084</v>
      </c>
      <c r="E1616" s="48" t="s">
        <v>94</v>
      </c>
      <c r="F1616" s="48" t="s">
        <v>93</v>
      </c>
      <c r="G1616" s="48" t="s">
        <v>92</v>
      </c>
      <c r="H1616" s="48" t="s">
        <v>7</v>
      </c>
      <c r="I1616" s="48" t="s">
        <v>6</v>
      </c>
      <c r="J1616" s="48" t="s">
        <v>5</v>
      </c>
      <c r="K1616" s="48" t="s">
        <v>68</v>
      </c>
      <c r="L1616" s="47" t="s">
        <v>91</v>
      </c>
      <c r="M1616" s="41" t="s">
        <v>90</v>
      </c>
      <c r="N1616" s="41" t="s">
        <v>2</v>
      </c>
      <c r="O1616" s="41">
        <v>7</v>
      </c>
      <c r="P1616" s="41">
        <v>0</v>
      </c>
      <c r="Q1616" s="41">
        <v>0</v>
      </c>
      <c r="R1616" s="41">
        <v>0</v>
      </c>
      <c r="S1616" s="41">
        <v>7</v>
      </c>
      <c r="T1616" s="41">
        <v>0</v>
      </c>
      <c r="U1616" s="41">
        <v>14</v>
      </c>
      <c r="V1616" s="45"/>
      <c r="W1616" s="45"/>
      <c r="X1616" s="46">
        <f>IFERROR(1 -(Master[[#This Row],[Avg Garment Scans per Delivery]]/Master[[#This Row],[Garment Inventory]]), 0)</f>
        <v>0</v>
      </c>
      <c r="Y1616" s="45"/>
      <c r="Z1616" s="45"/>
      <c r="AA1616" s="44">
        <v>11.768750000000001</v>
      </c>
      <c r="AB1616" s="44">
        <v>25.891249999999996</v>
      </c>
      <c r="AC1616" s="44">
        <v>9.3671111111111109</v>
      </c>
      <c r="AD1616" s="44">
        <v>23.664888888888886</v>
      </c>
      <c r="AE1616" s="53" t="str">
        <f>_xlfn.XLOOKUP(Master[[#This Row],[cu_id]],'[1]Customer Revenue'!$Q:$Q,'[1]Customer Revenue'!$K:$K, "None")</f>
        <v>None</v>
      </c>
      <c r="AF1616" s="53" t="str">
        <f>_xlfn.XLOOKUP(Master[[#This Row],[cu_id]],'[1]Customer Revenue'!$Q:$Q,'[1]Customer Revenue'!$L:$L, "None")</f>
        <v>None</v>
      </c>
      <c r="AG1616" s="44">
        <v>12.48928571428571</v>
      </c>
      <c r="AH1616" s="44">
        <v>25.170714285714279</v>
      </c>
      <c r="AI1616" s="44">
        <v>18.829999999999998</v>
      </c>
      <c r="AJ1616" s="44">
        <v>16.515999999999998</v>
      </c>
      <c r="AK1616" s="53" t="str">
        <f>_xlfn.XLOOKUP(Master[[#This Row],[cu_id]],'[1]Customer Revenue'!$Q:$Q,'[1]Customer Revenue'!$I:$I, "None")</f>
        <v>None</v>
      </c>
      <c r="AL1616" s="44">
        <v>18.829999999999995</v>
      </c>
      <c r="AM1616" s="43">
        <v>0.29166666666666669</v>
      </c>
      <c r="AN1616" s="42">
        <v>0.54166666666666663</v>
      </c>
      <c r="AO1616" s="42" t="s">
        <v>36</v>
      </c>
      <c r="AP1616" s="42" t="s">
        <v>36</v>
      </c>
      <c r="AQ1616" s="41" t="s">
        <v>0</v>
      </c>
      <c r="AR1616" s="41"/>
      <c r="AS1616" s="41"/>
      <c r="AT1616" s="40">
        <v>0</v>
      </c>
      <c r="AU1616" s="40">
        <f>IF(Master[[#This Row],[RSP StopTime override]] &lt;&gt; "",Master[[#This Row],[RSP StopTime override]],IF(Master[[#This Row],[Avg stop time helper]] &lt;&gt; 0, Master[[#This Row],[Avg stop time helper]],Average_Stop_Time))</f>
        <v>10</v>
      </c>
      <c r="AV1616" s="20">
        <v>10</v>
      </c>
      <c r="AW1616" s="20">
        <f>Master[[#This Row],[RSP StopTime override]]-Master[[#This Row],[Avg stop time helper]]</f>
        <v>10</v>
      </c>
    </row>
    <row r="1617" spans="1:49" x14ac:dyDescent="0.3">
      <c r="A1617" s="49" t="s">
        <v>5612</v>
      </c>
      <c r="B1617" s="41">
        <v>8060</v>
      </c>
      <c r="C1617" s="41" t="s">
        <v>43</v>
      </c>
      <c r="D1617" s="48">
        <v>884524</v>
      </c>
      <c r="E1617" s="48" t="s">
        <v>89</v>
      </c>
      <c r="F1617" s="48" t="s">
        <v>88</v>
      </c>
      <c r="G1617" s="48" t="s">
        <v>87</v>
      </c>
      <c r="H1617" s="48" t="s">
        <v>7</v>
      </c>
      <c r="I1617" s="48" t="s">
        <v>6</v>
      </c>
      <c r="J1617" s="48" t="s">
        <v>5</v>
      </c>
      <c r="K1617" s="48" t="s">
        <v>86</v>
      </c>
      <c r="L1617" s="47" t="s">
        <v>67</v>
      </c>
      <c r="M1617" s="41" t="s">
        <v>3</v>
      </c>
      <c r="N1617" s="41" t="s">
        <v>2</v>
      </c>
      <c r="O1617" s="41">
        <v>20</v>
      </c>
      <c r="P1617" s="41">
        <v>0</v>
      </c>
      <c r="Q1617" s="41">
        <v>0</v>
      </c>
      <c r="R1617" s="41">
        <v>0</v>
      </c>
      <c r="S1617" s="41">
        <v>20</v>
      </c>
      <c r="T1617" s="41">
        <v>0</v>
      </c>
      <c r="U1617" s="41">
        <v>38</v>
      </c>
      <c r="V1617" s="45">
        <v>141</v>
      </c>
      <c r="W1617" s="45">
        <v>15</v>
      </c>
      <c r="X1617" s="46">
        <f>IFERROR(1 -(Master[[#This Row],[Avg Garment Scans per Delivery]]/Master[[#This Row],[Garment Inventory]]), 0)</f>
        <v>0.8936170212765957</v>
      </c>
      <c r="Y1617" s="45">
        <v>9</v>
      </c>
      <c r="Z1617" s="45">
        <v>160</v>
      </c>
      <c r="AA1617" s="44">
        <v>97.006043956043982</v>
      </c>
      <c r="AB1617" s="44">
        <v>147.88318681318682</v>
      </c>
      <c r="AC1617" s="44">
        <v>106.85439560439559</v>
      </c>
      <c r="AD1617" s="44">
        <v>166.30868131868132</v>
      </c>
      <c r="AE1617" s="53" t="str">
        <f>_xlfn.XLOOKUP(Master[[#This Row],[cu_id]],'[1]Customer Revenue'!$Q:$Q,'[1]Customer Revenue'!$K:$K, "None")</f>
        <v>None</v>
      </c>
      <c r="AF1617" s="53" t="str">
        <f>_xlfn.XLOOKUP(Master[[#This Row],[cu_id]],'[1]Customer Revenue'!$Q:$Q,'[1]Customer Revenue'!$L:$L, "None")</f>
        <v>None</v>
      </c>
      <c r="AG1617" s="44">
        <v>80.560714285714297</v>
      </c>
      <c r="AH1617" s="44">
        <v>156.60928571428576</v>
      </c>
      <c r="AI1617" s="44">
        <v>122.4446153846154</v>
      </c>
      <c r="AJ1617" s="44">
        <v>136.58153846153846</v>
      </c>
      <c r="AK1617" s="53" t="str">
        <f>_xlfn.XLOOKUP(Master[[#This Row],[cu_id]],'[1]Customer Revenue'!$Q:$Q,'[1]Customer Revenue'!$I:$I, "None")</f>
        <v>None</v>
      </c>
      <c r="AL1617" s="44">
        <v>118.58500000000002</v>
      </c>
      <c r="AM1617" s="43">
        <v>0.29166666666666669</v>
      </c>
      <c r="AN1617" s="42">
        <v>0.58333333333333337</v>
      </c>
      <c r="AO1617" s="42" t="s">
        <v>36</v>
      </c>
      <c r="AP1617" s="42" t="s">
        <v>36</v>
      </c>
      <c r="AQ1617" s="41" t="s">
        <v>0</v>
      </c>
      <c r="AR1617" s="41"/>
      <c r="AS1617" s="41"/>
      <c r="AT1617" s="40">
        <v>0</v>
      </c>
      <c r="AU1617" s="40">
        <f>IF(Master[[#This Row],[RSP StopTime override]] &lt;&gt; "",Master[[#This Row],[RSP StopTime override]],IF(Master[[#This Row],[Avg stop time helper]] &lt;&gt; 0, Master[[#This Row],[Avg stop time helper]],Average_Stop_Time))</f>
        <v>30</v>
      </c>
      <c r="AV1617" s="20">
        <v>30</v>
      </c>
      <c r="AW1617" s="20">
        <f>Master[[#This Row],[RSP StopTime override]]-Master[[#This Row],[Avg stop time helper]]</f>
        <v>30</v>
      </c>
    </row>
    <row r="1618" spans="1:49" x14ac:dyDescent="0.3">
      <c r="A1618" s="49" t="s">
        <v>5613</v>
      </c>
      <c r="B1618" s="41">
        <v>8060</v>
      </c>
      <c r="C1618" s="41" t="s">
        <v>43</v>
      </c>
      <c r="D1618" s="48">
        <v>885910</v>
      </c>
      <c r="E1618" s="48" t="s">
        <v>85</v>
      </c>
      <c r="F1618" s="48" t="s">
        <v>84</v>
      </c>
      <c r="G1618" s="48" t="s">
        <v>83</v>
      </c>
      <c r="H1618" s="48" t="s">
        <v>7</v>
      </c>
      <c r="I1618" s="48" t="s">
        <v>6</v>
      </c>
      <c r="J1618" s="48" t="s">
        <v>5</v>
      </c>
      <c r="K1618" s="48" t="s">
        <v>68</v>
      </c>
      <c r="L1618" s="47" t="s">
        <v>67</v>
      </c>
      <c r="M1618" s="41" t="s">
        <v>3</v>
      </c>
      <c r="N1618" s="41" t="s">
        <v>2</v>
      </c>
      <c r="O1618" s="41">
        <v>30</v>
      </c>
      <c r="P1618" s="41">
        <v>0</v>
      </c>
      <c r="Q1618" s="41">
        <v>0</v>
      </c>
      <c r="R1618" s="41">
        <v>0</v>
      </c>
      <c r="S1618" s="41">
        <v>30</v>
      </c>
      <c r="T1618" s="41">
        <v>0</v>
      </c>
      <c r="U1618" s="41">
        <v>41</v>
      </c>
      <c r="V1618" s="45">
        <v>36</v>
      </c>
      <c r="W1618" s="45">
        <v>0</v>
      </c>
      <c r="X1618" s="46">
        <f>IFERROR(1 -(Master[[#This Row],[Avg Garment Scans per Delivery]]/Master[[#This Row],[Garment Inventory]]), 0)</f>
        <v>1</v>
      </c>
      <c r="Y1618" s="45">
        <v>10</v>
      </c>
      <c r="Z1618" s="45">
        <v>35</v>
      </c>
      <c r="AA1618" s="44">
        <v>42.239999999999995</v>
      </c>
      <c r="AB1618" s="44">
        <v>78.540000000000006</v>
      </c>
      <c r="AC1618" s="44">
        <v>41.72171597633136</v>
      </c>
      <c r="AD1618" s="44">
        <v>78.162899408284034</v>
      </c>
      <c r="AE1618" s="53" t="str">
        <f>_xlfn.XLOOKUP(Master[[#This Row],[cu_id]],'[1]Customer Revenue'!$Q:$Q,'[1]Customer Revenue'!$K:$K, "None")</f>
        <v>None</v>
      </c>
      <c r="AF1618" s="53" t="str">
        <f>_xlfn.XLOOKUP(Master[[#This Row],[cu_id]],'[1]Customer Revenue'!$Q:$Q,'[1]Customer Revenue'!$L:$L, "None")</f>
        <v>None</v>
      </c>
      <c r="AG1618" s="44">
        <v>37.351754084643517</v>
      </c>
      <c r="AH1618" s="44">
        <v>79.360838507949097</v>
      </c>
      <c r="AI1618" s="44">
        <v>60.39</v>
      </c>
      <c r="AJ1618" s="44">
        <v>59.942307692307693</v>
      </c>
      <c r="AK1618" s="53" t="str">
        <f>_xlfn.XLOOKUP(Master[[#This Row],[cu_id]],'[1]Customer Revenue'!$Q:$Q,'[1]Customer Revenue'!$I:$I, "None")</f>
        <v>None</v>
      </c>
      <c r="AL1618" s="44">
        <v>58.356296296296307</v>
      </c>
      <c r="AM1618" s="43">
        <v>0.29166666666666669</v>
      </c>
      <c r="AN1618" s="42">
        <v>0.58333333333333337</v>
      </c>
      <c r="AO1618" s="42" t="s">
        <v>36</v>
      </c>
      <c r="AP1618" s="42" t="s">
        <v>36</v>
      </c>
      <c r="AQ1618" s="41" t="s">
        <v>0</v>
      </c>
      <c r="AR1618" s="41"/>
      <c r="AS1618" s="41"/>
      <c r="AT1618" s="40">
        <v>0</v>
      </c>
      <c r="AU1618" s="40">
        <f>IF(Master[[#This Row],[RSP StopTime override]] &lt;&gt; "",Master[[#This Row],[RSP StopTime override]],IF(Master[[#This Row],[Avg stop time helper]] &lt;&gt; 0, Master[[#This Row],[Avg stop time helper]],Average_Stop_Time))</f>
        <v>15</v>
      </c>
      <c r="AV1618" s="20">
        <v>15</v>
      </c>
      <c r="AW1618" s="20">
        <f>Master[[#This Row],[RSP StopTime override]]-Master[[#This Row],[Avg stop time helper]]</f>
        <v>15</v>
      </c>
    </row>
    <row r="1619" spans="1:49" x14ac:dyDescent="0.3">
      <c r="A1619" s="49" t="s">
        <v>5614</v>
      </c>
      <c r="B1619" s="41">
        <v>8060</v>
      </c>
      <c r="C1619" s="41" t="s">
        <v>43</v>
      </c>
      <c r="D1619" s="48">
        <v>885910</v>
      </c>
      <c r="E1619" s="48" t="s">
        <v>82</v>
      </c>
      <c r="F1619" s="48" t="s">
        <v>81</v>
      </c>
      <c r="G1619" s="48" t="s">
        <v>80</v>
      </c>
      <c r="H1619" s="48" t="s">
        <v>7</v>
      </c>
      <c r="I1619" s="48" t="s">
        <v>79</v>
      </c>
      <c r="J1619" s="48" t="s">
        <v>5</v>
      </c>
      <c r="K1619" s="48" t="s">
        <v>78</v>
      </c>
      <c r="L1619" s="47" t="s">
        <v>77</v>
      </c>
      <c r="M1619" s="41" t="s">
        <v>29</v>
      </c>
      <c r="N1619" s="41" t="s">
        <v>2</v>
      </c>
      <c r="O1619" s="41">
        <v>70</v>
      </c>
      <c r="P1619" s="41">
        <v>0</v>
      </c>
      <c r="Q1619" s="41">
        <v>0</v>
      </c>
      <c r="R1619" s="41">
        <v>0</v>
      </c>
      <c r="S1619" s="41">
        <v>70</v>
      </c>
      <c r="T1619" s="41">
        <v>0</v>
      </c>
      <c r="U1619" s="41">
        <v>20</v>
      </c>
      <c r="V1619" s="45"/>
      <c r="W1619" s="45"/>
      <c r="X1619" s="46">
        <f>IFERROR(1 -(Master[[#This Row],[Avg Garment Scans per Delivery]]/Master[[#This Row],[Garment Inventory]]), 0)</f>
        <v>0</v>
      </c>
      <c r="Y1619" s="45"/>
      <c r="Z1619" s="45"/>
      <c r="AA1619" s="44">
        <v>34.31</v>
      </c>
      <c r="AB1619" s="44">
        <v>34.31</v>
      </c>
      <c r="AC1619" s="44">
        <v>20.305918367346944</v>
      </c>
      <c r="AD1619" s="44">
        <v>48.314081632653057</v>
      </c>
      <c r="AE1619" s="53" t="str">
        <f>_xlfn.XLOOKUP(Master[[#This Row],[cu_id]],'[1]Customer Revenue'!$Q:$Q,'[1]Customer Revenue'!$K:$K, "None")</f>
        <v>None</v>
      </c>
      <c r="AF1619" s="53" t="str">
        <f>_xlfn.XLOOKUP(Master[[#This Row],[cu_id]],'[1]Customer Revenue'!$Q:$Q,'[1]Customer Revenue'!$L:$L, "None")</f>
        <v>None</v>
      </c>
      <c r="AG1619" s="44">
        <v>34.31</v>
      </c>
      <c r="AH1619" s="44">
        <v>34.31</v>
      </c>
      <c r="AI1619" s="44">
        <v>34.31</v>
      </c>
      <c r="AJ1619" s="44">
        <v>34.31</v>
      </c>
      <c r="AK1619" s="53" t="str">
        <f>_xlfn.XLOOKUP(Master[[#This Row],[cu_id]],'[1]Customer Revenue'!$Q:$Q,'[1]Customer Revenue'!$I:$I, "None")</f>
        <v>None</v>
      </c>
      <c r="AL1619" s="44">
        <v>34.31</v>
      </c>
      <c r="AM1619" s="43">
        <v>0.29166666666666669</v>
      </c>
      <c r="AN1619" s="42">
        <v>0.58333333333333337</v>
      </c>
      <c r="AO1619" s="42" t="s">
        <v>36</v>
      </c>
      <c r="AP1619" s="42" t="s">
        <v>36</v>
      </c>
      <c r="AQ1619" s="41" t="s">
        <v>0</v>
      </c>
      <c r="AR1619" s="41"/>
      <c r="AS1619" s="41"/>
      <c r="AT1619" s="40">
        <v>0</v>
      </c>
      <c r="AU1619" s="40">
        <f>IF(Master[[#This Row],[RSP StopTime override]] &lt;&gt; "",Master[[#This Row],[RSP StopTime override]],IF(Master[[#This Row],[Avg stop time helper]] &lt;&gt; 0, Master[[#This Row],[Avg stop time helper]],Average_Stop_Time))</f>
        <v>18</v>
      </c>
      <c r="AV1619" s="20">
        <v>18</v>
      </c>
      <c r="AW1619" s="20">
        <f>Master[[#This Row],[RSP StopTime override]]-Master[[#This Row],[Avg stop time helper]]</f>
        <v>18</v>
      </c>
    </row>
    <row r="1620" spans="1:49" x14ac:dyDescent="0.3">
      <c r="A1620" s="49" t="s">
        <v>5615</v>
      </c>
      <c r="B1620" s="41">
        <v>8060</v>
      </c>
      <c r="C1620" s="41" t="s">
        <v>43</v>
      </c>
      <c r="D1620" s="48">
        <v>885910</v>
      </c>
      <c r="E1620" s="48" t="s">
        <v>76</v>
      </c>
      <c r="F1620" s="48" t="s">
        <v>75</v>
      </c>
      <c r="G1620" s="48" t="s">
        <v>69</v>
      </c>
      <c r="H1620" s="48" t="s">
        <v>7</v>
      </c>
      <c r="I1620" s="48" t="s">
        <v>6</v>
      </c>
      <c r="J1620" s="48" t="s">
        <v>5</v>
      </c>
      <c r="K1620" s="48" t="s">
        <v>68</v>
      </c>
      <c r="L1620" s="47" t="s">
        <v>67</v>
      </c>
      <c r="M1620" s="41" t="s">
        <v>3</v>
      </c>
      <c r="N1620" s="41" t="s">
        <v>2</v>
      </c>
      <c r="O1620" s="41">
        <v>60</v>
      </c>
      <c r="P1620" s="41">
        <v>0</v>
      </c>
      <c r="Q1620" s="41">
        <v>0</v>
      </c>
      <c r="R1620" s="41">
        <v>0</v>
      </c>
      <c r="S1620" s="41">
        <v>60</v>
      </c>
      <c r="T1620" s="41">
        <v>0</v>
      </c>
      <c r="U1620" s="41">
        <v>43</v>
      </c>
      <c r="V1620" s="45">
        <v>132</v>
      </c>
      <c r="W1620" s="45">
        <v>4</v>
      </c>
      <c r="X1620" s="46">
        <f>IFERROR(1 -(Master[[#This Row],[Avg Garment Scans per Delivery]]/Master[[#This Row],[Garment Inventory]]), 0)</f>
        <v>0.96969696969696972</v>
      </c>
      <c r="Y1620" s="45">
        <v>5</v>
      </c>
      <c r="Z1620" s="45">
        <v>100</v>
      </c>
      <c r="AA1620" s="44">
        <v>72.250510204081635</v>
      </c>
      <c r="AB1620" s="44">
        <v>80.548061224489814</v>
      </c>
      <c r="AC1620" s="44">
        <v>57.504474097331219</v>
      </c>
      <c r="AD1620" s="44">
        <v>87.329372056514913</v>
      </c>
      <c r="AE1620" s="53" t="str">
        <f>_xlfn.XLOOKUP(Master[[#This Row],[cu_id]],'[1]Customer Revenue'!$Q:$Q,'[1]Customer Revenue'!$K:$K, "None")</f>
        <v>None</v>
      </c>
      <c r="AF1620" s="53" t="str">
        <f>_xlfn.XLOOKUP(Master[[#This Row],[cu_id]],'[1]Customer Revenue'!$Q:$Q,'[1]Customer Revenue'!$L:$L, "None")</f>
        <v>None</v>
      </c>
      <c r="AG1620" s="44">
        <v>55.576296296296292</v>
      </c>
      <c r="AH1620" s="44">
        <v>88.876296296296303</v>
      </c>
      <c r="AI1620" s="44">
        <v>76.399285714285725</v>
      </c>
      <c r="AJ1620" s="44">
        <v>72.416923076923069</v>
      </c>
      <c r="AK1620" s="53" t="str">
        <f>_xlfn.XLOOKUP(Master[[#This Row],[cu_id]],'[1]Customer Revenue'!$Q:$Q,'[1]Customer Revenue'!$I:$I, "None")</f>
        <v>None</v>
      </c>
      <c r="AL1620" s="44">
        <v>72.226296296296297</v>
      </c>
      <c r="AM1620" s="43">
        <v>0.29166666666666669</v>
      </c>
      <c r="AN1620" s="42">
        <v>0.58333333333333337</v>
      </c>
      <c r="AO1620" s="42" t="s">
        <v>36</v>
      </c>
      <c r="AP1620" s="42" t="s">
        <v>36</v>
      </c>
      <c r="AQ1620" s="41" t="s">
        <v>0</v>
      </c>
      <c r="AR1620" s="41"/>
      <c r="AS1620" s="41"/>
      <c r="AT1620" s="40">
        <v>0</v>
      </c>
      <c r="AU1620" s="40">
        <f>IF(Master[[#This Row],[RSP StopTime override]] &lt;&gt; "",Master[[#This Row],[RSP StopTime override]],IF(Master[[#This Row],[Avg stop time helper]] &lt;&gt; 0, Master[[#This Row],[Avg stop time helper]],Average_Stop_Time))</f>
        <v>15</v>
      </c>
      <c r="AV1620" s="20">
        <v>15</v>
      </c>
      <c r="AW1620" s="20">
        <f>Master[[#This Row],[RSP StopTime override]]-Master[[#This Row],[Avg stop time helper]]</f>
        <v>15</v>
      </c>
    </row>
    <row r="1621" spans="1:49" x14ac:dyDescent="0.3">
      <c r="A1621" s="49" t="s">
        <v>5616</v>
      </c>
      <c r="B1621" s="41">
        <v>8060</v>
      </c>
      <c r="C1621" s="41" t="s">
        <v>43</v>
      </c>
      <c r="D1621" s="48">
        <v>885910</v>
      </c>
      <c r="E1621" s="48" t="s">
        <v>74</v>
      </c>
      <c r="F1621" s="48" t="s">
        <v>73</v>
      </c>
      <c r="G1621" s="48" t="s">
        <v>72</v>
      </c>
      <c r="H1621" s="48" t="s">
        <v>7</v>
      </c>
      <c r="I1621" s="48" t="s">
        <v>6</v>
      </c>
      <c r="J1621" s="48" t="s">
        <v>5</v>
      </c>
      <c r="K1621" s="48" t="s">
        <v>68</v>
      </c>
      <c r="L1621" s="47" t="s">
        <v>67</v>
      </c>
      <c r="M1621" s="41" t="s">
        <v>3</v>
      </c>
      <c r="N1621" s="41" t="s">
        <v>2</v>
      </c>
      <c r="O1621" s="41">
        <v>40</v>
      </c>
      <c r="P1621" s="41">
        <v>0</v>
      </c>
      <c r="Q1621" s="41">
        <v>0</v>
      </c>
      <c r="R1621" s="41">
        <v>0</v>
      </c>
      <c r="S1621" s="41">
        <v>40</v>
      </c>
      <c r="T1621" s="41">
        <v>0</v>
      </c>
      <c r="U1621" s="41">
        <v>40</v>
      </c>
      <c r="V1621" s="45">
        <v>110</v>
      </c>
      <c r="W1621" s="45">
        <v>4</v>
      </c>
      <c r="X1621" s="46">
        <f>IFERROR(1 -(Master[[#This Row],[Avg Garment Scans per Delivery]]/Master[[#This Row],[Garment Inventory]]), 0)</f>
        <v>0.96363636363636362</v>
      </c>
      <c r="Y1621" s="45">
        <v>6</v>
      </c>
      <c r="Z1621" s="45">
        <v>99</v>
      </c>
      <c r="AA1621" s="44">
        <v>67.72</v>
      </c>
      <c r="AB1621" s="44">
        <v>67.720000000000027</v>
      </c>
      <c r="AC1621" s="44">
        <v>75.319763313609485</v>
      </c>
      <c r="AD1621" s="44">
        <v>78.083313609467467</v>
      </c>
      <c r="AE1621" s="53" t="str">
        <f>_xlfn.XLOOKUP(Master[[#This Row],[cu_id]],'[1]Customer Revenue'!$Q:$Q,'[1]Customer Revenue'!$K:$K, "None")</f>
        <v>None</v>
      </c>
      <c r="AF1621" s="53" t="str">
        <f>_xlfn.XLOOKUP(Master[[#This Row],[cu_id]],'[1]Customer Revenue'!$Q:$Q,'[1]Customer Revenue'!$L:$L, "None")</f>
        <v>None</v>
      </c>
      <c r="AG1621" s="44">
        <v>59.534500814726762</v>
      </c>
      <c r="AH1621" s="44">
        <v>77.078091777865865</v>
      </c>
      <c r="AI1621" s="44">
        <v>67.720000000000013</v>
      </c>
      <c r="AJ1621" s="44">
        <v>76.701538461538476</v>
      </c>
      <c r="AK1621" s="53" t="str">
        <f>_xlfn.XLOOKUP(Master[[#This Row],[cu_id]],'[1]Customer Revenue'!$Q:$Q,'[1]Customer Revenue'!$I:$I, "None")</f>
        <v>None</v>
      </c>
      <c r="AL1621" s="44">
        <v>68.30629629629631</v>
      </c>
      <c r="AM1621" s="43">
        <v>0.29166666666666669</v>
      </c>
      <c r="AN1621" s="42">
        <v>0.58333333333333337</v>
      </c>
      <c r="AO1621" s="42" t="s">
        <v>36</v>
      </c>
      <c r="AP1621" s="42" t="s">
        <v>36</v>
      </c>
      <c r="AQ1621" s="41" t="s">
        <v>0</v>
      </c>
      <c r="AR1621" s="41"/>
      <c r="AS1621" s="41"/>
      <c r="AT1621" s="40">
        <v>0</v>
      </c>
      <c r="AU1621" s="40">
        <f>IF(Master[[#This Row],[RSP StopTime override]] &lt;&gt; "",Master[[#This Row],[RSP StopTime override]],IF(Master[[#This Row],[Avg stop time helper]] &lt;&gt; 0, Master[[#This Row],[Avg stop time helper]],Average_Stop_Time))</f>
        <v>15</v>
      </c>
      <c r="AV1621" s="20">
        <v>15</v>
      </c>
      <c r="AW1621" s="20">
        <f>Master[[#This Row],[RSP StopTime override]]-Master[[#This Row],[Avg stop time helper]]</f>
        <v>15</v>
      </c>
    </row>
    <row r="1622" spans="1:49" x14ac:dyDescent="0.3">
      <c r="A1622" s="49" t="s">
        <v>5617</v>
      </c>
      <c r="B1622" s="41">
        <v>8060</v>
      </c>
      <c r="C1622" s="41" t="s">
        <v>43</v>
      </c>
      <c r="D1622" s="48">
        <v>885910</v>
      </c>
      <c r="E1622" s="48" t="s">
        <v>71</v>
      </c>
      <c r="F1622" s="48" t="s">
        <v>70</v>
      </c>
      <c r="G1622" s="48" t="s">
        <v>69</v>
      </c>
      <c r="H1622" s="48" t="s">
        <v>7</v>
      </c>
      <c r="I1622" s="48" t="s">
        <v>6</v>
      </c>
      <c r="J1622" s="48" t="s">
        <v>5</v>
      </c>
      <c r="K1622" s="48" t="s">
        <v>68</v>
      </c>
      <c r="L1622" s="47" t="s">
        <v>67</v>
      </c>
      <c r="M1622" s="41" t="s">
        <v>3</v>
      </c>
      <c r="N1622" s="41" t="s">
        <v>2</v>
      </c>
      <c r="O1622" s="41">
        <v>50</v>
      </c>
      <c r="P1622" s="41">
        <v>0</v>
      </c>
      <c r="Q1622" s="41">
        <v>0</v>
      </c>
      <c r="R1622" s="41">
        <v>0</v>
      </c>
      <c r="S1622" s="41">
        <v>50</v>
      </c>
      <c r="T1622" s="41">
        <v>0</v>
      </c>
      <c r="U1622" s="41">
        <v>40</v>
      </c>
      <c r="V1622" s="45">
        <v>96</v>
      </c>
      <c r="W1622" s="45">
        <v>2</v>
      </c>
      <c r="X1622" s="46">
        <f>IFERROR(1 -(Master[[#This Row],[Avg Garment Scans per Delivery]]/Master[[#This Row],[Garment Inventory]]), 0)</f>
        <v>0.97916666666666663</v>
      </c>
      <c r="Y1622" s="45">
        <v>2</v>
      </c>
      <c r="Z1622" s="45">
        <v>56</v>
      </c>
      <c r="AA1622" s="44">
        <v>63.729591836734691</v>
      </c>
      <c r="AB1622" s="44">
        <v>68.627551020408163</v>
      </c>
      <c r="AC1622" s="44">
        <v>64.099112426035504</v>
      </c>
      <c r="AD1622" s="44">
        <v>66.939349112426044</v>
      </c>
      <c r="AE1622" s="53" t="str">
        <f>_xlfn.XLOOKUP(Master[[#This Row],[cu_id]],'[1]Customer Revenue'!$Q:$Q,'[1]Customer Revenue'!$K:$K, "None")</f>
        <v>None</v>
      </c>
      <c r="AF1622" s="53" t="str">
        <f>_xlfn.XLOOKUP(Master[[#This Row],[cu_id]],'[1]Customer Revenue'!$Q:$Q,'[1]Customer Revenue'!$L:$L, "None")</f>
        <v>None</v>
      </c>
      <c r="AG1622" s="44">
        <v>57.077286739771878</v>
      </c>
      <c r="AH1622" s="44">
        <v>73.896787334302203</v>
      </c>
      <c r="AI1622" s="44">
        <v>66.178571428571431</v>
      </c>
      <c r="AJ1622" s="44">
        <v>65.519230769230774</v>
      </c>
      <c r="AK1622" s="53" t="str">
        <f>_xlfn.XLOOKUP(Master[[#This Row],[cu_id]],'[1]Customer Revenue'!$Q:$Q,'[1]Customer Revenue'!$I:$I, "None")</f>
        <v>None</v>
      </c>
      <c r="AL1622" s="44">
        <v>65.487037037037041</v>
      </c>
      <c r="AM1622" s="43">
        <v>0.29166666666666669</v>
      </c>
      <c r="AN1622" s="42">
        <v>0.58333333333333337</v>
      </c>
      <c r="AO1622" s="42" t="s">
        <v>36</v>
      </c>
      <c r="AP1622" s="42" t="s">
        <v>36</v>
      </c>
      <c r="AQ1622" s="41" t="s">
        <v>0</v>
      </c>
      <c r="AR1622" s="41"/>
      <c r="AS1622" s="41"/>
      <c r="AT1622" s="40">
        <v>0</v>
      </c>
      <c r="AU1622" s="40">
        <f>IF(Master[[#This Row],[RSP StopTime override]] &lt;&gt; "",Master[[#This Row],[RSP StopTime override]],IF(Master[[#This Row],[Avg stop time helper]] &lt;&gt; 0, Master[[#This Row],[Avg stop time helper]],Average_Stop_Time))</f>
        <v>15</v>
      </c>
      <c r="AV1622" s="20">
        <v>15</v>
      </c>
      <c r="AW1622" s="20">
        <f>Master[[#This Row],[RSP StopTime override]]-Master[[#This Row],[Avg stop time helper]]</f>
        <v>15</v>
      </c>
    </row>
    <row r="1623" spans="1:49" x14ac:dyDescent="0.3">
      <c r="A1623" s="59" t="s">
        <v>3809</v>
      </c>
      <c r="B1623" s="29">
        <v>50</v>
      </c>
      <c r="C1623" s="29" t="s">
        <v>43</v>
      </c>
      <c r="D1623" s="31">
        <v>27828</v>
      </c>
      <c r="E1623" s="31" t="s">
        <v>64</v>
      </c>
      <c r="F1623" s="31" t="s">
        <v>63</v>
      </c>
      <c r="G1623" s="31" t="s">
        <v>62</v>
      </c>
      <c r="H1623" s="31" t="s">
        <v>32</v>
      </c>
      <c r="I1623" s="31" t="s">
        <v>12</v>
      </c>
      <c r="J1623" s="31" t="s">
        <v>5</v>
      </c>
      <c r="K1623" s="31" t="s">
        <v>61</v>
      </c>
      <c r="L1623" s="30" t="s">
        <v>37</v>
      </c>
      <c r="M1623" s="29" t="s">
        <v>3</v>
      </c>
      <c r="N1623" s="29" t="s">
        <v>2</v>
      </c>
      <c r="O1623" s="29">
        <v>1</v>
      </c>
      <c r="P1623" s="29">
        <v>1</v>
      </c>
      <c r="Q1623" s="29">
        <v>0</v>
      </c>
      <c r="R1623" s="29">
        <v>0</v>
      </c>
      <c r="S1623" s="29">
        <v>140</v>
      </c>
      <c r="T1623" s="29">
        <v>0</v>
      </c>
      <c r="U1623" s="29">
        <v>108</v>
      </c>
      <c r="V1623" s="27">
        <v>121</v>
      </c>
      <c r="W1623" s="27">
        <v>2</v>
      </c>
      <c r="X1623" s="28">
        <v>0.98347107438016534</v>
      </c>
      <c r="Y1623" s="27">
        <v>8</v>
      </c>
      <c r="Z1623" s="27">
        <v>121</v>
      </c>
      <c r="AA1623" s="26"/>
      <c r="AB1623" s="26"/>
      <c r="AC1623" s="26"/>
      <c r="AD1623" s="26"/>
      <c r="AE1623" s="53"/>
      <c r="AF1623" s="53"/>
      <c r="AG1623" s="26"/>
      <c r="AH1623" s="26"/>
      <c r="AI1623" s="26"/>
      <c r="AJ1623" s="26">
        <v>426.23615384615391</v>
      </c>
      <c r="AK1623" s="53">
        <v>378</v>
      </c>
      <c r="AL1623" s="26">
        <v>428.68346153846153</v>
      </c>
      <c r="AM1623" s="25">
        <v>0.27083333333333331</v>
      </c>
      <c r="AN1623" s="24">
        <v>0.66666666666666663</v>
      </c>
      <c r="AO1623" s="24" t="s">
        <v>36</v>
      </c>
      <c r="AP1623" s="24" t="s">
        <v>36</v>
      </c>
      <c r="AQ1623" s="23" t="s">
        <v>0</v>
      </c>
      <c r="AR1623" s="23"/>
      <c r="AS1623" s="23"/>
      <c r="AT1623" s="22">
        <v>0</v>
      </c>
      <c r="AU1623" s="21">
        <v>10</v>
      </c>
      <c r="AV1623" s="20">
        <v>20</v>
      </c>
    </row>
    <row r="1624" spans="1:49" x14ac:dyDescent="0.3">
      <c r="A1624" s="59" t="s">
        <v>1842</v>
      </c>
      <c r="B1624" s="29">
        <v>50</v>
      </c>
      <c r="C1624" s="29" t="s">
        <v>24</v>
      </c>
      <c r="D1624" s="31">
        <v>27828</v>
      </c>
      <c r="E1624" s="31" t="s">
        <v>64</v>
      </c>
      <c r="F1624" s="31" t="s">
        <v>63</v>
      </c>
      <c r="G1624" s="31" t="s">
        <v>62</v>
      </c>
      <c r="H1624" s="31" t="s">
        <v>32</v>
      </c>
      <c r="I1624" s="31" t="s">
        <v>12</v>
      </c>
      <c r="J1624" s="31" t="s">
        <v>5</v>
      </c>
      <c r="K1624" s="31" t="s">
        <v>61</v>
      </c>
      <c r="L1624" s="30" t="s">
        <v>37</v>
      </c>
      <c r="M1624" s="29" t="s">
        <v>3</v>
      </c>
      <c r="N1624" s="29" t="s">
        <v>2</v>
      </c>
      <c r="O1624" s="29">
        <v>1</v>
      </c>
      <c r="P1624" s="29">
        <v>1</v>
      </c>
      <c r="Q1624" s="29">
        <v>0</v>
      </c>
      <c r="R1624" s="29">
        <v>0</v>
      </c>
      <c r="S1624" s="29">
        <v>140</v>
      </c>
      <c r="T1624" s="29">
        <v>0</v>
      </c>
      <c r="U1624" s="29">
        <v>108</v>
      </c>
      <c r="V1624" s="27">
        <v>121</v>
      </c>
      <c r="W1624" s="27">
        <v>2</v>
      </c>
      <c r="X1624" s="28">
        <f>IFERROR(1 -(Master[[#This Row],[Avg Garment Scans per Delivery]]/Master[[#This Row],[Garment Inventory]]), 0)</f>
        <v>0.98347107438016534</v>
      </c>
      <c r="Y1624" s="27">
        <v>8</v>
      </c>
      <c r="Z1624" s="27">
        <v>121</v>
      </c>
      <c r="AA1624" s="26">
        <v>243.35165680473366</v>
      </c>
      <c r="AB1624" s="26">
        <v>300.12680473372785</v>
      </c>
      <c r="AC1624" s="26">
        <v>302.96585798816562</v>
      </c>
      <c r="AD1624" s="26">
        <v>325.19875739644971</v>
      </c>
      <c r="AE1624" s="53">
        <v>287</v>
      </c>
      <c r="AF1624" s="53">
        <v>469</v>
      </c>
      <c r="AG1624" s="26">
        <v>258.65538461538466</v>
      </c>
      <c r="AH1624" s="26">
        <v>290.54461538461538</v>
      </c>
      <c r="AI1624" s="26">
        <v>271.73923076923074</v>
      </c>
      <c r="AJ1624" s="26">
        <v>314.08230769230767</v>
      </c>
      <c r="AK1624" s="53">
        <v>378</v>
      </c>
      <c r="AL1624" s="26">
        <v>274.60000000000002</v>
      </c>
      <c r="AM1624" s="25">
        <v>0.27083333333333331</v>
      </c>
      <c r="AN1624" s="24">
        <v>0.625</v>
      </c>
      <c r="AO1624" s="24" t="s">
        <v>36</v>
      </c>
      <c r="AP1624" s="24" t="s">
        <v>36</v>
      </c>
      <c r="AQ1624" s="29" t="s">
        <v>0</v>
      </c>
      <c r="AR1624" s="29"/>
      <c r="AS1624" s="29"/>
      <c r="AT1624" s="22">
        <v>0</v>
      </c>
      <c r="AU1624" s="101">
        <f>IF(Master[[#This Row],[RSP StopTime override]] &lt;&gt; "",Master[[#This Row],[RSP StopTime override]],IF(Master[[#This Row],[Avg stop time helper]] &lt;&gt; 0, Master[[#This Row],[Avg stop time helper]],Average_Stop_Time))</f>
        <v>8</v>
      </c>
      <c r="AV1624" s="20">
        <v>8</v>
      </c>
      <c r="AW1624" s="20">
        <f>Master[[#This Row],[RSP StopTime override]]-Master[[#This Row],[Avg stop time helper]]</f>
        <v>8</v>
      </c>
    </row>
    <row r="1625" spans="1:49" x14ac:dyDescent="0.3">
      <c r="A1625" s="59" t="s">
        <v>1841</v>
      </c>
      <c r="B1625" s="29">
        <v>50</v>
      </c>
      <c r="C1625" s="29" t="s">
        <v>43</v>
      </c>
      <c r="D1625" s="31">
        <v>27828</v>
      </c>
      <c r="E1625" s="31" t="s">
        <v>64</v>
      </c>
      <c r="F1625" s="31" t="s">
        <v>63</v>
      </c>
      <c r="G1625" s="31" t="s">
        <v>62</v>
      </c>
      <c r="H1625" s="31" t="s">
        <v>32</v>
      </c>
      <c r="I1625" s="31" t="s">
        <v>12</v>
      </c>
      <c r="J1625" s="31" t="s">
        <v>5</v>
      </c>
      <c r="K1625" s="31" t="s">
        <v>61</v>
      </c>
      <c r="L1625" s="30" t="s">
        <v>37</v>
      </c>
      <c r="M1625" s="29" t="s">
        <v>3</v>
      </c>
      <c r="N1625" s="29" t="s">
        <v>2</v>
      </c>
      <c r="O1625" s="29">
        <v>1</v>
      </c>
      <c r="P1625" s="29">
        <v>1</v>
      </c>
      <c r="Q1625" s="29">
        <v>0</v>
      </c>
      <c r="R1625" s="29">
        <v>0</v>
      </c>
      <c r="S1625" s="29">
        <v>140</v>
      </c>
      <c r="T1625" s="29">
        <v>0</v>
      </c>
      <c r="U1625" s="29">
        <v>108</v>
      </c>
      <c r="V1625" s="27">
        <v>121</v>
      </c>
      <c r="W1625" s="27">
        <v>2</v>
      </c>
      <c r="X1625" s="28">
        <f>IFERROR(1 -(Master[[#This Row],[Avg Garment Scans per Delivery]]/Master[[#This Row],[Garment Inventory]]), 0)</f>
        <v>0.98347107438016534</v>
      </c>
      <c r="Y1625" s="27">
        <v>8</v>
      </c>
      <c r="Z1625" s="27">
        <v>121</v>
      </c>
      <c r="AA1625" s="26">
        <v>323.27479289940828</v>
      </c>
      <c r="AB1625" s="26">
        <v>649.65751479289952</v>
      </c>
      <c r="AC1625" s="26">
        <v>418.25165680473378</v>
      </c>
      <c r="AD1625" s="26">
        <v>434.22065088757404</v>
      </c>
      <c r="AE1625" s="53">
        <v>287</v>
      </c>
      <c r="AF1625" s="53">
        <v>469</v>
      </c>
      <c r="AG1625" s="26">
        <v>338.17630177514792</v>
      </c>
      <c r="AH1625" s="26">
        <v>519.19062130177508</v>
      </c>
      <c r="AI1625" s="26">
        <v>486.46615384615387</v>
      </c>
      <c r="AJ1625" s="26">
        <v>426.23615384615391</v>
      </c>
      <c r="AK1625" s="53">
        <v>378</v>
      </c>
      <c r="AL1625" s="26">
        <v>428.68346153846153</v>
      </c>
      <c r="AM1625" s="25">
        <v>0.27083333333333331</v>
      </c>
      <c r="AN1625" s="24">
        <v>0.66666666666666663</v>
      </c>
      <c r="AO1625" s="24" t="s">
        <v>36</v>
      </c>
      <c r="AP1625" s="24" t="s">
        <v>36</v>
      </c>
      <c r="AQ1625" s="29" t="s">
        <v>0</v>
      </c>
      <c r="AR1625" s="29"/>
      <c r="AS1625" s="29"/>
      <c r="AT1625" s="22">
        <v>0</v>
      </c>
      <c r="AU1625" s="101">
        <f>IF(Master[[#This Row],[RSP StopTime override]] &lt;&gt; "",Master[[#This Row],[RSP StopTime override]],IF(Master[[#This Row],[Avg stop time helper]] &lt;&gt; 0, Master[[#This Row],[Avg stop time helper]],Average_Stop_Time))</f>
        <v>20</v>
      </c>
      <c r="AV1625" s="20">
        <v>20</v>
      </c>
      <c r="AW1625" s="20">
        <f>Master[[#This Row],[RSP StopTime override]]-Master[[#This Row],[Avg stop time helper]]</f>
        <v>20</v>
      </c>
    </row>
    <row r="1626" spans="1:49" x14ac:dyDescent="0.3">
      <c r="A1626" s="131" t="s">
        <v>4081</v>
      </c>
      <c r="B1626" s="37">
        <v>12</v>
      </c>
      <c r="C1626" s="37" t="s">
        <v>15</v>
      </c>
      <c r="D1626" s="39">
        <v>533298</v>
      </c>
      <c r="E1626" s="39" t="s">
        <v>42</v>
      </c>
      <c r="F1626" s="39" t="s">
        <v>66</v>
      </c>
      <c r="G1626" s="39" t="s">
        <v>65</v>
      </c>
      <c r="H1626" s="39" t="s">
        <v>7</v>
      </c>
      <c r="I1626" s="39" t="s">
        <v>12</v>
      </c>
      <c r="J1626" s="39" t="s">
        <v>5</v>
      </c>
      <c r="K1626" s="39" t="s">
        <v>30</v>
      </c>
      <c r="L1626" s="38" t="s">
        <v>37</v>
      </c>
      <c r="M1626" s="37" t="s">
        <v>3</v>
      </c>
      <c r="N1626" s="37" t="s">
        <v>2</v>
      </c>
      <c r="O1626" s="37">
        <v>1</v>
      </c>
      <c r="P1626" s="37">
        <v>1</v>
      </c>
      <c r="Q1626" s="37">
        <v>120</v>
      </c>
      <c r="R1626" s="37">
        <v>10</v>
      </c>
      <c r="S1626" s="37">
        <v>10</v>
      </c>
      <c r="T1626" s="37">
        <v>10</v>
      </c>
      <c r="U1626" s="37">
        <v>52</v>
      </c>
      <c r="V1626" s="36"/>
      <c r="W1626" s="36"/>
      <c r="X1626" s="28">
        <v>0</v>
      </c>
      <c r="Y1626" s="36"/>
      <c r="Z1626" s="36"/>
      <c r="AA1626" s="35"/>
      <c r="AB1626" s="35"/>
      <c r="AC1626" s="35"/>
      <c r="AD1626" s="35"/>
      <c r="AE1626" s="53"/>
      <c r="AF1626" s="53"/>
      <c r="AG1626" s="35"/>
      <c r="AH1626" s="35"/>
      <c r="AI1626" s="35"/>
      <c r="AJ1626" s="35"/>
      <c r="AK1626" s="53"/>
      <c r="AL1626" s="35">
        <v>2906.3346153846137</v>
      </c>
      <c r="AM1626" s="34">
        <v>0.25</v>
      </c>
      <c r="AN1626" s="33">
        <v>0.66666666666666663</v>
      </c>
      <c r="AO1626" s="33" t="s">
        <v>36</v>
      </c>
      <c r="AP1626" s="33" t="s">
        <v>36</v>
      </c>
      <c r="AQ1626" s="32" t="s">
        <v>0</v>
      </c>
      <c r="AR1626" s="32"/>
      <c r="AS1626" s="32"/>
      <c r="AT1626" s="22">
        <v>0</v>
      </c>
      <c r="AU1626" s="21"/>
      <c r="AV1626" s="20">
        <v>0</v>
      </c>
    </row>
    <row r="1627" spans="1:49" x14ac:dyDescent="0.3">
      <c r="A1627" s="59" t="s">
        <v>1549</v>
      </c>
      <c r="B1627" s="29">
        <v>12</v>
      </c>
      <c r="C1627" s="29" t="s">
        <v>15</v>
      </c>
      <c r="D1627" s="31">
        <v>533298</v>
      </c>
      <c r="E1627" s="31" t="s">
        <v>42</v>
      </c>
      <c r="F1627" s="31" t="s">
        <v>66</v>
      </c>
      <c r="G1627" s="31" t="s">
        <v>65</v>
      </c>
      <c r="H1627" s="31" t="s">
        <v>7</v>
      </c>
      <c r="I1627" s="31" t="s">
        <v>12</v>
      </c>
      <c r="J1627" s="31" t="s">
        <v>5</v>
      </c>
      <c r="K1627" s="31" t="s">
        <v>30</v>
      </c>
      <c r="L1627" s="30" t="s">
        <v>37</v>
      </c>
      <c r="M1627" s="29" t="s">
        <v>3</v>
      </c>
      <c r="N1627" s="29" t="s">
        <v>2</v>
      </c>
      <c r="O1627" s="29">
        <v>1</v>
      </c>
      <c r="P1627" s="29">
        <v>1</v>
      </c>
      <c r="Q1627" s="29">
        <v>120</v>
      </c>
      <c r="R1627" s="29">
        <v>10</v>
      </c>
      <c r="S1627" s="29">
        <v>10</v>
      </c>
      <c r="T1627" s="29">
        <v>10</v>
      </c>
      <c r="U1627" s="29">
        <v>52</v>
      </c>
      <c r="V1627" s="27"/>
      <c r="W1627" s="27"/>
      <c r="X1627" s="28">
        <f>IFERROR(1 -(Master[[#This Row],[Avg Garment Scans per Delivery]]/Master[[#This Row],[Garment Inventory]]), 0)</f>
        <v>0</v>
      </c>
      <c r="Y1627" s="27"/>
      <c r="Z1627" s="27"/>
      <c r="AA1627" s="26">
        <v>2907.59</v>
      </c>
      <c r="AB1627" s="26">
        <v>2907.59</v>
      </c>
      <c r="AC1627" s="26">
        <v>2899.4451479289942</v>
      </c>
      <c r="AD1627" s="26">
        <v>2966.7871597633134</v>
      </c>
      <c r="AE1627" s="53">
        <v>1802</v>
      </c>
      <c r="AF1627" s="53">
        <v>3727</v>
      </c>
      <c r="AG1627" s="26">
        <v>2904.2101183431923</v>
      </c>
      <c r="AH1627" s="26">
        <v>2908.4591124260351</v>
      </c>
      <c r="AI1627" s="26">
        <v>2907.59</v>
      </c>
      <c r="AJ1627" s="26">
        <v>2933.1161538461538</v>
      </c>
      <c r="AK1627" s="53">
        <v>2764</v>
      </c>
      <c r="AL1627" s="26">
        <v>2906.3346153846137</v>
      </c>
      <c r="AM1627" s="25">
        <v>0.25</v>
      </c>
      <c r="AN1627" s="24">
        <v>0.66666666666666663</v>
      </c>
      <c r="AO1627" s="24" t="s">
        <v>36</v>
      </c>
      <c r="AP1627" s="24" t="s">
        <v>36</v>
      </c>
      <c r="AQ1627" s="29" t="s">
        <v>0</v>
      </c>
      <c r="AR1627" s="29"/>
      <c r="AS1627" s="29"/>
      <c r="AT1627" s="22">
        <v>0</v>
      </c>
      <c r="AU1627" s="101" t="e">
        <f>IF(Master[[#This Row],[RSP StopTime override]] &lt;&gt; "",Master[[#This Row],[RSP StopTime override]],IF(Master[[#This Row],[Avg stop time helper]] &lt;&gt; 0, Master[[#This Row],[Avg stop time helper]],Average_Stop_Time))</f>
        <v>#DIV/0!</v>
      </c>
      <c r="AV1627" s="20"/>
      <c r="AW1627" s="20">
        <f>Master[[#This Row],[RSP StopTime override]]-Master[[#This Row],[Avg stop time helper]]</f>
        <v>0</v>
      </c>
    </row>
    <row r="1628" spans="1:49" x14ac:dyDescent="0.3">
      <c r="A1628" s="59" t="s">
        <v>1840</v>
      </c>
      <c r="B1628" s="29">
        <v>12</v>
      </c>
      <c r="C1628" s="29" t="s">
        <v>24</v>
      </c>
      <c r="D1628" s="31">
        <v>533298</v>
      </c>
      <c r="E1628" s="31" t="s">
        <v>42</v>
      </c>
      <c r="F1628" s="31" t="s">
        <v>66</v>
      </c>
      <c r="G1628" s="31" t="s">
        <v>65</v>
      </c>
      <c r="H1628" s="31" t="s">
        <v>7</v>
      </c>
      <c r="I1628" s="31" t="s">
        <v>12</v>
      </c>
      <c r="J1628" s="31" t="s">
        <v>5</v>
      </c>
      <c r="K1628" s="31" t="s">
        <v>30</v>
      </c>
      <c r="L1628" s="30" t="s">
        <v>37</v>
      </c>
      <c r="M1628" s="29" t="s">
        <v>3</v>
      </c>
      <c r="N1628" s="29" t="s">
        <v>2</v>
      </c>
      <c r="O1628" s="29">
        <v>1</v>
      </c>
      <c r="P1628" s="29">
        <v>1</v>
      </c>
      <c r="Q1628" s="29">
        <v>120</v>
      </c>
      <c r="R1628" s="29">
        <v>10</v>
      </c>
      <c r="S1628" s="29">
        <v>10</v>
      </c>
      <c r="T1628" s="29">
        <v>10</v>
      </c>
      <c r="U1628" s="29">
        <v>52</v>
      </c>
      <c r="V1628" s="27"/>
      <c r="W1628" s="27"/>
      <c r="X1628" s="28">
        <f>IFERROR(1 -(Master[[#This Row],[Avg Garment Scans per Delivery]]/Master[[#This Row],[Garment Inventory]]), 0)</f>
        <v>0</v>
      </c>
      <c r="Y1628" s="27"/>
      <c r="Z1628" s="27"/>
      <c r="AA1628" s="26"/>
      <c r="AB1628" s="26"/>
      <c r="AC1628" s="26"/>
      <c r="AD1628" s="26"/>
      <c r="AE1628" s="53"/>
      <c r="AF1628" s="53"/>
      <c r="AG1628" s="26"/>
      <c r="AH1628" s="26"/>
      <c r="AI1628" s="26"/>
      <c r="AJ1628" s="26"/>
      <c r="AK1628" s="53"/>
      <c r="AL1628" s="26"/>
      <c r="AM1628" s="25">
        <v>0.25</v>
      </c>
      <c r="AN1628" s="24">
        <v>0.66666666666666663</v>
      </c>
      <c r="AO1628" s="24" t="s">
        <v>36</v>
      </c>
      <c r="AP1628" s="24" t="s">
        <v>36</v>
      </c>
      <c r="AQ1628" s="29" t="s">
        <v>0</v>
      </c>
      <c r="AR1628" s="29"/>
      <c r="AS1628" s="29"/>
      <c r="AT1628" s="22">
        <v>0</v>
      </c>
      <c r="AU1628" s="101" t="e">
        <f>IF(Master[[#This Row],[RSP StopTime override]] &lt;&gt; "",Master[[#This Row],[RSP StopTime override]],IF(Master[[#This Row],[Avg stop time helper]] &lt;&gt; 0, Master[[#This Row],[Avg stop time helper]],Average_Stop_Time))</f>
        <v>#DIV/0!</v>
      </c>
      <c r="AV1628" s="20"/>
      <c r="AW1628" s="20">
        <f>Master[[#This Row],[RSP StopTime override]]-Master[[#This Row],[Avg stop time helper]]</f>
        <v>0</v>
      </c>
    </row>
    <row r="1629" spans="1:49" x14ac:dyDescent="0.3">
      <c r="A1629" s="59" t="s">
        <v>1775</v>
      </c>
      <c r="B1629" s="29">
        <v>12</v>
      </c>
      <c r="C1629" s="29" t="s">
        <v>43</v>
      </c>
      <c r="D1629" s="31">
        <v>533298</v>
      </c>
      <c r="E1629" s="31" t="s">
        <v>42</v>
      </c>
      <c r="F1629" s="31" t="s">
        <v>66</v>
      </c>
      <c r="G1629" s="31" t="s">
        <v>65</v>
      </c>
      <c r="H1629" s="31" t="s">
        <v>7</v>
      </c>
      <c r="I1629" s="31" t="s">
        <v>12</v>
      </c>
      <c r="J1629" s="31" t="s">
        <v>5</v>
      </c>
      <c r="K1629" s="31" t="s">
        <v>30</v>
      </c>
      <c r="L1629" s="30" t="s">
        <v>37</v>
      </c>
      <c r="M1629" s="29" t="s">
        <v>3</v>
      </c>
      <c r="N1629" s="29" t="s">
        <v>2</v>
      </c>
      <c r="O1629" s="29">
        <v>1</v>
      </c>
      <c r="P1629" s="29">
        <v>1</v>
      </c>
      <c r="Q1629" s="29">
        <v>120</v>
      </c>
      <c r="R1629" s="29">
        <v>10</v>
      </c>
      <c r="S1629" s="29">
        <v>10</v>
      </c>
      <c r="T1629" s="29">
        <v>10</v>
      </c>
      <c r="U1629" s="29">
        <v>52</v>
      </c>
      <c r="V1629" s="27"/>
      <c r="W1629" s="27"/>
      <c r="X1629" s="28">
        <f>IFERROR(1 -(Master[[#This Row],[Avg Garment Scans per Delivery]]/Master[[#This Row],[Garment Inventory]]), 0)</f>
        <v>0</v>
      </c>
      <c r="Y1629" s="27"/>
      <c r="Z1629" s="27"/>
      <c r="AA1629" s="26"/>
      <c r="AB1629" s="26"/>
      <c r="AC1629" s="26"/>
      <c r="AD1629" s="26"/>
      <c r="AE1629" s="53"/>
      <c r="AF1629" s="53"/>
      <c r="AG1629" s="26"/>
      <c r="AH1629" s="26"/>
      <c r="AI1629" s="26"/>
      <c r="AJ1629" s="26"/>
      <c r="AK1629" s="53"/>
      <c r="AL1629" s="26"/>
      <c r="AM1629" s="25">
        <v>0.25</v>
      </c>
      <c r="AN1629" s="24">
        <v>0.66666666666666663</v>
      </c>
      <c r="AO1629" s="24" t="s">
        <v>36</v>
      </c>
      <c r="AP1629" s="24" t="s">
        <v>36</v>
      </c>
      <c r="AQ1629" s="29" t="s">
        <v>0</v>
      </c>
      <c r="AR1629" s="29"/>
      <c r="AS1629" s="29"/>
      <c r="AT1629" s="22">
        <v>0</v>
      </c>
      <c r="AU1629" s="101" t="e">
        <f>IF(Master[[#This Row],[RSP StopTime override]] &lt;&gt; "",Master[[#This Row],[RSP StopTime override]],IF(Master[[#This Row],[Avg stop time helper]] &lt;&gt; 0, Master[[#This Row],[Avg stop time helper]],Average_Stop_Time))</f>
        <v>#DIV/0!</v>
      </c>
      <c r="AV1629" s="20"/>
      <c r="AW1629" s="20">
        <f>Master[[#This Row],[RSP StopTime override]]-Master[[#This Row],[Avg stop time helper]]</f>
        <v>0</v>
      </c>
    </row>
    <row r="1630" spans="1:49" s="10" customFormat="1" x14ac:dyDescent="0.3">
      <c r="A1630" s="66" t="s">
        <v>1839</v>
      </c>
      <c r="B1630" s="58">
        <v>12</v>
      </c>
      <c r="C1630" s="58" t="s">
        <v>35</v>
      </c>
      <c r="D1630" s="65">
        <v>533298</v>
      </c>
      <c r="E1630" s="65" t="s">
        <v>42</v>
      </c>
      <c r="F1630" s="65" t="s">
        <v>66</v>
      </c>
      <c r="G1630" s="65" t="s">
        <v>65</v>
      </c>
      <c r="H1630" s="65" t="s">
        <v>7</v>
      </c>
      <c r="I1630" s="65" t="s">
        <v>12</v>
      </c>
      <c r="J1630" s="65" t="s">
        <v>5</v>
      </c>
      <c r="K1630" s="65" t="s">
        <v>30</v>
      </c>
      <c r="L1630" s="64" t="s">
        <v>37</v>
      </c>
      <c r="M1630" s="58" t="s">
        <v>3</v>
      </c>
      <c r="N1630" s="58" t="s">
        <v>2</v>
      </c>
      <c r="O1630" s="58">
        <v>1</v>
      </c>
      <c r="P1630" s="58">
        <v>1</v>
      </c>
      <c r="Q1630" s="58">
        <v>120</v>
      </c>
      <c r="R1630" s="58">
        <v>10</v>
      </c>
      <c r="S1630" s="58">
        <v>10</v>
      </c>
      <c r="T1630" s="58">
        <v>10</v>
      </c>
      <c r="U1630" s="58">
        <v>52</v>
      </c>
      <c r="V1630" s="62"/>
      <c r="W1630" s="62"/>
      <c r="X1630" s="63">
        <f>IFERROR(1 -(Master[[#This Row],[Avg Garment Scans per Delivery]]/Master[[#This Row],[Garment Inventory]]), 0)</f>
        <v>0</v>
      </c>
      <c r="Y1630" s="45"/>
      <c r="Z1630" s="62"/>
      <c r="AA1630" s="53"/>
      <c r="AB1630" s="53"/>
      <c r="AC1630" s="53"/>
      <c r="AD1630" s="53"/>
      <c r="AE1630" s="53"/>
      <c r="AF1630" s="53"/>
      <c r="AG1630" s="53"/>
      <c r="AH1630" s="53"/>
      <c r="AI1630" s="53"/>
      <c r="AJ1630" s="53"/>
      <c r="AK1630" s="53"/>
      <c r="AL1630" s="53"/>
      <c r="AM1630" s="61">
        <v>0.25</v>
      </c>
      <c r="AN1630" s="60">
        <v>0.66666666666666663</v>
      </c>
      <c r="AO1630" s="60" t="s">
        <v>36</v>
      </c>
      <c r="AP1630" s="60" t="s">
        <v>36</v>
      </c>
      <c r="AQ1630" s="58" t="s">
        <v>0</v>
      </c>
      <c r="AR1630" s="58"/>
      <c r="AS1630" s="58"/>
      <c r="AT1630" s="52">
        <v>0</v>
      </c>
      <c r="AU1630" s="52" t="e">
        <f>IF(Master[[#This Row],[RSP StopTime override]] &lt;&gt; "",Master[[#This Row],[RSP StopTime override]],IF(Master[[#This Row],[Avg stop time helper]] &lt;&gt; 0, Master[[#This Row],[Avg stop time helper]],Average_Stop_Time))</f>
        <v>#DIV/0!</v>
      </c>
      <c r="AV1630" s="21"/>
      <c r="AW1630" s="20">
        <f>Master[[#This Row],[RSP StopTime override]]-Master[[#This Row],[Avg stop time helper]]</f>
        <v>0</v>
      </c>
    </row>
    <row r="1631" spans="1:49" x14ac:dyDescent="0.3">
      <c r="A1631" s="102" t="s">
        <v>5618</v>
      </c>
      <c r="B1631" s="105">
        <v>47</v>
      </c>
      <c r="C1631" s="105" t="s">
        <v>15</v>
      </c>
      <c r="D1631" s="103">
        <v>533660</v>
      </c>
      <c r="E1631" s="103">
        <v>0</v>
      </c>
      <c r="F1631" s="103" t="s">
        <v>28</v>
      </c>
      <c r="G1631" s="103" t="s">
        <v>27</v>
      </c>
      <c r="H1631" s="103" t="s">
        <v>7</v>
      </c>
      <c r="I1631" s="103" t="s">
        <v>26</v>
      </c>
      <c r="J1631" s="103" t="s">
        <v>5</v>
      </c>
      <c r="K1631" s="103" t="s">
        <v>25</v>
      </c>
      <c r="L1631" s="122">
        <v>7</v>
      </c>
      <c r="M1631" s="105" t="s">
        <v>3</v>
      </c>
      <c r="N1631" s="105" t="s">
        <v>2</v>
      </c>
      <c r="O1631" s="105">
        <v>1</v>
      </c>
      <c r="P1631" s="105">
        <v>0</v>
      </c>
      <c r="Q1631" s="105">
        <v>0</v>
      </c>
      <c r="R1631" s="105">
        <v>0</v>
      </c>
      <c r="S1631" s="105">
        <v>0</v>
      </c>
      <c r="T1631" s="105">
        <v>1</v>
      </c>
      <c r="U1631" s="105"/>
      <c r="V1631" s="105">
        <v>8</v>
      </c>
      <c r="W1631" s="123"/>
      <c r="X1631" s="123"/>
      <c r="Y1631" s="124">
        <v>8</v>
      </c>
      <c r="Z1631" s="123">
        <v>0</v>
      </c>
      <c r="AA1631" s="125">
        <v>85.46</v>
      </c>
      <c r="AB1631" s="125">
        <v>85.46</v>
      </c>
      <c r="AC1631" s="125">
        <v>85.46</v>
      </c>
      <c r="AD1631" s="125">
        <v>85.46</v>
      </c>
      <c r="AE1631" s="125">
        <v>85.46</v>
      </c>
      <c r="AF1631" s="125">
        <v>85.46</v>
      </c>
      <c r="AG1631" s="125">
        <v>85.46</v>
      </c>
      <c r="AH1631" s="125">
        <v>85.46</v>
      </c>
      <c r="AI1631" s="125">
        <v>85.46</v>
      </c>
      <c r="AJ1631" s="125">
        <v>85.46</v>
      </c>
      <c r="AK1631" s="125">
        <v>85.46</v>
      </c>
      <c r="AL1631" s="125">
        <v>85.46</v>
      </c>
      <c r="AM1631" s="125" t="s">
        <v>1</v>
      </c>
      <c r="AN1631" s="125" t="s">
        <v>1</v>
      </c>
      <c r="AO1631" s="126"/>
      <c r="AP1631" s="126"/>
      <c r="AQ1631" s="125" t="s">
        <v>0</v>
      </c>
      <c r="AR1631" s="125"/>
      <c r="AS1631" s="125"/>
      <c r="AT1631" s="52">
        <v>0</v>
      </c>
      <c r="AU1631" s="52" t="e">
        <f>IF(Master[[#This Row],[RSP StopTime override]] &lt;&gt; "",Master[[#This Row],[RSP StopTime override]],IF(Master[[#This Row],[Avg stop time helper]] &lt;&gt; 0, Master[[#This Row],[Avg stop time helper]],Average_Stop_Time))</f>
        <v>#DIV/0!</v>
      </c>
      <c r="AV1631" s="21"/>
      <c r="AW1631" s="20">
        <f>Master[[#This Row],[RSP StopTime override]]-Master[[#This Row],[Avg stop time helper]]</f>
        <v>0</v>
      </c>
    </row>
    <row r="1632" spans="1:49" x14ac:dyDescent="0.3">
      <c r="A1632" s="102" t="s">
        <v>5619</v>
      </c>
      <c r="B1632" s="105">
        <v>51</v>
      </c>
      <c r="C1632" s="105" t="s">
        <v>24</v>
      </c>
      <c r="D1632" s="103">
        <v>533661</v>
      </c>
      <c r="E1632" s="103">
        <v>0</v>
      </c>
      <c r="F1632" s="103" t="s">
        <v>23</v>
      </c>
      <c r="G1632" s="103" t="s">
        <v>22</v>
      </c>
      <c r="H1632" s="103" t="s">
        <v>21</v>
      </c>
      <c r="I1632" s="103" t="s">
        <v>12</v>
      </c>
      <c r="J1632" s="103" t="s">
        <v>5</v>
      </c>
      <c r="K1632" s="103" t="s">
        <v>20</v>
      </c>
      <c r="L1632" s="122">
        <v>7</v>
      </c>
      <c r="M1632" s="105" t="s">
        <v>3</v>
      </c>
      <c r="N1632" s="105" t="s">
        <v>2</v>
      </c>
      <c r="O1632" s="105">
        <v>1</v>
      </c>
      <c r="P1632" s="105">
        <v>1</v>
      </c>
      <c r="Q1632" s="105">
        <v>0</v>
      </c>
      <c r="R1632" s="105">
        <v>0</v>
      </c>
      <c r="S1632" s="105">
        <v>0</v>
      </c>
      <c r="T1632" s="105">
        <v>0</v>
      </c>
      <c r="U1632" s="105"/>
      <c r="V1632" s="105"/>
      <c r="W1632" s="123"/>
      <c r="X1632" s="123"/>
      <c r="Y1632" s="124">
        <f>IFERROR(1 -(Master[[#This Row],[Avg Garment Scans per Delivery]]/Master[[#This Row],[Garment Inventory]]), 0)</f>
        <v>0</v>
      </c>
      <c r="Z1632" s="123">
        <v>0</v>
      </c>
      <c r="AA1632" s="125">
        <v>97.39</v>
      </c>
      <c r="AB1632" s="125">
        <v>97.39</v>
      </c>
      <c r="AC1632" s="125">
        <v>97.39</v>
      </c>
      <c r="AD1632" s="125">
        <v>97.39</v>
      </c>
      <c r="AE1632" s="125">
        <v>97.39</v>
      </c>
      <c r="AF1632" s="125">
        <v>97.39</v>
      </c>
      <c r="AG1632" s="125">
        <v>97.39</v>
      </c>
      <c r="AH1632" s="125">
        <v>97.39</v>
      </c>
      <c r="AI1632" s="125">
        <v>97.39</v>
      </c>
      <c r="AJ1632" s="125">
        <v>97.39</v>
      </c>
      <c r="AK1632" s="125">
        <v>97.39</v>
      </c>
      <c r="AL1632" s="125">
        <v>97.39</v>
      </c>
      <c r="AM1632" s="125" t="s">
        <v>1</v>
      </c>
      <c r="AN1632" s="125" t="s">
        <v>1</v>
      </c>
      <c r="AO1632" s="126"/>
      <c r="AP1632" s="126"/>
      <c r="AQ1632" s="125" t="s">
        <v>0</v>
      </c>
      <c r="AR1632" s="125"/>
      <c r="AS1632" s="125"/>
      <c r="AT1632" s="52">
        <v>0</v>
      </c>
      <c r="AU1632" s="52" t="e">
        <f>IF(Master[[#This Row],[RSP StopTime override]] &lt;&gt; "",Master[[#This Row],[RSP StopTime override]],IF(Master[[#This Row],[Avg stop time helper]] &lt;&gt; 0, Master[[#This Row],[Avg stop time helper]],Average_Stop_Time))</f>
        <v>#DIV/0!</v>
      </c>
      <c r="AV1632" s="21"/>
      <c r="AW1632" s="20">
        <f>Master[[#This Row],[RSP StopTime override]]-Master[[#This Row],[Avg stop time helper]]</f>
        <v>0</v>
      </c>
    </row>
    <row r="1633" spans="1:49" x14ac:dyDescent="0.3">
      <c r="A1633" s="66" t="s">
        <v>1838</v>
      </c>
      <c r="B1633" s="58">
        <v>12</v>
      </c>
      <c r="C1633" s="58" t="s">
        <v>10</v>
      </c>
      <c r="D1633" s="65">
        <v>533298</v>
      </c>
      <c r="E1633" s="65" t="s">
        <v>42</v>
      </c>
      <c r="F1633" s="65" t="s">
        <v>66</v>
      </c>
      <c r="G1633" s="65" t="s">
        <v>65</v>
      </c>
      <c r="H1633" s="65" t="s">
        <v>7</v>
      </c>
      <c r="I1633" s="65" t="s">
        <v>12</v>
      </c>
      <c r="J1633" s="65" t="s">
        <v>5</v>
      </c>
      <c r="K1633" s="65" t="s">
        <v>30</v>
      </c>
      <c r="L1633" s="64" t="s">
        <v>37</v>
      </c>
      <c r="M1633" s="58" t="s">
        <v>3</v>
      </c>
      <c r="N1633" s="58" t="s">
        <v>2</v>
      </c>
      <c r="O1633" s="58">
        <v>1</v>
      </c>
      <c r="P1633" s="58">
        <v>1</v>
      </c>
      <c r="Q1633" s="58">
        <v>120</v>
      </c>
      <c r="R1633" s="58">
        <v>10</v>
      </c>
      <c r="S1633" s="58">
        <v>10</v>
      </c>
      <c r="T1633" s="58">
        <v>10</v>
      </c>
      <c r="U1633" s="58">
        <v>52</v>
      </c>
      <c r="V1633" s="127"/>
      <c r="W1633" s="127"/>
      <c r="X1633" s="128">
        <f>IFERROR(1 -(Master[[#This Row],[Avg Garment Scans per Delivery]]/Master[[#This Row],[Garment Inventory]]), 0)</f>
        <v>0</v>
      </c>
      <c r="Y1633" s="129"/>
      <c r="Z1633" s="127"/>
      <c r="AA1633" s="130"/>
      <c r="AB1633" s="130"/>
      <c r="AC1633" s="130"/>
      <c r="AD1633" s="130"/>
      <c r="AE1633" s="130"/>
      <c r="AF1633" s="130"/>
      <c r="AG1633" s="130"/>
      <c r="AH1633" s="130"/>
      <c r="AI1633" s="130"/>
      <c r="AJ1633" s="130"/>
      <c r="AK1633" s="130"/>
      <c r="AL1633" s="130"/>
      <c r="AM1633" s="83">
        <v>0.25</v>
      </c>
      <c r="AN1633" s="82">
        <v>0.66666666666666663</v>
      </c>
      <c r="AO1633" s="82" t="s">
        <v>36</v>
      </c>
      <c r="AP1633" s="82" t="s">
        <v>36</v>
      </c>
      <c r="AQ1633" s="58" t="s">
        <v>0</v>
      </c>
      <c r="AR1633" s="58"/>
      <c r="AS1633" s="58"/>
      <c r="AT1633" s="52">
        <v>0</v>
      </c>
      <c r="AU1633" s="52" t="e">
        <f>IF(Master[[#This Row],[RSP StopTime override]] &lt;&gt; "",Master[[#This Row],[RSP StopTime override]],IF(Master[[#This Row],[Avg stop time helper]] &lt;&gt; 0, Master[[#This Row],[Avg stop time helper]],Average_Stop_Time))</f>
        <v>#DIV/0!</v>
      </c>
      <c r="AV1633" s="21"/>
      <c r="AW1633" s="20">
        <f>Master[[#This Row],[RSP StopTime override]]-Master[[#This Row],[Avg stop time helper]]</f>
        <v>0</v>
      </c>
    </row>
    <row r="1634" spans="1:49" x14ac:dyDescent="0.3">
      <c r="A1634" s="102" t="s">
        <v>5620</v>
      </c>
      <c r="B1634" s="105">
        <v>52</v>
      </c>
      <c r="C1634" s="105" t="s">
        <v>15</v>
      </c>
      <c r="D1634" s="103">
        <v>533668</v>
      </c>
      <c r="E1634" s="103">
        <v>0</v>
      </c>
      <c r="F1634" s="103" t="s">
        <v>14</v>
      </c>
      <c r="G1634" s="103" t="s">
        <v>13</v>
      </c>
      <c r="H1634" s="103" t="s">
        <v>7</v>
      </c>
      <c r="I1634" s="103" t="s">
        <v>12</v>
      </c>
      <c r="J1634" s="103" t="s">
        <v>5</v>
      </c>
      <c r="K1634" s="103" t="s">
        <v>11</v>
      </c>
      <c r="L1634" s="122">
        <v>7</v>
      </c>
      <c r="M1634" s="105" t="s">
        <v>3</v>
      </c>
      <c r="N1634" s="105" t="s">
        <v>2</v>
      </c>
      <c r="O1634" s="105">
        <v>1</v>
      </c>
      <c r="P1634" s="105">
        <v>0</v>
      </c>
      <c r="Q1634" s="105">
        <v>0</v>
      </c>
      <c r="R1634" s="105">
        <v>0</v>
      </c>
      <c r="S1634" s="105">
        <v>0</v>
      </c>
      <c r="T1634" s="105">
        <v>1</v>
      </c>
      <c r="U1634" s="105"/>
      <c r="V1634" s="105"/>
      <c r="W1634" s="123"/>
      <c r="X1634" s="123"/>
      <c r="Y1634" s="124">
        <f>IFERROR(1 -(Master[[#This Row],[Avg Garment Scans per Delivery]]/Master[[#This Row],[Garment Inventory]]), 0)</f>
        <v>0</v>
      </c>
      <c r="Z1634" s="123">
        <v>0</v>
      </c>
      <c r="AA1634" s="125">
        <v>150</v>
      </c>
      <c r="AB1634" s="125">
        <v>150</v>
      </c>
      <c r="AC1634" s="125">
        <v>150</v>
      </c>
      <c r="AD1634" s="125">
        <v>150</v>
      </c>
      <c r="AE1634" s="125">
        <v>150</v>
      </c>
      <c r="AF1634" s="125">
        <v>150</v>
      </c>
      <c r="AG1634" s="125">
        <v>150</v>
      </c>
      <c r="AH1634" s="125">
        <v>150</v>
      </c>
      <c r="AI1634" s="125">
        <v>150</v>
      </c>
      <c r="AJ1634" s="125">
        <v>150</v>
      </c>
      <c r="AK1634" s="125">
        <v>150</v>
      </c>
      <c r="AL1634" s="125">
        <v>150</v>
      </c>
      <c r="AM1634" s="125" t="s">
        <v>1</v>
      </c>
      <c r="AN1634" s="125" t="s">
        <v>1</v>
      </c>
      <c r="AO1634" s="126"/>
      <c r="AP1634" s="126"/>
      <c r="AQ1634" s="125" t="s">
        <v>0</v>
      </c>
      <c r="AR1634" s="125"/>
      <c r="AS1634" s="125"/>
      <c r="AT1634" s="52">
        <v>0</v>
      </c>
      <c r="AU1634" s="52" t="e">
        <f>IF(Master[[#This Row],[RSP StopTime override]] &lt;&gt; "",Master[[#This Row],[RSP StopTime override]],IF(Master[[#This Row],[Avg stop time helper]] &lt;&gt; 0, Master[[#This Row],[Avg stop time helper]],Average_Stop_Time))</f>
        <v>#DIV/0!</v>
      </c>
      <c r="AV1634" s="21"/>
      <c r="AW1634" s="20">
        <f>Master[[#This Row],[RSP StopTime override]]-Master[[#This Row],[Avg stop time helper]]</f>
        <v>0</v>
      </c>
    </row>
    <row r="1635" spans="1:49" x14ac:dyDescent="0.3">
      <c r="A1635" s="102" t="s">
        <v>5621</v>
      </c>
      <c r="B1635" s="105">
        <v>56</v>
      </c>
      <c r="C1635" s="105" t="s">
        <v>10</v>
      </c>
      <c r="D1635" s="103">
        <v>804064</v>
      </c>
      <c r="E1635" s="103">
        <v>0</v>
      </c>
      <c r="F1635" s="103" t="s">
        <v>9</v>
      </c>
      <c r="G1635" s="103" t="s">
        <v>8</v>
      </c>
      <c r="H1635" s="103" t="s">
        <v>7</v>
      </c>
      <c r="I1635" s="103" t="s">
        <v>6</v>
      </c>
      <c r="J1635" s="103" t="s">
        <v>5</v>
      </c>
      <c r="K1635" s="103" t="s">
        <v>4</v>
      </c>
      <c r="L1635" s="122">
        <v>7</v>
      </c>
      <c r="M1635" s="105" t="s">
        <v>3</v>
      </c>
      <c r="N1635" s="105" t="s">
        <v>2</v>
      </c>
      <c r="O1635" s="105">
        <v>98</v>
      </c>
      <c r="P1635" s="105">
        <v>0</v>
      </c>
      <c r="Q1635" s="105">
        <v>0</v>
      </c>
      <c r="R1635" s="105">
        <v>98</v>
      </c>
      <c r="S1635" s="105">
        <v>0</v>
      </c>
      <c r="T1635" s="105">
        <v>0</v>
      </c>
      <c r="U1635" s="105">
        <v>12</v>
      </c>
      <c r="V1635" s="105">
        <v>9</v>
      </c>
      <c r="W1635" s="123"/>
      <c r="X1635" s="123"/>
      <c r="Y1635" s="124">
        <v>3</v>
      </c>
      <c r="Z1635" s="123">
        <v>10</v>
      </c>
      <c r="AA1635" s="125">
        <v>36.76</v>
      </c>
      <c r="AB1635" s="125">
        <v>36.76</v>
      </c>
      <c r="AC1635" s="125">
        <v>36.76</v>
      </c>
      <c r="AD1635" s="125">
        <v>36.76</v>
      </c>
      <c r="AE1635" s="125">
        <v>36.76</v>
      </c>
      <c r="AF1635" s="125">
        <v>36.76</v>
      </c>
      <c r="AG1635" s="125">
        <v>36.76</v>
      </c>
      <c r="AH1635" s="125">
        <v>36.76</v>
      </c>
      <c r="AI1635" s="125">
        <v>36.76</v>
      </c>
      <c r="AJ1635" s="125">
        <v>36.76</v>
      </c>
      <c r="AK1635" s="125">
        <v>36.76</v>
      </c>
      <c r="AL1635" s="125">
        <v>36.76</v>
      </c>
      <c r="AM1635" s="125" t="s">
        <v>1</v>
      </c>
      <c r="AN1635" s="125" t="s">
        <v>1</v>
      </c>
      <c r="AO1635" s="126"/>
      <c r="AP1635" s="126"/>
      <c r="AQ1635" s="125" t="s">
        <v>0</v>
      </c>
      <c r="AR1635" s="125"/>
      <c r="AS1635" s="125"/>
      <c r="AT1635" s="52">
        <v>0</v>
      </c>
      <c r="AU1635" s="52" t="e">
        <f>IF(Master[[#This Row],[RSP StopTime override]] &lt;&gt; "",Master[[#This Row],[RSP StopTime override]],IF(Master[[#This Row],[Avg stop time helper]] &lt;&gt; 0, Master[[#This Row],[Avg stop time helper]],Average_Stop_Time))</f>
        <v>#DIV/0!</v>
      </c>
      <c r="AV1635" s="21"/>
      <c r="AW1635" s="20">
        <f>Master[[#This Row],[RSP StopTime override]]-Master[[#This Row],[Avg stop time helper]]</f>
        <v>0</v>
      </c>
    </row>
    <row r="1636" spans="1:49" x14ac:dyDescent="0.3">
      <c r="A1636" s="153" t="s">
        <v>3769</v>
      </c>
      <c r="B1636" s="106">
        <v>50</v>
      </c>
      <c r="C1636" s="106" t="s">
        <v>15</v>
      </c>
      <c r="D1636" s="107">
        <v>99094</v>
      </c>
      <c r="E1636" s="107">
        <v>1</v>
      </c>
      <c r="F1636" s="107" t="s">
        <v>3770</v>
      </c>
      <c r="G1636" s="107" t="s">
        <v>3771</v>
      </c>
      <c r="H1636" s="107" t="s">
        <v>7</v>
      </c>
      <c r="I1636" s="107" t="s">
        <v>1920</v>
      </c>
      <c r="J1636" s="107" t="s">
        <v>5</v>
      </c>
      <c r="K1636" s="107" t="s">
        <v>1919</v>
      </c>
      <c r="L1636" s="108">
        <v>7</v>
      </c>
      <c r="M1636" s="106" t="s">
        <v>3</v>
      </c>
      <c r="N1636" s="106" t="s">
        <v>2</v>
      </c>
      <c r="O1636" s="106">
        <v>115</v>
      </c>
      <c r="P1636" s="106">
        <v>0</v>
      </c>
      <c r="Q1636" s="106">
        <v>0</v>
      </c>
      <c r="R1636" s="106">
        <v>0</v>
      </c>
      <c r="S1636" s="106">
        <v>0</v>
      </c>
      <c r="T1636" s="106">
        <v>115</v>
      </c>
      <c r="U1636" s="106"/>
      <c r="V1636" s="109"/>
      <c r="W1636" s="109"/>
      <c r="X1636" s="120"/>
      <c r="Y1636" s="110">
        <v>0</v>
      </c>
      <c r="Z1636" s="109"/>
      <c r="AA1636" s="111"/>
      <c r="AB1636" s="111"/>
      <c r="AC1636" s="111"/>
      <c r="AD1636" s="111"/>
      <c r="AE1636" s="111"/>
      <c r="AF1636" s="111"/>
      <c r="AG1636" s="111"/>
      <c r="AH1636" s="111"/>
      <c r="AI1636" s="111"/>
      <c r="AJ1636" s="111"/>
      <c r="AK1636" s="111"/>
      <c r="AL1636" s="111"/>
      <c r="AM1636" s="112">
        <v>0.375</v>
      </c>
      <c r="AN1636" s="113">
        <v>0.70833333333333337</v>
      </c>
      <c r="AO1636" s="113"/>
      <c r="AP1636" s="113"/>
      <c r="AQ1636" s="125" t="s">
        <v>0</v>
      </c>
      <c r="AR1636" s="132"/>
      <c r="AS1636" s="132"/>
      <c r="AT1636" s="52">
        <v>0</v>
      </c>
      <c r="AU1636" s="52" t="e">
        <f>IF(Master[[#This Row],[RSP StopTime override]] &lt;&gt; "",Master[[#This Row],[RSP StopTime override]],IF(Master[[#This Row],[Avg stop time helper]] &lt;&gt; 0, Master[[#This Row],[Avg stop time helper]],Average_Stop_Time))</f>
        <v>#DIV/0!</v>
      </c>
      <c r="AV1636" s="21"/>
      <c r="AW1636" s="20">
        <f>Master[[#This Row],[RSP StopTime override]]-Master[[#This Row],[Avg stop time helper]]</f>
        <v>0</v>
      </c>
    </row>
    <row r="1637" spans="1:49" x14ac:dyDescent="0.3">
      <c r="A1637" s="154" t="s">
        <v>3772</v>
      </c>
      <c r="B1637" s="134">
        <v>56</v>
      </c>
      <c r="C1637" s="134" t="s">
        <v>24</v>
      </c>
      <c r="D1637" s="135">
        <v>532625</v>
      </c>
      <c r="E1637" s="135">
        <v>0</v>
      </c>
      <c r="F1637" s="135" t="s">
        <v>3773</v>
      </c>
      <c r="G1637" s="135" t="s">
        <v>3774</v>
      </c>
      <c r="H1637" s="135" t="s">
        <v>7</v>
      </c>
      <c r="I1637" s="135" t="s">
        <v>1183</v>
      </c>
      <c r="J1637" s="135" t="s">
        <v>5</v>
      </c>
      <c r="K1637" s="135" t="s">
        <v>1182</v>
      </c>
      <c r="L1637" s="136">
        <v>0</v>
      </c>
      <c r="M1637" s="106" t="s">
        <v>3</v>
      </c>
      <c r="N1637" s="106" t="s">
        <v>144</v>
      </c>
      <c r="O1637" s="106">
        <v>1</v>
      </c>
      <c r="P1637" s="106">
        <v>1</v>
      </c>
      <c r="Q1637" s="106">
        <v>0</v>
      </c>
      <c r="R1637" s="106">
        <v>0</v>
      </c>
      <c r="S1637" s="106">
        <v>0</v>
      </c>
      <c r="T1637" s="106">
        <v>0</v>
      </c>
      <c r="U1637" s="106"/>
      <c r="V1637" s="109"/>
      <c r="W1637" s="109"/>
      <c r="X1637" s="120"/>
      <c r="Y1637" s="110">
        <v>0</v>
      </c>
      <c r="Z1637" s="109"/>
      <c r="AA1637" s="111"/>
      <c r="AB1637" s="111"/>
      <c r="AC1637" s="111"/>
      <c r="AD1637" s="111"/>
      <c r="AE1637" s="111"/>
      <c r="AF1637" s="111"/>
      <c r="AG1637" s="111"/>
      <c r="AH1637" s="111"/>
      <c r="AI1637" s="111"/>
      <c r="AJ1637" s="111"/>
      <c r="AK1637" s="111"/>
      <c r="AL1637" s="111"/>
      <c r="AM1637" s="112"/>
      <c r="AN1637" s="113"/>
      <c r="AO1637" s="113"/>
      <c r="AP1637" s="113"/>
      <c r="AQ1637" s="125" t="s">
        <v>0</v>
      </c>
      <c r="AR1637" s="132"/>
      <c r="AS1637" s="132"/>
      <c r="AT1637" s="52">
        <v>0</v>
      </c>
      <c r="AU1637" s="52" t="e">
        <f>IF(Master[[#This Row],[RSP StopTime override]] &lt;&gt; "",Master[[#This Row],[RSP StopTime override]],IF(Master[[#This Row],[Avg stop time helper]] &lt;&gt; 0, Master[[#This Row],[Avg stop time helper]],Average_Stop_Time))</f>
        <v>#DIV/0!</v>
      </c>
      <c r="AV1637" s="21"/>
      <c r="AW1637" s="20">
        <f>Master[[#This Row],[RSP StopTime override]]-Master[[#This Row],[Avg stop time helper]]</f>
        <v>0</v>
      </c>
    </row>
    <row r="1638" spans="1:49" x14ac:dyDescent="0.3">
      <c r="A1638" s="154" t="s">
        <v>3775</v>
      </c>
      <c r="B1638" s="134">
        <v>47</v>
      </c>
      <c r="C1638" s="134" t="s">
        <v>43</v>
      </c>
      <c r="D1638" s="135">
        <v>533678</v>
      </c>
      <c r="E1638" s="135">
        <v>0</v>
      </c>
      <c r="F1638" s="135" t="s">
        <v>3776</v>
      </c>
      <c r="G1638" s="135" t="s">
        <v>3777</v>
      </c>
      <c r="H1638" s="135" t="s">
        <v>7</v>
      </c>
      <c r="I1638" s="135" t="s">
        <v>2609</v>
      </c>
      <c r="J1638" s="135" t="s">
        <v>5</v>
      </c>
      <c r="K1638" s="135" t="s">
        <v>2608</v>
      </c>
      <c r="L1638" s="136">
        <v>7</v>
      </c>
      <c r="M1638" s="106" t="s">
        <v>3</v>
      </c>
      <c r="N1638" s="106" t="s">
        <v>2</v>
      </c>
      <c r="O1638" s="106">
        <v>1</v>
      </c>
      <c r="P1638" s="106">
        <v>0</v>
      </c>
      <c r="Q1638" s="106">
        <v>0</v>
      </c>
      <c r="R1638" s="106">
        <v>0</v>
      </c>
      <c r="S1638" s="106">
        <v>1</v>
      </c>
      <c r="T1638" s="106">
        <v>0</v>
      </c>
      <c r="U1638" s="106"/>
      <c r="V1638" s="109"/>
      <c r="W1638" s="109"/>
      <c r="X1638" s="120"/>
      <c r="Y1638" s="110">
        <v>0</v>
      </c>
      <c r="Z1638" s="109"/>
      <c r="AA1638" s="111"/>
      <c r="AB1638" s="111"/>
      <c r="AC1638" s="111"/>
      <c r="AD1638" s="111"/>
      <c r="AE1638" s="111"/>
      <c r="AF1638" s="111"/>
      <c r="AG1638" s="111"/>
      <c r="AH1638" s="111"/>
      <c r="AI1638" s="111"/>
      <c r="AJ1638" s="111"/>
      <c r="AK1638" s="111"/>
      <c r="AL1638" s="111"/>
      <c r="AM1638" s="112">
        <v>0.45833333333333331</v>
      </c>
      <c r="AN1638" s="113">
        <v>0.875</v>
      </c>
      <c r="AO1638" s="113"/>
      <c r="AP1638" s="113"/>
      <c r="AQ1638" s="125" t="s">
        <v>0</v>
      </c>
      <c r="AR1638" s="132"/>
      <c r="AS1638" s="132"/>
      <c r="AT1638" s="52">
        <v>0</v>
      </c>
      <c r="AU1638" s="52" t="e">
        <f>IF(Master[[#This Row],[RSP StopTime override]] &lt;&gt; "",Master[[#This Row],[RSP StopTime override]],IF(Master[[#This Row],[Avg stop time helper]] &lt;&gt; 0, Master[[#This Row],[Avg stop time helper]],Average_Stop_Time))</f>
        <v>#DIV/0!</v>
      </c>
      <c r="AV1638" s="21"/>
      <c r="AW1638" s="20">
        <f>Master[[#This Row],[RSP StopTime override]]-Master[[#This Row],[Avg stop time helper]]</f>
        <v>0</v>
      </c>
    </row>
    <row r="1639" spans="1:49" x14ac:dyDescent="0.3">
      <c r="A1639" s="154" t="s">
        <v>3778</v>
      </c>
      <c r="B1639" s="134">
        <v>12</v>
      </c>
      <c r="C1639" s="134" t="s">
        <v>24</v>
      </c>
      <c r="D1639" s="135">
        <v>533680</v>
      </c>
      <c r="E1639" s="135">
        <v>0</v>
      </c>
      <c r="F1639" s="135" t="s">
        <v>3779</v>
      </c>
      <c r="G1639" s="135" t="s">
        <v>3780</v>
      </c>
      <c r="H1639" s="135" t="s">
        <v>7</v>
      </c>
      <c r="I1639" s="135" t="s">
        <v>12</v>
      </c>
      <c r="J1639" s="135" t="s">
        <v>5</v>
      </c>
      <c r="K1639" s="135" t="s">
        <v>1599</v>
      </c>
      <c r="L1639" s="136">
        <v>7</v>
      </c>
      <c r="M1639" s="106" t="s">
        <v>3</v>
      </c>
      <c r="N1639" s="106" t="s">
        <v>2</v>
      </c>
      <c r="O1639" s="106">
        <v>1</v>
      </c>
      <c r="P1639" s="106">
        <v>1</v>
      </c>
      <c r="Q1639" s="106">
        <v>0</v>
      </c>
      <c r="R1639" s="106">
        <v>0</v>
      </c>
      <c r="S1639" s="106">
        <v>0</v>
      </c>
      <c r="T1639" s="106">
        <v>0</v>
      </c>
      <c r="U1639" s="106"/>
      <c r="V1639" s="109">
        <v>196</v>
      </c>
      <c r="W1639" s="109"/>
      <c r="X1639" s="120"/>
      <c r="Y1639" s="110">
        <v>0</v>
      </c>
      <c r="Z1639" s="109"/>
      <c r="AA1639" s="111"/>
      <c r="AB1639" s="111"/>
      <c r="AC1639" s="111"/>
      <c r="AD1639" s="111"/>
      <c r="AE1639" s="111"/>
      <c r="AF1639" s="111"/>
      <c r="AG1639" s="111"/>
      <c r="AH1639" s="111"/>
      <c r="AI1639" s="111"/>
      <c r="AJ1639" s="111"/>
      <c r="AK1639" s="111"/>
      <c r="AL1639" s="111"/>
      <c r="AM1639" s="112">
        <v>0.33333333333333331</v>
      </c>
      <c r="AN1639" s="113">
        <v>0.70833333333333337</v>
      </c>
      <c r="AO1639" s="113"/>
      <c r="AP1639" s="113"/>
      <c r="AQ1639" s="125" t="s">
        <v>0</v>
      </c>
      <c r="AR1639" s="132"/>
      <c r="AS1639" s="132"/>
      <c r="AT1639" s="52">
        <v>0</v>
      </c>
      <c r="AU1639" s="52" t="e">
        <f>IF(Master[[#This Row],[RSP StopTime override]] &lt;&gt; "",Master[[#This Row],[RSP StopTime override]],IF(Master[[#This Row],[Avg stop time helper]] &lt;&gt; 0, Master[[#This Row],[Avg stop time helper]],Average_Stop_Time))</f>
        <v>#DIV/0!</v>
      </c>
      <c r="AV1639" s="21"/>
      <c r="AW1639" s="20">
        <f>Master[[#This Row],[RSP StopTime override]]-Master[[#This Row],[Avg stop time helper]]</f>
        <v>0</v>
      </c>
    </row>
    <row r="1640" spans="1:49" x14ac:dyDescent="0.3">
      <c r="A1640" s="154" t="s">
        <v>3781</v>
      </c>
      <c r="B1640" s="134">
        <v>52</v>
      </c>
      <c r="C1640" s="134" t="s">
        <v>10</v>
      </c>
      <c r="D1640" s="135">
        <v>533694</v>
      </c>
      <c r="E1640" s="135">
        <v>0</v>
      </c>
      <c r="F1640" s="135" t="s">
        <v>3782</v>
      </c>
      <c r="G1640" s="135" t="s">
        <v>3783</v>
      </c>
      <c r="H1640" s="135" t="s">
        <v>7</v>
      </c>
      <c r="I1640" s="135" t="s">
        <v>1600</v>
      </c>
      <c r="J1640" s="135" t="s">
        <v>5</v>
      </c>
      <c r="K1640" s="135" t="s">
        <v>1624</v>
      </c>
      <c r="L1640" s="136">
        <v>6</v>
      </c>
      <c r="M1640" s="106" t="s">
        <v>29</v>
      </c>
      <c r="N1640" s="106" t="s">
        <v>2</v>
      </c>
      <c r="O1640" s="106">
        <v>1</v>
      </c>
      <c r="P1640" s="106">
        <v>0</v>
      </c>
      <c r="Q1640" s="106">
        <v>0</v>
      </c>
      <c r="R1640" s="106">
        <v>1</v>
      </c>
      <c r="S1640" s="106">
        <v>0</v>
      </c>
      <c r="T1640" s="106">
        <v>0</v>
      </c>
      <c r="U1640" s="106"/>
      <c r="V1640" s="109"/>
      <c r="W1640" s="109"/>
      <c r="X1640" s="120"/>
      <c r="Y1640" s="110">
        <v>0</v>
      </c>
      <c r="Z1640" s="109"/>
      <c r="AA1640" s="111"/>
      <c r="AB1640" s="111"/>
      <c r="AC1640" s="111"/>
      <c r="AD1640" s="111"/>
      <c r="AE1640" s="111"/>
      <c r="AF1640" s="111"/>
      <c r="AG1640" s="111"/>
      <c r="AH1640" s="111"/>
      <c r="AI1640" s="111"/>
      <c r="AJ1640" s="111"/>
      <c r="AK1640" s="111"/>
      <c r="AL1640" s="111"/>
      <c r="AM1640" s="112">
        <v>0.375</v>
      </c>
      <c r="AN1640" s="113">
        <v>0.75</v>
      </c>
      <c r="AO1640" s="113"/>
      <c r="AP1640" s="113"/>
      <c r="AQ1640" s="125" t="s">
        <v>0</v>
      </c>
      <c r="AR1640" s="132"/>
      <c r="AS1640" s="132"/>
      <c r="AT1640" s="52">
        <v>0</v>
      </c>
      <c r="AU1640" s="52" t="e">
        <f>IF(Master[[#This Row],[RSP StopTime override]] &lt;&gt; "",Master[[#This Row],[RSP StopTime override]],IF(Master[[#This Row],[Avg stop time helper]] &lt;&gt; 0, Master[[#This Row],[Avg stop time helper]],Average_Stop_Time))</f>
        <v>#DIV/0!</v>
      </c>
      <c r="AV1640" s="21"/>
      <c r="AW1640" s="20">
        <f>Master[[#This Row],[RSP StopTime override]]-Master[[#This Row],[Avg stop time helper]]</f>
        <v>0</v>
      </c>
    </row>
    <row r="1641" spans="1:49" x14ac:dyDescent="0.3">
      <c r="A1641" s="154" t="s">
        <v>3784</v>
      </c>
      <c r="B1641" s="134">
        <v>52</v>
      </c>
      <c r="C1641" s="134" t="s">
        <v>15</v>
      </c>
      <c r="D1641" s="135">
        <v>533696</v>
      </c>
      <c r="E1641" s="135">
        <v>0</v>
      </c>
      <c r="F1641" s="135" t="s">
        <v>3785</v>
      </c>
      <c r="G1641" s="135" t="s">
        <v>3786</v>
      </c>
      <c r="H1641" s="135" t="s">
        <v>7</v>
      </c>
      <c r="I1641" s="135" t="s">
        <v>12</v>
      </c>
      <c r="J1641" s="135" t="s">
        <v>5</v>
      </c>
      <c r="K1641" s="135" t="s">
        <v>57</v>
      </c>
      <c r="L1641" s="136">
        <v>6</v>
      </c>
      <c r="M1641" s="106" t="s">
        <v>29</v>
      </c>
      <c r="N1641" s="106" t="s">
        <v>2</v>
      </c>
      <c r="O1641" s="106">
        <v>1</v>
      </c>
      <c r="P1641" s="106">
        <v>0</v>
      </c>
      <c r="Q1641" s="106">
        <v>0</v>
      </c>
      <c r="R1641" s="106">
        <v>0</v>
      </c>
      <c r="S1641" s="106">
        <v>0</v>
      </c>
      <c r="T1641" s="106">
        <v>1</v>
      </c>
      <c r="U1641" s="106"/>
      <c r="V1641" s="109"/>
      <c r="W1641" s="109"/>
      <c r="X1641" s="120"/>
      <c r="Y1641" s="110">
        <v>0</v>
      </c>
      <c r="Z1641" s="109"/>
      <c r="AA1641" s="111"/>
      <c r="AB1641" s="111"/>
      <c r="AC1641" s="111"/>
      <c r="AD1641" s="111"/>
      <c r="AE1641" s="111"/>
      <c r="AF1641" s="111"/>
      <c r="AG1641" s="111"/>
      <c r="AH1641" s="111"/>
      <c r="AI1641" s="111"/>
      <c r="AJ1641" s="111"/>
      <c r="AK1641" s="111"/>
      <c r="AL1641" s="111"/>
      <c r="AM1641" s="112">
        <v>0.58333333333333337</v>
      </c>
      <c r="AN1641" s="113">
        <v>8.3333333333333329E-2</v>
      </c>
      <c r="AO1641" s="113"/>
      <c r="AP1641" s="113"/>
      <c r="AQ1641" s="125" t="s">
        <v>0</v>
      </c>
      <c r="AR1641" s="132"/>
      <c r="AS1641" s="132"/>
      <c r="AT1641" s="52">
        <v>0</v>
      </c>
      <c r="AU1641" s="52" t="e">
        <f>IF(Master[[#This Row],[RSP StopTime override]] &lt;&gt; "",Master[[#This Row],[RSP StopTime override]],IF(Master[[#This Row],[Avg stop time helper]] &lt;&gt; 0, Master[[#This Row],[Avg stop time helper]],Average_Stop_Time))</f>
        <v>#DIV/0!</v>
      </c>
      <c r="AV1641" s="21"/>
      <c r="AW1641" s="20">
        <f>Master[[#This Row],[RSP StopTime override]]-Master[[#This Row],[Avg stop time helper]]</f>
        <v>0</v>
      </c>
    </row>
    <row r="1642" spans="1:49" x14ac:dyDescent="0.3">
      <c r="A1642" s="155" t="s">
        <v>3787</v>
      </c>
      <c r="B1642" s="137">
        <v>50</v>
      </c>
      <c r="C1642" s="137" t="s">
        <v>35</v>
      </c>
      <c r="D1642" s="138">
        <v>533698</v>
      </c>
      <c r="E1642" s="138">
        <v>0</v>
      </c>
      <c r="F1642" s="138" t="s">
        <v>3788</v>
      </c>
      <c r="G1642" s="138" t="s">
        <v>2408</v>
      </c>
      <c r="H1642" s="138" t="s">
        <v>7</v>
      </c>
      <c r="I1642" s="138" t="s">
        <v>12</v>
      </c>
      <c r="J1642" s="138" t="s">
        <v>5</v>
      </c>
      <c r="K1642" s="138" t="s">
        <v>1215</v>
      </c>
      <c r="L1642" s="139">
        <v>6</v>
      </c>
      <c r="M1642" s="114" t="s">
        <v>29</v>
      </c>
      <c r="N1642" s="114" t="s">
        <v>2</v>
      </c>
      <c r="O1642" s="114">
        <v>1</v>
      </c>
      <c r="P1642" s="114">
        <v>0</v>
      </c>
      <c r="Q1642" s="114">
        <v>1</v>
      </c>
      <c r="R1642" s="114">
        <v>0</v>
      </c>
      <c r="S1642" s="114">
        <v>0</v>
      </c>
      <c r="T1642" s="114">
        <v>0</v>
      </c>
      <c r="U1642" s="114"/>
      <c r="V1642" s="115"/>
      <c r="W1642" s="115"/>
      <c r="X1642" s="121"/>
      <c r="Y1642" s="116">
        <v>0</v>
      </c>
      <c r="Z1642" s="115"/>
      <c r="AA1642" s="117"/>
      <c r="AB1642" s="117"/>
      <c r="AC1642" s="117"/>
      <c r="AD1642" s="117"/>
      <c r="AE1642" s="117"/>
      <c r="AF1642" s="117"/>
      <c r="AG1642" s="117"/>
      <c r="AH1642" s="117"/>
      <c r="AI1642" s="117"/>
      <c r="AJ1642" s="117"/>
      <c r="AK1642" s="117"/>
      <c r="AL1642" s="117"/>
      <c r="AM1642" s="118">
        <v>0.45833333333333331</v>
      </c>
      <c r="AN1642" s="119">
        <v>0</v>
      </c>
      <c r="AO1642" s="119"/>
      <c r="AP1642" s="119"/>
      <c r="AQ1642" s="125" t="s">
        <v>0</v>
      </c>
      <c r="AR1642" s="133"/>
      <c r="AS1642" s="133"/>
      <c r="AT1642" s="22">
        <v>0</v>
      </c>
      <c r="AU1642" s="22" t="e">
        <f>IF(Master[[#This Row],[RSP StopTime override]] &lt;&gt; "",Master[[#This Row],[RSP StopTime override]],IF(Master[[#This Row],[Avg stop time helper]] &lt;&gt; 0, Master[[#This Row],[Avg stop time helper]],Average_Stop_Time))</f>
        <v>#DIV/0!</v>
      </c>
      <c r="AV1642" s="54"/>
      <c r="AW1642" s="20">
        <f>Master[[#This Row],[RSP StopTime override]]-Master[[#This Row],[Avg stop time helper]]</f>
        <v>0</v>
      </c>
    </row>
    <row r="1643" spans="1:49" x14ac:dyDescent="0.3">
      <c r="A1643" s="153" t="s">
        <v>4098</v>
      </c>
      <c r="B1643" s="106">
        <v>8010</v>
      </c>
      <c r="C1643" s="106" t="s">
        <v>35</v>
      </c>
      <c r="D1643" s="107">
        <v>533700</v>
      </c>
      <c r="E1643" s="107">
        <v>0</v>
      </c>
      <c r="F1643" s="107" t="s">
        <v>4099</v>
      </c>
      <c r="G1643" s="107" t="s">
        <v>4100</v>
      </c>
      <c r="H1643" s="107" t="s">
        <v>7</v>
      </c>
      <c r="I1643" s="107" t="s">
        <v>169</v>
      </c>
      <c r="J1643" s="107" t="s">
        <v>5</v>
      </c>
      <c r="K1643" s="107" t="s">
        <v>146</v>
      </c>
      <c r="L1643" s="108">
        <v>7</v>
      </c>
      <c r="M1643" s="106" t="s">
        <v>3</v>
      </c>
      <c r="N1643" s="106" t="s">
        <v>2</v>
      </c>
      <c r="O1643" s="106">
        <v>1</v>
      </c>
      <c r="P1643" s="106">
        <v>0</v>
      </c>
      <c r="Q1643" s="106">
        <v>1</v>
      </c>
      <c r="R1643" s="106">
        <v>0</v>
      </c>
      <c r="S1643" s="106">
        <v>0</v>
      </c>
      <c r="T1643" s="106">
        <v>0</v>
      </c>
      <c r="U1643" s="106"/>
      <c r="V1643" s="109"/>
      <c r="W1643" s="109">
        <v>0</v>
      </c>
      <c r="X1643" s="141">
        <f>IFERROR(1 -(Master[[#This Row],[Avg Garment Scans per Delivery]]/Master[[#This Row],[Garment Inventory]]), 0)</f>
        <v>0</v>
      </c>
      <c r="Y1643" s="109"/>
      <c r="Z1643" s="109"/>
      <c r="AA1643" s="111" t="e">
        <f>_xlfn.XLOOKUP(Master[[#This Row],[cu_id]],[1]!Customer_Revenue[cuid],  [1]!Customer_Revenue[Q1 Min], "None")</f>
        <v>#REF!</v>
      </c>
      <c r="AB1643" s="111" t="e">
        <f>_xlfn.XLOOKUP(Master[[#This Row],[cu_id]],[1]!Customer_Revenue[cuid],  [1]!Customer_Revenue[Q1 Max], "None")</f>
        <v>#REF!</v>
      </c>
      <c r="AC1643" s="111" t="e">
        <f>_xlfn.XLOOKUP(Master[[#This Row],[cu_id]],[1]!Customer_Revenue[cuid],  [1]!Customer_Revenue[Q2 Min], "None")</f>
        <v>#REF!</v>
      </c>
      <c r="AD1643" s="111" t="e">
        <f>_xlfn.XLOOKUP(Master[[#This Row],[cu_id]],[1]!Customer_Revenue[cuid],  [1]!Customer_Revenue[Q2 Max], "None")</f>
        <v>#REF!</v>
      </c>
      <c r="AE1643" s="111" t="e">
        <f>_xlfn.XLOOKUP(Master[[#This Row],[cu_id]],[1]!Customer_Revenue[cuid],  [1]!Customer_Revenue[Q3 Min], "None")</f>
        <v>#REF!</v>
      </c>
      <c r="AF1643" s="111" t="e">
        <f>_xlfn.XLOOKUP(Master[[#This Row],[cu_id]],[1]!Customer_Revenue[cuid],  [1]!Customer_Revenue[Q3 Max], "None")</f>
        <v>#REF!</v>
      </c>
      <c r="AG1643" s="111" t="e">
        <f>_xlfn.XLOOKUP(Master[[#This Row],[cu_id]],[1]!Customer_Revenue[cuid],  [1]!Customer_Revenue[Q4 Min], "None")</f>
        <v>#REF!</v>
      </c>
      <c r="AH1643" s="111" t="e">
        <f>_xlfn.XLOOKUP(Master[[#This Row],[cu_id]],[1]!Customer_Revenue[cuid],  [1]!Customer_Revenue[Q4 Max], "None")</f>
        <v>#REF!</v>
      </c>
      <c r="AI1643" s="111" t="e">
        <f>_xlfn.XLOOKUP(Master[[#This Row],[cu_id]],[1]!Customer_Revenue[cuid],  [1]!Customer_Revenue[Q1 Mean], "None")</f>
        <v>#REF!</v>
      </c>
      <c r="AJ1643" s="111" t="e">
        <f>_xlfn.XLOOKUP(Master[[#This Row],[cu_id]],[1]!Customer_Revenue[cuid],  [1]!Customer_Revenue[Q2 Mean], "None")</f>
        <v>#REF!</v>
      </c>
      <c r="AK1643" s="111" t="e">
        <f>_xlfn.XLOOKUP(Master[[#This Row],[cu_id]],[1]!Customer_Revenue[cuid],  [1]!Customer_Revenue[Q3 Mean], "None")</f>
        <v>#REF!</v>
      </c>
      <c r="AL1643" s="111" t="e">
        <f>_xlfn.XLOOKUP(Master[[#This Row],[cu_id]],[1]!Customer_Revenue[cuid],  [1]!Customer_Revenue[Q4 Mean], "None")</f>
        <v>#REF!</v>
      </c>
      <c r="AM1643" s="112" t="s">
        <v>1</v>
      </c>
      <c r="AN1643" s="113" t="s">
        <v>1</v>
      </c>
      <c r="AO1643" s="113" t="s">
        <v>7</v>
      </c>
      <c r="AP1643" s="113" t="s">
        <v>7</v>
      </c>
      <c r="AQ1643" s="142" t="s">
        <v>0</v>
      </c>
      <c r="AR1643" s="143"/>
      <c r="AS1643" s="143" t="s">
        <v>7</v>
      </c>
      <c r="AT1643" s="52">
        <v>0</v>
      </c>
      <c r="AU1643" s="52" t="e">
        <f>IF(Master[[#This Row],[RSP StopTime override]] &lt;&gt; "",Master[[#This Row],[RSP StopTime override]],IF(Master[[#This Row],[Avg stop time helper]] &lt;&gt; 0, Master[[#This Row],[Avg stop time helper]],Average_Stop_Time))</f>
        <v>#DIV/0!</v>
      </c>
      <c r="AV1643" s="21"/>
      <c r="AW1643" s="20">
        <f>Master[[#This Row],[RSP StopTime override]]-Master[[#This Row],[Avg stop time helper]]</f>
        <v>0</v>
      </c>
    </row>
    <row r="1644" spans="1:49" x14ac:dyDescent="0.3">
      <c r="A1644" s="153" t="s">
        <v>4101</v>
      </c>
      <c r="B1644" s="106">
        <v>12</v>
      </c>
      <c r="C1644" s="106" t="s">
        <v>15</v>
      </c>
      <c r="D1644" s="107">
        <v>533703</v>
      </c>
      <c r="E1644" s="107">
        <v>0</v>
      </c>
      <c r="F1644" s="107" t="s">
        <v>4102</v>
      </c>
      <c r="G1644" s="107" t="s">
        <v>4103</v>
      </c>
      <c r="H1644" s="107" t="s">
        <v>7</v>
      </c>
      <c r="I1644" s="107" t="s">
        <v>12</v>
      </c>
      <c r="J1644" s="107" t="s">
        <v>5</v>
      </c>
      <c r="K1644" s="107" t="s">
        <v>2215</v>
      </c>
      <c r="L1644" s="108">
        <v>7</v>
      </c>
      <c r="M1644" s="106" t="s">
        <v>3</v>
      </c>
      <c r="N1644" s="106" t="s">
        <v>2</v>
      </c>
      <c r="O1644" s="106">
        <v>1</v>
      </c>
      <c r="P1644" s="106">
        <v>0</v>
      </c>
      <c r="Q1644" s="106">
        <v>0</v>
      </c>
      <c r="R1644" s="106">
        <v>0</v>
      </c>
      <c r="S1644" s="106">
        <v>0</v>
      </c>
      <c r="T1644" s="106">
        <v>1</v>
      </c>
      <c r="U1644" s="106"/>
      <c r="V1644" s="109"/>
      <c r="W1644" s="109">
        <v>0</v>
      </c>
      <c r="X1644" s="110">
        <f>IFERROR(1 -(Master[[#This Row],[Avg Garment Scans per Delivery]]/Master[[#This Row],[Garment Inventory]]), 0)</f>
        <v>0</v>
      </c>
      <c r="Y1644" s="109"/>
      <c r="Z1644" s="109"/>
      <c r="AA1644" s="111" t="e">
        <f>_xlfn.XLOOKUP(Master[[#This Row],[cu_id]],[1]!Customer_Revenue[cuid],  [1]!Customer_Revenue[Q1 Min], "None")</f>
        <v>#REF!</v>
      </c>
      <c r="AB1644" s="111" t="e">
        <f>_xlfn.XLOOKUP(Master[[#This Row],[cu_id]],[1]!Customer_Revenue[cuid],  [1]!Customer_Revenue[Q1 Max], "None")</f>
        <v>#REF!</v>
      </c>
      <c r="AC1644" s="111" t="e">
        <f>_xlfn.XLOOKUP(Master[[#This Row],[cu_id]],[1]!Customer_Revenue[cuid],  [1]!Customer_Revenue[Q2 Min], "None")</f>
        <v>#REF!</v>
      </c>
      <c r="AD1644" s="111" t="e">
        <f>_xlfn.XLOOKUP(Master[[#This Row],[cu_id]],[1]!Customer_Revenue[cuid],  [1]!Customer_Revenue[Q2 Max], "None")</f>
        <v>#REF!</v>
      </c>
      <c r="AE1644" s="111" t="e">
        <f>_xlfn.XLOOKUP(Master[[#This Row],[cu_id]],[1]!Customer_Revenue[cuid],  [1]!Customer_Revenue[Q3 Min], "None")</f>
        <v>#REF!</v>
      </c>
      <c r="AF1644" s="111" t="e">
        <f>_xlfn.XLOOKUP(Master[[#This Row],[cu_id]],[1]!Customer_Revenue[cuid],  [1]!Customer_Revenue[Q3 Max], "None")</f>
        <v>#REF!</v>
      </c>
      <c r="AG1644" s="111" t="e">
        <f>_xlfn.XLOOKUP(Master[[#This Row],[cu_id]],[1]!Customer_Revenue[cuid],  [1]!Customer_Revenue[Q4 Min], "None")</f>
        <v>#REF!</v>
      </c>
      <c r="AH1644" s="111" t="e">
        <f>_xlfn.XLOOKUP(Master[[#This Row],[cu_id]],[1]!Customer_Revenue[cuid],  [1]!Customer_Revenue[Q4 Max], "None")</f>
        <v>#REF!</v>
      </c>
      <c r="AI1644" s="111" t="e">
        <f>_xlfn.XLOOKUP(Master[[#This Row],[cu_id]],[1]!Customer_Revenue[cuid],  [1]!Customer_Revenue[Q1 Mean], "None")</f>
        <v>#REF!</v>
      </c>
      <c r="AJ1644" s="111" t="e">
        <f>_xlfn.XLOOKUP(Master[[#This Row],[cu_id]],[1]!Customer_Revenue[cuid],  [1]!Customer_Revenue[Q2 Mean], "None")</f>
        <v>#REF!</v>
      </c>
      <c r="AK1644" s="111" t="e">
        <f>_xlfn.XLOOKUP(Master[[#This Row],[cu_id]],[1]!Customer_Revenue[cuid],  [1]!Customer_Revenue[Q3 Mean], "None")</f>
        <v>#REF!</v>
      </c>
      <c r="AL1644" s="111" t="e">
        <f>_xlfn.XLOOKUP(Master[[#This Row],[cu_id]],[1]!Customer_Revenue[cuid],  [1]!Customer_Revenue[Q4 Mean], "None")</f>
        <v>#REF!</v>
      </c>
      <c r="AM1644" s="112" t="s">
        <v>1</v>
      </c>
      <c r="AN1644" s="113" t="s">
        <v>1</v>
      </c>
      <c r="AO1644" s="113" t="s">
        <v>7</v>
      </c>
      <c r="AP1644" s="113" t="s">
        <v>7</v>
      </c>
      <c r="AQ1644" s="142" t="s">
        <v>0</v>
      </c>
      <c r="AR1644" s="143"/>
      <c r="AS1644" s="143" t="s">
        <v>7</v>
      </c>
      <c r="AT1644" s="52">
        <v>0</v>
      </c>
      <c r="AU1644" s="52" t="e">
        <f>IF(Master[[#This Row],[RSP StopTime override]] &lt;&gt; "",Master[[#This Row],[RSP StopTime override]],IF(Master[[#This Row],[Avg stop time helper]] &lt;&gt; 0, Master[[#This Row],[Avg stop time helper]],Average_Stop_Time))</f>
        <v>#DIV/0!</v>
      </c>
      <c r="AV1644" s="21"/>
      <c r="AW1644" s="20">
        <f>Master[[#This Row],[RSP StopTime override]]-Master[[#This Row],[Avg stop time helper]]</f>
        <v>0</v>
      </c>
    </row>
    <row r="1645" spans="1:49" x14ac:dyDescent="0.3">
      <c r="A1645" s="153" t="s">
        <v>4104</v>
      </c>
      <c r="B1645" s="106">
        <v>12</v>
      </c>
      <c r="C1645" s="106" t="s">
        <v>10</v>
      </c>
      <c r="D1645" s="107">
        <v>533707</v>
      </c>
      <c r="E1645" s="107">
        <v>0</v>
      </c>
      <c r="F1645" s="107" t="s">
        <v>4105</v>
      </c>
      <c r="G1645" s="107" t="s">
        <v>4106</v>
      </c>
      <c r="H1645" s="107" t="s">
        <v>7</v>
      </c>
      <c r="I1645" s="107" t="s">
        <v>12</v>
      </c>
      <c r="J1645" s="107" t="s">
        <v>5</v>
      </c>
      <c r="K1645" s="107" t="s">
        <v>197</v>
      </c>
      <c r="L1645" s="108">
        <v>7</v>
      </c>
      <c r="M1645" s="106" t="s">
        <v>3</v>
      </c>
      <c r="N1645" s="106" t="s">
        <v>2</v>
      </c>
      <c r="O1645" s="106">
        <v>1</v>
      </c>
      <c r="P1645" s="106">
        <v>0</v>
      </c>
      <c r="Q1645" s="106">
        <v>0</v>
      </c>
      <c r="R1645" s="106">
        <v>1</v>
      </c>
      <c r="S1645" s="106">
        <v>0</v>
      </c>
      <c r="T1645" s="106">
        <v>0</v>
      </c>
      <c r="U1645" s="106"/>
      <c r="V1645" s="109"/>
      <c r="W1645" s="109">
        <v>0</v>
      </c>
      <c r="X1645" s="110">
        <f>IFERROR(1 -(Master[[#This Row],[Avg Garment Scans per Delivery]]/Master[[#This Row],[Garment Inventory]]), 0)</f>
        <v>0</v>
      </c>
      <c r="Y1645" s="109"/>
      <c r="Z1645" s="109"/>
      <c r="AA1645" s="111" t="e">
        <f>_xlfn.XLOOKUP(Master[[#This Row],[cu_id]],[1]!Customer_Revenue[cuid],  [1]!Customer_Revenue[Q1 Min], "None")</f>
        <v>#REF!</v>
      </c>
      <c r="AB1645" s="111" t="e">
        <f>_xlfn.XLOOKUP(Master[[#This Row],[cu_id]],[1]!Customer_Revenue[cuid],  [1]!Customer_Revenue[Q1 Max], "None")</f>
        <v>#REF!</v>
      </c>
      <c r="AC1645" s="111" t="e">
        <f>_xlfn.XLOOKUP(Master[[#This Row],[cu_id]],[1]!Customer_Revenue[cuid],  [1]!Customer_Revenue[Q2 Min], "None")</f>
        <v>#REF!</v>
      </c>
      <c r="AD1645" s="111" t="e">
        <f>_xlfn.XLOOKUP(Master[[#This Row],[cu_id]],[1]!Customer_Revenue[cuid],  [1]!Customer_Revenue[Q2 Max], "None")</f>
        <v>#REF!</v>
      </c>
      <c r="AE1645" s="111" t="e">
        <f>_xlfn.XLOOKUP(Master[[#This Row],[cu_id]],[1]!Customer_Revenue[cuid],  [1]!Customer_Revenue[Q3 Min], "None")</f>
        <v>#REF!</v>
      </c>
      <c r="AF1645" s="111" t="e">
        <f>_xlfn.XLOOKUP(Master[[#This Row],[cu_id]],[1]!Customer_Revenue[cuid],  [1]!Customer_Revenue[Q3 Max], "None")</f>
        <v>#REF!</v>
      </c>
      <c r="AG1645" s="111" t="e">
        <f>_xlfn.XLOOKUP(Master[[#This Row],[cu_id]],[1]!Customer_Revenue[cuid],  [1]!Customer_Revenue[Q4 Min], "None")</f>
        <v>#REF!</v>
      </c>
      <c r="AH1645" s="111" t="e">
        <f>_xlfn.XLOOKUP(Master[[#This Row],[cu_id]],[1]!Customer_Revenue[cuid],  [1]!Customer_Revenue[Q4 Max], "None")</f>
        <v>#REF!</v>
      </c>
      <c r="AI1645" s="111" t="e">
        <f>_xlfn.XLOOKUP(Master[[#This Row],[cu_id]],[1]!Customer_Revenue[cuid],  [1]!Customer_Revenue[Q1 Mean], "None")</f>
        <v>#REF!</v>
      </c>
      <c r="AJ1645" s="111" t="e">
        <f>_xlfn.XLOOKUP(Master[[#This Row],[cu_id]],[1]!Customer_Revenue[cuid],  [1]!Customer_Revenue[Q2 Mean], "None")</f>
        <v>#REF!</v>
      </c>
      <c r="AK1645" s="111" t="e">
        <f>_xlfn.XLOOKUP(Master[[#This Row],[cu_id]],[1]!Customer_Revenue[cuid],  [1]!Customer_Revenue[Q3 Mean], "None")</f>
        <v>#REF!</v>
      </c>
      <c r="AL1645" s="111" t="e">
        <f>_xlfn.XLOOKUP(Master[[#This Row],[cu_id]],[1]!Customer_Revenue[cuid],  [1]!Customer_Revenue[Q4 Mean], "None")</f>
        <v>#REF!</v>
      </c>
      <c r="AM1645" s="112" t="s">
        <v>1</v>
      </c>
      <c r="AN1645" s="113" t="s">
        <v>1</v>
      </c>
      <c r="AO1645" s="113" t="s">
        <v>7</v>
      </c>
      <c r="AP1645" s="113" t="s">
        <v>7</v>
      </c>
      <c r="AQ1645" s="142" t="s">
        <v>0</v>
      </c>
      <c r="AR1645" s="143"/>
      <c r="AS1645" s="143" t="s">
        <v>7</v>
      </c>
      <c r="AT1645" s="52">
        <v>0</v>
      </c>
      <c r="AU1645" s="52" t="e">
        <f>IF(Master[[#This Row],[RSP StopTime override]] &lt;&gt; "",Master[[#This Row],[RSP StopTime override]],IF(Master[[#This Row],[Avg stop time helper]] &lt;&gt; 0, Master[[#This Row],[Avg stop time helper]],Average_Stop_Time))</f>
        <v>#DIV/0!</v>
      </c>
      <c r="AV1645" s="21"/>
      <c r="AW1645" s="20">
        <f>Master[[#This Row],[RSP StopTime override]]-Master[[#This Row],[Avg stop time helper]]</f>
        <v>0</v>
      </c>
    </row>
    <row r="1646" spans="1:49" x14ac:dyDescent="0.3">
      <c r="A1646" s="153" t="s">
        <v>4107</v>
      </c>
      <c r="B1646" s="106">
        <v>50</v>
      </c>
      <c r="C1646" s="106" t="s">
        <v>10</v>
      </c>
      <c r="D1646" s="107">
        <v>533708</v>
      </c>
      <c r="E1646" s="107">
        <v>0</v>
      </c>
      <c r="F1646" s="107" t="s">
        <v>4108</v>
      </c>
      <c r="G1646" s="107" t="s">
        <v>4109</v>
      </c>
      <c r="H1646" s="107" t="s">
        <v>7</v>
      </c>
      <c r="I1646" s="107" t="s">
        <v>12</v>
      </c>
      <c r="J1646" s="107" t="s">
        <v>5</v>
      </c>
      <c r="K1646" s="107" t="s">
        <v>1972</v>
      </c>
      <c r="L1646" s="108">
        <v>7</v>
      </c>
      <c r="M1646" s="106" t="s">
        <v>3</v>
      </c>
      <c r="N1646" s="106" t="s">
        <v>2</v>
      </c>
      <c r="O1646" s="106">
        <v>1</v>
      </c>
      <c r="P1646" s="106">
        <v>0</v>
      </c>
      <c r="Q1646" s="106">
        <v>0</v>
      </c>
      <c r="R1646" s="106">
        <v>1</v>
      </c>
      <c r="S1646" s="106">
        <v>0</v>
      </c>
      <c r="T1646" s="106">
        <v>0</v>
      </c>
      <c r="U1646" s="106"/>
      <c r="V1646" s="109"/>
      <c r="W1646" s="109">
        <v>0</v>
      </c>
      <c r="X1646" s="110">
        <f>IFERROR(1 -(Master[[#This Row],[Avg Garment Scans per Delivery]]/Master[[#This Row],[Garment Inventory]]), 0)</f>
        <v>0</v>
      </c>
      <c r="Y1646" s="109"/>
      <c r="Z1646" s="109"/>
      <c r="AA1646" s="111" t="e">
        <f>_xlfn.XLOOKUP(Master[[#This Row],[cu_id]],[1]!Customer_Revenue[cuid],  [1]!Customer_Revenue[Q1 Min], "None")</f>
        <v>#REF!</v>
      </c>
      <c r="AB1646" s="111" t="e">
        <f>_xlfn.XLOOKUP(Master[[#This Row],[cu_id]],[1]!Customer_Revenue[cuid],  [1]!Customer_Revenue[Q1 Max], "None")</f>
        <v>#REF!</v>
      </c>
      <c r="AC1646" s="111" t="e">
        <f>_xlfn.XLOOKUP(Master[[#This Row],[cu_id]],[1]!Customer_Revenue[cuid],  [1]!Customer_Revenue[Q2 Min], "None")</f>
        <v>#REF!</v>
      </c>
      <c r="AD1646" s="111" t="e">
        <f>_xlfn.XLOOKUP(Master[[#This Row],[cu_id]],[1]!Customer_Revenue[cuid],  [1]!Customer_Revenue[Q2 Max], "None")</f>
        <v>#REF!</v>
      </c>
      <c r="AE1646" s="111" t="e">
        <f>_xlfn.XLOOKUP(Master[[#This Row],[cu_id]],[1]!Customer_Revenue[cuid],  [1]!Customer_Revenue[Q3 Min], "None")</f>
        <v>#REF!</v>
      </c>
      <c r="AF1646" s="111" t="e">
        <f>_xlfn.XLOOKUP(Master[[#This Row],[cu_id]],[1]!Customer_Revenue[cuid],  [1]!Customer_Revenue[Q3 Max], "None")</f>
        <v>#REF!</v>
      </c>
      <c r="AG1646" s="111" t="e">
        <f>_xlfn.XLOOKUP(Master[[#This Row],[cu_id]],[1]!Customer_Revenue[cuid],  [1]!Customer_Revenue[Q4 Min], "None")</f>
        <v>#REF!</v>
      </c>
      <c r="AH1646" s="111" t="e">
        <f>_xlfn.XLOOKUP(Master[[#This Row],[cu_id]],[1]!Customer_Revenue[cuid],  [1]!Customer_Revenue[Q4 Max], "None")</f>
        <v>#REF!</v>
      </c>
      <c r="AI1646" s="111" t="e">
        <f>_xlfn.XLOOKUP(Master[[#This Row],[cu_id]],[1]!Customer_Revenue[cuid],  [1]!Customer_Revenue[Q1 Mean], "None")</f>
        <v>#REF!</v>
      </c>
      <c r="AJ1646" s="111" t="e">
        <f>_xlfn.XLOOKUP(Master[[#This Row],[cu_id]],[1]!Customer_Revenue[cuid],  [1]!Customer_Revenue[Q2 Mean], "None")</f>
        <v>#REF!</v>
      </c>
      <c r="AK1646" s="111" t="e">
        <f>_xlfn.XLOOKUP(Master[[#This Row],[cu_id]],[1]!Customer_Revenue[cuid],  [1]!Customer_Revenue[Q3 Mean], "None")</f>
        <v>#REF!</v>
      </c>
      <c r="AL1646" s="111" t="e">
        <f>_xlfn.XLOOKUP(Master[[#This Row],[cu_id]],[1]!Customer_Revenue[cuid],  [1]!Customer_Revenue[Q4 Mean], "None")</f>
        <v>#REF!</v>
      </c>
      <c r="AM1646" s="112" t="s">
        <v>1</v>
      </c>
      <c r="AN1646" s="113" t="s">
        <v>1</v>
      </c>
      <c r="AO1646" s="113" t="s">
        <v>7</v>
      </c>
      <c r="AP1646" s="113" t="s">
        <v>7</v>
      </c>
      <c r="AQ1646" s="142" t="s">
        <v>0</v>
      </c>
      <c r="AR1646" s="143"/>
      <c r="AS1646" s="143" t="s">
        <v>7</v>
      </c>
      <c r="AT1646" s="52">
        <v>0</v>
      </c>
      <c r="AU1646" s="52" t="e">
        <f>IF(Master[[#This Row],[RSP StopTime override]] &lt;&gt; "",Master[[#This Row],[RSP StopTime override]],IF(Master[[#This Row],[Avg stop time helper]] &lt;&gt; 0, Master[[#This Row],[Avg stop time helper]],Average_Stop_Time))</f>
        <v>#DIV/0!</v>
      </c>
      <c r="AV1646" s="21"/>
      <c r="AW1646" s="20">
        <f>Master[[#This Row],[RSP StopTime override]]-Master[[#This Row],[Avg stop time helper]]</f>
        <v>0</v>
      </c>
    </row>
    <row r="1647" spans="1:49" x14ac:dyDescent="0.3">
      <c r="A1647" s="153" t="s">
        <v>4121</v>
      </c>
      <c r="B1647" s="106">
        <v>12</v>
      </c>
      <c r="C1647" s="106" t="s">
        <v>15</v>
      </c>
      <c r="D1647" s="107">
        <v>99094</v>
      </c>
      <c r="E1647" s="107">
        <v>55</v>
      </c>
      <c r="F1647" s="107" t="s">
        <v>4122</v>
      </c>
      <c r="G1647" s="107" t="s">
        <v>4123</v>
      </c>
      <c r="H1647" s="107" t="s">
        <v>7</v>
      </c>
      <c r="I1647" s="107" t="s">
        <v>1920</v>
      </c>
      <c r="J1647" s="107" t="s">
        <v>5</v>
      </c>
      <c r="K1647" s="107" t="s">
        <v>1919</v>
      </c>
      <c r="L1647" s="108">
        <v>7</v>
      </c>
      <c r="M1647" s="106" t="s">
        <v>3</v>
      </c>
      <c r="N1647" s="106" t="s">
        <v>2</v>
      </c>
      <c r="O1647" s="106">
        <v>1</v>
      </c>
      <c r="P1647" s="106">
        <v>0</v>
      </c>
      <c r="Q1647" s="106">
        <v>0</v>
      </c>
      <c r="R1647" s="106">
        <v>0</v>
      </c>
      <c r="S1647" s="106">
        <v>0</v>
      </c>
      <c r="T1647" s="106">
        <v>1</v>
      </c>
      <c r="U1647" s="106"/>
      <c r="V1647" s="109"/>
      <c r="W1647" s="109">
        <v>0</v>
      </c>
      <c r="X1647" s="144">
        <f>IFERROR(1 -(Master[[#This Row],[Avg Garment Scans per Delivery]]/Master[[#This Row],[Garment Inventory]]), 0)</f>
        <v>0</v>
      </c>
      <c r="Y1647" s="109"/>
      <c r="Z1647" s="109"/>
      <c r="AA1647" s="111" t="e">
        <f>_xlfn.XLOOKUP(Master[[#This Row],[cu_id]],[1]!Customer_Revenue[cuid],  [1]!Customer_Revenue[Q1 Min], "None")</f>
        <v>#REF!</v>
      </c>
      <c r="AB1647" s="111" t="e">
        <f>_xlfn.XLOOKUP(Master[[#This Row],[cu_id]],[1]!Customer_Revenue[cuid],  [1]!Customer_Revenue[Q1 Max], "None")</f>
        <v>#REF!</v>
      </c>
      <c r="AC1647" s="111" t="e">
        <f>_xlfn.XLOOKUP(Master[[#This Row],[cu_id]],[1]!Customer_Revenue[cuid],  [1]!Customer_Revenue[Q2 Min], "None")</f>
        <v>#REF!</v>
      </c>
      <c r="AD1647" s="111" t="e">
        <f>_xlfn.XLOOKUP(Master[[#This Row],[cu_id]],[1]!Customer_Revenue[cuid],  [1]!Customer_Revenue[Q2 Max], "None")</f>
        <v>#REF!</v>
      </c>
      <c r="AE1647" s="111" t="e">
        <f>_xlfn.XLOOKUP(Master[[#This Row],[cu_id]],[1]!Customer_Revenue[cuid],  [1]!Customer_Revenue[Q3 Min], "None")</f>
        <v>#REF!</v>
      </c>
      <c r="AF1647" s="111" t="e">
        <f>_xlfn.XLOOKUP(Master[[#This Row],[cu_id]],[1]!Customer_Revenue[cuid],  [1]!Customer_Revenue[Q3 Max], "None")</f>
        <v>#REF!</v>
      </c>
      <c r="AG1647" s="111" t="e">
        <f>_xlfn.XLOOKUP(Master[[#This Row],[cu_id]],[1]!Customer_Revenue[cuid],  [1]!Customer_Revenue[Q4 Min], "None")</f>
        <v>#REF!</v>
      </c>
      <c r="AH1647" s="111" t="e">
        <f>_xlfn.XLOOKUP(Master[[#This Row],[cu_id]],[1]!Customer_Revenue[cuid],  [1]!Customer_Revenue[Q4 Max], "None")</f>
        <v>#REF!</v>
      </c>
      <c r="AI1647" s="111" t="e">
        <f>_xlfn.XLOOKUP(Master[[#This Row],[cu_id]],[1]!Customer_Revenue[cuid],  [1]!Customer_Revenue[Q1 Mean], "None")</f>
        <v>#REF!</v>
      </c>
      <c r="AJ1647" s="111" t="e">
        <f>_xlfn.XLOOKUP(Master[[#This Row],[cu_id]],[1]!Customer_Revenue[cuid],  [1]!Customer_Revenue[Q2 Mean], "None")</f>
        <v>#REF!</v>
      </c>
      <c r="AK1647" s="111" t="e">
        <f>_xlfn.XLOOKUP(Master[[#This Row],[cu_id]],[1]!Customer_Revenue[cuid],  [1]!Customer_Revenue[Q3 Mean], "None")</f>
        <v>#REF!</v>
      </c>
      <c r="AL1647" s="111" t="e">
        <f>_xlfn.XLOOKUP(Master[[#This Row],[cu_id]],[1]!Customer_Revenue[cuid],  [1]!Customer_Revenue[Q4 Mean], "None")</f>
        <v>#REF!</v>
      </c>
      <c r="AM1647" s="112" t="s">
        <v>1</v>
      </c>
      <c r="AN1647" s="113" t="s">
        <v>1</v>
      </c>
      <c r="AO1647" s="113" t="s">
        <v>7</v>
      </c>
      <c r="AP1647" s="113" t="s">
        <v>7</v>
      </c>
      <c r="AQ1647" s="142" t="s">
        <v>0</v>
      </c>
      <c r="AR1647" s="143"/>
      <c r="AS1647" s="143" t="s">
        <v>7</v>
      </c>
      <c r="AT1647" s="52"/>
      <c r="AU1647" s="52" t="e">
        <f>IF(Master[[#This Row],[RSP StopTime override]] &lt;&gt; "",Master[[#This Row],[RSP StopTime override]],IF(Master[[#This Row],[Avg stop time helper]] &lt;&gt; 0, Master[[#This Row],[Avg stop time helper]],Average_Stop_Time))</f>
        <v>#DIV/0!</v>
      </c>
      <c r="AV1647" s="21"/>
      <c r="AW1647" s="20">
        <f>Master[[#This Row],[RSP StopTime override]]-Master[[#This Row],[Avg stop time helper]]</f>
        <v>0</v>
      </c>
    </row>
    <row r="1648" spans="1:49" x14ac:dyDescent="0.3">
      <c r="A1648" s="153" t="s">
        <v>4127</v>
      </c>
      <c r="B1648" s="106">
        <v>56</v>
      </c>
      <c r="C1648" s="106" t="s">
        <v>35</v>
      </c>
      <c r="D1648" s="107">
        <v>805360</v>
      </c>
      <c r="E1648" s="107">
        <v>1</v>
      </c>
      <c r="F1648" s="107" t="s">
        <v>4128</v>
      </c>
      <c r="G1648" s="107" t="s">
        <v>4129</v>
      </c>
      <c r="H1648" s="107" t="s">
        <v>7</v>
      </c>
      <c r="I1648" s="107" t="s">
        <v>1084</v>
      </c>
      <c r="J1648" s="107" t="s">
        <v>5</v>
      </c>
      <c r="K1648" s="107" t="s">
        <v>1088</v>
      </c>
      <c r="L1648" s="108">
        <v>7</v>
      </c>
      <c r="M1648" s="106" t="s">
        <v>3</v>
      </c>
      <c r="N1648" s="106" t="s">
        <v>2</v>
      </c>
      <c r="O1648" s="106">
        <v>1</v>
      </c>
      <c r="P1648" s="106">
        <v>0</v>
      </c>
      <c r="Q1648" s="106">
        <v>1</v>
      </c>
      <c r="R1648" s="106">
        <v>0</v>
      </c>
      <c r="S1648" s="106">
        <v>0</v>
      </c>
      <c r="T1648" s="106">
        <v>0</v>
      </c>
      <c r="U1648" s="106"/>
      <c r="V1648" s="109"/>
      <c r="W1648" s="109">
        <v>0</v>
      </c>
      <c r="X1648" s="141">
        <f>IFERROR(1 -(Master[[#This Row],[Avg Garment Scans per Delivery]]/Master[[#This Row],[Garment Inventory]]), 0)</f>
        <v>0</v>
      </c>
      <c r="Y1648" s="109"/>
      <c r="Z1648" s="109"/>
      <c r="AA1648" s="111" t="e">
        <f>_xlfn.XLOOKUP(Master[[#This Row],[cu_id]],[1]!Customer_Revenue[cuid],  [1]!Customer_Revenue[Q1 Min], "None")</f>
        <v>#REF!</v>
      </c>
      <c r="AB1648" s="111" t="e">
        <f>_xlfn.XLOOKUP(Master[[#This Row],[cu_id]],[1]!Customer_Revenue[cuid],  [1]!Customer_Revenue[Q1 Max], "None")</f>
        <v>#REF!</v>
      </c>
      <c r="AC1648" s="111" t="e">
        <f>_xlfn.XLOOKUP(Master[[#This Row],[cu_id]],[1]!Customer_Revenue[cuid],  [1]!Customer_Revenue[Q2 Min], "None")</f>
        <v>#REF!</v>
      </c>
      <c r="AD1648" s="111" t="e">
        <f>_xlfn.XLOOKUP(Master[[#This Row],[cu_id]],[1]!Customer_Revenue[cuid],  [1]!Customer_Revenue[Q2 Max], "None")</f>
        <v>#REF!</v>
      </c>
      <c r="AE1648" s="111" t="e">
        <f>_xlfn.XLOOKUP(Master[[#This Row],[cu_id]],[1]!Customer_Revenue[cuid],  [1]!Customer_Revenue[Q3 Min], "None")</f>
        <v>#REF!</v>
      </c>
      <c r="AF1648" s="111" t="e">
        <f>_xlfn.XLOOKUP(Master[[#This Row],[cu_id]],[1]!Customer_Revenue[cuid],  [1]!Customer_Revenue[Q3 Max], "None")</f>
        <v>#REF!</v>
      </c>
      <c r="AG1648" s="111" t="e">
        <f>_xlfn.XLOOKUP(Master[[#This Row],[cu_id]],[1]!Customer_Revenue[cuid],  [1]!Customer_Revenue[Q4 Min], "None")</f>
        <v>#REF!</v>
      </c>
      <c r="AH1648" s="111" t="e">
        <f>_xlfn.XLOOKUP(Master[[#This Row],[cu_id]],[1]!Customer_Revenue[cuid],  [1]!Customer_Revenue[Q4 Max], "None")</f>
        <v>#REF!</v>
      </c>
      <c r="AI1648" s="111" t="e">
        <f>_xlfn.XLOOKUP(Master[[#This Row],[cu_id]],[1]!Customer_Revenue[cuid],  [1]!Customer_Revenue[Q1 Mean], "None")</f>
        <v>#REF!</v>
      </c>
      <c r="AJ1648" s="111" t="e">
        <f>_xlfn.XLOOKUP(Master[[#This Row],[cu_id]],[1]!Customer_Revenue[cuid],  [1]!Customer_Revenue[Q2 Mean], "None")</f>
        <v>#REF!</v>
      </c>
      <c r="AK1648" s="111" t="e">
        <f>_xlfn.XLOOKUP(Master[[#This Row],[cu_id]],[1]!Customer_Revenue[cuid],  [1]!Customer_Revenue[Q3 Mean], "None")</f>
        <v>#REF!</v>
      </c>
      <c r="AL1648" s="111" t="e">
        <f>_xlfn.XLOOKUP(Master[[#This Row],[cu_id]],[1]!Customer_Revenue[cuid],  [1]!Customer_Revenue[Q4 Mean], "None")</f>
        <v>#REF!</v>
      </c>
      <c r="AM1648" s="112" t="s">
        <v>1</v>
      </c>
      <c r="AN1648" s="113" t="s">
        <v>1</v>
      </c>
      <c r="AO1648" s="113" t="s">
        <v>7</v>
      </c>
      <c r="AP1648" s="113" t="s">
        <v>7</v>
      </c>
      <c r="AQ1648" s="142" t="s">
        <v>0</v>
      </c>
      <c r="AR1648" s="143"/>
      <c r="AS1648" s="143" t="s">
        <v>7</v>
      </c>
      <c r="AT1648" s="52"/>
      <c r="AU1648" s="52" t="e">
        <f>IF(Master[[#This Row],[RSP StopTime override]] &lt;&gt; "",Master[[#This Row],[RSP StopTime override]],IF(Master[[#This Row],[Avg stop time helper]] &lt;&gt; 0, Master[[#This Row],[Avg stop time helper]],Average_Stop_Time))</f>
        <v>#DIV/0!</v>
      </c>
      <c r="AV1648" s="21"/>
      <c r="AW1648" s="20">
        <f>Master[[#This Row],[RSP StopTime override]]-Master[[#This Row],[Avg stop time helper]]</f>
        <v>0</v>
      </c>
    </row>
    <row r="1649" spans="1:49" x14ac:dyDescent="0.3">
      <c r="A1649" s="156" t="s">
        <v>4130</v>
      </c>
      <c r="B1649" s="114">
        <v>8040</v>
      </c>
      <c r="C1649" s="114" t="s">
        <v>35</v>
      </c>
      <c r="D1649" s="145">
        <v>805976</v>
      </c>
      <c r="E1649" s="145">
        <v>1</v>
      </c>
      <c r="F1649" s="145" t="s">
        <v>569</v>
      </c>
      <c r="G1649" s="145" t="s">
        <v>4131</v>
      </c>
      <c r="H1649" s="145" t="s">
        <v>7</v>
      </c>
      <c r="I1649" s="145" t="s">
        <v>6</v>
      </c>
      <c r="J1649" s="145" t="s">
        <v>5</v>
      </c>
      <c r="K1649" s="145" t="s">
        <v>68</v>
      </c>
      <c r="L1649" s="146">
        <v>6</v>
      </c>
      <c r="M1649" s="114" t="s">
        <v>29</v>
      </c>
      <c r="N1649" s="114" t="s">
        <v>2</v>
      </c>
      <c r="O1649" s="114">
        <v>1</v>
      </c>
      <c r="P1649" s="114">
        <v>0</v>
      </c>
      <c r="Q1649" s="114">
        <v>1</v>
      </c>
      <c r="R1649" s="114">
        <v>0</v>
      </c>
      <c r="S1649" s="114">
        <v>0</v>
      </c>
      <c r="T1649" s="114">
        <v>0</v>
      </c>
      <c r="U1649" s="114"/>
      <c r="V1649" s="115"/>
      <c r="W1649" s="115">
        <v>0</v>
      </c>
      <c r="X1649" s="147">
        <f>IFERROR(1 -(Master[[#This Row],[Avg Garment Scans per Delivery]]/Master[[#This Row],[Garment Inventory]]), 0)</f>
        <v>0</v>
      </c>
      <c r="Y1649" s="115"/>
      <c r="Z1649" s="115"/>
      <c r="AA1649" s="117" t="e">
        <f>_xlfn.XLOOKUP(Master[[#This Row],[cu_id]],[1]!Customer_Revenue[cuid],  [1]!Customer_Revenue[Q1 Min], "None")</f>
        <v>#REF!</v>
      </c>
      <c r="AB1649" s="117" t="e">
        <f>_xlfn.XLOOKUP(Master[[#This Row],[cu_id]],[1]!Customer_Revenue[cuid],  [1]!Customer_Revenue[Q1 Max], "None")</f>
        <v>#REF!</v>
      </c>
      <c r="AC1649" s="117" t="e">
        <f>_xlfn.XLOOKUP(Master[[#This Row],[cu_id]],[1]!Customer_Revenue[cuid],  [1]!Customer_Revenue[Q2 Min], "None")</f>
        <v>#REF!</v>
      </c>
      <c r="AD1649" s="117" t="e">
        <f>_xlfn.XLOOKUP(Master[[#This Row],[cu_id]],[1]!Customer_Revenue[cuid],  [1]!Customer_Revenue[Q2 Max], "None")</f>
        <v>#REF!</v>
      </c>
      <c r="AE1649" s="117" t="e">
        <f>_xlfn.XLOOKUP(Master[[#This Row],[cu_id]],[1]!Customer_Revenue[cuid],  [1]!Customer_Revenue[Q3 Min], "None")</f>
        <v>#REF!</v>
      </c>
      <c r="AF1649" s="117" t="e">
        <f>_xlfn.XLOOKUP(Master[[#This Row],[cu_id]],[1]!Customer_Revenue[cuid],  [1]!Customer_Revenue[Q3 Max], "None")</f>
        <v>#REF!</v>
      </c>
      <c r="AG1649" s="117" t="e">
        <f>_xlfn.XLOOKUP(Master[[#This Row],[cu_id]],[1]!Customer_Revenue[cuid],  [1]!Customer_Revenue[Q4 Min], "None")</f>
        <v>#REF!</v>
      </c>
      <c r="AH1649" s="117" t="e">
        <f>_xlfn.XLOOKUP(Master[[#This Row],[cu_id]],[1]!Customer_Revenue[cuid],  [1]!Customer_Revenue[Q4 Max], "None")</f>
        <v>#REF!</v>
      </c>
      <c r="AI1649" s="117" t="e">
        <f>_xlfn.XLOOKUP(Master[[#This Row],[cu_id]],[1]!Customer_Revenue[cuid],  [1]!Customer_Revenue[Q1 Mean], "None")</f>
        <v>#REF!</v>
      </c>
      <c r="AJ1649" s="117" t="e">
        <f>_xlfn.XLOOKUP(Master[[#This Row],[cu_id]],[1]!Customer_Revenue[cuid],  [1]!Customer_Revenue[Q2 Mean], "None")</f>
        <v>#REF!</v>
      </c>
      <c r="AK1649" s="117" t="e">
        <f>_xlfn.XLOOKUP(Master[[#This Row],[cu_id]],[1]!Customer_Revenue[cuid],  [1]!Customer_Revenue[Q3 Mean], "None")</f>
        <v>#REF!</v>
      </c>
      <c r="AL1649" s="117" t="e">
        <f>_xlfn.XLOOKUP(Master[[#This Row],[cu_id]],[1]!Customer_Revenue[cuid],  [1]!Customer_Revenue[Q4 Mean], "None")</f>
        <v>#REF!</v>
      </c>
      <c r="AM1649" s="118" t="s">
        <v>1</v>
      </c>
      <c r="AN1649" s="119" t="s">
        <v>1</v>
      </c>
      <c r="AO1649" s="119" t="s">
        <v>7</v>
      </c>
      <c r="AP1649" s="119" t="s">
        <v>7</v>
      </c>
      <c r="AQ1649" s="148" t="s">
        <v>0</v>
      </c>
      <c r="AR1649" s="149"/>
      <c r="AS1649" s="149" t="s">
        <v>7</v>
      </c>
      <c r="AT1649" s="22"/>
      <c r="AU1649" s="22" t="e">
        <f>IF(Master[[#This Row],[RSP StopTime override]] &lt;&gt; "",Master[[#This Row],[RSP StopTime override]],IF(Master[[#This Row],[Avg stop time helper]] &lt;&gt; 0, Master[[#This Row],[Avg stop time helper]],Average_Stop_Time))</f>
        <v>#DIV/0!</v>
      </c>
      <c r="AV1649" s="54"/>
      <c r="AW1649" s="20">
        <f>Master[[#This Row],[RSP StopTime override]]-Master[[#This Row],[Avg stop time helper]]</f>
        <v>0</v>
      </c>
    </row>
  </sheetData>
  <conditionalFormatting sqref="AT1:AT1649">
    <cfRule type="cellIs" dxfId="6" priority="1" operator="lessThan">
      <formula>2</formula>
    </cfRule>
    <cfRule type="colorScale" priority="2">
      <colorScale>
        <cfvo type="num" val="2"/>
        <cfvo type="num" val="5"/>
        <cfvo type="num" val="30"/>
        <color rgb="FFFF9900"/>
        <color rgb="FF00B050"/>
        <color rgb="FFFFFF00"/>
      </colorScale>
    </cfRule>
  </conditionalFormatting>
  <pageMargins left="0.25" right="0.25" top="0.25" bottom="0.25" header="0.3" footer="0.3"/>
  <pageSetup scale="19" fitToHeight="0"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1B5E1-6614-4782-83F8-51625F68E4CC}">
  <dimension ref="A1:AS5"/>
  <sheetViews>
    <sheetView workbookViewId="0">
      <selection activeCell="D3" sqref="D3"/>
    </sheetView>
  </sheetViews>
  <sheetFormatPr defaultRowHeight="13.8" x14ac:dyDescent="0.3"/>
  <cols>
    <col min="1" max="1" width="7.33203125" bestFit="1" customWidth="1"/>
    <col min="2" max="2" width="12.77734375" bestFit="1" customWidth="1"/>
    <col min="3" max="3" width="19.88671875" bestFit="1" customWidth="1"/>
    <col min="4" max="4" width="7.88671875" bestFit="1" customWidth="1"/>
    <col min="5" max="5" width="8" bestFit="1" customWidth="1"/>
    <col min="6" max="6" width="27.5546875" bestFit="1" customWidth="1"/>
    <col min="7" max="8" width="16.44140625" bestFit="1" customWidth="1"/>
    <col min="9" max="9" width="12.6640625" bestFit="1" customWidth="1"/>
    <col min="10" max="10" width="7.33203125" bestFit="1" customWidth="1"/>
    <col min="11" max="11" width="6" bestFit="1" customWidth="1"/>
    <col min="12" max="12" width="11.44140625" bestFit="1" customWidth="1"/>
    <col min="13" max="13" width="20.5546875" bestFit="1" customWidth="1"/>
    <col min="14" max="14" width="17" bestFit="1" customWidth="1"/>
    <col min="15" max="15" width="6.77734375" bestFit="1" customWidth="1"/>
    <col min="16" max="16" width="14.21875" bestFit="1" customWidth="1"/>
    <col min="17" max="17" width="13.44140625" bestFit="1" customWidth="1"/>
    <col min="18" max="18" width="14.21875" bestFit="1" customWidth="1"/>
    <col min="19" max="19" width="13.44140625" bestFit="1" customWidth="1"/>
    <col min="20" max="20" width="12.5546875" bestFit="1" customWidth="1"/>
    <col min="21" max="21" width="13" bestFit="1" customWidth="1"/>
    <col min="22" max="22" width="18.44140625" bestFit="1" customWidth="1"/>
    <col min="23" max="23" width="32" bestFit="1" customWidth="1"/>
    <col min="24" max="24" width="21.44140625" bestFit="1" customWidth="1"/>
    <col min="25" max="25" width="13.21875" bestFit="1" customWidth="1"/>
    <col min="26" max="26" width="22" bestFit="1" customWidth="1"/>
    <col min="27" max="27" width="16.77734375" bestFit="1" customWidth="1"/>
    <col min="28" max="28" width="17.109375" bestFit="1" customWidth="1"/>
    <col min="29" max="29" width="16.77734375" bestFit="1" customWidth="1"/>
    <col min="30" max="30" width="17.109375" bestFit="1" customWidth="1"/>
    <col min="31" max="31" width="16.77734375" bestFit="1" customWidth="1"/>
    <col min="32" max="32" width="17.109375" bestFit="1" customWidth="1"/>
    <col min="33" max="33" width="16.77734375" bestFit="1" customWidth="1"/>
    <col min="34" max="34" width="16.88671875" bestFit="1" customWidth="1"/>
    <col min="35" max="38" width="23.33203125" bestFit="1" customWidth="1"/>
    <col min="39" max="39" width="22" bestFit="1" customWidth="1"/>
    <col min="40" max="40" width="21" bestFit="1" customWidth="1"/>
    <col min="41" max="41" width="22" bestFit="1" customWidth="1"/>
    <col min="42" max="42" width="21" bestFit="1" customWidth="1"/>
    <col min="43" max="43" width="21.77734375" bestFit="1" customWidth="1"/>
    <col min="44" max="44" width="7.88671875" bestFit="1" customWidth="1"/>
    <col min="45" max="45" width="34.33203125" bestFit="1" customWidth="1"/>
    <col min="46" max="46" width="21" bestFit="1" customWidth="1"/>
    <col min="47" max="47" width="34.33203125" bestFit="1" customWidth="1"/>
    <col min="48" max="48" width="21.77734375" customWidth="1"/>
  </cols>
  <sheetData>
    <row r="1" spans="1:45" x14ac:dyDescent="0.3">
      <c r="A1" t="s">
        <v>3558</v>
      </c>
      <c r="B1" t="s">
        <v>3557</v>
      </c>
      <c r="C1" t="s">
        <v>3556</v>
      </c>
      <c r="D1" t="s">
        <v>3555</v>
      </c>
      <c r="E1" t="s">
        <v>3554</v>
      </c>
      <c r="F1" t="s">
        <v>3553</v>
      </c>
      <c r="G1" t="s">
        <v>3552</v>
      </c>
      <c r="H1" t="s">
        <v>3551</v>
      </c>
      <c r="I1" t="s">
        <v>3550</v>
      </c>
      <c r="J1" t="s">
        <v>3549</v>
      </c>
      <c r="K1" t="s">
        <v>3548</v>
      </c>
      <c r="L1" t="s">
        <v>3547</v>
      </c>
      <c r="M1" t="s">
        <v>3546</v>
      </c>
      <c r="N1" t="s">
        <v>3545</v>
      </c>
      <c r="O1" t="s">
        <v>4111</v>
      </c>
      <c r="P1" t="s">
        <v>3543</v>
      </c>
      <c r="Q1" t="s">
        <v>3542</v>
      </c>
      <c r="R1" t="s">
        <v>3541</v>
      </c>
      <c r="S1" t="s">
        <v>3540</v>
      </c>
      <c r="T1" t="s">
        <v>3539</v>
      </c>
      <c r="U1" t="s">
        <v>3538</v>
      </c>
      <c r="V1" t="s">
        <v>3537</v>
      </c>
      <c r="W1" t="s">
        <v>4092</v>
      </c>
      <c r="X1" s="140" t="s">
        <v>3535</v>
      </c>
      <c r="Y1" t="s">
        <v>3534</v>
      </c>
      <c r="Z1" t="s">
        <v>3533</v>
      </c>
      <c r="AA1" t="s">
        <v>4112</v>
      </c>
      <c r="AB1" t="s">
        <v>4113</v>
      </c>
      <c r="AC1" t="s">
        <v>4114</v>
      </c>
      <c r="AD1" t="s">
        <v>4115</v>
      </c>
      <c r="AE1" t="s">
        <v>4116</v>
      </c>
      <c r="AF1" t="s">
        <v>4117</v>
      </c>
      <c r="AG1" t="s">
        <v>4118</v>
      </c>
      <c r="AH1" t="s">
        <v>4119</v>
      </c>
      <c r="AI1" t="s">
        <v>3524</v>
      </c>
      <c r="AJ1" t="s">
        <v>3523</v>
      </c>
      <c r="AK1" t="s">
        <v>3522</v>
      </c>
      <c r="AL1" t="s">
        <v>3521</v>
      </c>
      <c r="AM1" t="s">
        <v>4093</v>
      </c>
      <c r="AN1" t="s">
        <v>4094</v>
      </c>
      <c r="AO1" t="s">
        <v>4095</v>
      </c>
      <c r="AP1" t="s">
        <v>4096</v>
      </c>
      <c r="AQ1" t="s">
        <v>3516</v>
      </c>
      <c r="AR1" t="s">
        <v>4120</v>
      </c>
      <c r="AS1" t="s">
        <v>4097</v>
      </c>
    </row>
    <row r="2" spans="1:45" x14ac:dyDescent="0.3">
      <c r="A2" t="s">
        <v>5622</v>
      </c>
      <c r="B2">
        <v>52</v>
      </c>
      <c r="C2" t="s">
        <v>35</v>
      </c>
      <c r="D2">
        <v>530945</v>
      </c>
      <c r="E2">
        <v>1</v>
      </c>
      <c r="F2" t="s">
        <v>5623</v>
      </c>
      <c r="G2" t="s">
        <v>1726</v>
      </c>
      <c r="H2" t="s">
        <v>7</v>
      </c>
      <c r="I2" t="s">
        <v>12</v>
      </c>
      <c r="J2" t="s">
        <v>5</v>
      </c>
      <c r="K2" t="s">
        <v>11</v>
      </c>
      <c r="L2">
        <v>7</v>
      </c>
      <c r="M2" t="s">
        <v>3</v>
      </c>
      <c r="N2" t="s">
        <v>2</v>
      </c>
      <c r="O2">
        <v>1</v>
      </c>
      <c r="P2">
        <v>0</v>
      </c>
      <c r="Q2">
        <v>1</v>
      </c>
      <c r="R2">
        <v>0</v>
      </c>
      <c r="S2">
        <v>0</v>
      </c>
      <c r="T2">
        <v>0</v>
      </c>
      <c r="W2">
        <v>0</v>
      </c>
      <c r="X2" s="144">
        <f>IFERROR(1 -(Master[[#This Row],[Avg Garment Scans per Delivery]]/Master[[#This Row],[Garment Inventory]]), 0)</f>
        <v>0</v>
      </c>
      <c r="AM2" t="s">
        <v>1</v>
      </c>
      <c r="AN2" t="s">
        <v>1</v>
      </c>
      <c r="AO2" t="s">
        <v>7</v>
      </c>
      <c r="AP2" t="s">
        <v>7</v>
      </c>
      <c r="AQ2" t="s">
        <v>0</v>
      </c>
      <c r="AS2" t="s">
        <v>7</v>
      </c>
    </row>
    <row r="3" spans="1:45" x14ac:dyDescent="0.3">
      <c r="A3" t="s">
        <v>5624</v>
      </c>
      <c r="B3">
        <v>52</v>
      </c>
      <c r="C3" t="s">
        <v>43</v>
      </c>
      <c r="D3">
        <v>533715</v>
      </c>
      <c r="E3">
        <v>0</v>
      </c>
      <c r="F3" t="s">
        <v>5625</v>
      </c>
      <c r="G3" t="s">
        <v>5626</v>
      </c>
      <c r="H3" t="s">
        <v>7</v>
      </c>
      <c r="I3" t="s">
        <v>12</v>
      </c>
      <c r="J3" t="s">
        <v>5</v>
      </c>
      <c r="K3" t="s">
        <v>1754</v>
      </c>
      <c r="L3">
        <v>7</v>
      </c>
      <c r="M3" t="s">
        <v>3</v>
      </c>
      <c r="N3" t="s">
        <v>2</v>
      </c>
      <c r="O3">
        <v>1</v>
      </c>
      <c r="P3">
        <v>0</v>
      </c>
      <c r="Q3">
        <v>0</v>
      </c>
      <c r="R3">
        <v>0</v>
      </c>
      <c r="S3">
        <v>1</v>
      </c>
      <c r="T3">
        <v>0</v>
      </c>
      <c r="W3">
        <v>0</v>
      </c>
      <c r="X3" s="141">
        <f>IFERROR(1 -(Master[[#This Row],[Avg Garment Scans per Delivery]]/Master[[#This Row],[Garment Inventory]]), 0)</f>
        <v>0</v>
      </c>
      <c r="AM3" t="s">
        <v>1</v>
      </c>
      <c r="AN3" t="s">
        <v>1</v>
      </c>
      <c r="AO3" t="s">
        <v>7</v>
      </c>
      <c r="AP3" t="s">
        <v>7</v>
      </c>
      <c r="AQ3" t="s">
        <v>0</v>
      </c>
      <c r="AS3" t="s">
        <v>7</v>
      </c>
    </row>
    <row r="4" spans="1:45" x14ac:dyDescent="0.3">
      <c r="A4" t="s">
        <v>4124</v>
      </c>
      <c r="B4">
        <v>8040</v>
      </c>
      <c r="C4" t="s">
        <v>24</v>
      </c>
      <c r="D4">
        <v>804702</v>
      </c>
      <c r="E4">
        <v>0</v>
      </c>
      <c r="F4" t="s">
        <v>4125</v>
      </c>
      <c r="G4" t="s">
        <v>4126</v>
      </c>
      <c r="H4" t="s">
        <v>7</v>
      </c>
      <c r="I4" t="s">
        <v>6</v>
      </c>
      <c r="J4" t="s">
        <v>5</v>
      </c>
      <c r="K4" t="s">
        <v>68</v>
      </c>
      <c r="L4">
        <v>0</v>
      </c>
      <c r="M4" t="s">
        <v>3</v>
      </c>
      <c r="N4" t="s">
        <v>144</v>
      </c>
      <c r="O4">
        <v>155</v>
      </c>
      <c r="P4">
        <v>155</v>
      </c>
      <c r="Q4">
        <v>0</v>
      </c>
      <c r="R4">
        <v>0</v>
      </c>
      <c r="S4">
        <v>0</v>
      </c>
      <c r="T4">
        <v>0</v>
      </c>
      <c r="V4">
        <v>0</v>
      </c>
      <c r="W4">
        <v>0</v>
      </c>
      <c r="X4" s="157">
        <f>IFERROR(1 -(Master[[#This Row],[Avg Garment Scans per Delivery]]/Master[[#This Row],[Garment Inventory]]), 0)</f>
        <v>0</v>
      </c>
      <c r="AM4" t="s">
        <v>1</v>
      </c>
      <c r="AN4" t="s">
        <v>1</v>
      </c>
      <c r="AO4" t="s">
        <v>7</v>
      </c>
      <c r="AP4" t="s">
        <v>7</v>
      </c>
      <c r="AQ4" t="s">
        <v>0</v>
      </c>
      <c r="AS4" t="s">
        <v>7</v>
      </c>
    </row>
    <row r="5" spans="1:45" x14ac:dyDescent="0.3">
      <c r="A5" t="s">
        <v>4132</v>
      </c>
      <c r="B5">
        <v>8040</v>
      </c>
      <c r="C5" t="s">
        <v>24</v>
      </c>
      <c r="D5">
        <v>809880</v>
      </c>
      <c r="E5">
        <v>0</v>
      </c>
      <c r="F5" t="s">
        <v>4133</v>
      </c>
      <c r="G5" t="s">
        <v>4134</v>
      </c>
      <c r="H5" t="s">
        <v>7</v>
      </c>
      <c r="I5" t="s">
        <v>6</v>
      </c>
      <c r="J5" t="s">
        <v>5</v>
      </c>
      <c r="K5" t="s">
        <v>68</v>
      </c>
      <c r="L5">
        <v>0</v>
      </c>
      <c r="M5" t="s">
        <v>3</v>
      </c>
      <c r="N5" t="s">
        <v>144</v>
      </c>
      <c r="O5">
        <v>170</v>
      </c>
      <c r="P5">
        <v>170</v>
      </c>
      <c r="Q5">
        <v>0</v>
      </c>
      <c r="R5">
        <v>0</v>
      </c>
      <c r="S5">
        <v>0</v>
      </c>
      <c r="T5">
        <v>0</v>
      </c>
      <c r="W5">
        <v>0</v>
      </c>
      <c r="X5" s="157">
        <f>IFERROR(1 -(Master[[#This Row],[Avg Garment Scans per Delivery]]/Master[[#This Row],[Garment Inventory]]), 0)</f>
        <v>0.76923076923076916</v>
      </c>
      <c r="AM5" t="s">
        <v>1</v>
      </c>
      <c r="AN5" t="s">
        <v>1</v>
      </c>
      <c r="AO5" t="s">
        <v>7</v>
      </c>
      <c r="AP5" t="s">
        <v>7</v>
      </c>
      <c r="AQ5" t="s">
        <v>0</v>
      </c>
      <c r="AS5" t="s">
        <v>7</v>
      </c>
    </row>
  </sheetData>
  <phoneticPr fontId="8"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D8385-4DF0-4509-89B1-49E5E46EB7AC}">
  <dimension ref="A1:AD12"/>
  <sheetViews>
    <sheetView workbookViewId="0">
      <selection activeCell="F2" sqref="F2"/>
    </sheetView>
  </sheetViews>
  <sheetFormatPr defaultRowHeight="13.8" x14ac:dyDescent="0.3"/>
  <cols>
    <col min="1" max="1" width="7.33203125" bestFit="1" customWidth="1"/>
    <col min="2" max="2" width="9.5546875" bestFit="1" customWidth="1"/>
    <col min="3" max="3" width="16.5546875" bestFit="1" customWidth="1"/>
    <col min="4" max="4" width="7.88671875" bestFit="1" customWidth="1"/>
    <col min="5" max="5" width="8" bestFit="1" customWidth="1"/>
    <col min="6" max="6" width="31.77734375" bestFit="1" customWidth="1"/>
    <col min="7" max="7" width="11.44140625" bestFit="1" customWidth="1"/>
    <col min="8" max="8" width="10" bestFit="1" customWidth="1"/>
    <col min="9" max="9" width="18.44140625" bestFit="1" customWidth="1"/>
    <col min="10" max="10" width="13.21875" bestFit="1" customWidth="1"/>
    <col min="11" max="11" width="25" bestFit="1" customWidth="1"/>
    <col min="12" max="12" width="25.33203125" bestFit="1" customWidth="1"/>
    <col min="13" max="13" width="25" bestFit="1" customWidth="1"/>
    <col min="14" max="14" width="25.33203125" bestFit="1" customWidth="1"/>
    <col min="15" max="15" width="25" bestFit="1" customWidth="1"/>
    <col min="16" max="16" width="25.33203125" bestFit="1" customWidth="1"/>
    <col min="17" max="17" width="25" bestFit="1" customWidth="1"/>
    <col min="18" max="18" width="25.33203125" bestFit="1" customWidth="1"/>
    <col min="19" max="22" width="23.33203125" bestFit="1" customWidth="1"/>
    <col min="23" max="23" width="21.77734375" bestFit="1" customWidth="1"/>
    <col min="24" max="24" width="28.5546875" bestFit="1" customWidth="1"/>
    <col min="25" max="25" width="28.88671875" bestFit="1" customWidth="1"/>
    <col min="26" max="26" width="21.6640625" bestFit="1" customWidth="1"/>
    <col min="27" max="27" width="23" bestFit="1" customWidth="1"/>
    <col min="28" max="28" width="22" bestFit="1" customWidth="1"/>
    <col min="29" max="29" width="23" bestFit="1" customWidth="1"/>
    <col min="30" max="30" width="22" bestFit="1" customWidth="1"/>
  </cols>
  <sheetData>
    <row r="1" spans="1:30" x14ac:dyDescent="0.3">
      <c r="A1" t="s">
        <v>3558</v>
      </c>
      <c r="B1" t="s">
        <v>3789</v>
      </c>
      <c r="C1" t="s">
        <v>3790</v>
      </c>
      <c r="D1" t="s">
        <v>3555</v>
      </c>
      <c r="E1" t="s">
        <v>3554</v>
      </c>
      <c r="F1" t="s">
        <v>3553</v>
      </c>
      <c r="G1" t="s">
        <v>3547</v>
      </c>
      <c r="H1" t="s">
        <v>3791</v>
      </c>
      <c r="I1" t="s">
        <v>3537</v>
      </c>
      <c r="J1" t="s">
        <v>3534</v>
      </c>
      <c r="K1" t="s">
        <v>3532</v>
      </c>
      <c r="L1" t="s">
        <v>3531</v>
      </c>
      <c r="M1" t="s">
        <v>3530</v>
      </c>
      <c r="N1" t="s">
        <v>3529</v>
      </c>
      <c r="O1" t="s">
        <v>3528</v>
      </c>
      <c r="P1" t="s">
        <v>3527</v>
      </c>
      <c r="Q1" t="s">
        <v>3526</v>
      </c>
      <c r="R1" t="s">
        <v>3525</v>
      </c>
      <c r="S1" t="s">
        <v>3524</v>
      </c>
      <c r="T1" t="s">
        <v>3523</v>
      </c>
      <c r="U1" t="s">
        <v>3522</v>
      </c>
      <c r="V1" t="s">
        <v>3521</v>
      </c>
      <c r="W1" t="s">
        <v>3516</v>
      </c>
      <c r="X1" t="s">
        <v>3512</v>
      </c>
      <c r="Y1" t="s">
        <v>3536</v>
      </c>
      <c r="Z1" t="s">
        <v>3535</v>
      </c>
      <c r="AA1" t="s">
        <v>3520</v>
      </c>
      <c r="AB1" t="s">
        <v>3519</v>
      </c>
      <c r="AC1" t="s">
        <v>3518</v>
      </c>
      <c r="AD1" t="s">
        <v>3517</v>
      </c>
    </row>
    <row r="2" spans="1:30" x14ac:dyDescent="0.3">
      <c r="A2" t="s">
        <v>4639</v>
      </c>
      <c r="B2">
        <v>50</v>
      </c>
      <c r="C2" t="s">
        <v>35</v>
      </c>
      <c r="D2">
        <v>531660</v>
      </c>
      <c r="E2" t="s">
        <v>42</v>
      </c>
      <c r="F2" t="s">
        <v>2409</v>
      </c>
      <c r="G2" t="s">
        <v>77</v>
      </c>
      <c r="H2">
        <v>105</v>
      </c>
      <c r="K2">
        <v>69.765900000000002</v>
      </c>
      <c r="L2">
        <v>150.6216</v>
      </c>
      <c r="M2">
        <v>118.8394</v>
      </c>
      <c r="N2">
        <v>203.71719999999999</v>
      </c>
      <c r="O2" t="s">
        <v>680</v>
      </c>
      <c r="P2" t="s">
        <v>680</v>
      </c>
      <c r="Q2">
        <v>66.654799999999994</v>
      </c>
      <c r="R2">
        <v>150.3664</v>
      </c>
      <c r="S2">
        <v>110.1938</v>
      </c>
      <c r="T2">
        <v>161.2783</v>
      </c>
      <c r="U2" t="s">
        <v>680</v>
      </c>
      <c r="V2">
        <v>108.5106</v>
      </c>
      <c r="W2" t="s">
        <v>0</v>
      </c>
      <c r="X2">
        <v>7</v>
      </c>
      <c r="AA2">
        <v>0.375</v>
      </c>
      <c r="AB2">
        <v>0.625</v>
      </c>
      <c r="AC2" t="s">
        <v>36</v>
      </c>
      <c r="AD2" t="s">
        <v>36</v>
      </c>
    </row>
    <row r="3" spans="1:30" x14ac:dyDescent="0.3">
      <c r="A3" t="s">
        <v>4669</v>
      </c>
      <c r="B3">
        <v>50</v>
      </c>
      <c r="C3" t="s">
        <v>10</v>
      </c>
      <c r="D3">
        <v>533458</v>
      </c>
      <c r="E3" t="s">
        <v>42</v>
      </c>
      <c r="F3" t="s">
        <v>2324</v>
      </c>
      <c r="G3" t="s">
        <v>67</v>
      </c>
      <c r="H3">
        <v>80</v>
      </c>
      <c r="I3">
        <v>22</v>
      </c>
      <c r="J3">
        <v>2</v>
      </c>
      <c r="K3">
        <v>34.720399999999998</v>
      </c>
      <c r="L3">
        <v>36.317999999999998</v>
      </c>
      <c r="M3">
        <v>37.047600000000003</v>
      </c>
      <c r="N3">
        <v>39.206200000000003</v>
      </c>
      <c r="O3" t="s">
        <v>680</v>
      </c>
      <c r="P3" t="s">
        <v>680</v>
      </c>
      <c r="Q3">
        <v>34.533999999999999</v>
      </c>
      <c r="R3">
        <v>35.521599999999999</v>
      </c>
      <c r="S3">
        <v>35.519199999999998</v>
      </c>
      <c r="T3">
        <v>38.126899999999999</v>
      </c>
      <c r="U3" t="s">
        <v>680</v>
      </c>
      <c r="V3">
        <v>35.027799999999999</v>
      </c>
      <c r="W3" t="s">
        <v>0</v>
      </c>
      <c r="X3">
        <v>6</v>
      </c>
      <c r="Y3">
        <v>4</v>
      </c>
      <c r="AA3">
        <v>0.375</v>
      </c>
      <c r="AB3">
        <v>0.625</v>
      </c>
      <c r="AC3" t="s">
        <v>36</v>
      </c>
      <c r="AD3" t="s">
        <v>36</v>
      </c>
    </row>
    <row r="4" spans="1:30" x14ac:dyDescent="0.3">
      <c r="A4" t="s">
        <v>4693</v>
      </c>
      <c r="B4">
        <v>50</v>
      </c>
      <c r="C4" t="s">
        <v>43</v>
      </c>
      <c r="D4">
        <v>530268</v>
      </c>
      <c r="E4" t="s">
        <v>42</v>
      </c>
      <c r="F4" t="s">
        <v>2275</v>
      </c>
      <c r="G4" t="s">
        <v>124</v>
      </c>
      <c r="H4">
        <v>25</v>
      </c>
      <c r="K4">
        <v>31.315000000000001</v>
      </c>
      <c r="L4">
        <v>93.944999999999993</v>
      </c>
      <c r="M4">
        <v>32.9846</v>
      </c>
      <c r="N4">
        <v>120.18210000000001</v>
      </c>
      <c r="O4" t="s">
        <v>680</v>
      </c>
      <c r="P4" t="s">
        <v>680</v>
      </c>
      <c r="Q4">
        <v>46.834299999999999</v>
      </c>
      <c r="R4">
        <v>182.08170000000001</v>
      </c>
      <c r="S4">
        <v>62.63</v>
      </c>
      <c r="T4">
        <v>76.583299999999994</v>
      </c>
      <c r="U4" t="s">
        <v>680</v>
      </c>
      <c r="V4">
        <v>114.458</v>
      </c>
      <c r="W4" t="s">
        <v>0</v>
      </c>
      <c r="X4">
        <v>10</v>
      </c>
      <c r="AA4">
        <v>0.33333333333333331</v>
      </c>
      <c r="AB4">
        <v>0.66666666666666663</v>
      </c>
      <c r="AC4" t="s">
        <v>36</v>
      </c>
      <c r="AD4" t="s">
        <v>36</v>
      </c>
    </row>
    <row r="5" spans="1:30" x14ac:dyDescent="0.3">
      <c r="A5" t="s">
        <v>4807</v>
      </c>
      <c r="B5">
        <v>51</v>
      </c>
      <c r="C5" t="s">
        <v>10</v>
      </c>
      <c r="D5">
        <v>532579</v>
      </c>
      <c r="E5" t="s">
        <v>42</v>
      </c>
      <c r="F5" t="s">
        <v>2013</v>
      </c>
      <c r="G5" t="s">
        <v>67</v>
      </c>
      <c r="H5">
        <v>130</v>
      </c>
      <c r="I5">
        <v>59</v>
      </c>
      <c r="J5">
        <v>3</v>
      </c>
      <c r="K5">
        <v>62.342399999999998</v>
      </c>
      <c r="L5">
        <v>66.809600000000003</v>
      </c>
      <c r="M5">
        <v>66.843999999999994</v>
      </c>
      <c r="N5">
        <v>92.075999999999993</v>
      </c>
      <c r="O5" t="s">
        <v>680</v>
      </c>
      <c r="P5" t="s">
        <v>680</v>
      </c>
      <c r="Q5">
        <v>58.115200000000002</v>
      </c>
      <c r="R5">
        <v>73.215900000000005</v>
      </c>
      <c r="S5">
        <v>64.575999999999993</v>
      </c>
      <c r="T5">
        <v>79.459999999999994</v>
      </c>
      <c r="U5" t="s">
        <v>680</v>
      </c>
      <c r="V5">
        <v>65.665599999999998</v>
      </c>
      <c r="W5" t="s">
        <v>0</v>
      </c>
      <c r="Y5">
        <v>2</v>
      </c>
      <c r="AA5">
        <v>0.33333333333333331</v>
      </c>
      <c r="AB5">
        <v>0.75</v>
      </c>
      <c r="AC5" t="s">
        <v>36</v>
      </c>
      <c r="AD5" t="s">
        <v>36</v>
      </c>
    </row>
    <row r="6" spans="1:30" x14ac:dyDescent="0.3">
      <c r="A6" t="s">
        <v>4851</v>
      </c>
      <c r="B6">
        <v>51</v>
      </c>
      <c r="C6" t="s">
        <v>43</v>
      </c>
      <c r="D6">
        <v>808281</v>
      </c>
      <c r="E6" t="s">
        <v>42</v>
      </c>
      <c r="F6" t="s">
        <v>1890</v>
      </c>
      <c r="G6" t="s">
        <v>67</v>
      </c>
      <c r="H6">
        <v>105</v>
      </c>
      <c r="I6">
        <v>102</v>
      </c>
      <c r="J6">
        <v>4</v>
      </c>
      <c r="K6">
        <v>55.451500000000003</v>
      </c>
      <c r="L6">
        <v>62.4101</v>
      </c>
      <c r="M6">
        <v>47.291600000000003</v>
      </c>
      <c r="N6">
        <v>80.584800000000001</v>
      </c>
      <c r="O6" t="s">
        <v>680</v>
      </c>
      <c r="P6" t="s">
        <v>680</v>
      </c>
      <c r="Q6">
        <v>54.827300000000001</v>
      </c>
      <c r="R6">
        <v>62.446800000000003</v>
      </c>
      <c r="S6">
        <v>58.930799999999998</v>
      </c>
      <c r="T6">
        <v>63.938200000000002</v>
      </c>
      <c r="U6" t="s">
        <v>680</v>
      </c>
      <c r="V6">
        <v>58.637</v>
      </c>
      <c r="W6" t="s">
        <v>0</v>
      </c>
      <c r="Y6">
        <v>3</v>
      </c>
      <c r="AA6">
        <v>0.41666666666666669</v>
      </c>
      <c r="AB6">
        <v>0.75</v>
      </c>
      <c r="AC6" t="s">
        <v>36</v>
      </c>
      <c r="AD6" t="s">
        <v>36</v>
      </c>
    </row>
    <row r="7" spans="1:30" x14ac:dyDescent="0.3">
      <c r="A7" t="s">
        <v>4908</v>
      </c>
      <c r="B7">
        <v>52</v>
      </c>
      <c r="C7" t="s">
        <v>24</v>
      </c>
      <c r="D7">
        <v>533530</v>
      </c>
      <c r="E7" t="s">
        <v>42</v>
      </c>
      <c r="F7" t="s">
        <v>1756</v>
      </c>
      <c r="G7">
        <v>5</v>
      </c>
      <c r="H7">
        <v>1</v>
      </c>
      <c r="I7">
        <v>12</v>
      </c>
      <c r="J7">
        <v>1</v>
      </c>
      <c r="K7">
        <v>46.6768</v>
      </c>
      <c r="L7">
        <v>59.307200000000002</v>
      </c>
      <c r="M7">
        <v>49.585599999999999</v>
      </c>
      <c r="N7">
        <v>51.141100000000002</v>
      </c>
      <c r="O7" t="s">
        <v>680</v>
      </c>
      <c r="P7" t="s">
        <v>680</v>
      </c>
      <c r="Q7">
        <v>46.6768</v>
      </c>
      <c r="R7">
        <v>59.307200000000002</v>
      </c>
      <c r="S7">
        <v>52.991999999999997</v>
      </c>
      <c r="T7">
        <v>50.363300000000002</v>
      </c>
      <c r="U7" t="s">
        <v>680</v>
      </c>
      <c r="V7">
        <v>52.991999999999997</v>
      </c>
      <c r="W7" t="s">
        <v>0</v>
      </c>
      <c r="Y7">
        <v>4</v>
      </c>
      <c r="AA7">
        <v>0</v>
      </c>
      <c r="AB7">
        <v>0.70833333333333337</v>
      </c>
      <c r="AC7" t="s">
        <v>36</v>
      </c>
      <c r="AD7" t="s">
        <v>36</v>
      </c>
    </row>
    <row r="8" spans="1:30" x14ac:dyDescent="0.3">
      <c r="A8" t="s">
        <v>4917</v>
      </c>
      <c r="B8">
        <v>52</v>
      </c>
      <c r="C8" t="s">
        <v>35</v>
      </c>
      <c r="D8">
        <v>530307</v>
      </c>
      <c r="E8" t="s">
        <v>686</v>
      </c>
      <c r="F8" t="s">
        <v>1738</v>
      </c>
      <c r="G8" t="s">
        <v>67</v>
      </c>
      <c r="H8">
        <v>5</v>
      </c>
      <c r="K8">
        <v>200.84209999999999</v>
      </c>
      <c r="L8">
        <v>268.31950000000001</v>
      </c>
      <c r="M8">
        <v>208.95009999999999</v>
      </c>
      <c r="N8">
        <v>251.1283</v>
      </c>
      <c r="O8" t="s">
        <v>680</v>
      </c>
      <c r="P8" t="s">
        <v>680</v>
      </c>
      <c r="Q8">
        <v>187.5932</v>
      </c>
      <c r="R8">
        <v>307.97219999999999</v>
      </c>
      <c r="S8">
        <v>234.58080000000001</v>
      </c>
      <c r="T8">
        <v>230.03919999999999</v>
      </c>
      <c r="U8" t="s">
        <v>680</v>
      </c>
      <c r="V8">
        <v>247.78270000000001</v>
      </c>
      <c r="W8" t="s">
        <v>0</v>
      </c>
      <c r="AA8">
        <v>0.41666666666666669</v>
      </c>
      <c r="AB8">
        <v>0.70833333333333337</v>
      </c>
      <c r="AC8" t="s">
        <v>36</v>
      </c>
      <c r="AD8" t="s">
        <v>36</v>
      </c>
    </row>
    <row r="9" spans="1:30" x14ac:dyDescent="0.3">
      <c r="A9" t="s">
        <v>4933</v>
      </c>
      <c r="B9">
        <v>52</v>
      </c>
      <c r="C9" t="s">
        <v>35</v>
      </c>
      <c r="D9">
        <v>533498</v>
      </c>
      <c r="E9" t="s">
        <v>42</v>
      </c>
      <c r="F9" t="s">
        <v>1708</v>
      </c>
      <c r="G9" t="s">
        <v>77</v>
      </c>
      <c r="H9">
        <v>1</v>
      </c>
      <c r="K9">
        <v>45.36</v>
      </c>
      <c r="L9">
        <v>46.61</v>
      </c>
      <c r="M9">
        <v>47.579599999999999</v>
      </c>
      <c r="N9">
        <v>49.448999999999998</v>
      </c>
      <c r="O9" t="s">
        <v>680</v>
      </c>
      <c r="P9" t="s">
        <v>680</v>
      </c>
      <c r="Q9">
        <v>27.686499999999999</v>
      </c>
      <c r="R9">
        <v>64.096000000000004</v>
      </c>
      <c r="S9">
        <v>45.984999999999999</v>
      </c>
      <c r="T9">
        <v>48.514299999999999</v>
      </c>
      <c r="U9" t="s">
        <v>680</v>
      </c>
      <c r="V9">
        <v>45.891300000000001</v>
      </c>
      <c r="W9" t="s">
        <v>0</v>
      </c>
      <c r="AA9">
        <v>0.33333333333333331</v>
      </c>
      <c r="AB9">
        <v>0.70833333333333337</v>
      </c>
      <c r="AC9" t="s">
        <v>36</v>
      </c>
      <c r="AD9" t="s">
        <v>36</v>
      </c>
    </row>
    <row r="10" spans="1:30" x14ac:dyDescent="0.3">
      <c r="A10" t="s">
        <v>5038</v>
      </c>
      <c r="B10">
        <v>56</v>
      </c>
      <c r="C10" t="s">
        <v>24</v>
      </c>
      <c r="D10">
        <v>532861</v>
      </c>
      <c r="E10" t="s">
        <v>42</v>
      </c>
      <c r="F10" t="s">
        <v>1482</v>
      </c>
      <c r="G10" t="s">
        <v>77</v>
      </c>
      <c r="H10">
        <v>120</v>
      </c>
      <c r="K10">
        <v>110.2871</v>
      </c>
      <c r="L10">
        <v>177.5729</v>
      </c>
      <c r="M10">
        <v>134.11449999999999</v>
      </c>
      <c r="N10">
        <v>197.7398</v>
      </c>
      <c r="O10" t="s">
        <v>680</v>
      </c>
      <c r="P10" t="s">
        <v>680</v>
      </c>
      <c r="Q10">
        <v>89.642899999999997</v>
      </c>
      <c r="R10">
        <v>241.20939999999999</v>
      </c>
      <c r="S10">
        <v>143.93</v>
      </c>
      <c r="T10">
        <v>165.9271</v>
      </c>
      <c r="U10" t="s">
        <v>680</v>
      </c>
      <c r="V10">
        <v>165.42619999999999</v>
      </c>
      <c r="W10" t="s">
        <v>0</v>
      </c>
      <c r="AA10">
        <v>0.25</v>
      </c>
      <c r="AB10">
        <v>0.70833333333333337</v>
      </c>
      <c r="AC10" t="s">
        <v>36</v>
      </c>
      <c r="AD10" t="s">
        <v>36</v>
      </c>
    </row>
    <row r="11" spans="1:30" x14ac:dyDescent="0.3">
      <c r="A11" t="s">
        <v>5119</v>
      </c>
      <c r="B11">
        <v>56</v>
      </c>
      <c r="C11" t="s">
        <v>10</v>
      </c>
      <c r="D11">
        <v>808198</v>
      </c>
      <c r="E11" t="s">
        <v>42</v>
      </c>
      <c r="F11" t="s">
        <v>1288</v>
      </c>
      <c r="G11" t="s">
        <v>67</v>
      </c>
      <c r="H11">
        <v>94</v>
      </c>
      <c r="K11">
        <v>53.7042</v>
      </c>
      <c r="L11">
        <v>59.9527</v>
      </c>
      <c r="M11">
        <v>59.593299999999999</v>
      </c>
      <c r="N11">
        <v>61.051299999999998</v>
      </c>
      <c r="O11" t="s">
        <v>680</v>
      </c>
      <c r="P11" t="s">
        <v>680</v>
      </c>
      <c r="Q11">
        <v>55.160899999999998</v>
      </c>
      <c r="R11">
        <v>62.136099999999999</v>
      </c>
      <c r="S11">
        <v>56.828499999999998</v>
      </c>
      <c r="T11">
        <v>60.322299999999998</v>
      </c>
      <c r="U11" t="s">
        <v>680</v>
      </c>
      <c r="V11">
        <v>58.648499999999999</v>
      </c>
      <c r="W11" t="s">
        <v>0</v>
      </c>
      <c r="AA11">
        <v>0.3125</v>
      </c>
      <c r="AB11">
        <v>0.70833333333333337</v>
      </c>
      <c r="AC11" t="s">
        <v>36</v>
      </c>
      <c r="AD11" t="s">
        <v>36</v>
      </c>
    </row>
    <row r="12" spans="1:30" x14ac:dyDescent="0.3">
      <c r="A12" t="s">
        <v>5258</v>
      </c>
      <c r="B12">
        <v>8010</v>
      </c>
      <c r="C12" t="s">
        <v>35</v>
      </c>
      <c r="D12">
        <v>803761</v>
      </c>
      <c r="E12" t="s">
        <v>42</v>
      </c>
      <c r="F12" t="s">
        <v>951</v>
      </c>
      <c r="G12" t="s">
        <v>124</v>
      </c>
      <c r="H12">
        <v>155</v>
      </c>
      <c r="K12">
        <v>60.52</v>
      </c>
      <c r="L12">
        <v>60.52</v>
      </c>
      <c r="M12">
        <v>60.3889</v>
      </c>
      <c r="N12">
        <v>61.437800000000003</v>
      </c>
      <c r="O12" t="s">
        <v>680</v>
      </c>
      <c r="P12" t="s">
        <v>680</v>
      </c>
      <c r="Q12">
        <v>31.994900000000001</v>
      </c>
      <c r="R12">
        <v>93.4251</v>
      </c>
      <c r="S12">
        <v>60.52</v>
      </c>
      <c r="T12">
        <v>60.9133</v>
      </c>
      <c r="U12" t="s">
        <v>680</v>
      </c>
      <c r="V12">
        <v>62.71</v>
      </c>
      <c r="W12" t="s">
        <v>0</v>
      </c>
      <c r="AA12">
        <v>0</v>
      </c>
      <c r="AB12">
        <v>0.70833333333333337</v>
      </c>
      <c r="AC12" t="s">
        <v>36</v>
      </c>
      <c r="AD12" t="s">
        <v>36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D0E36-3E50-42D4-87C7-CCE06E050D37}">
  <dimension ref="A1:K1012"/>
  <sheetViews>
    <sheetView workbookViewId="0">
      <selection activeCell="G50" sqref="G49:G50"/>
    </sheetView>
  </sheetViews>
  <sheetFormatPr defaultRowHeight="13.8" x14ac:dyDescent="0.3"/>
  <cols>
    <col min="1" max="1" width="13.88671875" bestFit="1" customWidth="1"/>
    <col min="2" max="2" width="16.21875" bestFit="1" customWidth="1"/>
    <col min="3" max="3" width="23.21875" bestFit="1" customWidth="1"/>
    <col min="4" max="4" width="32.5546875" bestFit="1" customWidth="1"/>
    <col min="5" max="5" width="31" bestFit="1" customWidth="1"/>
    <col min="6" max="6" width="18.109375" bestFit="1" customWidth="1"/>
    <col min="7" max="7" width="13.77734375" bestFit="1" customWidth="1"/>
    <col min="8" max="8" width="22.109375" bestFit="1" customWidth="1"/>
    <col min="9" max="9" width="31.88671875" bestFit="1" customWidth="1"/>
    <col min="10" max="10" width="15" bestFit="1" customWidth="1"/>
    <col min="11" max="11" width="13.21875" bestFit="1" customWidth="1"/>
  </cols>
  <sheetData>
    <row r="1" spans="1:11" x14ac:dyDescent="0.3">
      <c r="A1" t="s">
        <v>3792</v>
      </c>
      <c r="B1" t="s">
        <v>3793</v>
      </c>
      <c r="C1" t="s">
        <v>3794</v>
      </c>
      <c r="D1" t="s">
        <v>3795</v>
      </c>
      <c r="E1" t="s">
        <v>3796</v>
      </c>
      <c r="F1" t="s">
        <v>3797</v>
      </c>
      <c r="G1" t="s">
        <v>3798</v>
      </c>
      <c r="H1" t="s">
        <v>3799</v>
      </c>
      <c r="I1" t="s">
        <v>3800</v>
      </c>
      <c r="J1" t="s">
        <v>3801</v>
      </c>
      <c r="K1" t="s">
        <v>3802</v>
      </c>
    </row>
    <row r="2" spans="1:11" hidden="1" x14ac:dyDescent="0.3">
      <c r="A2" s="158" t="s">
        <v>4144</v>
      </c>
      <c r="B2" s="158" t="s">
        <v>3804</v>
      </c>
      <c r="C2" s="158" t="s">
        <v>24</v>
      </c>
      <c r="D2" s="158" t="s">
        <v>3509</v>
      </c>
      <c r="E2" s="158" t="s">
        <v>3508</v>
      </c>
      <c r="F2" s="158" t="s">
        <v>3805</v>
      </c>
      <c r="K2" t="s">
        <v>35</v>
      </c>
    </row>
    <row r="3" spans="1:11" hidden="1" x14ac:dyDescent="0.3">
      <c r="A3" s="158" t="s">
        <v>4618</v>
      </c>
      <c r="B3" s="158" t="s">
        <v>3810</v>
      </c>
      <c r="C3" s="158" t="s">
        <v>35</v>
      </c>
      <c r="D3" s="158" t="s">
        <v>2460</v>
      </c>
      <c r="E3" s="158" t="s">
        <v>2459</v>
      </c>
      <c r="F3" s="158" t="s">
        <v>3805</v>
      </c>
      <c r="J3" t="s">
        <v>3838</v>
      </c>
      <c r="K3" t="s">
        <v>15</v>
      </c>
    </row>
    <row r="4" spans="1:11" hidden="1" x14ac:dyDescent="0.3">
      <c r="A4" s="158" t="s">
        <v>4145</v>
      </c>
      <c r="B4" s="158" t="s">
        <v>3804</v>
      </c>
      <c r="C4" s="158" t="s">
        <v>24</v>
      </c>
      <c r="D4" s="158" t="s">
        <v>3507</v>
      </c>
      <c r="E4" s="158" t="s">
        <v>3506</v>
      </c>
      <c r="F4" s="158" t="s">
        <v>3805</v>
      </c>
      <c r="K4" t="s">
        <v>35</v>
      </c>
    </row>
    <row r="5" spans="1:11" hidden="1" x14ac:dyDescent="0.3">
      <c r="A5" s="158" t="s">
        <v>4619</v>
      </c>
      <c r="B5" s="158" t="s">
        <v>3810</v>
      </c>
      <c r="C5" s="158" t="s">
        <v>35</v>
      </c>
      <c r="D5" s="158" t="s">
        <v>2458</v>
      </c>
      <c r="E5" s="158" t="s">
        <v>2457</v>
      </c>
      <c r="F5" s="158" t="s">
        <v>3805</v>
      </c>
      <c r="J5" t="s">
        <v>3821</v>
      </c>
      <c r="K5" t="s">
        <v>24</v>
      </c>
    </row>
    <row r="6" spans="1:11" hidden="1" x14ac:dyDescent="0.3">
      <c r="A6" s="158" t="s">
        <v>4146</v>
      </c>
      <c r="B6" s="158" t="s">
        <v>3804</v>
      </c>
      <c r="C6" s="158" t="s">
        <v>24</v>
      </c>
      <c r="D6" s="158" t="s">
        <v>1462</v>
      </c>
      <c r="E6" s="158" t="s">
        <v>3505</v>
      </c>
      <c r="F6" s="158" t="s">
        <v>3804</v>
      </c>
      <c r="K6" t="s">
        <v>35</v>
      </c>
    </row>
    <row r="7" spans="1:11" hidden="1" x14ac:dyDescent="0.3">
      <c r="A7" s="158" t="s">
        <v>4652</v>
      </c>
      <c r="B7" s="158" t="s">
        <v>3810</v>
      </c>
      <c r="C7" s="158" t="s">
        <v>10</v>
      </c>
      <c r="D7" s="158" t="s">
        <v>2376</v>
      </c>
      <c r="E7" s="158" t="s">
        <v>2375</v>
      </c>
      <c r="F7" s="158" t="s">
        <v>3805</v>
      </c>
      <c r="J7" t="s">
        <v>3859</v>
      </c>
      <c r="K7" t="s">
        <v>24</v>
      </c>
    </row>
    <row r="8" spans="1:11" hidden="1" x14ac:dyDescent="0.3">
      <c r="A8" s="158" t="s">
        <v>4935</v>
      </c>
      <c r="B8" s="158" t="s">
        <v>3829</v>
      </c>
      <c r="C8" s="158" t="s">
        <v>10</v>
      </c>
      <c r="D8" s="158" t="s">
        <v>1704</v>
      </c>
      <c r="E8" s="158" t="s">
        <v>1703</v>
      </c>
      <c r="F8" s="158" t="s">
        <v>3805</v>
      </c>
      <c r="K8" t="s">
        <v>15</v>
      </c>
    </row>
    <row r="9" spans="1:11" hidden="1" x14ac:dyDescent="0.3">
      <c r="A9" s="158" t="s">
        <v>3803</v>
      </c>
      <c r="B9" s="158" t="s">
        <v>3804</v>
      </c>
      <c r="C9" s="158" t="s">
        <v>24</v>
      </c>
      <c r="D9" s="158" t="s">
        <v>3561</v>
      </c>
      <c r="E9" s="158" t="s">
        <v>3498</v>
      </c>
      <c r="F9" s="158" t="s">
        <v>3805</v>
      </c>
      <c r="I9" t="s">
        <v>3806</v>
      </c>
      <c r="K9" t="s">
        <v>35</v>
      </c>
    </row>
    <row r="10" spans="1:11" hidden="1" x14ac:dyDescent="0.3">
      <c r="A10" s="158" t="s">
        <v>3807</v>
      </c>
      <c r="B10" s="158" t="s">
        <v>3804</v>
      </c>
      <c r="C10" s="158" t="s">
        <v>24</v>
      </c>
      <c r="D10" s="158" t="s">
        <v>3562</v>
      </c>
      <c r="E10" s="158" t="s">
        <v>3498</v>
      </c>
      <c r="F10" s="158" t="s">
        <v>3805</v>
      </c>
      <c r="I10" t="s">
        <v>3808</v>
      </c>
      <c r="K10" t="s">
        <v>35</v>
      </c>
    </row>
    <row r="11" spans="1:11" hidden="1" x14ac:dyDescent="0.3">
      <c r="A11" s="158" t="s">
        <v>4620</v>
      </c>
      <c r="B11" s="158" t="s">
        <v>3810</v>
      </c>
      <c r="C11" s="158" t="s">
        <v>35</v>
      </c>
      <c r="D11" s="158" t="s">
        <v>2455</v>
      </c>
      <c r="E11" s="158" t="s">
        <v>2454</v>
      </c>
      <c r="F11" s="158" t="s">
        <v>3805</v>
      </c>
      <c r="J11" t="s">
        <v>3821</v>
      </c>
      <c r="K11" t="s">
        <v>24</v>
      </c>
    </row>
    <row r="12" spans="1:11" hidden="1" x14ac:dyDescent="0.3">
      <c r="A12" s="158" t="s">
        <v>4147</v>
      </c>
      <c r="B12" s="158" t="s">
        <v>3804</v>
      </c>
      <c r="C12" s="158" t="s">
        <v>24</v>
      </c>
      <c r="D12" s="158" t="s">
        <v>3503</v>
      </c>
      <c r="E12" s="158" t="s">
        <v>3498</v>
      </c>
      <c r="F12" s="158" t="s">
        <v>3805</v>
      </c>
      <c r="K12" t="s">
        <v>35</v>
      </c>
    </row>
    <row r="13" spans="1:11" hidden="1" x14ac:dyDescent="0.3">
      <c r="A13" s="158" t="s">
        <v>3809</v>
      </c>
      <c r="B13" s="158" t="s">
        <v>3810</v>
      </c>
      <c r="C13" s="158" t="s">
        <v>43</v>
      </c>
      <c r="D13" s="158" t="s">
        <v>63</v>
      </c>
      <c r="E13" s="158" t="s">
        <v>62</v>
      </c>
      <c r="F13" s="158" t="s">
        <v>3811</v>
      </c>
      <c r="K13" t="s">
        <v>3812</v>
      </c>
    </row>
    <row r="14" spans="1:11" hidden="1" x14ac:dyDescent="0.3">
      <c r="A14" s="158" t="s">
        <v>4148</v>
      </c>
      <c r="B14" s="158" t="s">
        <v>3804</v>
      </c>
      <c r="C14" s="158" t="s">
        <v>24</v>
      </c>
      <c r="D14" s="158" t="s">
        <v>3502</v>
      </c>
      <c r="E14" s="158" t="s">
        <v>3501</v>
      </c>
      <c r="F14" s="158" t="s">
        <v>3822</v>
      </c>
      <c r="J14" t="s">
        <v>3838</v>
      </c>
      <c r="K14" t="s">
        <v>15</v>
      </c>
    </row>
    <row r="15" spans="1:11" hidden="1" x14ac:dyDescent="0.3">
      <c r="A15" s="158" t="s">
        <v>4476</v>
      </c>
      <c r="B15" s="158" t="s">
        <v>3917</v>
      </c>
      <c r="C15" s="158" t="s">
        <v>10</v>
      </c>
      <c r="D15" s="158" t="s">
        <v>2785</v>
      </c>
      <c r="E15" s="158" t="s">
        <v>2784</v>
      </c>
      <c r="F15" s="158" t="s">
        <v>3805</v>
      </c>
      <c r="K15" t="s">
        <v>15</v>
      </c>
    </row>
    <row r="16" spans="1:11" hidden="1" x14ac:dyDescent="0.3">
      <c r="A16" s="158" t="s">
        <v>3813</v>
      </c>
      <c r="B16" s="158" t="s">
        <v>3804</v>
      </c>
      <c r="C16" s="158" t="s">
        <v>43</v>
      </c>
      <c r="D16" s="158" t="s">
        <v>41</v>
      </c>
      <c r="E16" s="158" t="s">
        <v>40</v>
      </c>
      <c r="F16" s="158" t="s">
        <v>3811</v>
      </c>
      <c r="K16" t="s">
        <v>3812</v>
      </c>
    </row>
    <row r="17" spans="1:11" hidden="1" x14ac:dyDescent="0.3">
      <c r="A17" s="158" t="s">
        <v>4446</v>
      </c>
      <c r="B17" s="158" t="s">
        <v>3917</v>
      </c>
      <c r="C17" s="158" t="s">
        <v>35</v>
      </c>
      <c r="D17" s="158" t="s">
        <v>2872</v>
      </c>
      <c r="E17" s="158" t="s">
        <v>2871</v>
      </c>
      <c r="F17" s="158" t="s">
        <v>3805</v>
      </c>
      <c r="K17" t="s">
        <v>10</v>
      </c>
    </row>
    <row r="18" spans="1:11" hidden="1" x14ac:dyDescent="0.3">
      <c r="A18" s="158" t="s">
        <v>4150</v>
      </c>
      <c r="B18" s="158" t="s">
        <v>3804</v>
      </c>
      <c r="C18" s="158" t="s">
        <v>24</v>
      </c>
      <c r="D18" s="158" t="s">
        <v>3493</v>
      </c>
      <c r="E18" s="158" t="s">
        <v>3492</v>
      </c>
      <c r="F18" s="158" t="s">
        <v>3805</v>
      </c>
      <c r="K18" t="s">
        <v>35</v>
      </c>
    </row>
    <row r="19" spans="1:11" hidden="1" x14ac:dyDescent="0.3">
      <c r="A19" s="158" t="s">
        <v>4555</v>
      </c>
      <c r="B19" s="158" t="s">
        <v>3917</v>
      </c>
      <c r="C19" s="158" t="s">
        <v>15</v>
      </c>
      <c r="D19" s="158" t="s">
        <v>2603</v>
      </c>
      <c r="E19" s="158" t="s">
        <v>2602</v>
      </c>
      <c r="F19" s="158" t="s">
        <v>3805</v>
      </c>
      <c r="J19" t="s">
        <v>3877</v>
      </c>
      <c r="K19" t="s">
        <v>35</v>
      </c>
    </row>
    <row r="20" spans="1:11" hidden="1" x14ac:dyDescent="0.3">
      <c r="A20" s="158" t="s">
        <v>5091</v>
      </c>
      <c r="B20" s="158" t="s">
        <v>3821</v>
      </c>
      <c r="C20" s="158" t="s">
        <v>10</v>
      </c>
      <c r="D20" s="158" t="s">
        <v>1365</v>
      </c>
      <c r="E20" s="158" t="s">
        <v>1364</v>
      </c>
      <c r="F20" s="158" t="s">
        <v>3805</v>
      </c>
      <c r="J20" t="s">
        <v>4090</v>
      </c>
      <c r="K20" t="s">
        <v>35</v>
      </c>
    </row>
    <row r="21" spans="1:11" hidden="1" x14ac:dyDescent="0.3">
      <c r="A21" s="158" t="s">
        <v>4151</v>
      </c>
      <c r="B21" s="158" t="s">
        <v>3804</v>
      </c>
      <c r="C21" s="158" t="s">
        <v>24</v>
      </c>
      <c r="D21" s="158" t="s">
        <v>3491</v>
      </c>
      <c r="E21" s="158" t="s">
        <v>3490</v>
      </c>
      <c r="F21" s="158" t="s">
        <v>3804</v>
      </c>
      <c r="J21" t="s">
        <v>3838</v>
      </c>
      <c r="K21" t="s">
        <v>15</v>
      </c>
    </row>
    <row r="22" spans="1:11" hidden="1" x14ac:dyDescent="0.3">
      <c r="A22" s="158" t="s">
        <v>5008</v>
      </c>
      <c r="B22" s="158" t="s">
        <v>3821</v>
      </c>
      <c r="C22" s="158" t="s">
        <v>24</v>
      </c>
      <c r="D22" s="158" t="s">
        <v>1540</v>
      </c>
      <c r="E22" s="158" t="s">
        <v>1539</v>
      </c>
      <c r="F22" s="158" t="s">
        <v>3805</v>
      </c>
      <c r="J22" t="s">
        <v>3810</v>
      </c>
      <c r="K22" t="s">
        <v>35</v>
      </c>
    </row>
    <row r="23" spans="1:11" hidden="1" x14ac:dyDescent="0.3">
      <c r="A23" s="158" t="s">
        <v>4152</v>
      </c>
      <c r="B23" s="158" t="s">
        <v>3804</v>
      </c>
      <c r="C23" s="158" t="s">
        <v>24</v>
      </c>
      <c r="D23" s="158" t="s">
        <v>3489</v>
      </c>
      <c r="E23" s="158" t="s">
        <v>3488</v>
      </c>
      <c r="F23" s="158" t="s">
        <v>3805</v>
      </c>
      <c r="J23" t="s">
        <v>3838</v>
      </c>
      <c r="K23" t="s">
        <v>15</v>
      </c>
    </row>
    <row r="24" spans="1:11" hidden="1" x14ac:dyDescent="0.3">
      <c r="A24" s="158" t="s">
        <v>5092</v>
      </c>
      <c r="B24" s="158" t="s">
        <v>3821</v>
      </c>
      <c r="C24" s="158" t="s">
        <v>10</v>
      </c>
      <c r="D24" s="158" t="s">
        <v>1362</v>
      </c>
      <c r="E24" s="158" t="s">
        <v>1361</v>
      </c>
      <c r="F24" s="158" t="s">
        <v>3805</v>
      </c>
      <c r="J24" t="s">
        <v>4090</v>
      </c>
      <c r="K24" t="s">
        <v>43</v>
      </c>
    </row>
    <row r="25" spans="1:11" hidden="1" x14ac:dyDescent="0.3">
      <c r="A25" s="158" t="s">
        <v>5009</v>
      </c>
      <c r="B25" s="158" t="s">
        <v>3821</v>
      </c>
      <c r="C25" s="158" t="s">
        <v>24</v>
      </c>
      <c r="D25" s="158" t="s">
        <v>1538</v>
      </c>
      <c r="E25" s="158" t="s">
        <v>1537</v>
      </c>
      <c r="F25" s="158" t="s">
        <v>3805</v>
      </c>
      <c r="J25" t="s">
        <v>3810</v>
      </c>
    </row>
    <row r="26" spans="1:11" hidden="1" x14ac:dyDescent="0.3">
      <c r="A26" s="158" t="s">
        <v>4153</v>
      </c>
      <c r="B26" s="158" t="s">
        <v>3804</v>
      </c>
      <c r="C26" s="158" t="s">
        <v>24</v>
      </c>
      <c r="D26" s="158" t="s">
        <v>3487</v>
      </c>
      <c r="E26" s="158" t="s">
        <v>3486</v>
      </c>
      <c r="F26" s="158" t="s">
        <v>3805</v>
      </c>
      <c r="K26" t="s">
        <v>43</v>
      </c>
    </row>
    <row r="27" spans="1:11" hidden="1" x14ac:dyDescent="0.3">
      <c r="A27" s="158" t="s">
        <v>4258</v>
      </c>
      <c r="B27" s="158" t="s">
        <v>3804</v>
      </c>
      <c r="C27" s="158" t="s">
        <v>15</v>
      </c>
      <c r="D27" s="158" t="s">
        <v>3248</v>
      </c>
      <c r="E27" s="158" t="s">
        <v>3247</v>
      </c>
      <c r="F27" s="158" t="s">
        <v>3805</v>
      </c>
      <c r="K27" t="s">
        <v>35</v>
      </c>
    </row>
    <row r="28" spans="1:11" hidden="1" x14ac:dyDescent="0.3">
      <c r="A28" s="158" t="s">
        <v>4154</v>
      </c>
      <c r="B28" s="158" t="s">
        <v>3804</v>
      </c>
      <c r="C28" s="158" t="s">
        <v>24</v>
      </c>
      <c r="D28" s="158" t="s">
        <v>3484</v>
      </c>
      <c r="E28" s="158" t="s">
        <v>3483</v>
      </c>
      <c r="F28" s="158" t="s">
        <v>3805</v>
      </c>
      <c r="K28" t="s">
        <v>35</v>
      </c>
    </row>
    <row r="29" spans="1:11" hidden="1" x14ac:dyDescent="0.3">
      <c r="A29" s="158" t="s">
        <v>4418</v>
      </c>
      <c r="B29" s="158" t="s">
        <v>3917</v>
      </c>
      <c r="C29" s="158" t="s">
        <v>24</v>
      </c>
      <c r="D29" s="158" t="s">
        <v>2938</v>
      </c>
      <c r="E29" s="158" t="s">
        <v>2937</v>
      </c>
      <c r="F29" s="158" t="s">
        <v>3805</v>
      </c>
      <c r="K29" t="s">
        <v>43</v>
      </c>
    </row>
    <row r="30" spans="1:11" hidden="1" x14ac:dyDescent="0.3">
      <c r="A30" s="158" t="s">
        <v>4155</v>
      </c>
      <c r="B30" s="158" t="s">
        <v>3804</v>
      </c>
      <c r="C30" s="158" t="s">
        <v>24</v>
      </c>
      <c r="D30" s="158" t="s">
        <v>3482</v>
      </c>
      <c r="E30" s="158" t="s">
        <v>3481</v>
      </c>
      <c r="F30" s="158" t="s">
        <v>3805</v>
      </c>
      <c r="K30" t="s">
        <v>35</v>
      </c>
    </row>
    <row r="31" spans="1:11" hidden="1" x14ac:dyDescent="0.3">
      <c r="A31" s="158" t="s">
        <v>5045</v>
      </c>
      <c r="B31" s="158" t="s">
        <v>3821</v>
      </c>
      <c r="C31" s="158" t="s">
        <v>35</v>
      </c>
      <c r="D31" s="158" t="s">
        <v>1466</v>
      </c>
      <c r="E31" s="158" t="s">
        <v>1465</v>
      </c>
      <c r="F31" s="158" t="s">
        <v>3805</v>
      </c>
      <c r="K31" t="s">
        <v>15</v>
      </c>
    </row>
    <row r="32" spans="1:11" hidden="1" x14ac:dyDescent="0.3">
      <c r="A32" s="158" t="s">
        <v>5158</v>
      </c>
      <c r="B32" s="158" t="s">
        <v>3821</v>
      </c>
      <c r="C32" s="158" t="s">
        <v>15</v>
      </c>
      <c r="D32" s="158" t="s">
        <v>1180</v>
      </c>
      <c r="E32" s="158" t="s">
        <v>1179</v>
      </c>
      <c r="F32" s="158" t="s">
        <v>3805</v>
      </c>
      <c r="K32" t="s">
        <v>35</v>
      </c>
    </row>
    <row r="33" spans="1:11" hidden="1" x14ac:dyDescent="0.3">
      <c r="A33" s="158" t="s">
        <v>4157</v>
      </c>
      <c r="B33" s="158" t="s">
        <v>3804</v>
      </c>
      <c r="C33" s="158" t="s">
        <v>24</v>
      </c>
      <c r="D33" s="158" t="s">
        <v>3563</v>
      </c>
      <c r="E33" s="158" t="s">
        <v>3477</v>
      </c>
      <c r="F33" s="158" t="s">
        <v>3822</v>
      </c>
      <c r="K33" t="s">
        <v>43</v>
      </c>
    </row>
    <row r="34" spans="1:11" hidden="1" x14ac:dyDescent="0.3">
      <c r="A34" s="158" t="s">
        <v>4621</v>
      </c>
      <c r="B34" s="158" t="s">
        <v>3810</v>
      </c>
      <c r="C34" s="158" t="s">
        <v>35</v>
      </c>
      <c r="D34" s="158" t="s">
        <v>2453</v>
      </c>
      <c r="E34" s="158" t="s">
        <v>2452</v>
      </c>
      <c r="F34" s="158" t="s">
        <v>3805</v>
      </c>
      <c r="J34" t="s">
        <v>3821</v>
      </c>
      <c r="K34" t="s">
        <v>24</v>
      </c>
    </row>
    <row r="35" spans="1:11" hidden="1" x14ac:dyDescent="0.3">
      <c r="A35" s="158" t="s">
        <v>4160</v>
      </c>
      <c r="B35" s="158" t="s">
        <v>3804</v>
      </c>
      <c r="C35" s="158" t="s">
        <v>24</v>
      </c>
      <c r="D35" s="158" t="s">
        <v>3471</v>
      </c>
      <c r="E35" s="158" t="s">
        <v>3470</v>
      </c>
      <c r="F35" s="158" t="s">
        <v>3805</v>
      </c>
      <c r="J35" t="s">
        <v>3838</v>
      </c>
      <c r="K35" t="s">
        <v>15</v>
      </c>
    </row>
    <row r="36" spans="1:11" hidden="1" x14ac:dyDescent="0.3">
      <c r="A36" s="158" t="s">
        <v>4161</v>
      </c>
      <c r="B36" s="158" t="s">
        <v>3804</v>
      </c>
      <c r="C36" s="158" t="s">
        <v>24</v>
      </c>
      <c r="D36" s="158" t="s">
        <v>3473</v>
      </c>
      <c r="E36" s="158" t="s">
        <v>3472</v>
      </c>
      <c r="F36" s="158" t="s">
        <v>3805</v>
      </c>
      <c r="K36" t="s">
        <v>43</v>
      </c>
    </row>
    <row r="37" spans="1:11" hidden="1" x14ac:dyDescent="0.3">
      <c r="A37" s="158" t="s">
        <v>4162</v>
      </c>
      <c r="B37" s="158" t="s">
        <v>3804</v>
      </c>
      <c r="C37" s="158" t="s">
        <v>24</v>
      </c>
      <c r="D37" s="158" t="s">
        <v>3471</v>
      </c>
      <c r="E37" s="158" t="s">
        <v>3470</v>
      </c>
      <c r="F37" s="158" t="s">
        <v>3805</v>
      </c>
      <c r="J37" t="s">
        <v>3838</v>
      </c>
      <c r="K37" t="s">
        <v>15</v>
      </c>
    </row>
    <row r="38" spans="1:11" x14ac:dyDescent="0.3">
      <c r="A38" s="158" t="s">
        <v>4514</v>
      </c>
      <c r="B38" s="158" t="s">
        <v>3917</v>
      </c>
      <c r="C38" s="158" t="s">
        <v>43</v>
      </c>
      <c r="D38" s="158" t="s">
        <v>2704</v>
      </c>
      <c r="E38" s="158" t="s">
        <v>2703</v>
      </c>
      <c r="F38" s="158" t="s">
        <v>3822</v>
      </c>
      <c r="G38" t="s">
        <v>3804</v>
      </c>
    </row>
    <row r="39" spans="1:11" hidden="1" x14ac:dyDescent="0.3">
      <c r="A39" s="158" t="s">
        <v>4163</v>
      </c>
      <c r="B39" s="158" t="s">
        <v>3804</v>
      </c>
      <c r="C39" s="158" t="s">
        <v>24</v>
      </c>
      <c r="D39" s="158" t="s">
        <v>3469</v>
      </c>
      <c r="E39" s="158" t="s">
        <v>3468</v>
      </c>
      <c r="F39" s="158" t="s">
        <v>3805</v>
      </c>
      <c r="J39" t="s">
        <v>3838</v>
      </c>
      <c r="K39" t="s">
        <v>15</v>
      </c>
    </row>
    <row r="40" spans="1:11" hidden="1" x14ac:dyDescent="0.3">
      <c r="A40" s="158" t="s">
        <v>4367</v>
      </c>
      <c r="B40" s="158" t="s">
        <v>3859</v>
      </c>
      <c r="C40" s="158" t="s">
        <v>43</v>
      </c>
      <c r="D40" s="158" t="s">
        <v>3047</v>
      </c>
      <c r="E40" s="158" t="s">
        <v>3046</v>
      </c>
      <c r="F40" s="158" t="s">
        <v>3804</v>
      </c>
      <c r="J40" t="s">
        <v>3829</v>
      </c>
      <c r="K40" t="s">
        <v>10</v>
      </c>
    </row>
    <row r="41" spans="1:11" x14ac:dyDescent="0.3">
      <c r="A41" s="158" t="s">
        <v>4164</v>
      </c>
      <c r="B41" s="158" t="s">
        <v>3804</v>
      </c>
      <c r="C41" s="158" t="s">
        <v>24</v>
      </c>
      <c r="D41" s="158" t="s">
        <v>3467</v>
      </c>
      <c r="E41" s="158" t="s">
        <v>3466</v>
      </c>
      <c r="F41" s="158" t="s">
        <v>4010</v>
      </c>
      <c r="G41" t="s">
        <v>5627</v>
      </c>
      <c r="J41" t="s">
        <v>3838</v>
      </c>
      <c r="K41" t="s">
        <v>15</v>
      </c>
    </row>
    <row r="42" spans="1:11" hidden="1" x14ac:dyDescent="0.3">
      <c r="A42" s="158" t="s">
        <v>4368</v>
      </c>
      <c r="B42" s="158" t="s">
        <v>3859</v>
      </c>
      <c r="C42" s="158" t="s">
        <v>43</v>
      </c>
      <c r="D42" s="158" t="s">
        <v>3045</v>
      </c>
      <c r="E42" s="158" t="s">
        <v>3044</v>
      </c>
      <c r="F42" s="158" t="s">
        <v>3805</v>
      </c>
      <c r="J42" t="s">
        <v>3829</v>
      </c>
      <c r="K42" t="s">
        <v>10</v>
      </c>
    </row>
    <row r="43" spans="1:11" hidden="1" x14ac:dyDescent="0.3">
      <c r="A43" s="158" t="s">
        <v>4967</v>
      </c>
      <c r="B43" s="158" t="s">
        <v>3829</v>
      </c>
      <c r="C43" s="158" t="s">
        <v>43</v>
      </c>
      <c r="D43" s="158" t="s">
        <v>1643</v>
      </c>
      <c r="E43" s="158" t="s">
        <v>1642</v>
      </c>
      <c r="F43" s="158" t="s">
        <v>3805</v>
      </c>
      <c r="K43" t="s">
        <v>10</v>
      </c>
    </row>
    <row r="44" spans="1:11" hidden="1" x14ac:dyDescent="0.3">
      <c r="A44" s="158" t="s">
        <v>4165</v>
      </c>
      <c r="B44" s="158" t="s">
        <v>3804</v>
      </c>
      <c r="C44" s="158" t="s">
        <v>24</v>
      </c>
      <c r="D44" s="158" t="s">
        <v>3465</v>
      </c>
      <c r="E44" s="158" t="s">
        <v>3464</v>
      </c>
      <c r="F44" s="158" t="s">
        <v>3822</v>
      </c>
      <c r="J44" t="s">
        <v>3838</v>
      </c>
      <c r="K44" t="s">
        <v>15</v>
      </c>
    </row>
    <row r="45" spans="1:11" hidden="1" x14ac:dyDescent="0.3">
      <c r="A45" s="158" t="s">
        <v>4309</v>
      </c>
      <c r="B45" s="158" t="s">
        <v>3859</v>
      </c>
      <c r="C45" s="158" t="s">
        <v>35</v>
      </c>
      <c r="D45" s="158" t="s">
        <v>3152</v>
      </c>
      <c r="E45" s="158" t="s">
        <v>3151</v>
      </c>
      <c r="F45" s="158" t="s">
        <v>3805</v>
      </c>
      <c r="K45" t="s">
        <v>43</v>
      </c>
    </row>
    <row r="46" spans="1:11" hidden="1" x14ac:dyDescent="0.3">
      <c r="A46" s="158" t="s">
        <v>4167</v>
      </c>
      <c r="B46" s="158" t="s">
        <v>3804</v>
      </c>
      <c r="C46" s="158" t="s">
        <v>24</v>
      </c>
      <c r="D46" s="158" t="s">
        <v>3461</v>
      </c>
      <c r="E46" s="158" t="s">
        <v>3460</v>
      </c>
      <c r="F46" s="158" t="s">
        <v>3805</v>
      </c>
      <c r="K46" t="s">
        <v>43</v>
      </c>
    </row>
    <row r="47" spans="1:11" hidden="1" x14ac:dyDescent="0.3">
      <c r="A47" s="158" t="s">
        <v>4310</v>
      </c>
      <c r="B47" s="158" t="s">
        <v>3859</v>
      </c>
      <c r="C47" s="158" t="s">
        <v>35</v>
      </c>
      <c r="D47" s="158" t="s">
        <v>3150</v>
      </c>
      <c r="E47" s="158" t="s">
        <v>3149</v>
      </c>
      <c r="F47" s="158" t="s">
        <v>3805</v>
      </c>
      <c r="K47" t="s">
        <v>43</v>
      </c>
    </row>
    <row r="48" spans="1:11" hidden="1" x14ac:dyDescent="0.3">
      <c r="A48" s="158" t="s">
        <v>4168</v>
      </c>
      <c r="B48" s="158" t="s">
        <v>3804</v>
      </c>
      <c r="C48" s="158" t="s">
        <v>24</v>
      </c>
      <c r="D48" s="158" t="s">
        <v>3458</v>
      </c>
      <c r="E48" s="158" t="s">
        <v>3457</v>
      </c>
      <c r="F48" s="158" t="s">
        <v>3822</v>
      </c>
      <c r="K48" t="s">
        <v>35</v>
      </c>
    </row>
    <row r="49" spans="1:11" hidden="1" x14ac:dyDescent="0.3">
      <c r="A49" s="158" t="s">
        <v>4169</v>
      </c>
      <c r="B49" s="158" t="s">
        <v>3804</v>
      </c>
      <c r="C49" s="158" t="s">
        <v>24</v>
      </c>
      <c r="D49" s="158" t="s">
        <v>3456</v>
      </c>
      <c r="E49" s="158" t="s">
        <v>3455</v>
      </c>
      <c r="F49" s="158" t="s">
        <v>3805</v>
      </c>
      <c r="K49" t="s">
        <v>43</v>
      </c>
    </row>
    <row r="50" spans="1:11" hidden="1" x14ac:dyDescent="0.3">
      <c r="A50" s="158" t="s">
        <v>4170</v>
      </c>
      <c r="B50" s="158" t="s">
        <v>3804</v>
      </c>
      <c r="C50" s="158" t="s">
        <v>35</v>
      </c>
      <c r="D50" s="158" t="s">
        <v>3454</v>
      </c>
      <c r="E50" s="158" t="s">
        <v>3453</v>
      </c>
      <c r="F50" s="158" t="s">
        <v>3805</v>
      </c>
      <c r="K50" t="s">
        <v>15</v>
      </c>
    </row>
    <row r="51" spans="1:11" hidden="1" x14ac:dyDescent="0.3">
      <c r="A51" s="158" t="s">
        <v>4171</v>
      </c>
      <c r="B51" s="158" t="s">
        <v>3804</v>
      </c>
      <c r="C51" s="158" t="s">
        <v>35</v>
      </c>
      <c r="D51" s="158" t="s">
        <v>3452</v>
      </c>
      <c r="E51" s="158" t="s">
        <v>3451</v>
      </c>
      <c r="F51" s="158" t="s">
        <v>3805</v>
      </c>
      <c r="K51" t="s">
        <v>24</v>
      </c>
    </row>
    <row r="52" spans="1:11" x14ac:dyDescent="0.3">
      <c r="A52" s="158" t="s">
        <v>4515</v>
      </c>
      <c r="B52" s="158" t="s">
        <v>3917</v>
      </c>
      <c r="C52" s="158" t="s">
        <v>43</v>
      </c>
      <c r="D52" s="158" t="s">
        <v>2700</v>
      </c>
      <c r="E52" s="158" t="s">
        <v>2699</v>
      </c>
      <c r="F52" s="158" t="s">
        <v>3822</v>
      </c>
      <c r="G52" t="s">
        <v>3804</v>
      </c>
    </row>
    <row r="53" spans="1:11" hidden="1" x14ac:dyDescent="0.3">
      <c r="A53" s="158" t="s">
        <v>4172</v>
      </c>
      <c r="B53" s="158" t="s">
        <v>3804</v>
      </c>
      <c r="C53" s="158" t="s">
        <v>35</v>
      </c>
      <c r="D53" s="158" t="s">
        <v>3564</v>
      </c>
      <c r="E53" s="158" t="s">
        <v>3450</v>
      </c>
      <c r="F53" s="158" t="s">
        <v>3805</v>
      </c>
      <c r="K53" t="s">
        <v>15</v>
      </c>
    </row>
    <row r="54" spans="1:11" hidden="1" x14ac:dyDescent="0.3">
      <c r="A54" s="158" t="s">
        <v>3814</v>
      </c>
      <c r="B54" s="158" t="s">
        <v>3804</v>
      </c>
      <c r="C54" s="158" t="s">
        <v>35</v>
      </c>
      <c r="D54" s="158" t="s">
        <v>3565</v>
      </c>
      <c r="E54" s="158" t="s">
        <v>3431</v>
      </c>
      <c r="F54" s="158" t="s">
        <v>3805</v>
      </c>
      <c r="I54" t="s">
        <v>3815</v>
      </c>
      <c r="K54" t="s">
        <v>15</v>
      </c>
    </row>
    <row r="55" spans="1:11" hidden="1" x14ac:dyDescent="0.3">
      <c r="A55" s="158" t="s">
        <v>4398</v>
      </c>
      <c r="B55" s="158" t="s">
        <v>3859</v>
      </c>
      <c r="C55" s="158" t="s">
        <v>15</v>
      </c>
      <c r="D55" s="158" t="s">
        <v>2984</v>
      </c>
      <c r="E55" s="158" t="s">
        <v>2983</v>
      </c>
      <c r="F55" s="158" t="s">
        <v>3822</v>
      </c>
      <c r="K55" t="s">
        <v>10</v>
      </c>
    </row>
    <row r="56" spans="1:11" hidden="1" x14ac:dyDescent="0.3">
      <c r="A56" s="158" t="s">
        <v>4987</v>
      </c>
      <c r="B56" s="158" t="s">
        <v>3829</v>
      </c>
      <c r="C56" s="158" t="s">
        <v>15</v>
      </c>
      <c r="D56" s="158" t="s">
        <v>1597</v>
      </c>
      <c r="E56" s="158" t="s">
        <v>1596</v>
      </c>
      <c r="F56" s="158" t="s">
        <v>3805</v>
      </c>
      <c r="K56" t="s">
        <v>43</v>
      </c>
    </row>
    <row r="57" spans="1:11" hidden="1" x14ac:dyDescent="0.3">
      <c r="A57" s="158" t="s">
        <v>3816</v>
      </c>
      <c r="B57" s="158" t="s">
        <v>3804</v>
      </c>
      <c r="C57" s="158" t="s">
        <v>35</v>
      </c>
      <c r="D57" s="158" t="s">
        <v>3566</v>
      </c>
      <c r="E57" s="158" t="s">
        <v>3431</v>
      </c>
      <c r="F57" s="158" t="s">
        <v>3805</v>
      </c>
      <c r="I57" t="s">
        <v>3817</v>
      </c>
      <c r="K57" t="s">
        <v>15</v>
      </c>
    </row>
    <row r="58" spans="1:11" hidden="1" x14ac:dyDescent="0.3">
      <c r="A58" s="158" t="s">
        <v>4337</v>
      </c>
      <c r="B58" s="158" t="s">
        <v>3859</v>
      </c>
      <c r="C58" s="158" t="s">
        <v>10</v>
      </c>
      <c r="D58" s="158" t="s">
        <v>3101</v>
      </c>
      <c r="E58" s="158" t="s">
        <v>3100</v>
      </c>
      <c r="F58" s="158" t="s">
        <v>3805</v>
      </c>
      <c r="K58" t="s">
        <v>15</v>
      </c>
    </row>
    <row r="59" spans="1:11" hidden="1" x14ac:dyDescent="0.3">
      <c r="A59" s="158" t="s">
        <v>3818</v>
      </c>
      <c r="B59" s="158" t="s">
        <v>3804</v>
      </c>
      <c r="C59" s="158" t="s">
        <v>35</v>
      </c>
      <c r="D59" s="158" t="s">
        <v>3567</v>
      </c>
      <c r="E59" s="158" t="s">
        <v>3431</v>
      </c>
      <c r="F59" s="158" t="s">
        <v>3805</v>
      </c>
      <c r="I59" t="s">
        <v>3819</v>
      </c>
      <c r="K59" t="s">
        <v>15</v>
      </c>
    </row>
    <row r="60" spans="1:11" hidden="1" x14ac:dyDescent="0.3">
      <c r="A60" s="158" t="s">
        <v>4283</v>
      </c>
      <c r="B60" s="158" t="s">
        <v>3859</v>
      </c>
      <c r="C60" s="158" t="s">
        <v>24</v>
      </c>
      <c r="D60" s="158" t="s">
        <v>3201</v>
      </c>
      <c r="E60" s="158" t="s">
        <v>3200</v>
      </c>
      <c r="F60" s="158" t="s">
        <v>3804</v>
      </c>
      <c r="J60" t="s">
        <v>3829</v>
      </c>
      <c r="K60" t="s">
        <v>10</v>
      </c>
    </row>
    <row r="61" spans="1:11" hidden="1" x14ac:dyDescent="0.3">
      <c r="A61" s="158" t="s">
        <v>3820</v>
      </c>
      <c r="B61" s="158" t="s">
        <v>3821</v>
      </c>
      <c r="C61" s="158" t="s">
        <v>43</v>
      </c>
      <c r="D61" s="158" t="s">
        <v>2488</v>
      </c>
      <c r="E61" s="158" t="s">
        <v>2487</v>
      </c>
      <c r="F61" s="158" t="s">
        <v>3822</v>
      </c>
      <c r="H61" t="s">
        <v>3823</v>
      </c>
    </row>
    <row r="62" spans="1:11" hidden="1" x14ac:dyDescent="0.3">
      <c r="A62" s="158" t="s">
        <v>3824</v>
      </c>
      <c r="B62" s="158" t="s">
        <v>3804</v>
      </c>
      <c r="C62" s="158" t="s">
        <v>35</v>
      </c>
      <c r="D62" s="158" t="s">
        <v>3568</v>
      </c>
      <c r="E62" s="158" t="s">
        <v>3431</v>
      </c>
      <c r="F62" s="158" t="s">
        <v>3805</v>
      </c>
      <c r="I62" t="s">
        <v>3825</v>
      </c>
      <c r="K62" t="s">
        <v>15</v>
      </c>
    </row>
    <row r="63" spans="1:11" hidden="1" x14ac:dyDescent="0.3">
      <c r="A63" s="158" t="s">
        <v>5251</v>
      </c>
      <c r="B63" s="158" t="s">
        <v>4090</v>
      </c>
      <c r="C63" s="158" t="s">
        <v>35</v>
      </c>
      <c r="D63" s="158" t="s">
        <v>966</v>
      </c>
      <c r="E63" s="158" t="s">
        <v>965</v>
      </c>
      <c r="F63" s="158" t="s">
        <v>3822</v>
      </c>
      <c r="J63" t="s">
        <v>3838</v>
      </c>
      <c r="K63" t="s">
        <v>10</v>
      </c>
    </row>
    <row r="64" spans="1:11" hidden="1" x14ac:dyDescent="0.3">
      <c r="A64" s="158" t="s">
        <v>3826</v>
      </c>
      <c r="B64" s="158" t="s">
        <v>3804</v>
      </c>
      <c r="C64" s="158" t="s">
        <v>35</v>
      </c>
      <c r="D64" s="158" t="s">
        <v>3569</v>
      </c>
      <c r="E64" s="158" t="s">
        <v>3431</v>
      </c>
      <c r="F64" s="158" t="s">
        <v>3805</v>
      </c>
      <c r="I64" t="s">
        <v>3827</v>
      </c>
      <c r="K64" t="s">
        <v>15</v>
      </c>
    </row>
    <row r="65" spans="1:11" hidden="1" x14ac:dyDescent="0.3">
      <c r="A65" s="158" t="s">
        <v>3828</v>
      </c>
      <c r="B65" s="158" t="s">
        <v>3829</v>
      </c>
      <c r="C65" s="158" t="s">
        <v>24</v>
      </c>
      <c r="D65" s="158" t="s">
        <v>1837</v>
      </c>
      <c r="E65" s="158" t="s">
        <v>3828</v>
      </c>
      <c r="F65" s="158" t="s">
        <v>3822</v>
      </c>
      <c r="H65" t="s">
        <v>3830</v>
      </c>
    </row>
    <row r="66" spans="1:11" hidden="1" x14ac:dyDescent="0.3">
      <c r="A66" s="158" t="s">
        <v>3831</v>
      </c>
      <c r="B66" s="158" t="s">
        <v>3804</v>
      </c>
      <c r="C66" s="158" t="s">
        <v>35</v>
      </c>
      <c r="D66" s="158" t="s">
        <v>3570</v>
      </c>
      <c r="E66" s="158" t="s">
        <v>3433</v>
      </c>
      <c r="F66" s="158" t="s">
        <v>3805</v>
      </c>
      <c r="I66" t="s">
        <v>3832</v>
      </c>
      <c r="K66" t="s">
        <v>24</v>
      </c>
    </row>
    <row r="67" spans="1:11" hidden="1" x14ac:dyDescent="0.3">
      <c r="A67" s="158" t="s">
        <v>5435</v>
      </c>
      <c r="B67" s="158" t="s">
        <v>3838</v>
      </c>
      <c r="C67" s="158" t="s">
        <v>10</v>
      </c>
      <c r="D67" s="158" t="s">
        <v>559</v>
      </c>
      <c r="E67" s="158" t="s">
        <v>558</v>
      </c>
      <c r="F67" s="158" t="s">
        <v>3805</v>
      </c>
      <c r="J67" t="s">
        <v>3810</v>
      </c>
    </row>
    <row r="68" spans="1:11" hidden="1" x14ac:dyDescent="0.3">
      <c r="A68" s="158" t="s">
        <v>3833</v>
      </c>
      <c r="B68" s="158" t="s">
        <v>3804</v>
      </c>
      <c r="C68" s="158" t="s">
        <v>35</v>
      </c>
      <c r="D68" s="158" t="s">
        <v>3571</v>
      </c>
      <c r="E68" s="158" t="s">
        <v>3433</v>
      </c>
      <c r="F68" s="158" t="s">
        <v>3805</v>
      </c>
      <c r="I68" t="s">
        <v>3834</v>
      </c>
      <c r="K68" t="s">
        <v>24</v>
      </c>
    </row>
    <row r="69" spans="1:11" hidden="1" x14ac:dyDescent="0.3">
      <c r="A69" s="158" t="s">
        <v>5525</v>
      </c>
      <c r="B69" s="158" t="s">
        <v>3838</v>
      </c>
      <c r="C69" s="158" t="s">
        <v>24</v>
      </c>
      <c r="D69" s="158" t="s">
        <v>326</v>
      </c>
      <c r="E69" s="158" t="s">
        <v>325</v>
      </c>
      <c r="F69" s="158" t="s">
        <v>3805</v>
      </c>
      <c r="K69" t="s">
        <v>35</v>
      </c>
    </row>
    <row r="70" spans="1:11" hidden="1" x14ac:dyDescent="0.3">
      <c r="A70" s="158" t="s">
        <v>3835</v>
      </c>
      <c r="B70" s="158" t="s">
        <v>3804</v>
      </c>
      <c r="C70" s="158" t="s">
        <v>35</v>
      </c>
      <c r="D70" s="158" t="s">
        <v>3572</v>
      </c>
      <c r="E70" s="158" t="s">
        <v>3433</v>
      </c>
      <c r="F70" s="158" t="s">
        <v>3805</v>
      </c>
      <c r="I70" t="s">
        <v>3836</v>
      </c>
      <c r="K70" t="s">
        <v>24</v>
      </c>
    </row>
    <row r="71" spans="1:11" hidden="1" x14ac:dyDescent="0.3">
      <c r="A71" s="158" t="s">
        <v>3837</v>
      </c>
      <c r="B71" s="158" t="s">
        <v>3838</v>
      </c>
      <c r="C71" s="158" t="s">
        <v>24</v>
      </c>
      <c r="D71" s="158" t="s">
        <v>534</v>
      </c>
      <c r="E71" s="158" t="s">
        <v>533</v>
      </c>
      <c r="F71" s="158" t="s">
        <v>3805</v>
      </c>
      <c r="H71" t="s">
        <v>3839</v>
      </c>
      <c r="I71" t="s">
        <v>3840</v>
      </c>
      <c r="K71" t="s">
        <v>35</v>
      </c>
    </row>
    <row r="72" spans="1:11" hidden="1" x14ac:dyDescent="0.3">
      <c r="A72" s="158" t="s">
        <v>3841</v>
      </c>
      <c r="B72" s="158" t="s">
        <v>3804</v>
      </c>
      <c r="C72" s="158" t="s">
        <v>35</v>
      </c>
      <c r="D72" s="158" t="s">
        <v>3573</v>
      </c>
      <c r="E72" s="158" t="s">
        <v>3433</v>
      </c>
      <c r="F72" s="158" t="s">
        <v>3805</v>
      </c>
      <c r="I72" t="s">
        <v>3842</v>
      </c>
      <c r="K72" t="s">
        <v>24</v>
      </c>
    </row>
    <row r="73" spans="1:11" hidden="1" x14ac:dyDescent="0.3">
      <c r="A73" s="158" t="s">
        <v>3843</v>
      </c>
      <c r="B73" s="158" t="s">
        <v>3838</v>
      </c>
      <c r="C73" s="158" t="s">
        <v>35</v>
      </c>
      <c r="D73" s="158" t="s">
        <v>446</v>
      </c>
      <c r="E73" s="158" t="s">
        <v>445</v>
      </c>
      <c r="F73" s="158" t="s">
        <v>3805</v>
      </c>
      <c r="H73" t="s">
        <v>3844</v>
      </c>
      <c r="I73" t="s">
        <v>3845</v>
      </c>
      <c r="K73" t="s">
        <v>24</v>
      </c>
    </row>
    <row r="74" spans="1:11" hidden="1" x14ac:dyDescent="0.3">
      <c r="A74" s="158" t="s">
        <v>4173</v>
      </c>
      <c r="B74" s="158" t="s">
        <v>3804</v>
      </c>
      <c r="C74" s="158" t="s">
        <v>35</v>
      </c>
      <c r="D74" s="158" t="s">
        <v>3442</v>
      </c>
      <c r="E74" s="158" t="s">
        <v>3429</v>
      </c>
      <c r="F74" s="158" t="s">
        <v>3805</v>
      </c>
      <c r="K74" t="s">
        <v>24</v>
      </c>
    </row>
    <row r="75" spans="1:11" hidden="1" x14ac:dyDescent="0.3">
      <c r="A75" s="158" t="s">
        <v>5439</v>
      </c>
      <c r="B75" s="158" t="s">
        <v>3838</v>
      </c>
      <c r="C75" s="158" t="s">
        <v>10</v>
      </c>
      <c r="D75" s="158" t="s">
        <v>550</v>
      </c>
      <c r="E75" s="158" t="s">
        <v>549</v>
      </c>
      <c r="F75" s="158" t="s">
        <v>3805</v>
      </c>
      <c r="J75" t="s">
        <v>3810</v>
      </c>
      <c r="K75" t="s">
        <v>24</v>
      </c>
    </row>
    <row r="76" spans="1:11" hidden="1" x14ac:dyDescent="0.3">
      <c r="A76" s="158" t="s">
        <v>4560</v>
      </c>
      <c r="B76" s="158" t="s">
        <v>3917</v>
      </c>
      <c r="C76" s="158" t="s">
        <v>15</v>
      </c>
      <c r="D76" s="158" t="s">
        <v>2592</v>
      </c>
      <c r="E76" s="158" t="s">
        <v>2591</v>
      </c>
      <c r="F76" s="158" t="s">
        <v>3805</v>
      </c>
      <c r="J76" t="s">
        <v>3877</v>
      </c>
      <c r="K76" t="s">
        <v>35</v>
      </c>
    </row>
    <row r="77" spans="1:11" hidden="1" x14ac:dyDescent="0.3">
      <c r="A77" s="158" t="s">
        <v>3846</v>
      </c>
      <c r="B77" s="158" t="s">
        <v>3804</v>
      </c>
      <c r="C77" s="158" t="s">
        <v>35</v>
      </c>
      <c r="D77" s="158" t="s">
        <v>3574</v>
      </c>
      <c r="E77" s="158" t="s">
        <v>3435</v>
      </c>
      <c r="F77" s="158" t="s">
        <v>3805</v>
      </c>
      <c r="I77" t="s">
        <v>3847</v>
      </c>
      <c r="K77" t="s">
        <v>15</v>
      </c>
    </row>
    <row r="78" spans="1:11" hidden="1" x14ac:dyDescent="0.3">
      <c r="A78" s="158" t="s">
        <v>4174</v>
      </c>
      <c r="B78" s="158" t="s">
        <v>3804</v>
      </c>
      <c r="C78" s="158" t="s">
        <v>35</v>
      </c>
      <c r="D78" s="158" t="s">
        <v>3441</v>
      </c>
      <c r="E78" s="158" t="s">
        <v>3435</v>
      </c>
      <c r="F78" s="158" t="s">
        <v>3805</v>
      </c>
      <c r="K78" t="s">
        <v>15</v>
      </c>
    </row>
    <row r="79" spans="1:11" hidden="1" x14ac:dyDescent="0.3">
      <c r="A79" s="158" t="s">
        <v>4480</v>
      </c>
      <c r="B79" s="158" t="s">
        <v>3877</v>
      </c>
      <c r="C79" s="158" t="s">
        <v>10</v>
      </c>
      <c r="D79" s="158" t="s">
        <v>2058</v>
      </c>
      <c r="E79" s="158" t="s">
        <v>2057</v>
      </c>
      <c r="F79" s="158" t="s">
        <v>3805</v>
      </c>
      <c r="K79" t="s">
        <v>24</v>
      </c>
    </row>
    <row r="80" spans="1:11" hidden="1" x14ac:dyDescent="0.3">
      <c r="A80" s="158" t="s">
        <v>3848</v>
      </c>
      <c r="B80" s="158" t="s">
        <v>3804</v>
      </c>
      <c r="C80" s="158" t="s">
        <v>35</v>
      </c>
      <c r="D80" s="158" t="s">
        <v>3575</v>
      </c>
      <c r="E80" s="158" t="s">
        <v>3430</v>
      </c>
      <c r="F80" s="158" t="s">
        <v>3805</v>
      </c>
      <c r="I80" t="s">
        <v>3849</v>
      </c>
      <c r="K80" t="s">
        <v>15</v>
      </c>
    </row>
    <row r="81" spans="1:11" hidden="1" x14ac:dyDescent="0.3">
      <c r="A81" s="158" t="s">
        <v>4479</v>
      </c>
      <c r="B81" s="158" t="s">
        <v>3877</v>
      </c>
      <c r="C81" s="158" t="s">
        <v>35</v>
      </c>
      <c r="D81" s="158" t="s">
        <v>2056</v>
      </c>
      <c r="E81" s="158" t="s">
        <v>2055</v>
      </c>
      <c r="F81" s="158" t="s">
        <v>3805</v>
      </c>
      <c r="K81" t="s">
        <v>10</v>
      </c>
    </row>
    <row r="82" spans="1:11" hidden="1" x14ac:dyDescent="0.3">
      <c r="A82" s="158" t="s">
        <v>4175</v>
      </c>
      <c r="B82" s="158" t="s">
        <v>3804</v>
      </c>
      <c r="C82" s="158" t="s">
        <v>35</v>
      </c>
      <c r="D82" s="158" t="s">
        <v>3440</v>
      </c>
      <c r="E82" s="158" t="s">
        <v>3439</v>
      </c>
      <c r="F82" s="158" t="s">
        <v>3822</v>
      </c>
      <c r="K82" t="s">
        <v>43</v>
      </c>
    </row>
    <row r="83" spans="1:11" hidden="1" x14ac:dyDescent="0.3">
      <c r="A83" s="158" t="s">
        <v>4451</v>
      </c>
      <c r="B83" s="158" t="s">
        <v>3821</v>
      </c>
      <c r="C83" s="158" t="s">
        <v>24</v>
      </c>
      <c r="D83" s="158" t="s">
        <v>1535</v>
      </c>
      <c r="E83" s="158" t="s">
        <v>1534</v>
      </c>
      <c r="F83" s="158" t="s">
        <v>3805</v>
      </c>
      <c r="J83" t="s">
        <v>3810</v>
      </c>
    </row>
    <row r="84" spans="1:11" hidden="1" x14ac:dyDescent="0.3">
      <c r="A84" s="158" t="s">
        <v>4176</v>
      </c>
      <c r="B84" s="158" t="s">
        <v>3804</v>
      </c>
      <c r="C84" s="158" t="s">
        <v>35</v>
      </c>
      <c r="D84" s="158" t="s">
        <v>3438</v>
      </c>
      <c r="E84" s="158" t="s">
        <v>3437</v>
      </c>
      <c r="F84" s="158" t="s">
        <v>3822</v>
      </c>
      <c r="K84" t="s">
        <v>24</v>
      </c>
    </row>
    <row r="85" spans="1:11" hidden="1" x14ac:dyDescent="0.3">
      <c r="A85" s="158" t="s">
        <v>4177</v>
      </c>
      <c r="B85" s="158" t="s">
        <v>3804</v>
      </c>
      <c r="C85" s="158" t="s">
        <v>35</v>
      </c>
      <c r="D85" s="158" t="s">
        <v>3576</v>
      </c>
      <c r="E85" s="158" t="s">
        <v>3436</v>
      </c>
      <c r="F85" s="158" t="s">
        <v>3805</v>
      </c>
      <c r="K85" t="s">
        <v>15</v>
      </c>
    </row>
    <row r="86" spans="1:11" hidden="1" x14ac:dyDescent="0.3">
      <c r="A86" s="158" t="s">
        <v>4477</v>
      </c>
      <c r="B86" s="158" t="s">
        <v>3917</v>
      </c>
      <c r="C86" s="158" t="s">
        <v>10</v>
      </c>
      <c r="D86" s="158" t="s">
        <v>2780</v>
      </c>
      <c r="E86" s="158" t="s">
        <v>2779</v>
      </c>
      <c r="F86" s="158" t="s">
        <v>3805</v>
      </c>
      <c r="K86" t="s">
        <v>15</v>
      </c>
    </row>
    <row r="87" spans="1:11" hidden="1" x14ac:dyDescent="0.3">
      <c r="A87" s="158" t="s">
        <v>4518</v>
      </c>
      <c r="B87" s="158" t="s">
        <v>3810</v>
      </c>
      <c r="C87" s="158" t="s">
        <v>35</v>
      </c>
      <c r="D87" s="158" t="s">
        <v>2451</v>
      </c>
      <c r="E87" s="158" t="s">
        <v>2450</v>
      </c>
      <c r="F87" s="158" t="s">
        <v>3805</v>
      </c>
      <c r="J87" t="s">
        <v>3838</v>
      </c>
      <c r="K87" t="s">
        <v>15</v>
      </c>
    </row>
    <row r="88" spans="1:11" hidden="1" x14ac:dyDescent="0.3">
      <c r="A88" s="158" t="s">
        <v>3850</v>
      </c>
      <c r="B88" s="158" t="s">
        <v>3804</v>
      </c>
      <c r="C88" s="158" t="s">
        <v>35</v>
      </c>
      <c r="D88" s="158" t="s">
        <v>3577</v>
      </c>
      <c r="E88" s="158" t="s">
        <v>3435</v>
      </c>
      <c r="F88" s="158" t="s">
        <v>3805</v>
      </c>
      <c r="I88" t="s">
        <v>3851</v>
      </c>
      <c r="K88" t="s">
        <v>15</v>
      </c>
    </row>
    <row r="89" spans="1:11" hidden="1" x14ac:dyDescent="0.3">
      <c r="A89" s="158" t="s">
        <v>4519</v>
      </c>
      <c r="B89" s="158" t="s">
        <v>3917</v>
      </c>
      <c r="C89" s="158" t="s">
        <v>10</v>
      </c>
      <c r="D89" s="158" t="s">
        <v>2777</v>
      </c>
      <c r="E89" s="158" t="s">
        <v>2776</v>
      </c>
      <c r="F89" s="158" t="s">
        <v>3805</v>
      </c>
      <c r="K89" t="s">
        <v>15</v>
      </c>
    </row>
    <row r="90" spans="1:11" hidden="1" x14ac:dyDescent="0.3">
      <c r="A90" s="158" t="s">
        <v>3852</v>
      </c>
      <c r="B90" s="158" t="s">
        <v>3804</v>
      </c>
      <c r="C90" s="158" t="s">
        <v>35</v>
      </c>
      <c r="D90" s="158" t="s">
        <v>3578</v>
      </c>
      <c r="E90" s="158" t="s">
        <v>3433</v>
      </c>
      <c r="F90" s="158" t="s">
        <v>3805</v>
      </c>
      <c r="I90" t="s">
        <v>3853</v>
      </c>
      <c r="K90" t="s">
        <v>24</v>
      </c>
    </row>
    <row r="91" spans="1:11" hidden="1" x14ac:dyDescent="0.3">
      <c r="A91" s="158" t="s">
        <v>4559</v>
      </c>
      <c r="B91" s="158" t="s">
        <v>3917</v>
      </c>
      <c r="C91" s="158" t="s">
        <v>10</v>
      </c>
      <c r="D91" s="158" t="s">
        <v>2775</v>
      </c>
      <c r="E91" s="158" t="s">
        <v>2774</v>
      </c>
      <c r="F91" s="158" t="s">
        <v>3805</v>
      </c>
      <c r="K91" t="s">
        <v>15</v>
      </c>
    </row>
    <row r="92" spans="1:11" hidden="1" x14ac:dyDescent="0.3">
      <c r="A92" s="158" t="s">
        <v>4622</v>
      </c>
      <c r="B92" s="158" t="s">
        <v>3917</v>
      </c>
      <c r="C92" s="158" t="s">
        <v>43</v>
      </c>
      <c r="D92" s="158" t="s">
        <v>2698</v>
      </c>
      <c r="E92" s="158" t="s">
        <v>2697</v>
      </c>
      <c r="F92" s="158" t="s">
        <v>3805</v>
      </c>
      <c r="K92" t="s">
        <v>35</v>
      </c>
    </row>
    <row r="93" spans="1:11" hidden="1" x14ac:dyDescent="0.3">
      <c r="A93" s="158" t="s">
        <v>3854</v>
      </c>
      <c r="B93" s="158" t="s">
        <v>3804</v>
      </c>
      <c r="C93" s="158" t="s">
        <v>35</v>
      </c>
      <c r="D93" s="158" t="s">
        <v>3579</v>
      </c>
      <c r="E93" s="158" t="s">
        <v>3431</v>
      </c>
      <c r="F93" s="158" t="s">
        <v>3805</v>
      </c>
      <c r="I93" t="s">
        <v>3855</v>
      </c>
      <c r="K93" t="s">
        <v>15</v>
      </c>
    </row>
    <row r="94" spans="1:11" hidden="1" x14ac:dyDescent="0.3">
      <c r="A94" s="158" t="s">
        <v>4784</v>
      </c>
      <c r="B94" s="158" t="s">
        <v>3917</v>
      </c>
      <c r="C94" s="158" t="s">
        <v>43</v>
      </c>
      <c r="D94" s="158" t="s">
        <v>2695</v>
      </c>
      <c r="E94" s="158" t="s">
        <v>2694</v>
      </c>
      <c r="F94" s="158" t="s">
        <v>3805</v>
      </c>
      <c r="K94" t="s">
        <v>35</v>
      </c>
    </row>
    <row r="95" spans="1:11" hidden="1" x14ac:dyDescent="0.3">
      <c r="A95" s="158" t="s">
        <v>3856</v>
      </c>
      <c r="B95" s="158" t="s">
        <v>3804</v>
      </c>
      <c r="C95" s="158" t="s">
        <v>35</v>
      </c>
      <c r="D95" s="158" t="s">
        <v>3580</v>
      </c>
      <c r="E95" s="158" t="s">
        <v>3430</v>
      </c>
      <c r="F95" s="158" t="s">
        <v>3805</v>
      </c>
      <c r="I95" t="s">
        <v>3857</v>
      </c>
      <c r="K95" t="s">
        <v>15</v>
      </c>
    </row>
    <row r="96" spans="1:11" hidden="1" x14ac:dyDescent="0.3">
      <c r="A96" s="158" t="s">
        <v>4785</v>
      </c>
      <c r="B96" s="158" t="s">
        <v>3917</v>
      </c>
      <c r="C96" s="158" t="s">
        <v>35</v>
      </c>
      <c r="D96" s="158" t="s">
        <v>2862</v>
      </c>
      <c r="E96" s="158" t="s">
        <v>2861</v>
      </c>
      <c r="F96" s="158" t="s">
        <v>3805</v>
      </c>
      <c r="K96" t="s">
        <v>10</v>
      </c>
    </row>
    <row r="97" spans="1:11" hidden="1" x14ac:dyDescent="0.3">
      <c r="A97" s="158" t="s">
        <v>4178</v>
      </c>
      <c r="B97" s="158" t="s">
        <v>3804</v>
      </c>
      <c r="C97" s="158" t="s">
        <v>35</v>
      </c>
      <c r="D97" s="158" t="s">
        <v>3428</v>
      </c>
      <c r="E97" s="158" t="s">
        <v>3427</v>
      </c>
      <c r="F97" s="158" t="s">
        <v>3805</v>
      </c>
      <c r="K97" t="s">
        <v>15</v>
      </c>
    </row>
    <row r="98" spans="1:11" hidden="1" x14ac:dyDescent="0.3">
      <c r="A98" s="158" t="s">
        <v>4179</v>
      </c>
      <c r="B98" s="158" t="s">
        <v>3804</v>
      </c>
      <c r="C98" s="158" t="s">
        <v>35</v>
      </c>
      <c r="D98" s="158" t="s">
        <v>3426</v>
      </c>
      <c r="E98" s="158" t="s">
        <v>3425</v>
      </c>
      <c r="F98" s="158" t="s">
        <v>3804</v>
      </c>
      <c r="K98" t="s">
        <v>24</v>
      </c>
    </row>
    <row r="99" spans="1:11" hidden="1" x14ac:dyDescent="0.3">
      <c r="A99" s="158" t="s">
        <v>5010</v>
      </c>
      <c r="B99" s="158" t="s">
        <v>3917</v>
      </c>
      <c r="C99" s="158" t="s">
        <v>43</v>
      </c>
      <c r="D99" s="158" t="s">
        <v>2688</v>
      </c>
      <c r="E99" s="158" t="s">
        <v>2687</v>
      </c>
      <c r="F99" s="158" t="s">
        <v>3805</v>
      </c>
      <c r="K99" t="s">
        <v>35</v>
      </c>
    </row>
    <row r="100" spans="1:11" hidden="1" x14ac:dyDescent="0.3">
      <c r="A100" s="158" t="s">
        <v>3858</v>
      </c>
      <c r="B100" s="158" t="s">
        <v>3859</v>
      </c>
      <c r="C100" s="158" t="s">
        <v>35</v>
      </c>
      <c r="D100" s="158" t="s">
        <v>3424</v>
      </c>
      <c r="E100" s="158" t="s">
        <v>3423</v>
      </c>
      <c r="F100" s="158" t="s">
        <v>3860</v>
      </c>
      <c r="H100" t="s">
        <v>3861</v>
      </c>
    </row>
    <row r="101" spans="1:11" hidden="1" x14ac:dyDescent="0.3">
      <c r="A101" s="158" t="s">
        <v>4259</v>
      </c>
      <c r="B101" s="158" t="s">
        <v>3804</v>
      </c>
      <c r="C101" s="158" t="s">
        <v>15</v>
      </c>
      <c r="D101" s="158" t="s">
        <v>1464</v>
      </c>
      <c r="E101" s="158" t="s">
        <v>3246</v>
      </c>
      <c r="F101" s="158" t="s">
        <v>3804</v>
      </c>
      <c r="K101" t="s">
        <v>35</v>
      </c>
    </row>
    <row r="102" spans="1:11" hidden="1" x14ac:dyDescent="0.3">
      <c r="A102" s="158" t="s">
        <v>4180</v>
      </c>
      <c r="B102" s="158" t="s">
        <v>3804</v>
      </c>
      <c r="C102" s="158" t="s">
        <v>35</v>
      </c>
      <c r="D102" s="158" t="s">
        <v>3421</v>
      </c>
      <c r="E102" s="158" t="s">
        <v>3420</v>
      </c>
      <c r="F102" s="158" t="s">
        <v>3804</v>
      </c>
      <c r="K102" t="s">
        <v>24</v>
      </c>
    </row>
    <row r="103" spans="1:11" hidden="1" x14ac:dyDescent="0.3">
      <c r="A103" s="158" t="s">
        <v>4653</v>
      </c>
      <c r="B103" s="158" t="s">
        <v>3810</v>
      </c>
      <c r="C103" s="158" t="s">
        <v>10</v>
      </c>
      <c r="D103" s="158" t="s">
        <v>1464</v>
      </c>
      <c r="E103" s="158" t="s">
        <v>2373</v>
      </c>
      <c r="F103" s="158" t="s">
        <v>3804</v>
      </c>
      <c r="J103" t="s">
        <v>3859</v>
      </c>
      <c r="K103" t="s">
        <v>35</v>
      </c>
    </row>
    <row r="104" spans="1:11" hidden="1" x14ac:dyDescent="0.3">
      <c r="A104" s="158" t="s">
        <v>4181</v>
      </c>
      <c r="B104" s="158" t="s">
        <v>3804</v>
      </c>
      <c r="C104" s="158" t="s">
        <v>35</v>
      </c>
      <c r="D104" s="158" t="s">
        <v>3419</v>
      </c>
      <c r="E104" s="158" t="s">
        <v>3418</v>
      </c>
      <c r="F104" s="158" t="s">
        <v>4139</v>
      </c>
      <c r="K104" t="s">
        <v>15</v>
      </c>
    </row>
    <row r="105" spans="1:11" hidden="1" x14ac:dyDescent="0.3">
      <c r="A105" s="158" t="s">
        <v>4968</v>
      </c>
      <c r="B105" s="158" t="s">
        <v>3829</v>
      </c>
      <c r="C105" s="158" t="s">
        <v>43</v>
      </c>
      <c r="D105" s="158" t="s">
        <v>1464</v>
      </c>
      <c r="E105" s="158" t="s">
        <v>1641</v>
      </c>
      <c r="F105" s="158" t="s">
        <v>3822</v>
      </c>
      <c r="K105" t="s">
        <v>15</v>
      </c>
    </row>
    <row r="106" spans="1:11" hidden="1" x14ac:dyDescent="0.3">
      <c r="A106" s="158" t="s">
        <v>4182</v>
      </c>
      <c r="B106" s="158" t="s">
        <v>3804</v>
      </c>
      <c r="C106" s="158" t="s">
        <v>35</v>
      </c>
      <c r="D106" s="158" t="s">
        <v>3417</v>
      </c>
      <c r="E106" s="158" t="s">
        <v>3416</v>
      </c>
      <c r="F106" s="158" t="s">
        <v>3805</v>
      </c>
      <c r="K106" t="s">
        <v>15</v>
      </c>
    </row>
    <row r="107" spans="1:11" hidden="1" x14ac:dyDescent="0.3">
      <c r="A107" s="158" t="s">
        <v>4801</v>
      </c>
      <c r="B107" s="158" t="s">
        <v>3877</v>
      </c>
      <c r="C107" s="158" t="s">
        <v>10</v>
      </c>
      <c r="D107" s="158" t="s">
        <v>1464</v>
      </c>
      <c r="E107" s="158" t="s">
        <v>2024</v>
      </c>
      <c r="F107" s="158" t="s">
        <v>3804</v>
      </c>
      <c r="J107" t="s">
        <v>3917</v>
      </c>
      <c r="K107" t="s">
        <v>43</v>
      </c>
    </row>
    <row r="108" spans="1:11" hidden="1" x14ac:dyDescent="0.3">
      <c r="A108" s="158" t="s">
        <v>4183</v>
      </c>
      <c r="B108" s="158" t="s">
        <v>3804</v>
      </c>
      <c r="C108" s="158" t="s">
        <v>35</v>
      </c>
      <c r="D108" s="158" t="s">
        <v>3414</v>
      </c>
      <c r="E108" s="158" t="s">
        <v>3413</v>
      </c>
      <c r="F108" s="158" t="s">
        <v>5627</v>
      </c>
      <c r="K108" t="s">
        <v>24</v>
      </c>
    </row>
    <row r="109" spans="1:11" hidden="1" x14ac:dyDescent="0.3">
      <c r="A109" s="158" t="s">
        <v>4313</v>
      </c>
      <c r="B109" s="158" t="s">
        <v>3859</v>
      </c>
      <c r="C109" s="158" t="s">
        <v>35</v>
      </c>
      <c r="D109" s="158" t="s">
        <v>1464</v>
      </c>
      <c r="E109" s="158" t="s">
        <v>3143</v>
      </c>
      <c r="F109" s="158" t="s">
        <v>3822</v>
      </c>
      <c r="J109" t="s">
        <v>3829</v>
      </c>
      <c r="K109" t="s">
        <v>43</v>
      </c>
    </row>
    <row r="110" spans="1:11" hidden="1" x14ac:dyDescent="0.3">
      <c r="A110" s="158" t="s">
        <v>4184</v>
      </c>
      <c r="B110" s="158" t="s">
        <v>3804</v>
      </c>
      <c r="C110" s="158" t="s">
        <v>35</v>
      </c>
      <c r="D110" s="158" t="s">
        <v>3411</v>
      </c>
      <c r="E110" s="158" t="s">
        <v>3410</v>
      </c>
      <c r="F110" s="158" t="s">
        <v>3805</v>
      </c>
      <c r="K110" t="s">
        <v>15</v>
      </c>
    </row>
    <row r="111" spans="1:11" hidden="1" x14ac:dyDescent="0.3">
      <c r="A111" s="158" t="s">
        <v>4481</v>
      </c>
      <c r="B111" s="158" t="s">
        <v>3917</v>
      </c>
      <c r="C111" s="158" t="s">
        <v>10</v>
      </c>
      <c r="D111" s="158" t="s">
        <v>2773</v>
      </c>
      <c r="E111" s="158" t="s">
        <v>2772</v>
      </c>
      <c r="F111" s="158" t="s">
        <v>3805</v>
      </c>
      <c r="K111" t="s">
        <v>43</v>
      </c>
    </row>
    <row r="112" spans="1:11" hidden="1" x14ac:dyDescent="0.3">
      <c r="A112" s="158" t="s">
        <v>4185</v>
      </c>
      <c r="B112" s="158" t="s">
        <v>3804</v>
      </c>
      <c r="C112" s="158" t="s">
        <v>35</v>
      </c>
      <c r="D112" s="158" t="s">
        <v>3409</v>
      </c>
      <c r="E112" s="158" t="s">
        <v>3408</v>
      </c>
      <c r="F112" s="158" t="s">
        <v>3805</v>
      </c>
      <c r="K112" t="s">
        <v>15</v>
      </c>
    </row>
    <row r="113" spans="1:11" hidden="1" x14ac:dyDescent="0.3">
      <c r="A113" s="158" t="s">
        <v>4763</v>
      </c>
      <c r="B113" s="158" t="s">
        <v>3877</v>
      </c>
      <c r="C113" s="158" t="s">
        <v>24</v>
      </c>
      <c r="D113" s="158" t="s">
        <v>2106</v>
      </c>
      <c r="E113" s="158" t="s">
        <v>2105</v>
      </c>
      <c r="F113" s="158" t="s">
        <v>3805</v>
      </c>
      <c r="K113" t="s">
        <v>10</v>
      </c>
    </row>
    <row r="114" spans="1:11" hidden="1" x14ac:dyDescent="0.3">
      <c r="A114" s="158" t="s">
        <v>4186</v>
      </c>
      <c r="B114" s="158" t="s">
        <v>3804</v>
      </c>
      <c r="C114" s="158" t="s">
        <v>35</v>
      </c>
      <c r="D114" s="158" t="s">
        <v>3407</v>
      </c>
      <c r="E114" s="158" t="s">
        <v>3406</v>
      </c>
      <c r="F114" s="158" t="s">
        <v>3805</v>
      </c>
      <c r="K114" t="s">
        <v>15</v>
      </c>
    </row>
    <row r="115" spans="1:11" hidden="1" x14ac:dyDescent="0.3">
      <c r="A115" s="158" t="s">
        <v>4773</v>
      </c>
      <c r="B115" s="158" t="s">
        <v>3877</v>
      </c>
      <c r="C115" s="158" t="s">
        <v>10</v>
      </c>
      <c r="D115" s="158" t="s">
        <v>2083</v>
      </c>
      <c r="E115" s="158" t="s">
        <v>2082</v>
      </c>
      <c r="F115" s="158" t="s">
        <v>3805</v>
      </c>
      <c r="J115" t="s">
        <v>3917</v>
      </c>
      <c r="K115" t="s">
        <v>43</v>
      </c>
    </row>
    <row r="116" spans="1:11" hidden="1" x14ac:dyDescent="0.3">
      <c r="A116" s="158" t="s">
        <v>4187</v>
      </c>
      <c r="B116" s="158" t="s">
        <v>3804</v>
      </c>
      <c r="C116" s="158" t="s">
        <v>35</v>
      </c>
      <c r="D116" s="158" t="s">
        <v>3405</v>
      </c>
      <c r="E116" s="158" t="s">
        <v>3404</v>
      </c>
      <c r="F116" s="158" t="s">
        <v>3805</v>
      </c>
      <c r="K116" t="s">
        <v>24</v>
      </c>
    </row>
    <row r="117" spans="1:11" hidden="1" x14ac:dyDescent="0.3">
      <c r="A117" s="158" t="s">
        <v>5011</v>
      </c>
      <c r="B117" s="158" t="s">
        <v>3821</v>
      </c>
      <c r="C117" s="158" t="s">
        <v>24</v>
      </c>
      <c r="D117" s="158" t="s">
        <v>1533</v>
      </c>
      <c r="E117" s="158" t="s">
        <v>1532</v>
      </c>
      <c r="F117" s="158" t="s">
        <v>3805</v>
      </c>
      <c r="J117" t="s">
        <v>3810</v>
      </c>
    </row>
    <row r="118" spans="1:11" hidden="1" x14ac:dyDescent="0.3">
      <c r="A118" s="158" t="s">
        <v>4188</v>
      </c>
      <c r="B118" s="158" t="s">
        <v>3804</v>
      </c>
      <c r="C118" s="158" t="s">
        <v>35</v>
      </c>
      <c r="D118" s="158" t="s">
        <v>3403</v>
      </c>
      <c r="E118" s="158" t="s">
        <v>3402</v>
      </c>
      <c r="F118" s="158" t="s">
        <v>3900</v>
      </c>
      <c r="K118" t="s">
        <v>15</v>
      </c>
    </row>
    <row r="119" spans="1:11" hidden="1" x14ac:dyDescent="0.3">
      <c r="A119" s="158" t="s">
        <v>4189</v>
      </c>
      <c r="B119" s="158" t="s">
        <v>3804</v>
      </c>
      <c r="C119" s="158" t="s">
        <v>35</v>
      </c>
      <c r="D119" s="158" t="s">
        <v>3401</v>
      </c>
      <c r="E119" s="158" t="s">
        <v>3400</v>
      </c>
      <c r="F119" s="158" t="s">
        <v>3804</v>
      </c>
      <c r="K119" t="s">
        <v>15</v>
      </c>
    </row>
    <row r="120" spans="1:11" hidden="1" x14ac:dyDescent="0.3">
      <c r="A120" s="158" t="s">
        <v>4190</v>
      </c>
      <c r="B120" s="158" t="s">
        <v>3804</v>
      </c>
      <c r="C120" s="158" t="s">
        <v>35</v>
      </c>
      <c r="D120" s="158" t="s">
        <v>3399</v>
      </c>
      <c r="E120" s="158" t="s">
        <v>3398</v>
      </c>
      <c r="F120" s="158" t="s">
        <v>3822</v>
      </c>
      <c r="K120" t="s">
        <v>15</v>
      </c>
    </row>
    <row r="121" spans="1:11" hidden="1" x14ac:dyDescent="0.3">
      <c r="A121" s="158" t="s">
        <v>4482</v>
      </c>
      <c r="B121" s="158" t="s">
        <v>3917</v>
      </c>
      <c r="C121" s="158" t="s">
        <v>10</v>
      </c>
      <c r="D121" s="158" t="s">
        <v>2771</v>
      </c>
      <c r="E121" s="158" t="s">
        <v>2770</v>
      </c>
      <c r="F121" s="158" t="s">
        <v>3805</v>
      </c>
      <c r="K121" t="s">
        <v>15</v>
      </c>
    </row>
    <row r="122" spans="1:11" hidden="1" x14ac:dyDescent="0.3">
      <c r="A122" s="158" t="s">
        <v>4624</v>
      </c>
      <c r="B122" s="158" t="s">
        <v>3810</v>
      </c>
      <c r="C122" s="158" t="s">
        <v>35</v>
      </c>
      <c r="D122" s="158" t="s">
        <v>2446</v>
      </c>
      <c r="E122" s="158" t="s">
        <v>2445</v>
      </c>
      <c r="F122" s="158" t="s">
        <v>3805</v>
      </c>
      <c r="J122" t="s">
        <v>3821</v>
      </c>
      <c r="K122" t="s">
        <v>24</v>
      </c>
    </row>
    <row r="123" spans="1:11" hidden="1" x14ac:dyDescent="0.3">
      <c r="A123" s="158" t="s">
        <v>4191</v>
      </c>
      <c r="B123" s="158" t="s">
        <v>3804</v>
      </c>
      <c r="C123" s="158" t="s">
        <v>35</v>
      </c>
      <c r="D123" s="158" t="s">
        <v>2616</v>
      </c>
      <c r="E123" s="158" t="s">
        <v>3397</v>
      </c>
      <c r="F123" s="158" t="s">
        <v>3805</v>
      </c>
      <c r="K123" t="s">
        <v>15</v>
      </c>
    </row>
    <row r="124" spans="1:11" hidden="1" x14ac:dyDescent="0.3">
      <c r="A124" s="158" t="s">
        <v>4969</v>
      </c>
      <c r="B124" s="158" t="s">
        <v>3829</v>
      </c>
      <c r="C124" s="158" t="s">
        <v>43</v>
      </c>
      <c r="D124" s="158" t="s">
        <v>1640</v>
      </c>
      <c r="E124" s="158" t="s">
        <v>1639</v>
      </c>
      <c r="F124" s="158" t="s">
        <v>3805</v>
      </c>
      <c r="K124" t="s">
        <v>15</v>
      </c>
    </row>
    <row r="125" spans="1:11" hidden="1" x14ac:dyDescent="0.3">
      <c r="A125" s="158" t="s">
        <v>4192</v>
      </c>
      <c r="B125" s="158" t="s">
        <v>3804</v>
      </c>
      <c r="C125" s="158" t="s">
        <v>35</v>
      </c>
      <c r="D125" s="158" t="s">
        <v>3396</v>
      </c>
      <c r="E125" s="158" t="s">
        <v>3395</v>
      </c>
      <c r="F125" s="158" t="s">
        <v>3805</v>
      </c>
      <c r="K125" t="s">
        <v>15</v>
      </c>
    </row>
    <row r="126" spans="1:11" hidden="1" x14ac:dyDescent="0.3">
      <c r="A126" s="158" t="s">
        <v>4623</v>
      </c>
      <c r="B126" s="158" t="s">
        <v>3810</v>
      </c>
      <c r="C126" s="158" t="s">
        <v>35</v>
      </c>
      <c r="D126" s="158" t="s">
        <v>2448</v>
      </c>
      <c r="E126" s="158" t="s">
        <v>2447</v>
      </c>
      <c r="F126" s="158" t="s">
        <v>3805</v>
      </c>
      <c r="J126" t="s">
        <v>3838</v>
      </c>
      <c r="K126" t="s">
        <v>15</v>
      </c>
    </row>
    <row r="127" spans="1:11" hidden="1" x14ac:dyDescent="0.3">
      <c r="A127" s="158" t="s">
        <v>4193</v>
      </c>
      <c r="B127" s="158" t="s">
        <v>3804</v>
      </c>
      <c r="C127" s="158" t="s">
        <v>35</v>
      </c>
      <c r="D127" s="158" t="s">
        <v>3394</v>
      </c>
      <c r="E127" s="158" t="s">
        <v>3393</v>
      </c>
      <c r="F127" s="158" t="s">
        <v>3805</v>
      </c>
      <c r="K127" t="s">
        <v>15</v>
      </c>
    </row>
    <row r="128" spans="1:11" hidden="1" x14ac:dyDescent="0.3">
      <c r="A128" s="158" t="s">
        <v>4194</v>
      </c>
      <c r="B128" s="158" t="s">
        <v>3804</v>
      </c>
      <c r="C128" s="158" t="s">
        <v>35</v>
      </c>
      <c r="D128" s="158" t="s">
        <v>3392</v>
      </c>
      <c r="E128" s="158" t="s">
        <v>3391</v>
      </c>
      <c r="F128" s="158" t="s">
        <v>3805</v>
      </c>
      <c r="K128" t="s">
        <v>24</v>
      </c>
    </row>
    <row r="129" spans="1:11" hidden="1" x14ac:dyDescent="0.3">
      <c r="A129" s="158" t="s">
        <v>4452</v>
      </c>
      <c r="B129" s="158" t="s">
        <v>3917</v>
      </c>
      <c r="C129" s="158" t="s">
        <v>35</v>
      </c>
      <c r="D129" s="158" t="s">
        <v>1462</v>
      </c>
      <c r="E129" s="158" t="s">
        <v>2855</v>
      </c>
      <c r="F129" s="158" t="s">
        <v>3804</v>
      </c>
      <c r="K129" t="s">
        <v>10</v>
      </c>
    </row>
    <row r="130" spans="1:11" hidden="1" x14ac:dyDescent="0.3">
      <c r="A130" s="158" t="s">
        <v>4625</v>
      </c>
      <c r="B130" s="158" t="s">
        <v>3810</v>
      </c>
      <c r="C130" s="158" t="s">
        <v>35</v>
      </c>
      <c r="D130" s="158" t="s">
        <v>1462</v>
      </c>
      <c r="E130" s="158" t="s">
        <v>2444</v>
      </c>
      <c r="F130" s="158" t="s">
        <v>3900</v>
      </c>
      <c r="J130" t="s">
        <v>3821</v>
      </c>
      <c r="K130" t="s">
        <v>24</v>
      </c>
    </row>
    <row r="131" spans="1:11" hidden="1" x14ac:dyDescent="0.3">
      <c r="A131" s="158" t="s">
        <v>4195</v>
      </c>
      <c r="B131" s="158" t="s">
        <v>3804</v>
      </c>
      <c r="C131" s="158" t="s">
        <v>35</v>
      </c>
      <c r="D131" s="158" t="s">
        <v>3581</v>
      </c>
      <c r="E131" s="158" t="s">
        <v>3390</v>
      </c>
      <c r="F131" s="158" t="s">
        <v>3805</v>
      </c>
      <c r="K131" t="s">
        <v>24</v>
      </c>
    </row>
    <row r="132" spans="1:11" hidden="1" x14ac:dyDescent="0.3">
      <c r="A132" s="158" t="s">
        <v>4196</v>
      </c>
      <c r="B132" s="158" t="s">
        <v>3804</v>
      </c>
      <c r="C132" s="158" t="s">
        <v>35</v>
      </c>
      <c r="D132" s="158" t="s">
        <v>3389</v>
      </c>
      <c r="E132" s="158" t="s">
        <v>3388</v>
      </c>
      <c r="F132" s="158" t="s">
        <v>3805</v>
      </c>
      <c r="K132" t="s">
        <v>24</v>
      </c>
    </row>
    <row r="133" spans="1:11" hidden="1" x14ac:dyDescent="0.3">
      <c r="A133" s="158" t="s">
        <v>4260</v>
      </c>
      <c r="B133" s="158" t="s">
        <v>3804</v>
      </c>
      <c r="C133" s="158" t="s">
        <v>15</v>
      </c>
      <c r="D133" s="158" t="s">
        <v>1460</v>
      </c>
      <c r="E133" s="158" t="s">
        <v>3214</v>
      </c>
      <c r="F133" s="158" t="s">
        <v>3804</v>
      </c>
      <c r="K133" t="s">
        <v>35</v>
      </c>
    </row>
    <row r="134" spans="1:11" hidden="1" x14ac:dyDescent="0.3">
      <c r="A134" s="158" t="s">
        <v>4197</v>
      </c>
      <c r="B134" s="158" t="s">
        <v>3804</v>
      </c>
      <c r="C134" s="158" t="s">
        <v>35</v>
      </c>
      <c r="D134" s="158" t="s">
        <v>1645</v>
      </c>
      <c r="E134" s="158" t="s">
        <v>3387</v>
      </c>
      <c r="F134" s="158" t="s">
        <v>3805</v>
      </c>
      <c r="K134" t="s">
        <v>15</v>
      </c>
    </row>
    <row r="135" spans="1:11" hidden="1" x14ac:dyDescent="0.3">
      <c r="A135" s="158" t="s">
        <v>4654</v>
      </c>
      <c r="B135" s="158" t="s">
        <v>3810</v>
      </c>
      <c r="C135" s="158" t="s">
        <v>10</v>
      </c>
      <c r="D135" s="158" t="s">
        <v>2372</v>
      </c>
      <c r="E135" s="158" t="s">
        <v>2371</v>
      </c>
      <c r="F135" s="158" t="s">
        <v>3805</v>
      </c>
      <c r="K135" t="s">
        <v>15</v>
      </c>
    </row>
    <row r="136" spans="1:11" hidden="1" x14ac:dyDescent="0.3">
      <c r="A136" s="158" t="s">
        <v>4284</v>
      </c>
      <c r="B136" s="158" t="s">
        <v>3859</v>
      </c>
      <c r="C136" s="158" t="s">
        <v>24</v>
      </c>
      <c r="D136" s="158" t="s">
        <v>3596</v>
      </c>
      <c r="E136" s="158" t="s">
        <v>3199</v>
      </c>
      <c r="F136" s="158" t="s">
        <v>3805</v>
      </c>
      <c r="K136" t="s">
        <v>43</v>
      </c>
    </row>
    <row r="137" spans="1:11" hidden="1" x14ac:dyDescent="0.3">
      <c r="A137" s="158" t="s">
        <v>4970</v>
      </c>
      <c r="B137" s="158" t="s">
        <v>3829</v>
      </c>
      <c r="C137" s="158" t="s">
        <v>43</v>
      </c>
      <c r="D137" s="158" t="s">
        <v>3714</v>
      </c>
      <c r="E137" s="158" t="s">
        <v>1638</v>
      </c>
      <c r="F137" s="158" t="s">
        <v>3805</v>
      </c>
      <c r="K137" t="s">
        <v>10</v>
      </c>
    </row>
    <row r="138" spans="1:11" hidden="1" x14ac:dyDescent="0.3">
      <c r="A138" s="158" t="s">
        <v>4626</v>
      </c>
      <c r="B138" s="158" t="s">
        <v>3810</v>
      </c>
      <c r="C138" s="158" t="s">
        <v>35</v>
      </c>
      <c r="D138" s="158" t="s">
        <v>3650</v>
      </c>
      <c r="E138" s="158" t="s">
        <v>2443</v>
      </c>
      <c r="F138" s="158" t="s">
        <v>3805</v>
      </c>
      <c r="J138" t="s">
        <v>3829</v>
      </c>
      <c r="K138" t="s">
        <v>15</v>
      </c>
    </row>
    <row r="139" spans="1:11" hidden="1" x14ac:dyDescent="0.3">
      <c r="A139" s="158" t="s">
        <v>4420</v>
      </c>
      <c r="B139" s="158" t="s">
        <v>3917</v>
      </c>
      <c r="C139" s="158" t="s">
        <v>24</v>
      </c>
      <c r="D139" s="158" t="s">
        <v>3616</v>
      </c>
      <c r="E139" s="158" t="s">
        <v>2934</v>
      </c>
      <c r="F139" s="158" t="s">
        <v>3805</v>
      </c>
      <c r="K139" t="s">
        <v>43</v>
      </c>
    </row>
    <row r="140" spans="1:11" hidden="1" x14ac:dyDescent="0.3">
      <c r="A140" s="158" t="s">
        <v>4261</v>
      </c>
      <c r="B140" s="158" t="s">
        <v>3804</v>
      </c>
      <c r="C140" s="158" t="s">
        <v>15</v>
      </c>
      <c r="D140" s="158" t="s">
        <v>3245</v>
      </c>
      <c r="E140" s="158" t="s">
        <v>3229</v>
      </c>
      <c r="F140" s="158" t="s">
        <v>3805</v>
      </c>
      <c r="K140" t="s">
        <v>35</v>
      </c>
    </row>
    <row r="141" spans="1:11" hidden="1" x14ac:dyDescent="0.3">
      <c r="A141" s="158" t="s">
        <v>4262</v>
      </c>
      <c r="B141" s="158" t="s">
        <v>3804</v>
      </c>
      <c r="C141" s="158" t="s">
        <v>15</v>
      </c>
      <c r="D141" s="158" t="s">
        <v>3244</v>
      </c>
      <c r="E141" s="158" t="s">
        <v>3229</v>
      </c>
      <c r="F141" s="158" t="s">
        <v>3805</v>
      </c>
      <c r="K141" t="s">
        <v>35</v>
      </c>
    </row>
    <row r="142" spans="1:11" hidden="1" x14ac:dyDescent="0.3">
      <c r="A142" s="158" t="s">
        <v>4263</v>
      </c>
      <c r="B142" s="158" t="s">
        <v>3804</v>
      </c>
      <c r="C142" s="158" t="s">
        <v>15</v>
      </c>
      <c r="D142" s="158" t="s">
        <v>3243</v>
      </c>
      <c r="E142" s="158" t="s">
        <v>3229</v>
      </c>
      <c r="F142" s="158" t="s">
        <v>3805</v>
      </c>
      <c r="K142" t="s">
        <v>35</v>
      </c>
    </row>
    <row r="143" spans="1:11" hidden="1" x14ac:dyDescent="0.3">
      <c r="A143" s="158" t="s">
        <v>4314</v>
      </c>
      <c r="B143" s="158" t="s">
        <v>3859</v>
      </c>
      <c r="C143" s="158" t="s">
        <v>35</v>
      </c>
      <c r="D143" s="158" t="s">
        <v>3142</v>
      </c>
      <c r="E143" s="158" t="s">
        <v>3127</v>
      </c>
      <c r="F143" s="158" t="s">
        <v>3805</v>
      </c>
      <c r="J143" t="s">
        <v>3829</v>
      </c>
      <c r="K143" t="s">
        <v>43</v>
      </c>
    </row>
    <row r="144" spans="1:11" hidden="1" x14ac:dyDescent="0.3">
      <c r="A144" s="158" t="s">
        <v>4315</v>
      </c>
      <c r="B144" s="158" t="s">
        <v>3859</v>
      </c>
      <c r="C144" s="158" t="s">
        <v>35</v>
      </c>
      <c r="D144" s="158" t="s">
        <v>3141</v>
      </c>
      <c r="E144" s="158" t="s">
        <v>3127</v>
      </c>
      <c r="F144" s="158" t="s">
        <v>3805</v>
      </c>
      <c r="J144" t="s">
        <v>3829</v>
      </c>
      <c r="K144" t="s">
        <v>43</v>
      </c>
    </row>
    <row r="145" spans="1:11" hidden="1" x14ac:dyDescent="0.3">
      <c r="A145" s="158" t="s">
        <v>4316</v>
      </c>
      <c r="B145" s="158" t="s">
        <v>3859</v>
      </c>
      <c r="C145" s="158" t="s">
        <v>35</v>
      </c>
      <c r="D145" s="158" t="s">
        <v>3140</v>
      </c>
      <c r="E145" s="158" t="s">
        <v>3127</v>
      </c>
      <c r="F145" s="158" t="s">
        <v>3805</v>
      </c>
      <c r="J145" t="s">
        <v>3829</v>
      </c>
      <c r="K145" t="s">
        <v>43</v>
      </c>
    </row>
    <row r="146" spans="1:11" hidden="1" x14ac:dyDescent="0.3">
      <c r="A146" s="158" t="s">
        <v>4317</v>
      </c>
      <c r="B146" s="158" t="s">
        <v>3859</v>
      </c>
      <c r="C146" s="158" t="s">
        <v>35</v>
      </c>
      <c r="D146" s="158" t="s">
        <v>3139</v>
      </c>
      <c r="E146" s="158" t="s">
        <v>3127</v>
      </c>
      <c r="F146" s="158" t="s">
        <v>3805</v>
      </c>
      <c r="J146" t="s">
        <v>3829</v>
      </c>
      <c r="K146" t="s">
        <v>43</v>
      </c>
    </row>
    <row r="147" spans="1:11" hidden="1" x14ac:dyDescent="0.3">
      <c r="A147" s="158" t="s">
        <v>4318</v>
      </c>
      <c r="B147" s="158" t="s">
        <v>3859</v>
      </c>
      <c r="C147" s="158" t="s">
        <v>35</v>
      </c>
      <c r="D147" s="158" t="s">
        <v>3138</v>
      </c>
      <c r="E147" s="158" t="s">
        <v>3127</v>
      </c>
      <c r="F147" s="158" t="s">
        <v>3805</v>
      </c>
      <c r="J147" t="s">
        <v>3829</v>
      </c>
      <c r="K147" t="s">
        <v>43</v>
      </c>
    </row>
    <row r="148" spans="1:11" hidden="1" x14ac:dyDescent="0.3">
      <c r="A148" s="158" t="s">
        <v>4370</v>
      </c>
      <c r="B148" s="158" t="s">
        <v>3859</v>
      </c>
      <c r="C148" s="158" t="s">
        <v>43</v>
      </c>
      <c r="D148" s="158" t="s">
        <v>3040</v>
      </c>
      <c r="E148" s="158" t="s">
        <v>3027</v>
      </c>
      <c r="F148" s="158" t="s">
        <v>3805</v>
      </c>
      <c r="J148" t="s">
        <v>3829</v>
      </c>
      <c r="K148" t="s">
        <v>10</v>
      </c>
    </row>
    <row r="149" spans="1:11" hidden="1" x14ac:dyDescent="0.3">
      <c r="A149" s="158" t="s">
        <v>4371</v>
      </c>
      <c r="B149" s="158" t="s">
        <v>3859</v>
      </c>
      <c r="C149" s="158" t="s">
        <v>43</v>
      </c>
      <c r="D149" s="158" t="s">
        <v>3039</v>
      </c>
      <c r="E149" s="158" t="s">
        <v>3027</v>
      </c>
      <c r="F149" s="158" t="s">
        <v>3805</v>
      </c>
      <c r="J149" t="s">
        <v>3829</v>
      </c>
      <c r="K149" t="s">
        <v>10</v>
      </c>
    </row>
    <row r="150" spans="1:11" hidden="1" x14ac:dyDescent="0.3">
      <c r="A150" s="158" t="s">
        <v>4372</v>
      </c>
      <c r="B150" s="158" t="s">
        <v>3859</v>
      </c>
      <c r="C150" s="158" t="s">
        <v>43</v>
      </c>
      <c r="D150" s="158" t="s">
        <v>3038</v>
      </c>
      <c r="E150" s="158" t="s">
        <v>3027</v>
      </c>
      <c r="F150" s="158" t="s">
        <v>3805</v>
      </c>
      <c r="J150" t="s">
        <v>3829</v>
      </c>
      <c r="K150" t="s">
        <v>10</v>
      </c>
    </row>
    <row r="151" spans="1:11" hidden="1" x14ac:dyDescent="0.3">
      <c r="A151" s="158" t="s">
        <v>4373</v>
      </c>
      <c r="B151" s="158" t="s">
        <v>3859</v>
      </c>
      <c r="C151" s="158" t="s">
        <v>43</v>
      </c>
      <c r="D151" s="158" t="s">
        <v>3037</v>
      </c>
      <c r="E151" s="158" t="s">
        <v>3027</v>
      </c>
      <c r="F151" s="158" t="s">
        <v>3805</v>
      </c>
      <c r="J151" t="s">
        <v>3829</v>
      </c>
      <c r="K151" t="s">
        <v>10</v>
      </c>
    </row>
    <row r="152" spans="1:11" hidden="1" x14ac:dyDescent="0.3">
      <c r="A152" s="158" t="s">
        <v>3862</v>
      </c>
      <c r="B152" s="158" t="s">
        <v>3859</v>
      </c>
      <c r="C152" s="158" t="s">
        <v>43</v>
      </c>
      <c r="D152" s="158" t="s">
        <v>3610</v>
      </c>
      <c r="E152" s="158" t="s">
        <v>3027</v>
      </c>
      <c r="F152" s="158" t="s">
        <v>3805</v>
      </c>
      <c r="I152" t="s">
        <v>3863</v>
      </c>
      <c r="J152" t="s">
        <v>3829</v>
      </c>
      <c r="K152" t="s">
        <v>10</v>
      </c>
    </row>
    <row r="153" spans="1:11" hidden="1" x14ac:dyDescent="0.3">
      <c r="A153" s="158" t="s">
        <v>4971</v>
      </c>
      <c r="B153" s="158" t="s">
        <v>3829</v>
      </c>
      <c r="C153" s="158" t="s">
        <v>43</v>
      </c>
      <c r="D153" s="158" t="s">
        <v>1635</v>
      </c>
      <c r="E153" s="158" t="s">
        <v>1620</v>
      </c>
      <c r="F153" s="158" t="s">
        <v>3805</v>
      </c>
      <c r="K153" t="s">
        <v>15</v>
      </c>
    </row>
    <row r="154" spans="1:11" hidden="1" x14ac:dyDescent="0.3">
      <c r="A154" s="158" t="s">
        <v>4972</v>
      </c>
      <c r="B154" s="158" t="s">
        <v>3829</v>
      </c>
      <c r="C154" s="158" t="s">
        <v>43</v>
      </c>
      <c r="D154" s="158" t="s">
        <v>1633</v>
      </c>
      <c r="E154" s="158" t="s">
        <v>1620</v>
      </c>
      <c r="F154" s="158" t="s">
        <v>3805</v>
      </c>
      <c r="K154" t="s">
        <v>15</v>
      </c>
    </row>
    <row r="155" spans="1:11" hidden="1" x14ac:dyDescent="0.3">
      <c r="A155" s="158" t="s">
        <v>4973</v>
      </c>
      <c r="B155" s="158" t="s">
        <v>3829</v>
      </c>
      <c r="C155" s="158" t="s">
        <v>43</v>
      </c>
      <c r="D155" s="158" t="s">
        <v>1631</v>
      </c>
      <c r="E155" s="158" t="s">
        <v>1620</v>
      </c>
      <c r="F155" s="158" t="s">
        <v>3805</v>
      </c>
      <c r="K155" t="s">
        <v>15</v>
      </c>
    </row>
    <row r="156" spans="1:11" hidden="1" x14ac:dyDescent="0.3">
      <c r="A156" s="158" t="s">
        <v>4974</v>
      </c>
      <c r="B156" s="158" t="s">
        <v>3829</v>
      </c>
      <c r="C156" s="158" t="s">
        <v>43</v>
      </c>
      <c r="D156" s="158" t="s">
        <v>1630</v>
      </c>
      <c r="E156" s="158" t="s">
        <v>1620</v>
      </c>
      <c r="F156" s="158" t="s">
        <v>3805</v>
      </c>
      <c r="K156" t="s">
        <v>15</v>
      </c>
    </row>
    <row r="157" spans="1:11" hidden="1" x14ac:dyDescent="0.3">
      <c r="A157" s="158" t="s">
        <v>4975</v>
      </c>
      <c r="B157" s="158" t="s">
        <v>3829</v>
      </c>
      <c r="C157" s="158" t="s">
        <v>43</v>
      </c>
      <c r="D157" s="158" t="s">
        <v>1629</v>
      </c>
      <c r="E157" s="158" t="s">
        <v>1620</v>
      </c>
      <c r="F157" s="158" t="s">
        <v>3805</v>
      </c>
      <c r="K157" t="s">
        <v>15</v>
      </c>
    </row>
    <row r="158" spans="1:11" hidden="1" x14ac:dyDescent="0.3">
      <c r="A158" s="158" t="s">
        <v>3864</v>
      </c>
      <c r="B158" s="158" t="s">
        <v>3829</v>
      </c>
      <c r="C158" s="158" t="s">
        <v>24</v>
      </c>
      <c r="D158" s="158" t="s">
        <v>3706</v>
      </c>
      <c r="E158" s="158" t="s">
        <v>1805</v>
      </c>
      <c r="F158" s="158" t="s">
        <v>3805</v>
      </c>
      <c r="I158" t="s">
        <v>3865</v>
      </c>
    </row>
    <row r="159" spans="1:11" hidden="1" x14ac:dyDescent="0.3">
      <c r="A159" s="158" t="s">
        <v>3866</v>
      </c>
      <c r="B159" s="158" t="s">
        <v>3829</v>
      </c>
      <c r="C159" s="158" t="s">
        <v>24</v>
      </c>
      <c r="D159" s="158" t="s">
        <v>3707</v>
      </c>
      <c r="E159" s="158" t="s">
        <v>1805</v>
      </c>
      <c r="F159" s="158" t="s">
        <v>3805</v>
      </c>
      <c r="I159" t="s">
        <v>3867</v>
      </c>
    </row>
    <row r="160" spans="1:11" hidden="1" x14ac:dyDescent="0.3">
      <c r="A160" s="158" t="s">
        <v>3868</v>
      </c>
      <c r="B160" s="158" t="s">
        <v>3829</v>
      </c>
      <c r="C160" s="158" t="s">
        <v>24</v>
      </c>
      <c r="D160" s="158" t="s">
        <v>3708</v>
      </c>
      <c r="E160" s="158" t="s">
        <v>1805</v>
      </c>
      <c r="F160" s="158" t="s">
        <v>3805</v>
      </c>
      <c r="I160" t="s">
        <v>3869</v>
      </c>
    </row>
    <row r="161" spans="1:11" hidden="1" x14ac:dyDescent="0.3">
      <c r="A161" s="158" t="s">
        <v>3870</v>
      </c>
      <c r="B161" s="158" t="s">
        <v>3804</v>
      </c>
      <c r="C161" s="158" t="s">
        <v>43</v>
      </c>
      <c r="D161" s="158" t="s">
        <v>3582</v>
      </c>
      <c r="E161" s="158" t="s">
        <v>3286</v>
      </c>
      <c r="F161" s="158" t="s">
        <v>3805</v>
      </c>
      <c r="I161" t="s">
        <v>3871</v>
      </c>
    </row>
    <row r="162" spans="1:11" hidden="1" x14ac:dyDescent="0.3">
      <c r="A162" s="158" t="s">
        <v>3872</v>
      </c>
      <c r="B162" s="158" t="s">
        <v>3829</v>
      </c>
      <c r="C162" s="158" t="s">
        <v>24</v>
      </c>
      <c r="D162" s="158" t="s">
        <v>3709</v>
      </c>
      <c r="E162" s="158" t="s">
        <v>1805</v>
      </c>
      <c r="F162" s="158" t="s">
        <v>3805</v>
      </c>
      <c r="I162" t="s">
        <v>3873</v>
      </c>
    </row>
    <row r="163" spans="1:11" hidden="1" x14ac:dyDescent="0.3">
      <c r="A163" s="158" t="s">
        <v>4319</v>
      </c>
      <c r="B163" s="158" t="s">
        <v>3859</v>
      </c>
      <c r="C163" s="158" t="s">
        <v>35</v>
      </c>
      <c r="D163" s="158" t="s">
        <v>3137</v>
      </c>
      <c r="E163" s="158" t="s">
        <v>3127</v>
      </c>
      <c r="F163" s="158" t="s">
        <v>3805</v>
      </c>
      <c r="J163" t="s">
        <v>3829</v>
      </c>
      <c r="K163" t="s">
        <v>43</v>
      </c>
    </row>
    <row r="164" spans="1:11" hidden="1" x14ac:dyDescent="0.3">
      <c r="A164" s="158" t="s">
        <v>3874</v>
      </c>
      <c r="B164" s="158" t="s">
        <v>3804</v>
      </c>
      <c r="C164" s="158" t="s">
        <v>43</v>
      </c>
      <c r="D164" s="158" t="s">
        <v>3583</v>
      </c>
      <c r="E164" s="158" t="s">
        <v>3286</v>
      </c>
      <c r="F164" s="158" t="s">
        <v>3805</v>
      </c>
      <c r="I164" t="s">
        <v>3875</v>
      </c>
    </row>
    <row r="165" spans="1:11" hidden="1" x14ac:dyDescent="0.3">
      <c r="A165" s="158" t="s">
        <v>3876</v>
      </c>
      <c r="B165" s="158" t="s">
        <v>3877</v>
      </c>
      <c r="C165" s="158" t="s">
        <v>24</v>
      </c>
      <c r="D165" s="158" t="s">
        <v>3684</v>
      </c>
      <c r="E165" s="158" t="s">
        <v>1988</v>
      </c>
      <c r="F165" s="158" t="s">
        <v>3805</v>
      </c>
      <c r="I165" t="s">
        <v>3878</v>
      </c>
    </row>
    <row r="166" spans="1:11" hidden="1" x14ac:dyDescent="0.3">
      <c r="A166" s="158" t="s">
        <v>3879</v>
      </c>
      <c r="B166" s="158" t="s">
        <v>3804</v>
      </c>
      <c r="C166" s="158" t="s">
        <v>43</v>
      </c>
      <c r="D166" s="158" t="s">
        <v>3584</v>
      </c>
      <c r="E166" s="158" t="s">
        <v>3286</v>
      </c>
      <c r="F166" s="158" t="s">
        <v>3805</v>
      </c>
      <c r="I166" t="s">
        <v>3880</v>
      </c>
    </row>
    <row r="167" spans="1:11" hidden="1" x14ac:dyDescent="0.3">
      <c r="A167" s="158" t="s">
        <v>3881</v>
      </c>
      <c r="B167" s="158" t="s">
        <v>3877</v>
      </c>
      <c r="C167" s="158" t="s">
        <v>24</v>
      </c>
      <c r="D167" s="158" t="s">
        <v>3685</v>
      </c>
      <c r="E167" s="158" t="s">
        <v>1988</v>
      </c>
      <c r="F167" s="158" t="s">
        <v>3805</v>
      </c>
      <c r="I167" t="s">
        <v>3882</v>
      </c>
    </row>
    <row r="168" spans="1:11" hidden="1" x14ac:dyDescent="0.3">
      <c r="A168" s="158" t="s">
        <v>3883</v>
      </c>
      <c r="B168" s="158" t="s">
        <v>3877</v>
      </c>
      <c r="C168" s="158" t="s">
        <v>24</v>
      </c>
      <c r="D168" s="158" t="s">
        <v>3686</v>
      </c>
      <c r="E168" s="158" t="s">
        <v>1988</v>
      </c>
      <c r="F168" s="158" t="s">
        <v>3805</v>
      </c>
      <c r="I168" t="s">
        <v>3884</v>
      </c>
    </row>
    <row r="169" spans="1:11" hidden="1" x14ac:dyDescent="0.3">
      <c r="A169" s="158" t="s">
        <v>3885</v>
      </c>
      <c r="B169" s="158" t="s">
        <v>3804</v>
      </c>
      <c r="C169" s="158" t="s">
        <v>43</v>
      </c>
      <c r="D169" s="158" t="s">
        <v>3585</v>
      </c>
      <c r="E169" s="158" t="s">
        <v>3286</v>
      </c>
      <c r="F169" s="158" t="s">
        <v>3805</v>
      </c>
      <c r="I169" t="s">
        <v>3886</v>
      </c>
    </row>
    <row r="170" spans="1:11" hidden="1" x14ac:dyDescent="0.3">
      <c r="A170" s="158" t="s">
        <v>3887</v>
      </c>
      <c r="B170" s="158" t="s">
        <v>3877</v>
      </c>
      <c r="C170" s="158" t="s">
        <v>24</v>
      </c>
      <c r="D170" s="158" t="s">
        <v>3687</v>
      </c>
      <c r="E170" s="158" t="s">
        <v>1988</v>
      </c>
      <c r="F170" s="158" t="s">
        <v>3805</v>
      </c>
      <c r="I170" t="s">
        <v>3888</v>
      </c>
    </row>
    <row r="171" spans="1:11" hidden="1" x14ac:dyDescent="0.3">
      <c r="A171" s="158" t="s">
        <v>3889</v>
      </c>
      <c r="B171" s="158" t="s">
        <v>3804</v>
      </c>
      <c r="C171" s="158" t="s">
        <v>43</v>
      </c>
      <c r="D171" s="158" t="s">
        <v>3586</v>
      </c>
      <c r="E171" s="158" t="s">
        <v>3286</v>
      </c>
      <c r="F171" s="158" t="s">
        <v>3805</v>
      </c>
      <c r="I171" t="s">
        <v>3890</v>
      </c>
    </row>
    <row r="172" spans="1:11" hidden="1" x14ac:dyDescent="0.3">
      <c r="A172" s="158" t="s">
        <v>3891</v>
      </c>
      <c r="B172" s="158" t="s">
        <v>3877</v>
      </c>
      <c r="C172" s="158" t="s">
        <v>24</v>
      </c>
      <c r="D172" s="158" t="s">
        <v>3688</v>
      </c>
      <c r="E172" s="158" t="s">
        <v>1988</v>
      </c>
      <c r="F172" s="158" t="s">
        <v>3805</v>
      </c>
      <c r="I172" t="s">
        <v>3892</v>
      </c>
    </row>
    <row r="173" spans="1:11" hidden="1" x14ac:dyDescent="0.3">
      <c r="A173" s="158" t="s">
        <v>3893</v>
      </c>
      <c r="B173" s="158" t="s">
        <v>3877</v>
      </c>
      <c r="C173" s="158" t="s">
        <v>24</v>
      </c>
      <c r="D173" s="158" t="s">
        <v>3689</v>
      </c>
      <c r="E173" s="158" t="s">
        <v>1988</v>
      </c>
      <c r="F173" s="158" t="s">
        <v>3805</v>
      </c>
      <c r="I173" t="s">
        <v>3894</v>
      </c>
    </row>
    <row r="174" spans="1:11" hidden="1" x14ac:dyDescent="0.3">
      <c r="A174" s="158" t="s">
        <v>3895</v>
      </c>
      <c r="B174" s="158" t="s">
        <v>3877</v>
      </c>
      <c r="C174" s="158" t="s">
        <v>24</v>
      </c>
      <c r="D174" s="158" t="s">
        <v>3690</v>
      </c>
      <c r="E174" s="158" t="s">
        <v>1988</v>
      </c>
      <c r="F174" s="158" t="s">
        <v>3805</v>
      </c>
      <c r="I174" t="s">
        <v>3896</v>
      </c>
    </row>
    <row r="175" spans="1:11" hidden="1" x14ac:dyDescent="0.3">
      <c r="A175" s="158" t="s">
        <v>4233</v>
      </c>
      <c r="B175" s="158" t="s">
        <v>3804</v>
      </c>
      <c r="C175" s="158" t="s">
        <v>43</v>
      </c>
      <c r="D175" s="158" t="s">
        <v>3298</v>
      </c>
      <c r="E175" s="158" t="s">
        <v>3297</v>
      </c>
      <c r="F175" s="158" t="s">
        <v>3804</v>
      </c>
      <c r="K175" t="s">
        <v>15</v>
      </c>
    </row>
    <row r="176" spans="1:11" hidden="1" x14ac:dyDescent="0.3">
      <c r="A176" s="158" t="s">
        <v>4264</v>
      </c>
      <c r="B176" s="158" t="s">
        <v>3804</v>
      </c>
      <c r="C176" s="158" t="s">
        <v>15</v>
      </c>
      <c r="D176" s="158" t="s">
        <v>3242</v>
      </c>
      <c r="E176" s="158" t="s">
        <v>3229</v>
      </c>
      <c r="F176" s="158" t="s">
        <v>3805</v>
      </c>
      <c r="K176" t="s">
        <v>35</v>
      </c>
    </row>
    <row r="177" spans="1:11" hidden="1" x14ac:dyDescent="0.3">
      <c r="A177" s="158" t="s">
        <v>4265</v>
      </c>
      <c r="B177" s="158" t="s">
        <v>3804</v>
      </c>
      <c r="C177" s="158" t="s">
        <v>15</v>
      </c>
      <c r="D177" s="158" t="s">
        <v>3240</v>
      </c>
      <c r="E177" s="158" t="s">
        <v>3229</v>
      </c>
      <c r="F177" s="158" t="s">
        <v>3805</v>
      </c>
      <c r="K177" t="s">
        <v>35</v>
      </c>
    </row>
    <row r="178" spans="1:11" hidden="1" x14ac:dyDescent="0.3">
      <c r="A178" s="158" t="s">
        <v>4238</v>
      </c>
      <c r="B178" s="158" t="s">
        <v>3804</v>
      </c>
      <c r="C178" s="158" t="s">
        <v>43</v>
      </c>
      <c r="D178" s="158" t="s">
        <v>3291</v>
      </c>
      <c r="E178" s="158" t="s">
        <v>3290</v>
      </c>
      <c r="F178" s="158" t="s">
        <v>3804</v>
      </c>
      <c r="K178" t="s">
        <v>35</v>
      </c>
    </row>
    <row r="179" spans="1:11" hidden="1" x14ac:dyDescent="0.3">
      <c r="A179" s="158" t="s">
        <v>3897</v>
      </c>
      <c r="B179" s="158" t="s">
        <v>3804</v>
      </c>
      <c r="C179" s="158" t="s">
        <v>43</v>
      </c>
      <c r="D179" s="158" t="s">
        <v>3587</v>
      </c>
      <c r="E179" s="158" t="s">
        <v>3286</v>
      </c>
      <c r="F179" s="158" t="s">
        <v>3805</v>
      </c>
      <c r="I179" t="s">
        <v>3898</v>
      </c>
    </row>
    <row r="180" spans="1:11" hidden="1" x14ac:dyDescent="0.3">
      <c r="A180" s="158" t="s">
        <v>4241</v>
      </c>
      <c r="B180" s="158" t="s">
        <v>3804</v>
      </c>
      <c r="C180" s="158" t="s">
        <v>43</v>
      </c>
      <c r="D180" s="158" t="s">
        <v>1149</v>
      </c>
      <c r="E180" s="158" t="s">
        <v>3284</v>
      </c>
      <c r="F180" s="158" t="s">
        <v>4010</v>
      </c>
      <c r="K180" t="s">
        <v>24</v>
      </c>
    </row>
    <row r="181" spans="1:11" x14ac:dyDescent="0.3">
      <c r="A181" s="158" t="s">
        <v>3899</v>
      </c>
      <c r="B181" s="158" t="s">
        <v>3804</v>
      </c>
      <c r="C181" s="158" t="s">
        <v>43</v>
      </c>
      <c r="D181" s="158" t="s">
        <v>3276</v>
      </c>
      <c r="E181" s="158" t="s">
        <v>3275</v>
      </c>
      <c r="F181" s="158" t="s">
        <v>3900</v>
      </c>
      <c r="G181" t="s">
        <v>4010</v>
      </c>
      <c r="I181" t="s">
        <v>3901</v>
      </c>
    </row>
    <row r="182" spans="1:11" hidden="1" x14ac:dyDescent="0.3">
      <c r="A182" s="158" t="s">
        <v>4247</v>
      </c>
      <c r="B182" s="158" t="s">
        <v>3804</v>
      </c>
      <c r="C182" s="158" t="s">
        <v>43</v>
      </c>
      <c r="D182" s="158" t="s">
        <v>3270</v>
      </c>
      <c r="E182" s="158" t="s">
        <v>3269</v>
      </c>
      <c r="F182" s="158" t="s">
        <v>3805</v>
      </c>
      <c r="K182" t="s">
        <v>35</v>
      </c>
    </row>
    <row r="183" spans="1:11" hidden="1" x14ac:dyDescent="0.3">
      <c r="A183" s="158" t="s">
        <v>3902</v>
      </c>
      <c r="B183" s="158" t="s">
        <v>3829</v>
      </c>
      <c r="C183" s="158" t="s">
        <v>15</v>
      </c>
      <c r="D183" s="158" t="s">
        <v>3722</v>
      </c>
      <c r="E183" s="158" t="s">
        <v>1580</v>
      </c>
      <c r="F183" s="158" t="s">
        <v>3805</v>
      </c>
      <c r="I183" t="s">
        <v>3903</v>
      </c>
      <c r="J183" t="s">
        <v>3877</v>
      </c>
      <c r="K183" t="s">
        <v>24</v>
      </c>
    </row>
    <row r="184" spans="1:11" hidden="1" x14ac:dyDescent="0.3">
      <c r="A184" s="158" t="s">
        <v>4248</v>
      </c>
      <c r="B184" s="158" t="s">
        <v>3804</v>
      </c>
      <c r="C184" s="158" t="s">
        <v>43</v>
      </c>
      <c r="D184" s="158" t="s">
        <v>3268</v>
      </c>
      <c r="E184" s="158" t="s">
        <v>3267</v>
      </c>
      <c r="F184" s="158" t="s">
        <v>3805</v>
      </c>
      <c r="K184" t="s">
        <v>24</v>
      </c>
    </row>
    <row r="185" spans="1:11" hidden="1" x14ac:dyDescent="0.3">
      <c r="A185" s="158" t="s">
        <v>3904</v>
      </c>
      <c r="B185" s="158" t="s">
        <v>3810</v>
      </c>
      <c r="C185" s="158" t="s">
        <v>15</v>
      </c>
      <c r="D185" s="158" t="s">
        <v>3673</v>
      </c>
      <c r="E185" s="158" t="s">
        <v>2233</v>
      </c>
      <c r="F185" s="158" t="s">
        <v>3805</v>
      </c>
      <c r="I185" t="s">
        <v>3905</v>
      </c>
    </row>
    <row r="186" spans="1:11" hidden="1" x14ac:dyDescent="0.3">
      <c r="A186" s="158" t="s">
        <v>4249</v>
      </c>
      <c r="B186" s="158" t="s">
        <v>3804</v>
      </c>
      <c r="C186" s="158" t="s">
        <v>43</v>
      </c>
      <c r="D186" s="158" t="s">
        <v>3266</v>
      </c>
      <c r="E186" s="158" t="s">
        <v>3265</v>
      </c>
      <c r="F186" s="158" t="s">
        <v>3805</v>
      </c>
      <c r="K186" t="s">
        <v>24</v>
      </c>
    </row>
    <row r="187" spans="1:11" hidden="1" x14ac:dyDescent="0.3">
      <c r="A187" s="158" t="s">
        <v>4320</v>
      </c>
      <c r="B187" s="158" t="s">
        <v>3859</v>
      </c>
      <c r="C187" s="158" t="s">
        <v>35</v>
      </c>
      <c r="D187" s="158" t="s">
        <v>3136</v>
      </c>
      <c r="E187" s="158" t="s">
        <v>3124</v>
      </c>
      <c r="F187" s="158" t="s">
        <v>3805</v>
      </c>
      <c r="J187" t="s">
        <v>3829</v>
      </c>
      <c r="K187" t="s">
        <v>43</v>
      </c>
    </row>
    <row r="188" spans="1:11" hidden="1" x14ac:dyDescent="0.3">
      <c r="A188" s="158" t="s">
        <v>4655</v>
      </c>
      <c r="B188" s="158" t="s">
        <v>3810</v>
      </c>
      <c r="C188" s="158" t="s">
        <v>10</v>
      </c>
      <c r="D188" s="158" t="s">
        <v>2366</v>
      </c>
      <c r="E188" s="158" t="s">
        <v>2338</v>
      </c>
      <c r="F188" s="158" t="s">
        <v>3805</v>
      </c>
      <c r="J188" t="s">
        <v>3859</v>
      </c>
      <c r="K188" t="s">
        <v>24</v>
      </c>
    </row>
    <row r="189" spans="1:11" hidden="1" x14ac:dyDescent="0.3">
      <c r="A189" s="158" t="s">
        <v>3906</v>
      </c>
      <c r="B189" s="158" t="s">
        <v>3810</v>
      </c>
      <c r="C189" s="158" t="s">
        <v>35</v>
      </c>
      <c r="D189" s="158" t="s">
        <v>3652</v>
      </c>
      <c r="E189" s="158" t="s">
        <v>2430</v>
      </c>
      <c r="F189" s="158" t="s">
        <v>3805</v>
      </c>
      <c r="I189" t="s">
        <v>3907</v>
      </c>
      <c r="J189" t="s">
        <v>3821</v>
      </c>
      <c r="K189" t="s">
        <v>24</v>
      </c>
    </row>
    <row r="190" spans="1:11" hidden="1" x14ac:dyDescent="0.3">
      <c r="A190" s="158" t="s">
        <v>4251</v>
      </c>
      <c r="B190" s="158" t="s">
        <v>3804</v>
      </c>
      <c r="C190" s="158" t="s">
        <v>43</v>
      </c>
      <c r="D190" s="158" t="s">
        <v>3261</v>
      </c>
      <c r="E190" s="158" t="s">
        <v>3260</v>
      </c>
      <c r="F190" s="158" t="s">
        <v>3805</v>
      </c>
      <c r="K190" t="s">
        <v>35</v>
      </c>
    </row>
    <row r="191" spans="1:11" hidden="1" x14ac:dyDescent="0.3">
      <c r="A191" s="158" t="s">
        <v>3908</v>
      </c>
      <c r="B191" s="158" t="s">
        <v>3877</v>
      </c>
      <c r="C191" s="158" t="s">
        <v>35</v>
      </c>
      <c r="D191" s="158" t="s">
        <v>3683</v>
      </c>
      <c r="E191" s="158" t="s">
        <v>1968</v>
      </c>
      <c r="F191" s="158" t="s">
        <v>3805</v>
      </c>
      <c r="I191" t="s">
        <v>3909</v>
      </c>
      <c r="K191" t="s">
        <v>10</v>
      </c>
    </row>
    <row r="192" spans="1:11" hidden="1" x14ac:dyDescent="0.3">
      <c r="A192" s="158" t="s">
        <v>3910</v>
      </c>
      <c r="B192" s="158" t="s">
        <v>3859</v>
      </c>
      <c r="C192" s="158" t="s">
        <v>15</v>
      </c>
      <c r="D192" s="158" t="s">
        <v>3612</v>
      </c>
      <c r="E192" s="158" t="s">
        <v>2964</v>
      </c>
      <c r="F192" s="158" t="s">
        <v>3805</v>
      </c>
      <c r="I192" t="s">
        <v>3911</v>
      </c>
    </row>
    <row r="193" spans="1:11" hidden="1" x14ac:dyDescent="0.3">
      <c r="A193" s="158" t="s">
        <v>4253</v>
      </c>
      <c r="B193" s="158" t="s">
        <v>3804</v>
      </c>
      <c r="C193" s="158" t="s">
        <v>43</v>
      </c>
      <c r="D193" s="158" t="s">
        <v>3588</v>
      </c>
      <c r="E193" s="158" t="s">
        <v>3257</v>
      </c>
      <c r="F193" s="158" t="s">
        <v>3805</v>
      </c>
      <c r="K193" t="s">
        <v>24</v>
      </c>
    </row>
    <row r="194" spans="1:11" hidden="1" x14ac:dyDescent="0.3">
      <c r="A194" s="158" t="s">
        <v>3912</v>
      </c>
      <c r="B194" s="158" t="s">
        <v>3859</v>
      </c>
      <c r="C194" s="158" t="s">
        <v>43</v>
      </c>
      <c r="D194" s="158" t="s">
        <v>3611</v>
      </c>
      <c r="E194" s="158" t="s">
        <v>1618</v>
      </c>
      <c r="F194" s="158" t="s">
        <v>3805</v>
      </c>
      <c r="I194" t="s">
        <v>3913</v>
      </c>
      <c r="J194" t="s">
        <v>3829</v>
      </c>
      <c r="K194" t="s">
        <v>10</v>
      </c>
    </row>
    <row r="195" spans="1:11" hidden="1" x14ac:dyDescent="0.3">
      <c r="A195" s="158" t="s">
        <v>3914</v>
      </c>
      <c r="B195" s="158" t="s">
        <v>3810</v>
      </c>
      <c r="C195" s="158" t="s">
        <v>10</v>
      </c>
      <c r="D195" s="158" t="s">
        <v>3662</v>
      </c>
      <c r="E195" s="158" t="s">
        <v>2342</v>
      </c>
      <c r="F195" s="158" t="s">
        <v>3805</v>
      </c>
      <c r="I195" t="s">
        <v>3915</v>
      </c>
      <c r="J195" t="s">
        <v>3859</v>
      </c>
      <c r="K195" t="s">
        <v>24</v>
      </c>
    </row>
    <row r="196" spans="1:11" hidden="1" x14ac:dyDescent="0.3">
      <c r="A196" s="158" t="s">
        <v>3916</v>
      </c>
      <c r="B196" s="158" t="s">
        <v>3917</v>
      </c>
      <c r="C196" s="158" t="s">
        <v>43</v>
      </c>
      <c r="D196" s="158" t="s">
        <v>3634</v>
      </c>
      <c r="E196" s="158" t="s">
        <v>2640</v>
      </c>
      <c r="F196" s="158" t="s">
        <v>3805</v>
      </c>
      <c r="I196" t="s">
        <v>3918</v>
      </c>
    </row>
    <row r="197" spans="1:11" hidden="1" x14ac:dyDescent="0.3">
      <c r="A197" s="158" t="s">
        <v>4628</v>
      </c>
      <c r="B197" s="158" t="s">
        <v>3810</v>
      </c>
      <c r="C197" s="158" t="s">
        <v>35</v>
      </c>
      <c r="D197" s="158" t="s">
        <v>2441</v>
      </c>
      <c r="E197" s="158" t="s">
        <v>2425</v>
      </c>
      <c r="F197" s="158" t="s">
        <v>3805</v>
      </c>
      <c r="J197" t="s">
        <v>3838</v>
      </c>
      <c r="K197" t="s">
        <v>15</v>
      </c>
    </row>
    <row r="198" spans="1:11" hidden="1" x14ac:dyDescent="0.3">
      <c r="A198" s="158" t="s">
        <v>4256</v>
      </c>
      <c r="B198" s="158" t="s">
        <v>3804</v>
      </c>
      <c r="C198" s="158" t="s">
        <v>43</v>
      </c>
      <c r="D198" s="158" t="s">
        <v>3252</v>
      </c>
      <c r="E198" s="158" t="s">
        <v>3251</v>
      </c>
      <c r="F198" s="158" t="s">
        <v>3822</v>
      </c>
      <c r="K198" t="s">
        <v>24</v>
      </c>
    </row>
    <row r="199" spans="1:11" hidden="1" x14ac:dyDescent="0.3">
      <c r="A199" s="158" t="s">
        <v>3919</v>
      </c>
      <c r="B199" s="158" t="s">
        <v>3877</v>
      </c>
      <c r="C199" s="158" t="s">
        <v>24</v>
      </c>
      <c r="D199" s="158" t="s">
        <v>3681</v>
      </c>
      <c r="E199" s="158" t="s">
        <v>1985</v>
      </c>
      <c r="F199" s="158" t="s">
        <v>3805</v>
      </c>
      <c r="I199" t="s">
        <v>3920</v>
      </c>
      <c r="K199" t="s">
        <v>10</v>
      </c>
    </row>
    <row r="200" spans="1:11" hidden="1" x14ac:dyDescent="0.3">
      <c r="A200" s="158" t="s">
        <v>3921</v>
      </c>
      <c r="B200" s="158" t="s">
        <v>3821</v>
      </c>
      <c r="C200" s="158" t="s">
        <v>43</v>
      </c>
      <c r="D200" s="158" t="s">
        <v>3748</v>
      </c>
      <c r="E200" s="158" t="s">
        <v>1250</v>
      </c>
      <c r="F200" s="158" t="s">
        <v>3805</v>
      </c>
      <c r="I200" t="s">
        <v>3922</v>
      </c>
      <c r="K200" t="s">
        <v>24</v>
      </c>
    </row>
    <row r="201" spans="1:11" hidden="1" x14ac:dyDescent="0.3">
      <c r="A201" s="158" t="s">
        <v>3923</v>
      </c>
      <c r="B201" s="158" t="s">
        <v>3829</v>
      </c>
      <c r="C201" s="158" t="s">
        <v>15</v>
      </c>
      <c r="D201" s="158" t="s">
        <v>3717</v>
      </c>
      <c r="E201" s="158" t="s">
        <v>1583</v>
      </c>
      <c r="F201" s="158" t="s">
        <v>3805</v>
      </c>
      <c r="I201" t="s">
        <v>3924</v>
      </c>
      <c r="J201" t="s">
        <v>3877</v>
      </c>
      <c r="K201" t="s">
        <v>24</v>
      </c>
    </row>
    <row r="202" spans="1:11" hidden="1" x14ac:dyDescent="0.3">
      <c r="A202" s="158" t="s">
        <v>3925</v>
      </c>
      <c r="B202" s="158" t="s">
        <v>3829</v>
      </c>
      <c r="C202" s="158" t="s">
        <v>15</v>
      </c>
      <c r="D202" s="158" t="s">
        <v>3718</v>
      </c>
      <c r="E202" s="158" t="s">
        <v>1583</v>
      </c>
      <c r="F202" s="158" t="s">
        <v>3805</v>
      </c>
      <c r="I202" t="s">
        <v>3926</v>
      </c>
      <c r="J202" t="s">
        <v>3877</v>
      </c>
      <c r="K202" t="s">
        <v>24</v>
      </c>
    </row>
    <row r="203" spans="1:11" hidden="1" x14ac:dyDescent="0.3">
      <c r="A203" s="158" t="s">
        <v>3927</v>
      </c>
      <c r="B203" s="158" t="s">
        <v>3829</v>
      </c>
      <c r="C203" s="158" t="s">
        <v>15</v>
      </c>
      <c r="D203" s="158" t="s">
        <v>3719</v>
      </c>
      <c r="E203" s="158" t="s">
        <v>1583</v>
      </c>
      <c r="F203" s="158" t="s">
        <v>3805</v>
      </c>
      <c r="I203" t="s">
        <v>3928</v>
      </c>
      <c r="J203" t="s">
        <v>3877</v>
      </c>
      <c r="K203" t="s">
        <v>24</v>
      </c>
    </row>
    <row r="204" spans="1:11" hidden="1" x14ac:dyDescent="0.3">
      <c r="A204" s="158" t="s">
        <v>3929</v>
      </c>
      <c r="B204" s="158" t="s">
        <v>3829</v>
      </c>
      <c r="C204" s="158" t="s">
        <v>15</v>
      </c>
      <c r="D204" s="158" t="s">
        <v>3720</v>
      </c>
      <c r="E204" s="158" t="s">
        <v>1583</v>
      </c>
      <c r="F204" s="158" t="s">
        <v>3805</v>
      </c>
      <c r="I204" t="s">
        <v>3930</v>
      </c>
      <c r="J204" t="s">
        <v>3877</v>
      </c>
      <c r="K204" t="s">
        <v>24</v>
      </c>
    </row>
    <row r="205" spans="1:11" hidden="1" x14ac:dyDescent="0.3">
      <c r="A205" s="158" t="s">
        <v>3931</v>
      </c>
      <c r="B205" s="158" t="s">
        <v>3829</v>
      </c>
      <c r="C205" s="158" t="s">
        <v>15</v>
      </c>
      <c r="D205" s="158" t="s">
        <v>3721</v>
      </c>
      <c r="E205" s="158" t="s">
        <v>1583</v>
      </c>
      <c r="F205" s="158" t="s">
        <v>3805</v>
      </c>
      <c r="I205" t="s">
        <v>3932</v>
      </c>
      <c r="J205" t="s">
        <v>3877</v>
      </c>
      <c r="K205" t="s">
        <v>24</v>
      </c>
    </row>
    <row r="206" spans="1:11" hidden="1" x14ac:dyDescent="0.3">
      <c r="A206" s="158" t="s">
        <v>4266</v>
      </c>
      <c r="B206" s="158" t="s">
        <v>3804</v>
      </c>
      <c r="C206" s="158" t="s">
        <v>15</v>
      </c>
      <c r="D206" s="158" t="s">
        <v>3591</v>
      </c>
      <c r="E206" s="158" t="s">
        <v>3239</v>
      </c>
      <c r="F206" s="158" t="s">
        <v>3805</v>
      </c>
      <c r="K206" t="s">
        <v>35</v>
      </c>
    </row>
    <row r="207" spans="1:11" hidden="1" x14ac:dyDescent="0.3">
      <c r="A207" s="158" t="s">
        <v>4267</v>
      </c>
      <c r="B207" s="158" t="s">
        <v>3804</v>
      </c>
      <c r="C207" s="158" t="s">
        <v>15</v>
      </c>
      <c r="D207" s="158" t="s">
        <v>3238</v>
      </c>
      <c r="E207" s="158" t="s">
        <v>3237</v>
      </c>
      <c r="F207" s="158" t="s">
        <v>3804</v>
      </c>
      <c r="K207" t="s">
        <v>35</v>
      </c>
    </row>
    <row r="208" spans="1:11" hidden="1" x14ac:dyDescent="0.3">
      <c r="A208" s="158" t="s">
        <v>4268</v>
      </c>
      <c r="B208" s="158" t="s">
        <v>3804</v>
      </c>
      <c r="C208" s="158" t="s">
        <v>15</v>
      </c>
      <c r="D208" s="158" t="s">
        <v>3236</v>
      </c>
      <c r="E208" s="158" t="s">
        <v>3235</v>
      </c>
      <c r="F208" s="158" t="s">
        <v>3804</v>
      </c>
      <c r="K208" t="s">
        <v>35</v>
      </c>
    </row>
    <row r="209" spans="1:11" hidden="1" x14ac:dyDescent="0.3">
      <c r="A209" s="158" t="s">
        <v>4269</v>
      </c>
      <c r="B209" s="158" t="s">
        <v>3804</v>
      </c>
      <c r="C209" s="158" t="s">
        <v>15</v>
      </c>
      <c r="D209" s="158" t="s">
        <v>3234</v>
      </c>
      <c r="E209" s="158" t="s">
        <v>3233</v>
      </c>
      <c r="F209" s="158" t="s">
        <v>3822</v>
      </c>
      <c r="K209" t="s">
        <v>35</v>
      </c>
    </row>
    <row r="210" spans="1:11" hidden="1" x14ac:dyDescent="0.3">
      <c r="A210" s="158" t="s">
        <v>3933</v>
      </c>
      <c r="B210" s="158" t="s">
        <v>3859</v>
      </c>
      <c r="C210" s="158" t="s">
        <v>35</v>
      </c>
      <c r="D210" s="158" t="s">
        <v>3599</v>
      </c>
      <c r="E210" s="158" t="s">
        <v>3125</v>
      </c>
      <c r="F210" s="158" t="s">
        <v>3805</v>
      </c>
      <c r="I210" t="s">
        <v>3934</v>
      </c>
    </row>
    <row r="211" spans="1:11" hidden="1" x14ac:dyDescent="0.3">
      <c r="A211" s="158" t="s">
        <v>4270</v>
      </c>
      <c r="B211" s="158" t="s">
        <v>3804</v>
      </c>
      <c r="C211" s="158" t="s">
        <v>15</v>
      </c>
      <c r="D211" s="158" t="s">
        <v>3592</v>
      </c>
      <c r="E211" s="158" t="s">
        <v>3232</v>
      </c>
      <c r="F211" s="158" t="s">
        <v>3805</v>
      </c>
      <c r="K211" t="s">
        <v>35</v>
      </c>
    </row>
    <row r="212" spans="1:11" hidden="1" x14ac:dyDescent="0.3">
      <c r="A212" s="158" t="s">
        <v>3935</v>
      </c>
      <c r="B212" s="158" t="s">
        <v>3810</v>
      </c>
      <c r="C212" s="158" t="s">
        <v>10</v>
      </c>
      <c r="D212" s="158" t="s">
        <v>3657</v>
      </c>
      <c r="E212" s="158" t="s">
        <v>2338</v>
      </c>
      <c r="F212" s="158" t="s">
        <v>3805</v>
      </c>
      <c r="I212" t="s">
        <v>3936</v>
      </c>
      <c r="J212" t="s">
        <v>3859</v>
      </c>
      <c r="K212" t="s">
        <v>24</v>
      </c>
    </row>
    <row r="213" spans="1:11" hidden="1" x14ac:dyDescent="0.3">
      <c r="A213" s="158" t="s">
        <v>3937</v>
      </c>
      <c r="B213" s="158" t="s">
        <v>3810</v>
      </c>
      <c r="C213" s="158" t="s">
        <v>10</v>
      </c>
      <c r="D213" s="158" t="s">
        <v>3658</v>
      </c>
      <c r="E213" s="158" t="s">
        <v>2338</v>
      </c>
      <c r="F213" s="158" t="s">
        <v>3805</v>
      </c>
      <c r="I213" t="s">
        <v>3938</v>
      </c>
      <c r="J213" t="s">
        <v>3859</v>
      </c>
      <c r="K213" t="s">
        <v>24</v>
      </c>
    </row>
    <row r="214" spans="1:11" hidden="1" x14ac:dyDescent="0.3">
      <c r="A214" s="158" t="s">
        <v>4271</v>
      </c>
      <c r="B214" s="158" t="s">
        <v>3804</v>
      </c>
      <c r="C214" s="158" t="s">
        <v>15</v>
      </c>
      <c r="D214" s="158" t="s">
        <v>1623</v>
      </c>
      <c r="E214" s="158" t="s">
        <v>3231</v>
      </c>
      <c r="F214" s="158" t="s">
        <v>3805</v>
      </c>
      <c r="K214" t="s">
        <v>35</v>
      </c>
    </row>
    <row r="215" spans="1:11" hidden="1" x14ac:dyDescent="0.3">
      <c r="A215" s="158" t="s">
        <v>3939</v>
      </c>
      <c r="B215" s="158" t="s">
        <v>3810</v>
      </c>
      <c r="C215" s="158" t="s">
        <v>10</v>
      </c>
      <c r="D215" s="158" t="s">
        <v>3659</v>
      </c>
      <c r="E215" s="158" t="s">
        <v>2338</v>
      </c>
      <c r="F215" s="158" t="s">
        <v>3805</v>
      </c>
      <c r="I215" t="s">
        <v>3940</v>
      </c>
      <c r="J215" t="s">
        <v>3859</v>
      </c>
      <c r="K215" t="s">
        <v>24</v>
      </c>
    </row>
    <row r="216" spans="1:11" hidden="1" x14ac:dyDescent="0.3">
      <c r="A216" s="158" t="s">
        <v>4272</v>
      </c>
      <c r="B216" s="158" t="s">
        <v>3804</v>
      </c>
      <c r="C216" s="158" t="s">
        <v>15</v>
      </c>
      <c r="D216" s="158" t="s">
        <v>3230</v>
      </c>
      <c r="E216" s="158" t="s">
        <v>3229</v>
      </c>
      <c r="F216" s="158" t="s">
        <v>3805</v>
      </c>
      <c r="K216" t="s">
        <v>35</v>
      </c>
    </row>
    <row r="217" spans="1:11" hidden="1" x14ac:dyDescent="0.3">
      <c r="A217" s="158" t="s">
        <v>3941</v>
      </c>
      <c r="B217" s="158" t="s">
        <v>3810</v>
      </c>
      <c r="C217" s="158" t="s">
        <v>10</v>
      </c>
      <c r="D217" s="158" t="s">
        <v>3660</v>
      </c>
      <c r="E217" s="158" t="s">
        <v>2338</v>
      </c>
      <c r="F217" s="158" t="s">
        <v>3805</v>
      </c>
      <c r="I217" t="s">
        <v>3942</v>
      </c>
      <c r="J217" t="s">
        <v>3859</v>
      </c>
      <c r="K217" t="s">
        <v>24</v>
      </c>
    </row>
    <row r="218" spans="1:11" hidden="1" x14ac:dyDescent="0.3">
      <c r="A218" s="158" t="s">
        <v>3943</v>
      </c>
      <c r="B218" s="158" t="s">
        <v>3810</v>
      </c>
      <c r="C218" s="158" t="s">
        <v>10</v>
      </c>
      <c r="D218" s="158" t="s">
        <v>3661</v>
      </c>
      <c r="E218" s="158" t="s">
        <v>2338</v>
      </c>
      <c r="F218" s="158" t="s">
        <v>3805</v>
      </c>
      <c r="I218" t="s">
        <v>3944</v>
      </c>
      <c r="J218" t="s">
        <v>3859</v>
      </c>
      <c r="K218" t="s">
        <v>24</v>
      </c>
    </row>
    <row r="219" spans="1:11" hidden="1" x14ac:dyDescent="0.3">
      <c r="A219" s="158" t="s">
        <v>4273</v>
      </c>
      <c r="B219" s="158" t="s">
        <v>3804</v>
      </c>
      <c r="C219" s="158" t="s">
        <v>15</v>
      </c>
      <c r="D219" s="158" t="s">
        <v>1149</v>
      </c>
      <c r="E219" s="158" t="s">
        <v>3225</v>
      </c>
      <c r="F219" s="158" t="s">
        <v>5627</v>
      </c>
      <c r="K219" t="s">
        <v>35</v>
      </c>
    </row>
    <row r="220" spans="1:11" hidden="1" x14ac:dyDescent="0.3">
      <c r="A220" s="158" t="s">
        <v>3945</v>
      </c>
      <c r="B220" s="158" t="s">
        <v>3810</v>
      </c>
      <c r="C220" s="158" t="s">
        <v>35</v>
      </c>
      <c r="D220" s="158" t="s">
        <v>3651</v>
      </c>
      <c r="E220" s="158" t="s">
        <v>2432</v>
      </c>
      <c r="F220" s="158" t="s">
        <v>3805</v>
      </c>
      <c r="I220" t="s">
        <v>3946</v>
      </c>
      <c r="J220" t="s">
        <v>3821</v>
      </c>
      <c r="K220" t="s">
        <v>24</v>
      </c>
    </row>
    <row r="221" spans="1:11" hidden="1" x14ac:dyDescent="0.3">
      <c r="A221" s="158" t="s">
        <v>4274</v>
      </c>
      <c r="B221" s="158" t="s">
        <v>3804</v>
      </c>
      <c r="C221" s="158" t="s">
        <v>15</v>
      </c>
      <c r="D221" s="158" t="s">
        <v>3223</v>
      </c>
      <c r="E221" s="158" t="s">
        <v>3222</v>
      </c>
      <c r="F221" s="158" t="s">
        <v>3822</v>
      </c>
      <c r="K221" t="s">
        <v>24</v>
      </c>
    </row>
    <row r="222" spans="1:11" hidden="1" x14ac:dyDescent="0.3">
      <c r="A222" s="158" t="s">
        <v>4275</v>
      </c>
      <c r="B222" s="158" t="s">
        <v>3804</v>
      </c>
      <c r="C222" s="158" t="s">
        <v>15</v>
      </c>
      <c r="D222" s="158" t="s">
        <v>3220</v>
      </c>
      <c r="E222" s="158" t="s">
        <v>3219</v>
      </c>
      <c r="F222" s="158" t="s">
        <v>3805</v>
      </c>
      <c r="K222" t="s">
        <v>35</v>
      </c>
    </row>
    <row r="223" spans="1:11" hidden="1" x14ac:dyDescent="0.3">
      <c r="A223" s="158" t="s">
        <v>4277</v>
      </c>
      <c r="B223" s="158" t="s">
        <v>3804</v>
      </c>
      <c r="C223" s="158" t="s">
        <v>15</v>
      </c>
      <c r="D223" s="158" t="s">
        <v>3593</v>
      </c>
      <c r="E223" s="158" t="s">
        <v>3216</v>
      </c>
      <c r="F223" s="158" t="s">
        <v>3805</v>
      </c>
      <c r="K223" t="s">
        <v>35</v>
      </c>
    </row>
    <row r="224" spans="1:11" hidden="1" x14ac:dyDescent="0.3">
      <c r="A224" s="158" t="s">
        <v>3947</v>
      </c>
      <c r="B224" s="158" t="s">
        <v>3804</v>
      </c>
      <c r="C224" s="158" t="s">
        <v>15</v>
      </c>
      <c r="D224" s="158" t="s">
        <v>3593</v>
      </c>
      <c r="E224" s="158" t="s">
        <v>3215</v>
      </c>
      <c r="F224" s="158" t="s">
        <v>3805</v>
      </c>
      <c r="I224" t="s">
        <v>3948</v>
      </c>
      <c r="K224" t="s">
        <v>43</v>
      </c>
    </row>
    <row r="225" spans="1:11" hidden="1" x14ac:dyDescent="0.3">
      <c r="A225" s="158" t="s">
        <v>3949</v>
      </c>
      <c r="B225" s="158" t="s">
        <v>3877</v>
      </c>
      <c r="C225" s="158" t="s">
        <v>35</v>
      </c>
      <c r="D225" s="158" t="s">
        <v>3682</v>
      </c>
      <c r="E225" s="158" t="s">
        <v>1970</v>
      </c>
      <c r="F225" s="158" t="s">
        <v>3805</v>
      </c>
      <c r="I225" t="s">
        <v>3950</v>
      </c>
      <c r="K225" t="s">
        <v>10</v>
      </c>
    </row>
    <row r="226" spans="1:11" hidden="1" x14ac:dyDescent="0.3">
      <c r="A226" s="158" t="s">
        <v>4278</v>
      </c>
      <c r="B226" s="158" t="s">
        <v>3804</v>
      </c>
      <c r="C226" s="158" t="s">
        <v>15</v>
      </c>
      <c r="D226" s="158" t="s">
        <v>3594</v>
      </c>
      <c r="E226" s="158" t="s">
        <v>3214</v>
      </c>
      <c r="F226" s="158" t="s">
        <v>3805</v>
      </c>
      <c r="K226" t="s">
        <v>35</v>
      </c>
    </row>
    <row r="227" spans="1:11" hidden="1" x14ac:dyDescent="0.3">
      <c r="A227" s="158" t="s">
        <v>4627</v>
      </c>
      <c r="B227" s="158" t="s">
        <v>3810</v>
      </c>
      <c r="C227" s="158" t="s">
        <v>35</v>
      </c>
      <c r="D227" s="158" t="s">
        <v>2442</v>
      </c>
      <c r="E227" s="158" t="s">
        <v>2427</v>
      </c>
      <c r="F227" s="158" t="s">
        <v>3805</v>
      </c>
      <c r="J227" t="s">
        <v>3838</v>
      </c>
      <c r="K227" t="s">
        <v>15</v>
      </c>
    </row>
    <row r="228" spans="1:11" hidden="1" x14ac:dyDescent="0.3">
      <c r="A228" s="158" t="s">
        <v>4279</v>
      </c>
      <c r="B228" s="158" t="s">
        <v>3804</v>
      </c>
      <c r="C228" s="158" t="s">
        <v>15</v>
      </c>
      <c r="D228" s="158" t="s">
        <v>3212</v>
      </c>
      <c r="E228" s="158" t="s">
        <v>3211</v>
      </c>
      <c r="F228" s="158" t="s">
        <v>3805</v>
      </c>
      <c r="K228" t="s">
        <v>35</v>
      </c>
    </row>
    <row r="229" spans="1:11" hidden="1" x14ac:dyDescent="0.3">
      <c r="A229" s="158" t="s">
        <v>4280</v>
      </c>
      <c r="B229" s="158" t="s">
        <v>3804</v>
      </c>
      <c r="C229" s="158" t="s">
        <v>15</v>
      </c>
      <c r="D229" s="158" t="s">
        <v>3209</v>
      </c>
      <c r="E229" s="158" t="s">
        <v>3208</v>
      </c>
      <c r="F229" s="158" t="s">
        <v>3805</v>
      </c>
      <c r="K229" t="s">
        <v>43</v>
      </c>
    </row>
    <row r="230" spans="1:11" hidden="1" x14ac:dyDescent="0.3">
      <c r="A230" s="158" t="s">
        <v>4281</v>
      </c>
      <c r="B230" s="158" t="s">
        <v>3804</v>
      </c>
      <c r="C230" s="158" t="s">
        <v>15</v>
      </c>
      <c r="D230" s="158" t="s">
        <v>3207</v>
      </c>
      <c r="E230" s="158" t="s">
        <v>3206</v>
      </c>
      <c r="F230" s="158" t="s">
        <v>3805</v>
      </c>
      <c r="K230" t="s">
        <v>35</v>
      </c>
    </row>
    <row r="231" spans="1:11" hidden="1" x14ac:dyDescent="0.3">
      <c r="A231" s="158" t="s">
        <v>3951</v>
      </c>
      <c r="B231" s="158" t="s">
        <v>3917</v>
      </c>
      <c r="C231" s="158" t="s">
        <v>43</v>
      </c>
      <c r="D231" s="158" t="s">
        <v>3629</v>
      </c>
      <c r="E231" s="158" t="s">
        <v>2642</v>
      </c>
      <c r="F231" s="158" t="s">
        <v>3805</v>
      </c>
      <c r="I231" t="s">
        <v>3952</v>
      </c>
    </row>
    <row r="232" spans="1:11" hidden="1" x14ac:dyDescent="0.3">
      <c r="A232" s="158" t="s">
        <v>4282</v>
      </c>
      <c r="B232" s="158" t="s">
        <v>3804</v>
      </c>
      <c r="C232" s="158" t="s">
        <v>15</v>
      </c>
      <c r="D232" s="158" t="s">
        <v>3595</v>
      </c>
      <c r="E232" s="158" t="s">
        <v>3204</v>
      </c>
      <c r="F232" s="158" t="s">
        <v>3822</v>
      </c>
      <c r="K232" t="s">
        <v>24</v>
      </c>
    </row>
    <row r="233" spans="1:11" hidden="1" x14ac:dyDescent="0.3">
      <c r="A233" s="158" t="s">
        <v>3953</v>
      </c>
      <c r="B233" s="158" t="s">
        <v>3917</v>
      </c>
      <c r="C233" s="158" t="s">
        <v>43</v>
      </c>
      <c r="D233" s="158" t="s">
        <v>3630</v>
      </c>
      <c r="E233" s="158" t="s">
        <v>2642</v>
      </c>
      <c r="F233" s="158" t="s">
        <v>3805</v>
      </c>
      <c r="I233" t="s">
        <v>3954</v>
      </c>
    </row>
    <row r="234" spans="1:11" hidden="1" x14ac:dyDescent="0.3">
      <c r="A234" s="158" t="s">
        <v>3955</v>
      </c>
      <c r="B234" s="158" t="s">
        <v>3917</v>
      </c>
      <c r="C234" s="158" t="s">
        <v>43</v>
      </c>
      <c r="D234" s="158" t="s">
        <v>3631</v>
      </c>
      <c r="E234" s="158" t="s">
        <v>2642</v>
      </c>
      <c r="F234" s="158" t="s">
        <v>3805</v>
      </c>
      <c r="I234" t="s">
        <v>3956</v>
      </c>
    </row>
    <row r="235" spans="1:11" hidden="1" x14ac:dyDescent="0.3">
      <c r="A235" s="158" t="s">
        <v>3957</v>
      </c>
      <c r="B235" s="158" t="s">
        <v>3917</v>
      </c>
      <c r="C235" s="158" t="s">
        <v>43</v>
      </c>
      <c r="D235" s="158" t="s">
        <v>3632</v>
      </c>
      <c r="E235" s="158" t="s">
        <v>2642</v>
      </c>
      <c r="F235" s="158" t="s">
        <v>3805</v>
      </c>
      <c r="I235" t="s">
        <v>3958</v>
      </c>
    </row>
    <row r="236" spans="1:11" hidden="1" x14ac:dyDescent="0.3">
      <c r="A236" s="158" t="s">
        <v>4285</v>
      </c>
      <c r="B236" s="158" t="s">
        <v>3859</v>
      </c>
      <c r="C236" s="158" t="s">
        <v>24</v>
      </c>
      <c r="D236" s="158" t="s">
        <v>3597</v>
      </c>
      <c r="E236" s="158" t="s">
        <v>3198</v>
      </c>
      <c r="F236" s="158" t="s">
        <v>3805</v>
      </c>
      <c r="K236" t="s">
        <v>35</v>
      </c>
    </row>
    <row r="237" spans="1:11" hidden="1" x14ac:dyDescent="0.3">
      <c r="A237" s="158" t="s">
        <v>3959</v>
      </c>
      <c r="B237" s="158" t="s">
        <v>3917</v>
      </c>
      <c r="C237" s="158" t="s">
        <v>43</v>
      </c>
      <c r="D237" s="158" t="s">
        <v>3633</v>
      </c>
      <c r="E237" s="158" t="s">
        <v>2642</v>
      </c>
      <c r="F237" s="158" t="s">
        <v>3805</v>
      </c>
      <c r="I237" t="s">
        <v>3960</v>
      </c>
    </row>
    <row r="238" spans="1:11" hidden="1" x14ac:dyDescent="0.3">
      <c r="A238" s="158" t="s">
        <v>3961</v>
      </c>
      <c r="B238" s="158" t="s">
        <v>3917</v>
      </c>
      <c r="C238" s="158" t="s">
        <v>43</v>
      </c>
      <c r="D238" s="158" t="s">
        <v>3635</v>
      </c>
      <c r="E238" s="158" t="s">
        <v>2642</v>
      </c>
      <c r="F238" s="158" t="s">
        <v>3805</v>
      </c>
      <c r="I238" t="s">
        <v>3962</v>
      </c>
    </row>
    <row r="239" spans="1:11" hidden="1" x14ac:dyDescent="0.3">
      <c r="A239" s="158" t="s">
        <v>4286</v>
      </c>
      <c r="B239" s="158" t="s">
        <v>3859</v>
      </c>
      <c r="C239" s="158" t="s">
        <v>24</v>
      </c>
      <c r="D239" s="158" t="s">
        <v>3598</v>
      </c>
      <c r="E239" s="158" t="s">
        <v>3197</v>
      </c>
      <c r="F239" s="158" t="s">
        <v>3805</v>
      </c>
      <c r="K239" t="s">
        <v>43</v>
      </c>
    </row>
    <row r="240" spans="1:11" hidden="1" x14ac:dyDescent="0.3">
      <c r="A240" s="158" t="s">
        <v>3963</v>
      </c>
      <c r="B240" s="158" t="s">
        <v>3917</v>
      </c>
      <c r="C240" s="158" t="s">
        <v>43</v>
      </c>
      <c r="D240" s="158" t="s">
        <v>3636</v>
      </c>
      <c r="E240" s="158" t="s">
        <v>2642</v>
      </c>
      <c r="F240" s="158" t="s">
        <v>3805</v>
      </c>
      <c r="I240" t="s">
        <v>3964</v>
      </c>
    </row>
    <row r="241" spans="1:11" hidden="1" x14ac:dyDescent="0.3">
      <c r="A241" s="158" t="s">
        <v>3965</v>
      </c>
      <c r="B241" s="158" t="s">
        <v>3917</v>
      </c>
      <c r="C241" s="158" t="s">
        <v>43</v>
      </c>
      <c r="D241" s="158" t="s">
        <v>3637</v>
      </c>
      <c r="E241" s="158" t="s">
        <v>2642</v>
      </c>
      <c r="F241" s="158" t="s">
        <v>3805</v>
      </c>
      <c r="I241" t="s">
        <v>3966</v>
      </c>
    </row>
    <row r="242" spans="1:11" hidden="1" x14ac:dyDescent="0.3">
      <c r="A242" s="158" t="s">
        <v>3967</v>
      </c>
      <c r="B242" s="158" t="s">
        <v>3810</v>
      </c>
      <c r="C242" s="158" t="s">
        <v>10</v>
      </c>
      <c r="D242" s="158" t="s">
        <v>3663</v>
      </c>
      <c r="E242" s="158" t="s">
        <v>2344</v>
      </c>
      <c r="F242" s="158" t="s">
        <v>3805</v>
      </c>
      <c r="I242" t="s">
        <v>3968</v>
      </c>
      <c r="J242" t="s">
        <v>3859</v>
      </c>
      <c r="K242" t="s">
        <v>24</v>
      </c>
    </row>
    <row r="243" spans="1:11" hidden="1" x14ac:dyDescent="0.3">
      <c r="A243" s="158" t="s">
        <v>3969</v>
      </c>
      <c r="B243" s="158" t="s">
        <v>3810</v>
      </c>
      <c r="C243" s="158" t="s">
        <v>10</v>
      </c>
      <c r="D243" s="158" t="s">
        <v>3667</v>
      </c>
      <c r="E243" s="158" t="s">
        <v>2344</v>
      </c>
      <c r="F243" s="158" t="s">
        <v>3805</v>
      </c>
      <c r="I243" t="s">
        <v>3970</v>
      </c>
      <c r="J243" t="s">
        <v>3859</v>
      </c>
      <c r="K243" t="s">
        <v>24</v>
      </c>
    </row>
    <row r="244" spans="1:11" hidden="1" x14ac:dyDescent="0.3">
      <c r="A244" s="158" t="s">
        <v>3971</v>
      </c>
      <c r="B244" s="158" t="s">
        <v>3810</v>
      </c>
      <c r="C244" s="158" t="s">
        <v>10</v>
      </c>
      <c r="D244" s="158" t="s">
        <v>3668</v>
      </c>
      <c r="E244" s="158" t="s">
        <v>2344</v>
      </c>
      <c r="F244" s="158" t="s">
        <v>3805</v>
      </c>
      <c r="I244" t="s">
        <v>3972</v>
      </c>
      <c r="J244" t="s">
        <v>3859</v>
      </c>
      <c r="K244" t="s">
        <v>24</v>
      </c>
    </row>
    <row r="245" spans="1:11" hidden="1" x14ac:dyDescent="0.3">
      <c r="A245" s="158" t="s">
        <v>3973</v>
      </c>
      <c r="B245" s="158" t="s">
        <v>3810</v>
      </c>
      <c r="C245" s="158" t="s">
        <v>10</v>
      </c>
      <c r="D245" s="158" t="s">
        <v>3665</v>
      </c>
      <c r="E245" s="158" t="s">
        <v>2344</v>
      </c>
      <c r="F245" s="158" t="s">
        <v>3805</v>
      </c>
      <c r="I245" t="s">
        <v>3974</v>
      </c>
      <c r="J245" t="s">
        <v>3859</v>
      </c>
      <c r="K245" t="s">
        <v>24</v>
      </c>
    </row>
    <row r="246" spans="1:11" hidden="1" x14ac:dyDescent="0.3">
      <c r="A246" s="158" t="s">
        <v>4290</v>
      </c>
      <c r="B246" s="158" t="s">
        <v>3859</v>
      </c>
      <c r="C246" s="158" t="s">
        <v>24</v>
      </c>
      <c r="D246" s="158" t="s">
        <v>3190</v>
      </c>
      <c r="E246" s="158" t="s">
        <v>3189</v>
      </c>
      <c r="F246" s="158" t="s">
        <v>3805</v>
      </c>
      <c r="K246" t="s">
        <v>35</v>
      </c>
    </row>
    <row r="247" spans="1:11" hidden="1" x14ac:dyDescent="0.3">
      <c r="A247" s="158" t="s">
        <v>3975</v>
      </c>
      <c r="B247" s="158" t="s">
        <v>3810</v>
      </c>
      <c r="C247" s="158" t="s">
        <v>10</v>
      </c>
      <c r="D247" s="158" t="s">
        <v>3664</v>
      </c>
      <c r="E247" s="158" t="s">
        <v>2344</v>
      </c>
      <c r="F247" s="158" t="s">
        <v>3805</v>
      </c>
      <c r="I247" t="s">
        <v>3976</v>
      </c>
      <c r="J247" t="s">
        <v>3859</v>
      </c>
      <c r="K247" t="s">
        <v>24</v>
      </c>
    </row>
    <row r="248" spans="1:11" hidden="1" x14ac:dyDescent="0.3">
      <c r="A248" s="158" t="s">
        <v>4291</v>
      </c>
      <c r="B248" s="158" t="s">
        <v>3859</v>
      </c>
      <c r="C248" s="158" t="s">
        <v>24</v>
      </c>
      <c r="D248" s="158" t="s">
        <v>3188</v>
      </c>
      <c r="E248" s="158" t="s">
        <v>3187</v>
      </c>
      <c r="F248" s="158" t="s">
        <v>3805</v>
      </c>
      <c r="K248" t="s">
        <v>35</v>
      </c>
    </row>
    <row r="249" spans="1:11" hidden="1" x14ac:dyDescent="0.3">
      <c r="A249" s="158" t="s">
        <v>3977</v>
      </c>
      <c r="B249" s="158" t="s">
        <v>3810</v>
      </c>
      <c r="C249" s="158" t="s">
        <v>10</v>
      </c>
      <c r="D249" s="158" t="s">
        <v>3666</v>
      </c>
      <c r="E249" s="158" t="s">
        <v>2344</v>
      </c>
      <c r="F249" s="158" t="s">
        <v>3805</v>
      </c>
      <c r="I249" t="s">
        <v>3978</v>
      </c>
      <c r="J249" t="s">
        <v>3859</v>
      </c>
      <c r="K249" t="s">
        <v>24</v>
      </c>
    </row>
    <row r="250" spans="1:11" hidden="1" x14ac:dyDescent="0.3">
      <c r="A250" s="158" t="s">
        <v>3979</v>
      </c>
      <c r="B250" s="158" t="s">
        <v>3810</v>
      </c>
      <c r="C250" s="158" t="s">
        <v>10</v>
      </c>
      <c r="D250" s="158" t="s">
        <v>3669</v>
      </c>
      <c r="E250" s="158" t="s">
        <v>2344</v>
      </c>
      <c r="F250" s="158" t="s">
        <v>3805</v>
      </c>
      <c r="I250" t="s">
        <v>3980</v>
      </c>
      <c r="J250" t="s">
        <v>3859</v>
      </c>
      <c r="K250" t="s">
        <v>24</v>
      </c>
    </row>
    <row r="251" spans="1:11" hidden="1" x14ac:dyDescent="0.3">
      <c r="A251" s="158" t="s">
        <v>4292</v>
      </c>
      <c r="B251" s="158" t="s">
        <v>3859</v>
      </c>
      <c r="C251" s="158" t="s">
        <v>24</v>
      </c>
      <c r="D251" s="158" t="s">
        <v>3186</v>
      </c>
      <c r="E251" s="158" t="s">
        <v>3185</v>
      </c>
      <c r="F251" s="158" t="s">
        <v>4139</v>
      </c>
      <c r="K251" t="s">
        <v>43</v>
      </c>
    </row>
    <row r="252" spans="1:11" hidden="1" x14ac:dyDescent="0.3">
      <c r="A252" s="158" t="s">
        <v>3981</v>
      </c>
      <c r="B252" s="158" t="s">
        <v>3917</v>
      </c>
      <c r="C252" s="158" t="s">
        <v>43</v>
      </c>
      <c r="D252" s="158" t="s">
        <v>3638</v>
      </c>
      <c r="E252" s="158" t="s">
        <v>2642</v>
      </c>
      <c r="F252" s="158" t="s">
        <v>3805</v>
      </c>
      <c r="I252" t="s">
        <v>3982</v>
      </c>
    </row>
    <row r="253" spans="1:11" hidden="1" x14ac:dyDescent="0.3">
      <c r="A253" s="158" t="s">
        <v>4293</v>
      </c>
      <c r="B253" s="158" t="s">
        <v>3859</v>
      </c>
      <c r="C253" s="158" t="s">
        <v>24</v>
      </c>
      <c r="D253" s="158" t="s">
        <v>3183</v>
      </c>
      <c r="E253" s="158" t="s">
        <v>3182</v>
      </c>
      <c r="F253" s="158" t="s">
        <v>3822</v>
      </c>
      <c r="K253" t="s">
        <v>43</v>
      </c>
    </row>
    <row r="254" spans="1:11" hidden="1" x14ac:dyDescent="0.3">
      <c r="A254" s="158" t="s">
        <v>4294</v>
      </c>
      <c r="B254" s="158" t="s">
        <v>3859</v>
      </c>
      <c r="C254" s="158" t="s">
        <v>24</v>
      </c>
      <c r="D254" s="158" t="s">
        <v>3181</v>
      </c>
      <c r="E254" s="158" t="s">
        <v>3180</v>
      </c>
      <c r="F254" s="158" t="s">
        <v>3804</v>
      </c>
      <c r="K254" t="s">
        <v>43</v>
      </c>
    </row>
    <row r="255" spans="1:11" hidden="1" x14ac:dyDescent="0.3">
      <c r="A255" s="158" t="s">
        <v>3983</v>
      </c>
      <c r="B255" s="158" t="s">
        <v>3917</v>
      </c>
      <c r="C255" s="158" t="s">
        <v>10</v>
      </c>
      <c r="D255" s="158" t="s">
        <v>3624</v>
      </c>
      <c r="E255" s="158" t="s">
        <v>2751</v>
      </c>
      <c r="F255" s="158" t="s">
        <v>3805</v>
      </c>
      <c r="I255" t="s">
        <v>3984</v>
      </c>
    </row>
    <row r="256" spans="1:11" hidden="1" x14ac:dyDescent="0.3">
      <c r="A256" s="158" t="s">
        <v>4296</v>
      </c>
      <c r="B256" s="158" t="s">
        <v>3859</v>
      </c>
      <c r="C256" s="158" t="s">
        <v>24</v>
      </c>
      <c r="D256" s="158" t="s">
        <v>3177</v>
      </c>
      <c r="E256" s="158" t="s">
        <v>3176</v>
      </c>
      <c r="F256" s="158" t="s">
        <v>3804</v>
      </c>
      <c r="K256" t="s">
        <v>35</v>
      </c>
    </row>
    <row r="257" spans="1:11" hidden="1" x14ac:dyDescent="0.3">
      <c r="A257" s="158" t="s">
        <v>4297</v>
      </c>
      <c r="B257" s="158" t="s">
        <v>3859</v>
      </c>
      <c r="C257" s="158" t="s">
        <v>24</v>
      </c>
      <c r="D257" s="158" t="s">
        <v>3175</v>
      </c>
      <c r="E257" s="158" t="s">
        <v>3174</v>
      </c>
      <c r="F257" s="158" t="s">
        <v>3804</v>
      </c>
      <c r="J257" t="s">
        <v>3829</v>
      </c>
      <c r="K257" t="s">
        <v>10</v>
      </c>
    </row>
    <row r="258" spans="1:11" hidden="1" x14ac:dyDescent="0.3">
      <c r="A258" s="158" t="s">
        <v>3985</v>
      </c>
      <c r="B258" s="158" t="s">
        <v>3821</v>
      </c>
      <c r="C258" s="158" t="s">
        <v>15</v>
      </c>
      <c r="D258" s="158" t="s">
        <v>3755</v>
      </c>
      <c r="E258" s="158" t="s">
        <v>1152</v>
      </c>
      <c r="F258" s="158" t="s">
        <v>3805</v>
      </c>
      <c r="I258" t="s">
        <v>3986</v>
      </c>
    </row>
    <row r="259" spans="1:11" hidden="1" x14ac:dyDescent="0.3">
      <c r="A259" s="158" t="s">
        <v>4656</v>
      </c>
      <c r="B259" s="158" t="s">
        <v>3810</v>
      </c>
      <c r="C259" s="158" t="s">
        <v>10</v>
      </c>
      <c r="D259" s="158" t="s">
        <v>2359</v>
      </c>
      <c r="E259" s="158" t="s">
        <v>2346</v>
      </c>
      <c r="F259" s="158" t="s">
        <v>3822</v>
      </c>
      <c r="J259" t="s">
        <v>3859</v>
      </c>
      <c r="K259" t="s">
        <v>24</v>
      </c>
    </row>
    <row r="260" spans="1:11" hidden="1" x14ac:dyDescent="0.3">
      <c r="A260" s="158" t="s">
        <v>4300</v>
      </c>
      <c r="B260" s="158" t="s">
        <v>3859</v>
      </c>
      <c r="C260" s="158" t="s">
        <v>24</v>
      </c>
      <c r="D260" s="158" t="s">
        <v>3169</v>
      </c>
      <c r="E260" s="158" t="s">
        <v>3168</v>
      </c>
      <c r="F260" s="158" t="s">
        <v>3822</v>
      </c>
      <c r="K260" t="s">
        <v>43</v>
      </c>
    </row>
    <row r="261" spans="1:11" hidden="1" x14ac:dyDescent="0.3">
      <c r="A261" s="158" t="s">
        <v>3987</v>
      </c>
      <c r="B261" s="158" t="s">
        <v>3917</v>
      </c>
      <c r="C261" s="158" t="s">
        <v>43</v>
      </c>
      <c r="D261" s="158" t="s">
        <v>3639</v>
      </c>
      <c r="E261" s="158" t="s">
        <v>2642</v>
      </c>
      <c r="F261" s="158" t="s">
        <v>3805</v>
      </c>
      <c r="I261" t="s">
        <v>3988</v>
      </c>
    </row>
    <row r="262" spans="1:11" hidden="1" x14ac:dyDescent="0.3">
      <c r="A262" s="158" t="s">
        <v>4301</v>
      </c>
      <c r="B262" s="158" t="s">
        <v>3859</v>
      </c>
      <c r="C262" s="158" t="s">
        <v>24</v>
      </c>
      <c r="D262" s="158" t="s">
        <v>3167</v>
      </c>
      <c r="E262" s="158" t="s">
        <v>3166</v>
      </c>
      <c r="F262" s="158" t="s">
        <v>3822</v>
      </c>
      <c r="K262" t="s">
        <v>43</v>
      </c>
    </row>
    <row r="263" spans="1:11" hidden="1" x14ac:dyDescent="0.3">
      <c r="A263" s="158" t="s">
        <v>3989</v>
      </c>
      <c r="B263" s="158" t="s">
        <v>3917</v>
      </c>
      <c r="C263" s="158" t="s">
        <v>10</v>
      </c>
      <c r="D263" s="158" t="s">
        <v>3625</v>
      </c>
      <c r="E263" s="158" t="s">
        <v>2762</v>
      </c>
      <c r="F263" s="158" t="s">
        <v>3805</v>
      </c>
      <c r="I263" t="s">
        <v>3990</v>
      </c>
    </row>
    <row r="264" spans="1:11" hidden="1" x14ac:dyDescent="0.3">
      <c r="A264" s="158" t="s">
        <v>4302</v>
      </c>
      <c r="B264" s="158" t="s">
        <v>3859</v>
      </c>
      <c r="C264" s="158" t="s">
        <v>24</v>
      </c>
      <c r="D264" s="158" t="s">
        <v>3165</v>
      </c>
      <c r="E264" s="158" t="s">
        <v>3164</v>
      </c>
      <c r="F264" s="158" t="s">
        <v>3822</v>
      </c>
      <c r="K264" t="s">
        <v>35</v>
      </c>
    </row>
    <row r="265" spans="1:11" hidden="1" x14ac:dyDescent="0.3">
      <c r="A265" s="158" t="s">
        <v>4303</v>
      </c>
      <c r="B265" s="158" t="s">
        <v>3859</v>
      </c>
      <c r="C265" s="158" t="s">
        <v>24</v>
      </c>
      <c r="D265" s="158" t="s">
        <v>3163</v>
      </c>
      <c r="E265" s="158" t="s">
        <v>3162</v>
      </c>
      <c r="F265" s="158" t="s">
        <v>3805</v>
      </c>
      <c r="K265" t="s">
        <v>35</v>
      </c>
    </row>
    <row r="266" spans="1:11" hidden="1" x14ac:dyDescent="0.3">
      <c r="A266" s="158" t="s">
        <v>4304</v>
      </c>
      <c r="B266" s="158" t="s">
        <v>3859</v>
      </c>
      <c r="C266" s="158" t="s">
        <v>24</v>
      </c>
      <c r="D266" s="158" t="s">
        <v>3161</v>
      </c>
      <c r="E266" s="158" t="s">
        <v>3160</v>
      </c>
      <c r="F266" s="158" t="s">
        <v>3822</v>
      </c>
      <c r="K266" t="s">
        <v>35</v>
      </c>
    </row>
    <row r="267" spans="1:11" hidden="1" x14ac:dyDescent="0.3">
      <c r="A267" s="158" t="s">
        <v>4306</v>
      </c>
      <c r="B267" s="158" t="s">
        <v>3859</v>
      </c>
      <c r="C267" s="158" t="s">
        <v>24</v>
      </c>
      <c r="D267" s="158" t="s">
        <v>1645</v>
      </c>
      <c r="E267" s="158" t="s">
        <v>3156</v>
      </c>
      <c r="F267" s="158" t="s">
        <v>3805</v>
      </c>
      <c r="K267" t="s">
        <v>43</v>
      </c>
    </row>
    <row r="268" spans="1:11" hidden="1" x14ac:dyDescent="0.3">
      <c r="A268" s="158" t="s">
        <v>4526</v>
      </c>
      <c r="B268" s="158" t="s">
        <v>3917</v>
      </c>
      <c r="C268" s="158" t="s">
        <v>43</v>
      </c>
      <c r="D268" s="158" t="s">
        <v>2668</v>
      </c>
      <c r="E268" s="158" t="s">
        <v>2665</v>
      </c>
      <c r="F268" s="158" t="s">
        <v>3805</v>
      </c>
      <c r="K268" t="s">
        <v>35</v>
      </c>
    </row>
    <row r="269" spans="1:11" hidden="1" x14ac:dyDescent="0.3">
      <c r="A269" s="158" t="s">
        <v>4307</v>
      </c>
      <c r="B269" s="158" t="s">
        <v>3859</v>
      </c>
      <c r="C269" s="158" t="s">
        <v>24</v>
      </c>
      <c r="D269" s="158" t="s">
        <v>2386</v>
      </c>
      <c r="E269" s="158" t="s">
        <v>3155</v>
      </c>
      <c r="F269" s="158" t="s">
        <v>3805</v>
      </c>
      <c r="K269" t="s">
        <v>35</v>
      </c>
    </row>
    <row r="270" spans="1:11" hidden="1" x14ac:dyDescent="0.3">
      <c r="A270" s="158" t="s">
        <v>4527</v>
      </c>
      <c r="B270" s="158" t="s">
        <v>3917</v>
      </c>
      <c r="C270" s="158" t="s">
        <v>43</v>
      </c>
      <c r="D270" s="158" t="s">
        <v>2667</v>
      </c>
      <c r="E270" s="158" t="s">
        <v>2665</v>
      </c>
      <c r="F270" s="158" t="s">
        <v>3805</v>
      </c>
      <c r="K270" t="s">
        <v>35</v>
      </c>
    </row>
    <row r="271" spans="1:11" hidden="1" x14ac:dyDescent="0.3">
      <c r="A271" s="158" t="s">
        <v>4528</v>
      </c>
      <c r="B271" s="158" t="s">
        <v>3917</v>
      </c>
      <c r="C271" s="158" t="s">
        <v>43</v>
      </c>
      <c r="D271" s="158" t="s">
        <v>2666</v>
      </c>
      <c r="E271" s="158" t="s">
        <v>2665</v>
      </c>
      <c r="F271" s="158" t="s">
        <v>3805</v>
      </c>
      <c r="K271" t="s">
        <v>35</v>
      </c>
    </row>
    <row r="272" spans="1:11" hidden="1" x14ac:dyDescent="0.3">
      <c r="A272" s="158" t="s">
        <v>4529</v>
      </c>
      <c r="B272" s="158" t="s">
        <v>3917</v>
      </c>
      <c r="C272" s="158" t="s">
        <v>43</v>
      </c>
      <c r="D272" s="158" t="s">
        <v>2663</v>
      </c>
      <c r="E272" s="158" t="s">
        <v>2660</v>
      </c>
      <c r="F272" s="158" t="s">
        <v>3805</v>
      </c>
      <c r="K272" t="s">
        <v>35</v>
      </c>
    </row>
    <row r="273" spans="1:11" hidden="1" x14ac:dyDescent="0.3">
      <c r="A273" s="158" t="s">
        <v>4530</v>
      </c>
      <c r="B273" s="158" t="s">
        <v>3917</v>
      </c>
      <c r="C273" s="158" t="s">
        <v>43</v>
      </c>
      <c r="D273" s="158" t="s">
        <v>2662</v>
      </c>
      <c r="E273" s="158" t="s">
        <v>2660</v>
      </c>
      <c r="F273" s="158" t="s">
        <v>3805</v>
      </c>
      <c r="K273" t="s">
        <v>35</v>
      </c>
    </row>
    <row r="274" spans="1:11" hidden="1" x14ac:dyDescent="0.3">
      <c r="A274" s="158" t="s">
        <v>4531</v>
      </c>
      <c r="B274" s="158" t="s">
        <v>3917</v>
      </c>
      <c r="C274" s="158" t="s">
        <v>43</v>
      </c>
      <c r="D274" s="158" t="s">
        <v>2661</v>
      </c>
      <c r="E274" s="158" t="s">
        <v>2660</v>
      </c>
      <c r="F274" s="158" t="s">
        <v>3805</v>
      </c>
      <c r="K274" t="s">
        <v>35</v>
      </c>
    </row>
    <row r="275" spans="1:11" hidden="1" x14ac:dyDescent="0.3">
      <c r="A275" s="158" t="s">
        <v>4707</v>
      </c>
      <c r="B275" s="158" t="s">
        <v>3810</v>
      </c>
      <c r="C275" s="158" t="s">
        <v>43</v>
      </c>
      <c r="D275" s="158" t="s">
        <v>2307</v>
      </c>
      <c r="E275" s="158" t="s">
        <v>2295</v>
      </c>
      <c r="F275" s="158" t="s">
        <v>3805</v>
      </c>
      <c r="K275" t="s">
        <v>15</v>
      </c>
    </row>
    <row r="276" spans="1:11" hidden="1" x14ac:dyDescent="0.3">
      <c r="A276" s="158" t="s">
        <v>3991</v>
      </c>
      <c r="B276" s="158" t="s">
        <v>3810</v>
      </c>
      <c r="C276" s="158" t="s">
        <v>43</v>
      </c>
      <c r="D276" s="158" t="s">
        <v>3674</v>
      </c>
      <c r="E276" s="158" t="s">
        <v>2229</v>
      </c>
      <c r="F276" s="158" t="s">
        <v>3805</v>
      </c>
      <c r="I276" t="s">
        <v>3992</v>
      </c>
    </row>
    <row r="277" spans="1:11" hidden="1" x14ac:dyDescent="0.3">
      <c r="A277" s="158" t="s">
        <v>3993</v>
      </c>
      <c r="B277" s="158" t="s">
        <v>3821</v>
      </c>
      <c r="C277" s="158" t="s">
        <v>10</v>
      </c>
      <c r="D277" s="158" t="s">
        <v>3733</v>
      </c>
      <c r="E277" s="158" t="s">
        <v>1327</v>
      </c>
      <c r="F277" s="158" t="s">
        <v>3805</v>
      </c>
      <c r="I277" t="s">
        <v>3994</v>
      </c>
      <c r="J277" t="s">
        <v>4090</v>
      </c>
      <c r="K277" t="s">
        <v>35</v>
      </c>
    </row>
    <row r="278" spans="1:11" hidden="1" x14ac:dyDescent="0.3">
      <c r="A278" s="158" t="s">
        <v>3995</v>
      </c>
      <c r="B278" s="158" t="s">
        <v>3821</v>
      </c>
      <c r="C278" s="158" t="s">
        <v>10</v>
      </c>
      <c r="D278" s="158" t="s">
        <v>3734</v>
      </c>
      <c r="E278" s="158" t="s">
        <v>1327</v>
      </c>
      <c r="F278" s="158" t="s">
        <v>3805</v>
      </c>
      <c r="I278" t="s">
        <v>3996</v>
      </c>
      <c r="J278" t="s">
        <v>4090</v>
      </c>
      <c r="K278" t="s">
        <v>35</v>
      </c>
    </row>
    <row r="279" spans="1:11" hidden="1" x14ac:dyDescent="0.3">
      <c r="A279" s="158" t="s">
        <v>3997</v>
      </c>
      <c r="B279" s="158" t="s">
        <v>3821</v>
      </c>
      <c r="C279" s="158" t="s">
        <v>10</v>
      </c>
      <c r="D279" s="158" t="s">
        <v>3735</v>
      </c>
      <c r="E279" s="158" t="s">
        <v>1327</v>
      </c>
      <c r="F279" s="158" t="s">
        <v>3805</v>
      </c>
      <c r="I279" t="s">
        <v>3998</v>
      </c>
      <c r="J279" t="s">
        <v>4090</v>
      </c>
      <c r="K279" t="s">
        <v>35</v>
      </c>
    </row>
    <row r="280" spans="1:11" hidden="1" x14ac:dyDescent="0.3">
      <c r="A280" s="158" t="s">
        <v>3999</v>
      </c>
      <c r="B280" s="158" t="s">
        <v>3821</v>
      </c>
      <c r="C280" s="158" t="s">
        <v>10</v>
      </c>
      <c r="D280" s="158" t="s">
        <v>3736</v>
      </c>
      <c r="E280" s="158" t="s">
        <v>1327</v>
      </c>
      <c r="F280" s="158" t="s">
        <v>3805</v>
      </c>
      <c r="I280" t="s">
        <v>4000</v>
      </c>
      <c r="J280" t="s">
        <v>4090</v>
      </c>
      <c r="K280" t="s">
        <v>35</v>
      </c>
    </row>
    <row r="281" spans="1:11" hidden="1" x14ac:dyDescent="0.3">
      <c r="A281" s="158" t="s">
        <v>4001</v>
      </c>
      <c r="B281" s="158" t="s">
        <v>3821</v>
      </c>
      <c r="C281" s="158" t="s">
        <v>10</v>
      </c>
      <c r="D281" s="158" t="s">
        <v>3737</v>
      </c>
      <c r="E281" s="158" t="s">
        <v>1327</v>
      </c>
      <c r="F281" s="158" t="s">
        <v>3805</v>
      </c>
      <c r="I281" t="s">
        <v>4002</v>
      </c>
      <c r="J281" t="s">
        <v>4090</v>
      </c>
      <c r="K281" t="s">
        <v>35</v>
      </c>
    </row>
    <row r="282" spans="1:11" hidden="1" x14ac:dyDescent="0.3">
      <c r="A282" s="158" t="s">
        <v>5012</v>
      </c>
      <c r="B282" s="158" t="s">
        <v>3821</v>
      </c>
      <c r="C282" s="158" t="s">
        <v>24</v>
      </c>
      <c r="D282" s="158" t="s">
        <v>1531</v>
      </c>
      <c r="E282" s="158" t="s">
        <v>1530</v>
      </c>
      <c r="F282" s="158" t="s">
        <v>4139</v>
      </c>
      <c r="J282" t="s">
        <v>4090</v>
      </c>
    </row>
    <row r="283" spans="1:11" hidden="1" x14ac:dyDescent="0.3">
      <c r="A283" s="158" t="s">
        <v>4322</v>
      </c>
      <c r="B283" s="158" t="s">
        <v>3859</v>
      </c>
      <c r="C283" s="158" t="s">
        <v>35</v>
      </c>
      <c r="D283" s="158" t="s">
        <v>3600</v>
      </c>
      <c r="E283" s="158" t="s">
        <v>3133</v>
      </c>
      <c r="F283" s="158" t="s">
        <v>3805</v>
      </c>
      <c r="J283" t="s">
        <v>3829</v>
      </c>
      <c r="K283" t="s">
        <v>43</v>
      </c>
    </row>
    <row r="284" spans="1:11" hidden="1" x14ac:dyDescent="0.3">
      <c r="A284" s="158" t="s">
        <v>4323</v>
      </c>
      <c r="B284" s="158" t="s">
        <v>3859</v>
      </c>
      <c r="C284" s="158" t="s">
        <v>35</v>
      </c>
      <c r="D284" s="158" t="s">
        <v>3601</v>
      </c>
      <c r="E284" s="158" t="s">
        <v>3132</v>
      </c>
      <c r="F284" s="158" t="s">
        <v>3805</v>
      </c>
      <c r="K284" t="s">
        <v>10</v>
      </c>
    </row>
    <row r="285" spans="1:11" hidden="1" x14ac:dyDescent="0.3">
      <c r="A285" s="158" t="s">
        <v>5093</v>
      </c>
      <c r="B285" s="158" t="s">
        <v>3821</v>
      </c>
      <c r="C285" s="158" t="s">
        <v>10</v>
      </c>
      <c r="D285" s="158" t="s">
        <v>1356</v>
      </c>
      <c r="E285" s="158" t="s">
        <v>1355</v>
      </c>
      <c r="F285" s="158" t="s">
        <v>3805</v>
      </c>
      <c r="J285" t="s">
        <v>4090</v>
      </c>
    </row>
    <row r="286" spans="1:11" hidden="1" x14ac:dyDescent="0.3">
      <c r="A286" s="158" t="s">
        <v>4976</v>
      </c>
      <c r="B286" s="158" t="s">
        <v>3829</v>
      </c>
      <c r="C286" s="158" t="s">
        <v>43</v>
      </c>
      <c r="D286" s="158" t="s">
        <v>3715</v>
      </c>
      <c r="E286" s="158" t="s">
        <v>1628</v>
      </c>
      <c r="F286" s="158" t="s">
        <v>3805</v>
      </c>
      <c r="K286" t="s">
        <v>15</v>
      </c>
    </row>
    <row r="287" spans="1:11" hidden="1" x14ac:dyDescent="0.3">
      <c r="A287" s="158" t="s">
        <v>4325</v>
      </c>
      <c r="B287" s="158" t="s">
        <v>3859</v>
      </c>
      <c r="C287" s="158" t="s">
        <v>35</v>
      </c>
      <c r="D287" s="158" t="s">
        <v>3128</v>
      </c>
      <c r="E287" s="158" t="s">
        <v>3127</v>
      </c>
      <c r="F287" s="158" t="s">
        <v>3805</v>
      </c>
      <c r="J287" t="s">
        <v>3829</v>
      </c>
      <c r="K287" t="s">
        <v>43</v>
      </c>
    </row>
    <row r="288" spans="1:11" hidden="1" x14ac:dyDescent="0.3">
      <c r="A288" s="158" t="s">
        <v>4003</v>
      </c>
      <c r="B288" s="158" t="s">
        <v>3859</v>
      </c>
      <c r="C288" s="158" t="s">
        <v>35</v>
      </c>
      <c r="D288" s="158" t="s">
        <v>3602</v>
      </c>
      <c r="E288" s="158" t="s">
        <v>3125</v>
      </c>
      <c r="F288" s="158" t="s">
        <v>3805</v>
      </c>
      <c r="I288" t="s">
        <v>4004</v>
      </c>
    </row>
    <row r="289" spans="1:11" hidden="1" x14ac:dyDescent="0.3">
      <c r="A289" s="158" t="s">
        <v>4005</v>
      </c>
      <c r="B289" s="158" t="s">
        <v>3859</v>
      </c>
      <c r="C289" s="158" t="s">
        <v>35</v>
      </c>
      <c r="D289" s="158" t="s">
        <v>1855</v>
      </c>
      <c r="E289" s="158" t="s">
        <v>3123</v>
      </c>
      <c r="F289" s="158" t="s">
        <v>3805</v>
      </c>
      <c r="I289" t="s">
        <v>4006</v>
      </c>
    </row>
    <row r="290" spans="1:11" hidden="1" x14ac:dyDescent="0.3">
      <c r="A290" s="158" t="s">
        <v>4678</v>
      </c>
      <c r="B290" s="158" t="s">
        <v>3810</v>
      </c>
      <c r="C290" s="158" t="s">
        <v>43</v>
      </c>
      <c r="D290" s="158" t="s">
        <v>1266</v>
      </c>
      <c r="E290" s="158" t="s">
        <v>2306</v>
      </c>
      <c r="F290" s="158" t="s">
        <v>3805</v>
      </c>
      <c r="K290" t="s">
        <v>15</v>
      </c>
    </row>
    <row r="291" spans="1:11" hidden="1" x14ac:dyDescent="0.3">
      <c r="A291" s="158" t="s">
        <v>5127</v>
      </c>
      <c r="B291" s="158" t="s">
        <v>3821</v>
      </c>
      <c r="C291" s="158" t="s">
        <v>43</v>
      </c>
      <c r="D291" s="158" t="s">
        <v>1266</v>
      </c>
      <c r="E291" s="158" t="s">
        <v>1265</v>
      </c>
      <c r="F291" s="158" t="s">
        <v>3805</v>
      </c>
      <c r="K291" t="s">
        <v>24</v>
      </c>
    </row>
    <row r="292" spans="1:11" hidden="1" x14ac:dyDescent="0.3">
      <c r="A292" s="158" t="s">
        <v>4679</v>
      </c>
      <c r="B292" s="158" t="s">
        <v>3810</v>
      </c>
      <c r="C292" s="158" t="s">
        <v>15</v>
      </c>
      <c r="D292" s="158" t="s">
        <v>2240</v>
      </c>
      <c r="E292" s="158" t="s">
        <v>2239</v>
      </c>
      <c r="F292" s="158" t="s">
        <v>3805</v>
      </c>
      <c r="K292" t="s">
        <v>43</v>
      </c>
    </row>
    <row r="293" spans="1:11" hidden="1" x14ac:dyDescent="0.3">
      <c r="A293" s="158" t="s">
        <v>4327</v>
      </c>
      <c r="B293" s="158" t="s">
        <v>3859</v>
      </c>
      <c r="C293" s="158" t="s">
        <v>35</v>
      </c>
      <c r="D293" s="158" t="s">
        <v>1149</v>
      </c>
      <c r="E293" s="158" t="s">
        <v>3121</v>
      </c>
      <c r="F293" s="158" t="s">
        <v>4010</v>
      </c>
      <c r="J293" t="s">
        <v>3829</v>
      </c>
      <c r="K293" t="s">
        <v>43</v>
      </c>
    </row>
    <row r="294" spans="1:11" hidden="1" x14ac:dyDescent="0.3">
      <c r="A294" s="158" t="s">
        <v>4328</v>
      </c>
      <c r="B294" s="158" t="s">
        <v>3859</v>
      </c>
      <c r="C294" s="158" t="s">
        <v>35</v>
      </c>
      <c r="D294" s="158" t="s">
        <v>3120</v>
      </c>
      <c r="E294" s="158" t="s">
        <v>3119</v>
      </c>
      <c r="F294" s="158" t="s">
        <v>4010</v>
      </c>
      <c r="J294" t="s">
        <v>3810</v>
      </c>
      <c r="K294" t="s">
        <v>15</v>
      </c>
    </row>
    <row r="295" spans="1:11" hidden="1" x14ac:dyDescent="0.3">
      <c r="A295" s="158" t="s">
        <v>4804</v>
      </c>
      <c r="B295" s="158" t="s">
        <v>3877</v>
      </c>
      <c r="C295" s="158" t="s">
        <v>15</v>
      </c>
      <c r="D295" s="158" t="s">
        <v>2019</v>
      </c>
      <c r="E295" s="158" t="s">
        <v>2018</v>
      </c>
      <c r="F295" s="158" t="s">
        <v>3805</v>
      </c>
      <c r="H295" t="s">
        <v>5628</v>
      </c>
      <c r="J295" t="s">
        <v>3810</v>
      </c>
    </row>
    <row r="296" spans="1:11" hidden="1" x14ac:dyDescent="0.3">
      <c r="A296" s="158" t="s">
        <v>4329</v>
      </c>
      <c r="B296" s="158" t="s">
        <v>3859</v>
      </c>
      <c r="C296" s="158" t="s">
        <v>35</v>
      </c>
      <c r="D296" s="158" t="s">
        <v>3603</v>
      </c>
      <c r="E296" s="158" t="s">
        <v>3118</v>
      </c>
      <c r="F296" s="158" t="s">
        <v>3805</v>
      </c>
      <c r="J296" t="s">
        <v>3829</v>
      </c>
      <c r="K296" t="s">
        <v>43</v>
      </c>
    </row>
    <row r="297" spans="1:11" x14ac:dyDescent="0.3">
      <c r="A297" s="158" t="s">
        <v>4330</v>
      </c>
      <c r="B297" s="158" t="s">
        <v>3859</v>
      </c>
      <c r="C297" s="158" t="s">
        <v>35</v>
      </c>
      <c r="D297" s="158" t="s">
        <v>3117</v>
      </c>
      <c r="E297" s="158" t="s">
        <v>3116</v>
      </c>
      <c r="F297" s="158" t="s">
        <v>3804</v>
      </c>
      <c r="G297" t="s">
        <v>3822</v>
      </c>
      <c r="J297" t="s">
        <v>3829</v>
      </c>
      <c r="K297" t="s">
        <v>43</v>
      </c>
    </row>
    <row r="298" spans="1:11" hidden="1" x14ac:dyDescent="0.3">
      <c r="A298" s="158" t="s">
        <v>5013</v>
      </c>
      <c r="B298" s="158" t="s">
        <v>3821</v>
      </c>
      <c r="C298" s="158" t="s">
        <v>24</v>
      </c>
      <c r="D298" s="158" t="s">
        <v>1528</v>
      </c>
      <c r="E298" s="158" t="s">
        <v>1527</v>
      </c>
      <c r="F298" s="158" t="s">
        <v>3805</v>
      </c>
      <c r="J298" t="s">
        <v>3810</v>
      </c>
      <c r="K298" t="s">
        <v>35</v>
      </c>
    </row>
    <row r="299" spans="1:11" hidden="1" x14ac:dyDescent="0.3">
      <c r="A299" s="158" t="s">
        <v>4532</v>
      </c>
      <c r="B299" s="158" t="s">
        <v>3917</v>
      </c>
      <c r="C299" s="158" t="s">
        <v>43</v>
      </c>
      <c r="D299" s="158" t="s">
        <v>2658</v>
      </c>
      <c r="E299" s="158" t="s">
        <v>2657</v>
      </c>
      <c r="F299" s="158" t="s">
        <v>3805</v>
      </c>
      <c r="K299" t="s">
        <v>35</v>
      </c>
    </row>
    <row r="300" spans="1:11" hidden="1" x14ac:dyDescent="0.3">
      <c r="A300" s="158" t="s">
        <v>4331</v>
      </c>
      <c r="B300" s="158" t="s">
        <v>3859</v>
      </c>
      <c r="C300" s="158" t="s">
        <v>35</v>
      </c>
      <c r="D300" s="158" t="s">
        <v>3115</v>
      </c>
      <c r="E300" s="158" t="s">
        <v>3114</v>
      </c>
      <c r="F300" s="158" t="s">
        <v>4139</v>
      </c>
      <c r="J300" t="s">
        <v>3829</v>
      </c>
      <c r="K300" t="s">
        <v>43</v>
      </c>
    </row>
    <row r="301" spans="1:11" hidden="1" x14ac:dyDescent="0.3">
      <c r="A301" s="158" t="s">
        <v>4332</v>
      </c>
      <c r="B301" s="158" t="s">
        <v>3859</v>
      </c>
      <c r="C301" s="158" t="s">
        <v>35</v>
      </c>
      <c r="D301" s="158" t="s">
        <v>3113</v>
      </c>
      <c r="E301" s="158" t="s">
        <v>3112</v>
      </c>
      <c r="F301" s="158" t="s">
        <v>3804</v>
      </c>
      <c r="K301" t="s">
        <v>10</v>
      </c>
    </row>
    <row r="302" spans="1:11" hidden="1" x14ac:dyDescent="0.3">
      <c r="A302" s="158" t="s">
        <v>4629</v>
      </c>
      <c r="B302" s="158" t="s">
        <v>3810</v>
      </c>
      <c r="C302" s="158" t="s">
        <v>35</v>
      </c>
      <c r="D302" s="158" t="s">
        <v>2439</v>
      </c>
      <c r="E302" s="158" t="s">
        <v>2438</v>
      </c>
      <c r="F302" s="158" t="s">
        <v>3805</v>
      </c>
      <c r="J302" t="s">
        <v>3821</v>
      </c>
      <c r="K302" t="s">
        <v>24</v>
      </c>
    </row>
    <row r="303" spans="1:11" hidden="1" x14ac:dyDescent="0.3">
      <c r="A303" s="158" t="s">
        <v>4334</v>
      </c>
      <c r="B303" s="158" t="s">
        <v>3859</v>
      </c>
      <c r="C303" s="158" t="s">
        <v>35</v>
      </c>
      <c r="D303" s="158" t="s">
        <v>3109</v>
      </c>
      <c r="E303" s="158" t="s">
        <v>3108</v>
      </c>
      <c r="F303" s="158" t="s">
        <v>3805</v>
      </c>
      <c r="K303" t="s">
        <v>43</v>
      </c>
    </row>
    <row r="304" spans="1:11" hidden="1" x14ac:dyDescent="0.3">
      <c r="A304" s="158" t="s">
        <v>4630</v>
      </c>
      <c r="B304" s="158" t="s">
        <v>3810</v>
      </c>
      <c r="C304" s="158" t="s">
        <v>35</v>
      </c>
      <c r="D304" s="158" t="s">
        <v>2437</v>
      </c>
      <c r="E304" s="158" t="s">
        <v>2436</v>
      </c>
      <c r="F304" s="158" t="s">
        <v>3805</v>
      </c>
      <c r="K304" t="s">
        <v>24</v>
      </c>
    </row>
    <row r="305" spans="1:11" hidden="1" x14ac:dyDescent="0.3">
      <c r="A305" s="158" t="s">
        <v>4335</v>
      </c>
      <c r="B305" s="158" t="s">
        <v>3859</v>
      </c>
      <c r="C305" s="158" t="s">
        <v>35</v>
      </c>
      <c r="D305" s="158" t="s">
        <v>3107</v>
      </c>
      <c r="E305" s="158" t="s">
        <v>3106</v>
      </c>
      <c r="F305" s="158" t="s">
        <v>3822</v>
      </c>
      <c r="K305" t="s">
        <v>10</v>
      </c>
    </row>
    <row r="306" spans="1:11" hidden="1" x14ac:dyDescent="0.3">
      <c r="A306" s="158" t="s">
        <v>4007</v>
      </c>
      <c r="B306" s="158" t="s">
        <v>3877</v>
      </c>
      <c r="C306" s="158" t="s">
        <v>10</v>
      </c>
      <c r="D306" s="158" t="s">
        <v>52</v>
      </c>
      <c r="E306" s="158" t="s">
        <v>51</v>
      </c>
      <c r="F306" s="158" t="s">
        <v>3811</v>
      </c>
      <c r="K306" t="s">
        <v>4008</v>
      </c>
    </row>
    <row r="307" spans="1:11" hidden="1" x14ac:dyDescent="0.3">
      <c r="A307" s="158" t="s">
        <v>4977</v>
      </c>
      <c r="B307" s="158" t="s">
        <v>3829</v>
      </c>
      <c r="C307" s="158" t="s">
        <v>43</v>
      </c>
      <c r="D307" s="158" t="s">
        <v>1626</v>
      </c>
      <c r="E307" s="158" t="s">
        <v>1625</v>
      </c>
      <c r="F307" s="158" t="s">
        <v>3805</v>
      </c>
      <c r="K307" t="s">
        <v>15</v>
      </c>
    </row>
    <row r="308" spans="1:11" hidden="1" x14ac:dyDescent="0.3">
      <c r="A308" s="158" t="s">
        <v>4336</v>
      </c>
      <c r="B308" s="158" t="s">
        <v>3859</v>
      </c>
      <c r="C308" s="158" t="s">
        <v>35</v>
      </c>
      <c r="D308" s="158" t="s">
        <v>3104</v>
      </c>
      <c r="E308" s="158" t="s">
        <v>3103</v>
      </c>
      <c r="F308" s="158" t="s">
        <v>3805</v>
      </c>
      <c r="K308" t="s">
        <v>43</v>
      </c>
    </row>
    <row r="309" spans="1:11" hidden="1" x14ac:dyDescent="0.3">
      <c r="A309" s="158" t="s">
        <v>4811</v>
      </c>
      <c r="B309" s="158" t="s">
        <v>3877</v>
      </c>
      <c r="C309" s="158" t="s">
        <v>15</v>
      </c>
      <c r="D309" s="158" t="s">
        <v>2005</v>
      </c>
      <c r="E309" s="158" t="s">
        <v>2004</v>
      </c>
      <c r="F309" s="158" t="s">
        <v>3804</v>
      </c>
      <c r="J309" t="s">
        <v>3859</v>
      </c>
      <c r="K309" t="s">
        <v>24</v>
      </c>
    </row>
    <row r="310" spans="1:11" hidden="1" x14ac:dyDescent="0.3">
      <c r="A310" s="158" t="s">
        <v>4340</v>
      </c>
      <c r="B310" s="158" t="s">
        <v>3859</v>
      </c>
      <c r="C310" s="158" t="s">
        <v>10</v>
      </c>
      <c r="D310" s="158" t="s">
        <v>3097</v>
      </c>
      <c r="E310" s="158" t="s">
        <v>3096</v>
      </c>
      <c r="F310" s="158" t="s">
        <v>3822</v>
      </c>
      <c r="K310" t="s">
        <v>15</v>
      </c>
    </row>
    <row r="311" spans="1:11" hidden="1" x14ac:dyDescent="0.3">
      <c r="A311" s="158" t="s">
        <v>4988</v>
      </c>
      <c r="B311" s="158" t="s">
        <v>3829</v>
      </c>
      <c r="C311" s="158" t="s">
        <v>15</v>
      </c>
      <c r="D311" s="158" t="s">
        <v>1589</v>
      </c>
      <c r="E311" s="158" t="s">
        <v>1588</v>
      </c>
      <c r="F311" s="158" t="s">
        <v>3804</v>
      </c>
      <c r="J311" t="s">
        <v>3877</v>
      </c>
      <c r="K311" t="s">
        <v>24</v>
      </c>
    </row>
    <row r="312" spans="1:11" hidden="1" x14ac:dyDescent="0.3">
      <c r="A312" s="158" t="s">
        <v>4657</v>
      </c>
      <c r="B312" s="158" t="s">
        <v>3810</v>
      </c>
      <c r="C312" s="158" t="s">
        <v>10</v>
      </c>
      <c r="D312" s="158" t="s">
        <v>2357</v>
      </c>
      <c r="E312" s="158" t="s">
        <v>2356</v>
      </c>
      <c r="F312" s="158" t="s">
        <v>3822</v>
      </c>
      <c r="J312" t="s">
        <v>3859</v>
      </c>
      <c r="K312" t="s">
        <v>24</v>
      </c>
    </row>
    <row r="313" spans="1:11" hidden="1" x14ac:dyDescent="0.3">
      <c r="A313" s="158" t="s">
        <v>4989</v>
      </c>
      <c r="B313" s="158" t="s">
        <v>3829</v>
      </c>
      <c r="C313" s="158" t="s">
        <v>15</v>
      </c>
      <c r="D313" s="158" t="s">
        <v>1587</v>
      </c>
      <c r="E313" s="158" t="s">
        <v>1586</v>
      </c>
      <c r="F313" s="158" t="s">
        <v>3822</v>
      </c>
      <c r="K313" t="s">
        <v>43</v>
      </c>
    </row>
    <row r="314" spans="1:11" hidden="1" x14ac:dyDescent="0.3">
      <c r="A314" s="158" t="s">
        <v>4343</v>
      </c>
      <c r="B314" s="158" t="s">
        <v>3859</v>
      </c>
      <c r="C314" s="158" t="s">
        <v>10</v>
      </c>
      <c r="D314" s="158" t="s">
        <v>3608</v>
      </c>
      <c r="E314" s="158" t="s">
        <v>3093</v>
      </c>
      <c r="F314" s="158" t="s">
        <v>3805</v>
      </c>
      <c r="K314" t="s">
        <v>15</v>
      </c>
    </row>
    <row r="315" spans="1:11" hidden="1" x14ac:dyDescent="0.3">
      <c r="A315" s="158" t="s">
        <v>4658</v>
      </c>
      <c r="B315" s="158" t="s">
        <v>3810</v>
      </c>
      <c r="C315" s="158" t="s">
        <v>10</v>
      </c>
      <c r="D315" s="158" t="s">
        <v>2355</v>
      </c>
      <c r="E315" s="158" t="s">
        <v>2354</v>
      </c>
      <c r="F315" s="158" t="s">
        <v>3822</v>
      </c>
      <c r="J315" t="s">
        <v>3859</v>
      </c>
      <c r="K315" t="s">
        <v>24</v>
      </c>
    </row>
    <row r="316" spans="1:11" hidden="1" x14ac:dyDescent="0.3">
      <c r="A316" s="158" t="s">
        <v>4009</v>
      </c>
      <c r="B316" s="158" t="s">
        <v>3859</v>
      </c>
      <c r="C316" s="158" t="s">
        <v>10</v>
      </c>
      <c r="D316" s="158" t="s">
        <v>3609</v>
      </c>
      <c r="E316" s="158" t="s">
        <v>3083</v>
      </c>
      <c r="F316" s="158" t="s">
        <v>4010</v>
      </c>
      <c r="I316" t="s">
        <v>4011</v>
      </c>
    </row>
    <row r="317" spans="1:11" hidden="1" x14ac:dyDescent="0.3">
      <c r="A317" s="158" t="s">
        <v>4939</v>
      </c>
      <c r="B317" s="158" t="s">
        <v>3829</v>
      </c>
      <c r="C317" s="158" t="s">
        <v>10</v>
      </c>
      <c r="D317" s="158" t="s">
        <v>1695</v>
      </c>
      <c r="E317" s="158" t="s">
        <v>1694</v>
      </c>
      <c r="F317" s="158" t="s">
        <v>3805</v>
      </c>
      <c r="K317" t="s">
        <v>15</v>
      </c>
    </row>
    <row r="318" spans="1:11" hidden="1" x14ac:dyDescent="0.3">
      <c r="A318" s="158" t="s">
        <v>4489</v>
      </c>
      <c r="B318" s="158" t="s">
        <v>3917</v>
      </c>
      <c r="C318" s="158" t="s">
        <v>10</v>
      </c>
      <c r="D318" s="158" t="s">
        <v>2759</v>
      </c>
      <c r="E318" s="158" t="s">
        <v>2758</v>
      </c>
      <c r="F318" s="158" t="s">
        <v>3805</v>
      </c>
      <c r="K318" t="s">
        <v>43</v>
      </c>
    </row>
    <row r="319" spans="1:11" hidden="1" x14ac:dyDescent="0.3">
      <c r="A319" s="158" t="s">
        <v>4813</v>
      </c>
      <c r="B319" s="158" t="s">
        <v>3877</v>
      </c>
      <c r="C319" s="158" t="s">
        <v>24</v>
      </c>
      <c r="D319" s="158" t="s">
        <v>2001</v>
      </c>
      <c r="E319" s="158" t="s">
        <v>2000</v>
      </c>
      <c r="F319" s="158" t="s">
        <v>3822</v>
      </c>
      <c r="K319" t="s">
        <v>10</v>
      </c>
    </row>
    <row r="320" spans="1:11" hidden="1" x14ac:dyDescent="0.3">
      <c r="A320" s="158" t="s">
        <v>4814</v>
      </c>
      <c r="B320" s="158" t="s">
        <v>3877</v>
      </c>
      <c r="C320" s="158" t="s">
        <v>10</v>
      </c>
      <c r="D320" s="158" t="s">
        <v>1998</v>
      </c>
      <c r="E320" s="158" t="s">
        <v>1997</v>
      </c>
      <c r="F320" s="158" t="s">
        <v>3822</v>
      </c>
      <c r="K320" t="s">
        <v>24</v>
      </c>
    </row>
    <row r="321" spans="1:11" hidden="1" x14ac:dyDescent="0.3">
      <c r="A321" s="158" t="s">
        <v>4422</v>
      </c>
      <c r="B321" s="158" t="s">
        <v>3917</v>
      </c>
      <c r="C321" s="158" t="s">
        <v>24</v>
      </c>
      <c r="D321" s="158" t="s">
        <v>2931</v>
      </c>
      <c r="E321" s="158" t="s">
        <v>2930</v>
      </c>
      <c r="F321" s="158" t="s">
        <v>3822</v>
      </c>
      <c r="K321" t="s">
        <v>10</v>
      </c>
    </row>
    <row r="322" spans="1:11" hidden="1" x14ac:dyDescent="0.3">
      <c r="A322" s="158" t="s">
        <v>5014</v>
      </c>
      <c r="B322" s="158" t="s">
        <v>3821</v>
      </c>
      <c r="C322" s="158" t="s">
        <v>24</v>
      </c>
      <c r="D322" s="158" t="s">
        <v>1525</v>
      </c>
      <c r="E322" s="158" t="s">
        <v>1524</v>
      </c>
      <c r="F322" s="158" t="s">
        <v>3822</v>
      </c>
      <c r="J322" t="s">
        <v>3810</v>
      </c>
    </row>
    <row r="323" spans="1:11" hidden="1" x14ac:dyDescent="0.3">
      <c r="A323" s="158" t="s">
        <v>5049</v>
      </c>
      <c r="B323" s="158" t="s">
        <v>3821</v>
      </c>
      <c r="C323" s="158" t="s">
        <v>35</v>
      </c>
      <c r="D323" s="158" t="s">
        <v>1457</v>
      </c>
      <c r="E323" s="158" t="s">
        <v>1456</v>
      </c>
      <c r="F323" s="158" t="s">
        <v>3822</v>
      </c>
      <c r="K323" t="s">
        <v>15</v>
      </c>
    </row>
    <row r="324" spans="1:11" hidden="1" x14ac:dyDescent="0.3">
      <c r="A324" s="158" t="s">
        <v>4121</v>
      </c>
      <c r="B324" s="158" t="s">
        <v>3859</v>
      </c>
      <c r="C324" s="158" t="s">
        <v>15</v>
      </c>
      <c r="D324" s="158" t="s">
        <v>4122</v>
      </c>
      <c r="E324" s="158" t="s">
        <v>4123</v>
      </c>
      <c r="F324" s="158" t="s">
        <v>3805</v>
      </c>
      <c r="K324" t="s">
        <v>10</v>
      </c>
    </row>
    <row r="325" spans="1:11" hidden="1" x14ac:dyDescent="0.3">
      <c r="A325" s="158" t="s">
        <v>4815</v>
      </c>
      <c r="B325" s="158" t="s">
        <v>3877</v>
      </c>
      <c r="C325" s="158" t="s">
        <v>10</v>
      </c>
      <c r="D325" s="158" t="s">
        <v>1995</v>
      </c>
      <c r="E325" s="158" t="s">
        <v>1994</v>
      </c>
      <c r="F325" s="158" t="s">
        <v>3804</v>
      </c>
      <c r="J325" t="s">
        <v>3917</v>
      </c>
      <c r="K325" t="s">
        <v>43</v>
      </c>
    </row>
    <row r="326" spans="1:11" hidden="1" x14ac:dyDescent="0.3">
      <c r="A326" s="158" t="s">
        <v>4490</v>
      </c>
      <c r="B326" s="158" t="s">
        <v>3917</v>
      </c>
      <c r="C326" s="158" t="s">
        <v>10</v>
      </c>
      <c r="D326" s="158" t="s">
        <v>2757</v>
      </c>
      <c r="E326" s="158" t="s">
        <v>2756</v>
      </c>
      <c r="F326" s="158" t="s">
        <v>3804</v>
      </c>
      <c r="K326" t="s">
        <v>43</v>
      </c>
    </row>
    <row r="327" spans="1:11" hidden="1" x14ac:dyDescent="0.3">
      <c r="A327" s="158" t="s">
        <v>4540</v>
      </c>
      <c r="B327" s="158" t="s">
        <v>3917</v>
      </c>
      <c r="C327" s="158" t="s">
        <v>43</v>
      </c>
      <c r="D327" s="158" t="s">
        <v>3642</v>
      </c>
      <c r="E327" s="158" t="s">
        <v>2644</v>
      </c>
      <c r="F327" s="158" t="s">
        <v>3805</v>
      </c>
      <c r="K327" t="s">
        <v>35</v>
      </c>
    </row>
    <row r="328" spans="1:11" hidden="1" x14ac:dyDescent="0.3">
      <c r="A328" s="158" t="s">
        <v>4363</v>
      </c>
      <c r="B328" s="158" t="s">
        <v>3859</v>
      </c>
      <c r="C328" s="158" t="s">
        <v>10</v>
      </c>
      <c r="D328" s="158" t="s">
        <v>3054</v>
      </c>
      <c r="E328" s="158" t="s">
        <v>3052</v>
      </c>
      <c r="F328" s="158" t="s">
        <v>3805</v>
      </c>
      <c r="K328" t="s">
        <v>15</v>
      </c>
    </row>
    <row r="329" spans="1:11" hidden="1" x14ac:dyDescent="0.3">
      <c r="A329" s="158" t="s">
        <v>4364</v>
      </c>
      <c r="B329" s="158" t="s">
        <v>3859</v>
      </c>
      <c r="C329" s="158" t="s">
        <v>10</v>
      </c>
      <c r="D329" s="158" t="s">
        <v>3053</v>
      </c>
      <c r="E329" s="158" t="s">
        <v>3052</v>
      </c>
      <c r="F329" s="158" t="s">
        <v>3805</v>
      </c>
      <c r="K329" t="s">
        <v>15</v>
      </c>
    </row>
    <row r="330" spans="1:11" hidden="1" x14ac:dyDescent="0.3">
      <c r="A330" s="158" t="s">
        <v>4539</v>
      </c>
      <c r="B330" s="158" t="s">
        <v>3917</v>
      </c>
      <c r="C330" s="158" t="s">
        <v>43</v>
      </c>
      <c r="D330" s="158" t="s">
        <v>3641</v>
      </c>
      <c r="E330" s="158" t="s">
        <v>2645</v>
      </c>
      <c r="F330" s="158" t="s">
        <v>3805</v>
      </c>
      <c r="K330" t="s">
        <v>35</v>
      </c>
    </row>
    <row r="331" spans="1:11" hidden="1" x14ac:dyDescent="0.3">
      <c r="A331" s="158" t="s">
        <v>4702</v>
      </c>
      <c r="B331" s="158" t="s">
        <v>3810</v>
      </c>
      <c r="C331" s="158" t="s">
        <v>15</v>
      </c>
      <c r="D331" s="158" t="s">
        <v>3677</v>
      </c>
      <c r="E331" s="158" t="s">
        <v>2235</v>
      </c>
      <c r="F331" s="158" t="s">
        <v>3805</v>
      </c>
      <c r="K331" t="s">
        <v>43</v>
      </c>
    </row>
    <row r="332" spans="1:11" hidden="1" x14ac:dyDescent="0.3">
      <c r="A332" s="158" t="s">
        <v>4659</v>
      </c>
      <c r="B332" s="158" t="s">
        <v>3810</v>
      </c>
      <c r="C332" s="158" t="s">
        <v>10</v>
      </c>
      <c r="D332" s="158" t="s">
        <v>3670</v>
      </c>
      <c r="E332" s="158" t="s">
        <v>2352</v>
      </c>
      <c r="F332" s="158" t="s">
        <v>3805</v>
      </c>
      <c r="J332" t="s">
        <v>3859</v>
      </c>
      <c r="K332" t="s">
        <v>35</v>
      </c>
    </row>
    <row r="333" spans="1:11" hidden="1" x14ac:dyDescent="0.3">
      <c r="A333" s="158" t="s">
        <v>4822</v>
      </c>
      <c r="B333" s="158" t="s">
        <v>3877</v>
      </c>
      <c r="C333" s="158" t="s">
        <v>10</v>
      </c>
      <c r="D333" s="158" t="s">
        <v>3697</v>
      </c>
      <c r="E333" s="158" t="s">
        <v>1964</v>
      </c>
      <c r="F333" s="158" t="s">
        <v>3805</v>
      </c>
      <c r="K333" t="s">
        <v>24</v>
      </c>
    </row>
    <row r="334" spans="1:11" hidden="1" x14ac:dyDescent="0.3">
      <c r="A334" s="158" t="s">
        <v>4704</v>
      </c>
      <c r="B334" s="158" t="s">
        <v>3810</v>
      </c>
      <c r="C334" s="158" t="s">
        <v>15</v>
      </c>
      <c r="D334" s="158" t="s">
        <v>3679</v>
      </c>
      <c r="E334" s="158" t="s">
        <v>2238</v>
      </c>
      <c r="F334" s="158" t="s">
        <v>3805</v>
      </c>
      <c r="K334" t="s">
        <v>43</v>
      </c>
    </row>
    <row r="335" spans="1:11" hidden="1" x14ac:dyDescent="0.3">
      <c r="A335" s="158" t="s">
        <v>4940</v>
      </c>
      <c r="B335" s="158" t="s">
        <v>3829</v>
      </c>
      <c r="C335" s="158" t="s">
        <v>10</v>
      </c>
      <c r="D335" s="158" t="s">
        <v>3713</v>
      </c>
      <c r="E335" s="158" t="s">
        <v>1693</v>
      </c>
      <c r="F335" s="158" t="s">
        <v>3805</v>
      </c>
      <c r="K335" t="s">
        <v>15</v>
      </c>
    </row>
    <row r="336" spans="1:11" hidden="1" x14ac:dyDescent="0.3">
      <c r="A336" s="158" t="s">
        <v>4377</v>
      </c>
      <c r="B336" s="158" t="s">
        <v>3859</v>
      </c>
      <c r="C336" s="158" t="s">
        <v>43</v>
      </c>
      <c r="D336" s="158" t="s">
        <v>3028</v>
      </c>
      <c r="E336" s="158" t="s">
        <v>3027</v>
      </c>
      <c r="F336" s="158" t="s">
        <v>3805</v>
      </c>
      <c r="J336" t="s">
        <v>3829</v>
      </c>
      <c r="K336" t="s">
        <v>10</v>
      </c>
    </row>
    <row r="337" spans="1:11" hidden="1" x14ac:dyDescent="0.3">
      <c r="A337" s="158" t="s">
        <v>5050</v>
      </c>
      <c r="B337" s="158" t="s">
        <v>3821</v>
      </c>
      <c r="C337" s="158" t="s">
        <v>35</v>
      </c>
      <c r="D337" s="158" t="s">
        <v>1454</v>
      </c>
      <c r="E337" s="158" t="s">
        <v>1453</v>
      </c>
      <c r="F337" s="158" t="s">
        <v>3822</v>
      </c>
      <c r="K337" t="s">
        <v>15</v>
      </c>
    </row>
    <row r="338" spans="1:11" hidden="1" x14ac:dyDescent="0.3">
      <c r="A338" s="158" t="s">
        <v>4380</v>
      </c>
      <c r="B338" s="158" t="s">
        <v>3859</v>
      </c>
      <c r="C338" s="158" t="s">
        <v>43</v>
      </c>
      <c r="D338" s="158" t="s">
        <v>3023</v>
      </c>
      <c r="E338" s="158" t="s">
        <v>3022</v>
      </c>
      <c r="F338" s="158" t="s">
        <v>3804</v>
      </c>
      <c r="J338" t="s">
        <v>3829</v>
      </c>
      <c r="K338" t="s">
        <v>10</v>
      </c>
    </row>
    <row r="339" spans="1:11" hidden="1" x14ac:dyDescent="0.3">
      <c r="A339" s="158" t="s">
        <v>4631</v>
      </c>
      <c r="B339" s="158" t="s">
        <v>3810</v>
      </c>
      <c r="C339" s="158" t="s">
        <v>35</v>
      </c>
      <c r="D339" s="158" t="s">
        <v>2435</v>
      </c>
      <c r="E339" s="158" t="s">
        <v>2434</v>
      </c>
      <c r="F339" s="158" t="s">
        <v>3822</v>
      </c>
      <c r="J339" t="s">
        <v>3838</v>
      </c>
      <c r="K339" t="s">
        <v>15</v>
      </c>
    </row>
    <row r="340" spans="1:11" hidden="1" x14ac:dyDescent="0.3">
      <c r="A340" s="158" t="s">
        <v>4660</v>
      </c>
      <c r="B340" s="158" t="s">
        <v>3810</v>
      </c>
      <c r="C340" s="158" t="s">
        <v>10</v>
      </c>
      <c r="D340" s="158" t="s">
        <v>2351</v>
      </c>
      <c r="E340" s="158" t="s">
        <v>2350</v>
      </c>
      <c r="F340" s="158" t="s">
        <v>4010</v>
      </c>
      <c r="J340" t="s">
        <v>3859</v>
      </c>
      <c r="K340" t="s">
        <v>24</v>
      </c>
    </row>
    <row r="341" spans="1:11" x14ac:dyDescent="0.3">
      <c r="A341" s="158" t="s">
        <v>4390</v>
      </c>
      <c r="B341" s="158" t="s">
        <v>3859</v>
      </c>
      <c r="C341" s="158" t="s">
        <v>43</v>
      </c>
      <c r="D341" s="158" t="s">
        <v>3003</v>
      </c>
      <c r="E341" s="158" t="s">
        <v>3002</v>
      </c>
      <c r="F341" s="158" t="s">
        <v>3822</v>
      </c>
      <c r="G341" t="s">
        <v>3805</v>
      </c>
    </row>
    <row r="342" spans="1:11" hidden="1" x14ac:dyDescent="0.3">
      <c r="A342" s="158" t="s">
        <v>5015</v>
      </c>
      <c r="B342" s="158" t="s">
        <v>3821</v>
      </c>
      <c r="C342" s="158" t="s">
        <v>24</v>
      </c>
      <c r="D342" s="158" t="s">
        <v>1522</v>
      </c>
      <c r="E342" s="158" t="s">
        <v>1521</v>
      </c>
      <c r="F342" s="158" t="s">
        <v>4010</v>
      </c>
      <c r="J342" t="s">
        <v>3838</v>
      </c>
      <c r="K342" t="s">
        <v>15</v>
      </c>
    </row>
    <row r="343" spans="1:11" hidden="1" x14ac:dyDescent="0.3">
      <c r="A343" s="158" t="s">
        <v>5016</v>
      </c>
      <c r="B343" s="158" t="s">
        <v>3821</v>
      </c>
      <c r="C343" s="158" t="s">
        <v>24</v>
      </c>
      <c r="D343" s="158" t="s">
        <v>1519</v>
      </c>
      <c r="E343" s="158" t="s">
        <v>1518</v>
      </c>
      <c r="F343" s="158" t="s">
        <v>3805</v>
      </c>
      <c r="K343" t="s">
        <v>10</v>
      </c>
    </row>
    <row r="344" spans="1:11" x14ac:dyDescent="0.3">
      <c r="A344" s="158" t="s">
        <v>4393</v>
      </c>
      <c r="B344" s="158" t="s">
        <v>3859</v>
      </c>
      <c r="C344" s="158" t="s">
        <v>43</v>
      </c>
      <c r="D344" s="158" t="s">
        <v>2996</v>
      </c>
      <c r="E344" s="158" t="s">
        <v>2995</v>
      </c>
      <c r="F344" s="158" t="s">
        <v>3822</v>
      </c>
      <c r="G344" t="s">
        <v>3804</v>
      </c>
    </row>
    <row r="345" spans="1:11" hidden="1" x14ac:dyDescent="0.3">
      <c r="A345" s="158" t="s">
        <v>5129</v>
      </c>
      <c r="B345" s="158" t="s">
        <v>3821</v>
      </c>
      <c r="C345" s="158" t="s">
        <v>10</v>
      </c>
      <c r="D345" s="158" t="s">
        <v>1261</v>
      </c>
      <c r="E345" s="158" t="s">
        <v>1260</v>
      </c>
      <c r="F345" s="158" t="s">
        <v>3805</v>
      </c>
      <c r="J345" t="s">
        <v>4090</v>
      </c>
      <c r="K345" t="s">
        <v>15</v>
      </c>
    </row>
    <row r="346" spans="1:11" hidden="1" x14ac:dyDescent="0.3">
      <c r="A346" s="158" t="s">
        <v>4394</v>
      </c>
      <c r="B346" s="158" t="s">
        <v>3859</v>
      </c>
      <c r="C346" s="158" t="s">
        <v>43</v>
      </c>
      <c r="D346" s="158" t="s">
        <v>2994</v>
      </c>
      <c r="E346" s="158" t="s">
        <v>2993</v>
      </c>
      <c r="F346" s="158" t="s">
        <v>3804</v>
      </c>
      <c r="J346" t="s">
        <v>3829</v>
      </c>
      <c r="K346" t="s">
        <v>10</v>
      </c>
    </row>
    <row r="347" spans="1:11" hidden="1" x14ac:dyDescent="0.3">
      <c r="A347" s="158" t="s">
        <v>5130</v>
      </c>
      <c r="B347" s="158" t="s">
        <v>3821</v>
      </c>
      <c r="C347" s="158" t="s">
        <v>10</v>
      </c>
      <c r="D347" s="158" t="s">
        <v>1259</v>
      </c>
      <c r="E347" s="158" t="s">
        <v>1258</v>
      </c>
      <c r="F347" s="158" t="s">
        <v>3805</v>
      </c>
      <c r="J347" t="s">
        <v>4090</v>
      </c>
      <c r="K347" t="s">
        <v>15</v>
      </c>
    </row>
    <row r="348" spans="1:11" hidden="1" x14ac:dyDescent="0.3">
      <c r="A348" s="158" t="s">
        <v>5168</v>
      </c>
      <c r="B348" s="158" t="s">
        <v>3821</v>
      </c>
      <c r="C348" s="158" t="s">
        <v>15</v>
      </c>
      <c r="D348" s="158" t="s">
        <v>3757</v>
      </c>
      <c r="E348" s="158" t="s">
        <v>1155</v>
      </c>
      <c r="F348" s="158" t="s">
        <v>3805</v>
      </c>
      <c r="K348" t="s">
        <v>35</v>
      </c>
    </row>
    <row r="349" spans="1:11" hidden="1" x14ac:dyDescent="0.3">
      <c r="A349" s="158" t="s">
        <v>4454</v>
      </c>
      <c r="B349" s="158" t="s">
        <v>3917</v>
      </c>
      <c r="C349" s="158" t="s">
        <v>35</v>
      </c>
      <c r="D349" s="158" t="s">
        <v>3622</v>
      </c>
      <c r="E349" s="158" t="s">
        <v>2853</v>
      </c>
      <c r="F349" s="158" t="s">
        <v>3805</v>
      </c>
      <c r="K349" t="s">
        <v>10</v>
      </c>
    </row>
    <row r="350" spans="1:11" hidden="1" x14ac:dyDescent="0.3">
      <c r="A350" s="158" t="s">
        <v>5017</v>
      </c>
      <c r="B350" s="158" t="s">
        <v>3821</v>
      </c>
      <c r="C350" s="158" t="s">
        <v>24</v>
      </c>
      <c r="D350" s="158" t="s">
        <v>3724</v>
      </c>
      <c r="E350" s="158" t="s">
        <v>1516</v>
      </c>
      <c r="F350" s="158" t="s">
        <v>3805</v>
      </c>
      <c r="J350" t="s">
        <v>3810</v>
      </c>
    </row>
    <row r="351" spans="1:11" hidden="1" x14ac:dyDescent="0.3">
      <c r="A351" s="158" t="s">
        <v>5018</v>
      </c>
      <c r="B351" s="158" t="s">
        <v>3821</v>
      </c>
      <c r="C351" s="158" t="s">
        <v>24</v>
      </c>
      <c r="D351" s="158" t="s">
        <v>3725</v>
      </c>
      <c r="E351" s="158" t="s">
        <v>1515</v>
      </c>
      <c r="F351" s="158" t="s">
        <v>3805</v>
      </c>
      <c r="J351" t="s">
        <v>3810</v>
      </c>
      <c r="K351" t="s">
        <v>10</v>
      </c>
    </row>
    <row r="352" spans="1:11" hidden="1" x14ac:dyDescent="0.3">
      <c r="A352" s="158" t="s">
        <v>5023</v>
      </c>
      <c r="B352" s="158" t="s">
        <v>3821</v>
      </c>
      <c r="C352" s="158" t="s">
        <v>24</v>
      </c>
      <c r="D352" s="158" t="s">
        <v>3730</v>
      </c>
      <c r="E352" s="158" t="s">
        <v>1509</v>
      </c>
      <c r="F352" s="158" t="s">
        <v>3805</v>
      </c>
      <c r="J352" t="s">
        <v>4090</v>
      </c>
    </row>
    <row r="353" spans="1:11" hidden="1" x14ac:dyDescent="0.3">
      <c r="A353" s="158" t="s">
        <v>5019</v>
      </c>
      <c r="B353" s="158" t="s">
        <v>3821</v>
      </c>
      <c r="C353" s="158" t="s">
        <v>24</v>
      </c>
      <c r="D353" s="158" t="s">
        <v>3726</v>
      </c>
      <c r="E353" s="158" t="s">
        <v>1514</v>
      </c>
      <c r="F353" s="158" t="s">
        <v>3805</v>
      </c>
      <c r="J353" t="s">
        <v>4090</v>
      </c>
    </row>
    <row r="354" spans="1:11" hidden="1" x14ac:dyDescent="0.3">
      <c r="A354" s="158" t="s">
        <v>5020</v>
      </c>
      <c r="B354" s="158" t="s">
        <v>3821</v>
      </c>
      <c r="C354" s="158" t="s">
        <v>24</v>
      </c>
      <c r="D354" s="158" t="s">
        <v>3727</v>
      </c>
      <c r="E354" s="158" t="s">
        <v>1512</v>
      </c>
      <c r="F354" s="158" t="s">
        <v>3805</v>
      </c>
      <c r="J354" t="s">
        <v>4090</v>
      </c>
    </row>
    <row r="355" spans="1:11" hidden="1" x14ac:dyDescent="0.3">
      <c r="A355" s="158" t="s">
        <v>5021</v>
      </c>
      <c r="B355" s="158" t="s">
        <v>3821</v>
      </c>
      <c r="C355" s="158" t="s">
        <v>24</v>
      </c>
      <c r="D355" s="158" t="s">
        <v>3728</v>
      </c>
      <c r="E355" s="158" t="s">
        <v>1511</v>
      </c>
      <c r="F355" s="158" t="s">
        <v>3805</v>
      </c>
      <c r="J355" t="s">
        <v>3810</v>
      </c>
      <c r="K355" t="s">
        <v>35</v>
      </c>
    </row>
    <row r="356" spans="1:11" hidden="1" x14ac:dyDescent="0.3">
      <c r="A356" s="158" t="s">
        <v>5022</v>
      </c>
      <c r="B356" s="158" t="s">
        <v>3821</v>
      </c>
      <c r="C356" s="158" t="s">
        <v>24</v>
      </c>
      <c r="D356" s="158" t="s">
        <v>3729</v>
      </c>
      <c r="E356" s="158" t="s">
        <v>1510</v>
      </c>
      <c r="F356" s="158" t="s">
        <v>3805</v>
      </c>
      <c r="J356" t="s">
        <v>3810</v>
      </c>
      <c r="K356" t="s">
        <v>35</v>
      </c>
    </row>
    <row r="357" spans="1:11" hidden="1" x14ac:dyDescent="0.3">
      <c r="A357" s="158" t="s">
        <v>5098</v>
      </c>
      <c r="B357" s="158" t="s">
        <v>3821</v>
      </c>
      <c r="C357" s="158" t="s">
        <v>10</v>
      </c>
      <c r="D357" s="158" t="s">
        <v>3742</v>
      </c>
      <c r="E357" s="158" t="s">
        <v>1342</v>
      </c>
      <c r="F357" s="158" t="s">
        <v>3822</v>
      </c>
      <c r="J357" t="s">
        <v>4090</v>
      </c>
    </row>
    <row r="358" spans="1:11" hidden="1" x14ac:dyDescent="0.3">
      <c r="A358" s="158" t="s">
        <v>5099</v>
      </c>
      <c r="B358" s="158" t="s">
        <v>3821</v>
      </c>
      <c r="C358" s="158" t="s">
        <v>10</v>
      </c>
      <c r="D358" s="158" t="s">
        <v>1340</v>
      </c>
      <c r="E358" s="158" t="s">
        <v>1339</v>
      </c>
      <c r="F358" s="158" t="s">
        <v>5627</v>
      </c>
      <c r="J358" t="s">
        <v>4090</v>
      </c>
      <c r="K358" t="s">
        <v>15</v>
      </c>
    </row>
    <row r="359" spans="1:11" hidden="1" x14ac:dyDescent="0.3">
      <c r="A359" s="158" t="s">
        <v>4012</v>
      </c>
      <c r="B359" s="158" t="s">
        <v>3859</v>
      </c>
      <c r="C359" s="158" t="s">
        <v>15</v>
      </c>
      <c r="D359" s="158" t="s">
        <v>3613</v>
      </c>
      <c r="E359" s="158" t="s">
        <v>2964</v>
      </c>
      <c r="F359" s="158" t="s">
        <v>3805</v>
      </c>
      <c r="I359" t="s">
        <v>4013</v>
      </c>
    </row>
    <row r="360" spans="1:11" hidden="1" x14ac:dyDescent="0.3">
      <c r="A360" s="158" t="s">
        <v>5100</v>
      </c>
      <c r="B360" s="158" t="s">
        <v>3821</v>
      </c>
      <c r="C360" s="158" t="s">
        <v>10</v>
      </c>
      <c r="D360" s="158" t="s">
        <v>3743</v>
      </c>
      <c r="E360" s="158" t="s">
        <v>1337</v>
      </c>
      <c r="F360" s="158" t="s">
        <v>3805</v>
      </c>
      <c r="J360" t="s">
        <v>4090</v>
      </c>
      <c r="K360" t="s">
        <v>43</v>
      </c>
    </row>
    <row r="361" spans="1:11" hidden="1" x14ac:dyDescent="0.3">
      <c r="A361" s="158" t="s">
        <v>4410</v>
      </c>
      <c r="B361" s="158" t="s">
        <v>3859</v>
      </c>
      <c r="C361" s="158" t="s">
        <v>15</v>
      </c>
      <c r="D361" s="158" t="s">
        <v>2958</v>
      </c>
      <c r="E361" s="158" t="s">
        <v>2957</v>
      </c>
      <c r="F361" s="158" t="s">
        <v>3804</v>
      </c>
      <c r="K361" t="s">
        <v>10</v>
      </c>
    </row>
    <row r="362" spans="1:11" hidden="1" x14ac:dyDescent="0.3">
      <c r="A362" s="158" t="s">
        <v>4014</v>
      </c>
      <c r="B362" s="158" t="s">
        <v>3821</v>
      </c>
      <c r="C362" s="158" t="s">
        <v>15</v>
      </c>
      <c r="D362" s="158" t="s">
        <v>3614</v>
      </c>
      <c r="E362" s="158" t="s">
        <v>1150</v>
      </c>
      <c r="F362" s="158" t="s">
        <v>3805</v>
      </c>
      <c r="I362" t="s">
        <v>4015</v>
      </c>
    </row>
    <row r="363" spans="1:11" hidden="1" x14ac:dyDescent="0.3">
      <c r="A363" s="158" t="s">
        <v>5101</v>
      </c>
      <c r="B363" s="158" t="s">
        <v>3821</v>
      </c>
      <c r="C363" s="158" t="s">
        <v>10</v>
      </c>
      <c r="D363" s="158" t="s">
        <v>3744</v>
      </c>
      <c r="E363" s="158" t="s">
        <v>1335</v>
      </c>
      <c r="F363" s="158" t="s">
        <v>3805</v>
      </c>
      <c r="J363" t="s">
        <v>4090</v>
      </c>
    </row>
    <row r="364" spans="1:11" hidden="1" x14ac:dyDescent="0.3">
      <c r="A364" s="158" t="s">
        <v>4414</v>
      </c>
      <c r="B364" s="158" t="s">
        <v>3859</v>
      </c>
      <c r="C364" s="158" t="s">
        <v>15</v>
      </c>
      <c r="D364" s="158" t="s">
        <v>2947</v>
      </c>
      <c r="E364" s="158" t="s">
        <v>2946</v>
      </c>
      <c r="F364" s="158" t="s">
        <v>3805</v>
      </c>
      <c r="K364" t="s">
        <v>10</v>
      </c>
    </row>
    <row r="365" spans="1:11" hidden="1" x14ac:dyDescent="0.3">
      <c r="A365" s="158" t="s">
        <v>5102</v>
      </c>
      <c r="B365" s="158" t="s">
        <v>3821</v>
      </c>
      <c r="C365" s="158" t="s">
        <v>10</v>
      </c>
      <c r="D365" s="158" t="s">
        <v>3745</v>
      </c>
      <c r="E365" s="158" t="s">
        <v>1333</v>
      </c>
      <c r="F365" s="158" t="s">
        <v>3805</v>
      </c>
      <c r="J365" t="s">
        <v>4090</v>
      </c>
    </row>
    <row r="366" spans="1:11" hidden="1" x14ac:dyDescent="0.3">
      <c r="A366" s="158" t="s">
        <v>5103</v>
      </c>
      <c r="B366" s="158" t="s">
        <v>3821</v>
      </c>
      <c r="C366" s="158" t="s">
        <v>10</v>
      </c>
      <c r="D366" s="158" t="s">
        <v>3746</v>
      </c>
      <c r="E366" s="158" t="s">
        <v>1331</v>
      </c>
      <c r="F366" s="158" t="s">
        <v>3805</v>
      </c>
      <c r="J366" t="s">
        <v>4090</v>
      </c>
      <c r="K366" t="s">
        <v>35</v>
      </c>
    </row>
    <row r="367" spans="1:11" hidden="1" x14ac:dyDescent="0.3">
      <c r="A367" s="158" t="s">
        <v>4415</v>
      </c>
      <c r="B367" s="158" t="s">
        <v>3859</v>
      </c>
      <c r="C367" s="158" t="s">
        <v>15</v>
      </c>
      <c r="D367" s="158" t="s">
        <v>2945</v>
      </c>
      <c r="E367" s="158" t="s">
        <v>2944</v>
      </c>
      <c r="F367" s="158" t="s">
        <v>3805</v>
      </c>
      <c r="K367" t="s">
        <v>10</v>
      </c>
    </row>
    <row r="368" spans="1:11" hidden="1" x14ac:dyDescent="0.3">
      <c r="A368" s="158" t="s">
        <v>4455</v>
      </c>
      <c r="B368" s="158" t="s">
        <v>3917</v>
      </c>
      <c r="C368" s="158" t="s">
        <v>35</v>
      </c>
      <c r="D368" s="158" t="s">
        <v>3623</v>
      </c>
      <c r="E368" s="158" t="s">
        <v>2852</v>
      </c>
      <c r="F368" s="158" t="s">
        <v>3805</v>
      </c>
      <c r="K368" t="s">
        <v>10</v>
      </c>
    </row>
    <row r="369" spans="1:11" hidden="1" x14ac:dyDescent="0.3">
      <c r="A369" s="158" t="s">
        <v>4562</v>
      </c>
      <c r="B369" s="158" t="s">
        <v>3917</v>
      </c>
      <c r="C369" s="158" t="s">
        <v>15</v>
      </c>
      <c r="D369" s="158" t="s">
        <v>3647</v>
      </c>
      <c r="E369" s="158" t="s">
        <v>2586</v>
      </c>
      <c r="F369" s="158" t="s">
        <v>3805</v>
      </c>
      <c r="J369" t="s">
        <v>3877</v>
      </c>
      <c r="K369" t="s">
        <v>35</v>
      </c>
    </row>
    <row r="370" spans="1:11" hidden="1" x14ac:dyDescent="0.3">
      <c r="A370" s="158" t="s">
        <v>4016</v>
      </c>
      <c r="B370" s="158" t="s">
        <v>3859</v>
      </c>
      <c r="C370" s="158" t="s">
        <v>35</v>
      </c>
      <c r="D370" s="158" t="s">
        <v>3615</v>
      </c>
      <c r="E370" s="158" t="s">
        <v>3124</v>
      </c>
      <c r="F370" s="158" t="s">
        <v>3805</v>
      </c>
      <c r="I370" t="s">
        <v>4017</v>
      </c>
      <c r="J370" t="s">
        <v>3829</v>
      </c>
      <c r="K370" t="s">
        <v>43</v>
      </c>
    </row>
    <row r="371" spans="1:11" hidden="1" x14ac:dyDescent="0.3">
      <c r="A371" s="158" t="s">
        <v>4829</v>
      </c>
      <c r="B371" s="158" t="s">
        <v>3877</v>
      </c>
      <c r="C371" s="158" t="s">
        <v>35</v>
      </c>
      <c r="D371" s="158" t="s">
        <v>3699</v>
      </c>
      <c r="E371" s="158" t="s">
        <v>1942</v>
      </c>
      <c r="F371" s="158" t="s">
        <v>3805</v>
      </c>
      <c r="K371" t="s">
        <v>10</v>
      </c>
    </row>
    <row r="372" spans="1:11" hidden="1" x14ac:dyDescent="0.3">
      <c r="A372" s="158" t="s">
        <v>4491</v>
      </c>
      <c r="B372" s="158" t="s">
        <v>3917</v>
      </c>
      <c r="C372" s="158" t="s">
        <v>10</v>
      </c>
      <c r="D372" s="158" t="s">
        <v>3626</v>
      </c>
      <c r="E372" s="158" t="s">
        <v>2755</v>
      </c>
      <c r="F372" s="158" t="s">
        <v>3805</v>
      </c>
      <c r="K372" t="s">
        <v>15</v>
      </c>
    </row>
    <row r="373" spans="1:11" hidden="1" x14ac:dyDescent="0.3">
      <c r="A373" s="158" t="s">
        <v>5097</v>
      </c>
      <c r="B373" s="158" t="s">
        <v>3821</v>
      </c>
      <c r="C373" s="158" t="s">
        <v>10</v>
      </c>
      <c r="D373" s="158" t="s">
        <v>3741</v>
      </c>
      <c r="E373" s="158" t="s">
        <v>1344</v>
      </c>
      <c r="F373" s="158" t="s">
        <v>3805</v>
      </c>
      <c r="J373" t="s">
        <v>4090</v>
      </c>
      <c r="K373" t="s">
        <v>15</v>
      </c>
    </row>
    <row r="374" spans="1:11" hidden="1" x14ac:dyDescent="0.3">
      <c r="A374" s="158" t="s">
        <v>5094</v>
      </c>
      <c r="B374" s="158" t="s">
        <v>3821</v>
      </c>
      <c r="C374" s="158" t="s">
        <v>10</v>
      </c>
      <c r="D374" s="158" t="s">
        <v>3738</v>
      </c>
      <c r="E374" s="158" t="s">
        <v>1353</v>
      </c>
      <c r="F374" s="158" t="s">
        <v>3805</v>
      </c>
      <c r="J374" t="s">
        <v>4090</v>
      </c>
    </row>
    <row r="375" spans="1:11" hidden="1" x14ac:dyDescent="0.3">
      <c r="A375" s="158" t="s">
        <v>5095</v>
      </c>
      <c r="B375" s="158" t="s">
        <v>3821</v>
      </c>
      <c r="C375" s="158" t="s">
        <v>10</v>
      </c>
      <c r="D375" s="158" t="s">
        <v>3739</v>
      </c>
      <c r="E375" s="158" t="s">
        <v>1349</v>
      </c>
      <c r="F375" s="158" t="s">
        <v>3805</v>
      </c>
      <c r="J375" t="s">
        <v>4090</v>
      </c>
    </row>
    <row r="376" spans="1:11" hidden="1" x14ac:dyDescent="0.3">
      <c r="A376" s="158" t="s">
        <v>4492</v>
      </c>
      <c r="B376" s="158" t="s">
        <v>3917</v>
      </c>
      <c r="C376" s="158" t="s">
        <v>10</v>
      </c>
      <c r="D376" s="158" t="s">
        <v>3627</v>
      </c>
      <c r="E376" s="158" t="s">
        <v>2754</v>
      </c>
      <c r="F376" s="158" t="s">
        <v>3805</v>
      </c>
      <c r="K376" t="s">
        <v>15</v>
      </c>
    </row>
    <row r="377" spans="1:11" hidden="1" x14ac:dyDescent="0.3">
      <c r="A377" s="158" t="s">
        <v>5096</v>
      </c>
      <c r="B377" s="158" t="s">
        <v>3821</v>
      </c>
      <c r="C377" s="158" t="s">
        <v>10</v>
      </c>
      <c r="D377" s="158" t="s">
        <v>3740</v>
      </c>
      <c r="E377" s="158" t="s">
        <v>1347</v>
      </c>
      <c r="F377" s="158" t="s">
        <v>3805</v>
      </c>
      <c r="J377" t="s">
        <v>4090</v>
      </c>
    </row>
    <row r="378" spans="1:11" hidden="1" x14ac:dyDescent="0.3">
      <c r="A378" s="158" t="s">
        <v>5104</v>
      </c>
      <c r="B378" s="158" t="s">
        <v>3821</v>
      </c>
      <c r="C378" s="158" t="s">
        <v>10</v>
      </c>
      <c r="D378" s="158" t="s">
        <v>1330</v>
      </c>
      <c r="E378" s="158" t="s">
        <v>1329</v>
      </c>
      <c r="F378" s="158" t="s">
        <v>3805</v>
      </c>
      <c r="J378" t="s">
        <v>4090</v>
      </c>
      <c r="K378" t="s">
        <v>15</v>
      </c>
    </row>
    <row r="379" spans="1:11" hidden="1" x14ac:dyDescent="0.3">
      <c r="A379" s="158" t="s">
        <v>4978</v>
      </c>
      <c r="B379" s="158" t="s">
        <v>3829</v>
      </c>
      <c r="C379" s="158" t="s">
        <v>43</v>
      </c>
      <c r="D379" s="158" t="s">
        <v>1623</v>
      </c>
      <c r="E379" s="158" t="s">
        <v>1622</v>
      </c>
      <c r="F379" s="158" t="s">
        <v>3805</v>
      </c>
      <c r="K379" t="s">
        <v>15</v>
      </c>
    </row>
    <row r="380" spans="1:11" hidden="1" x14ac:dyDescent="0.3">
      <c r="A380" s="158" t="s">
        <v>4661</v>
      </c>
      <c r="B380" s="158" t="s">
        <v>3810</v>
      </c>
      <c r="C380" s="158" t="s">
        <v>10</v>
      </c>
      <c r="D380" s="158" t="s">
        <v>1623</v>
      </c>
      <c r="E380" s="158" t="s">
        <v>2349</v>
      </c>
      <c r="F380" s="158" t="s">
        <v>3805</v>
      </c>
      <c r="J380" t="s">
        <v>3859</v>
      </c>
      <c r="K380" t="s">
        <v>35</v>
      </c>
    </row>
    <row r="381" spans="1:11" hidden="1" x14ac:dyDescent="0.3">
      <c r="A381" s="158" t="s">
        <v>4565</v>
      </c>
      <c r="B381" s="158" t="s">
        <v>3917</v>
      </c>
      <c r="C381" s="158" t="s">
        <v>15</v>
      </c>
      <c r="D381" s="158" t="s">
        <v>1623</v>
      </c>
      <c r="E381" s="158" t="s">
        <v>2582</v>
      </c>
      <c r="F381" s="158" t="s">
        <v>3805</v>
      </c>
      <c r="K381" t="s">
        <v>43</v>
      </c>
    </row>
    <row r="382" spans="1:11" hidden="1" x14ac:dyDescent="0.3">
      <c r="A382" s="158" t="s">
        <v>5024</v>
      </c>
      <c r="B382" s="158" t="s">
        <v>3821</v>
      </c>
      <c r="C382" s="158" t="s">
        <v>24</v>
      </c>
      <c r="D382" s="158" t="s">
        <v>1508</v>
      </c>
      <c r="E382" s="158" t="s">
        <v>1507</v>
      </c>
      <c r="F382" s="158" t="s">
        <v>3822</v>
      </c>
      <c r="J382" t="s">
        <v>4090</v>
      </c>
    </row>
    <row r="383" spans="1:11" hidden="1" x14ac:dyDescent="0.3">
      <c r="A383" s="158" t="s">
        <v>4493</v>
      </c>
      <c r="B383" s="158" t="s">
        <v>3917</v>
      </c>
      <c r="C383" s="158" t="s">
        <v>10</v>
      </c>
      <c r="D383" s="158" t="s">
        <v>2753</v>
      </c>
      <c r="E383" s="158" t="s">
        <v>2752</v>
      </c>
      <c r="F383" s="158" t="s">
        <v>3822</v>
      </c>
      <c r="K383" t="s">
        <v>43</v>
      </c>
    </row>
    <row r="384" spans="1:11" hidden="1" x14ac:dyDescent="0.3">
      <c r="A384" s="158" t="s">
        <v>4566</v>
      </c>
      <c r="B384" s="158" t="s">
        <v>3917</v>
      </c>
      <c r="C384" s="158" t="s">
        <v>15</v>
      </c>
      <c r="D384" s="158" t="s">
        <v>2581</v>
      </c>
      <c r="E384" s="158" t="s">
        <v>2580</v>
      </c>
      <c r="F384" s="158" t="s">
        <v>3805</v>
      </c>
      <c r="J384" t="s">
        <v>3877</v>
      </c>
      <c r="K384" t="s">
        <v>35</v>
      </c>
    </row>
    <row r="385" spans="1:11" hidden="1" x14ac:dyDescent="0.3">
      <c r="A385" s="158" t="s">
        <v>4433</v>
      </c>
      <c r="B385" s="158" t="s">
        <v>3917</v>
      </c>
      <c r="C385" s="158" t="s">
        <v>24</v>
      </c>
      <c r="D385" s="158" t="s">
        <v>2908</v>
      </c>
      <c r="E385" s="158" t="s">
        <v>2907</v>
      </c>
      <c r="F385" s="158" t="s">
        <v>3805</v>
      </c>
      <c r="K385" t="s">
        <v>10</v>
      </c>
    </row>
    <row r="386" spans="1:11" hidden="1" x14ac:dyDescent="0.3">
      <c r="A386" s="158" t="s">
        <v>5375</v>
      </c>
      <c r="B386" s="158" t="s">
        <v>4090</v>
      </c>
      <c r="C386" s="158" t="s">
        <v>15</v>
      </c>
      <c r="D386" s="158" t="s">
        <v>688</v>
      </c>
      <c r="E386" s="158" t="s">
        <v>687</v>
      </c>
      <c r="F386" s="158" t="s">
        <v>3804</v>
      </c>
      <c r="J386" t="s">
        <v>3838</v>
      </c>
      <c r="K386" t="s">
        <v>24</v>
      </c>
    </row>
    <row r="387" spans="1:11" hidden="1" x14ac:dyDescent="0.3">
      <c r="A387" s="158" t="s">
        <v>5376</v>
      </c>
      <c r="B387" s="158" t="s">
        <v>4090</v>
      </c>
      <c r="C387" s="158" t="s">
        <v>15</v>
      </c>
      <c r="D387" s="158" t="s">
        <v>685</v>
      </c>
      <c r="E387" s="158" t="s">
        <v>684</v>
      </c>
      <c r="F387" s="158" t="s">
        <v>3804</v>
      </c>
      <c r="J387" t="s">
        <v>3810</v>
      </c>
      <c r="K387" t="s">
        <v>35</v>
      </c>
    </row>
    <row r="388" spans="1:11" hidden="1" x14ac:dyDescent="0.3">
      <c r="A388" s="158" t="s">
        <v>4436</v>
      </c>
      <c r="B388" s="158" t="s">
        <v>3917</v>
      </c>
      <c r="C388" s="158" t="s">
        <v>24</v>
      </c>
      <c r="D388" s="158" t="s">
        <v>2902</v>
      </c>
      <c r="E388" s="158" t="s">
        <v>2901</v>
      </c>
      <c r="F388" s="158" t="s">
        <v>3822</v>
      </c>
      <c r="K388" t="s">
        <v>43</v>
      </c>
    </row>
    <row r="389" spans="1:11" hidden="1" x14ac:dyDescent="0.3">
      <c r="A389" s="158" t="s">
        <v>4018</v>
      </c>
      <c r="B389" s="158" t="s">
        <v>3917</v>
      </c>
      <c r="C389" s="158" t="s">
        <v>10</v>
      </c>
      <c r="D389" s="158" t="s">
        <v>3628</v>
      </c>
      <c r="E389" s="158" t="s">
        <v>2751</v>
      </c>
      <c r="F389" s="158" t="s">
        <v>3805</v>
      </c>
      <c r="I389" t="s">
        <v>4019</v>
      </c>
    </row>
    <row r="390" spans="1:11" hidden="1" x14ac:dyDescent="0.3">
      <c r="A390" s="158" t="s">
        <v>4898</v>
      </c>
      <c r="B390" s="158" t="s">
        <v>3810</v>
      </c>
      <c r="C390" s="158" t="s">
        <v>43</v>
      </c>
      <c r="D390" s="158" t="s">
        <v>2296</v>
      </c>
      <c r="E390" s="158" t="s">
        <v>2295</v>
      </c>
      <c r="F390" s="158" t="s">
        <v>3805</v>
      </c>
      <c r="K390" t="s">
        <v>15</v>
      </c>
    </row>
    <row r="391" spans="1:11" hidden="1" x14ac:dyDescent="0.3">
      <c r="A391" s="158" t="s">
        <v>4979</v>
      </c>
      <c r="B391" s="158" t="s">
        <v>3829</v>
      </c>
      <c r="C391" s="158" t="s">
        <v>43</v>
      </c>
      <c r="D391" s="158" t="s">
        <v>1621</v>
      </c>
      <c r="E391" s="158" t="s">
        <v>1620</v>
      </c>
      <c r="F391" s="158" t="s">
        <v>3805</v>
      </c>
      <c r="K391" t="s">
        <v>15</v>
      </c>
    </row>
    <row r="392" spans="1:11" hidden="1" x14ac:dyDescent="0.3">
      <c r="A392" s="158" t="s">
        <v>4445</v>
      </c>
      <c r="B392" s="158" t="s">
        <v>3917</v>
      </c>
      <c r="C392" s="158" t="s">
        <v>24</v>
      </c>
      <c r="D392" s="158" t="s">
        <v>2874</v>
      </c>
      <c r="E392" s="158" t="s">
        <v>2873</v>
      </c>
      <c r="F392" s="158" t="s">
        <v>3860</v>
      </c>
      <c r="K392" t="s">
        <v>43</v>
      </c>
    </row>
    <row r="393" spans="1:11" hidden="1" x14ac:dyDescent="0.3">
      <c r="A393" s="158" t="s">
        <v>4020</v>
      </c>
      <c r="B393" s="158" t="s">
        <v>3810</v>
      </c>
      <c r="C393" s="158" t="s">
        <v>15</v>
      </c>
      <c r="D393" s="158" t="s">
        <v>3675</v>
      </c>
      <c r="E393" s="158" t="s">
        <v>2229</v>
      </c>
      <c r="F393" s="158" t="s">
        <v>3805</v>
      </c>
      <c r="I393" t="s">
        <v>4021</v>
      </c>
      <c r="K393" t="s">
        <v>43</v>
      </c>
    </row>
    <row r="394" spans="1:11" hidden="1" x14ac:dyDescent="0.3">
      <c r="A394" s="158" t="s">
        <v>4022</v>
      </c>
      <c r="B394" s="158" t="s">
        <v>3877</v>
      </c>
      <c r="C394" s="158" t="s">
        <v>24</v>
      </c>
      <c r="D394" s="158" t="s">
        <v>3693</v>
      </c>
      <c r="E394" s="158" t="s">
        <v>1988</v>
      </c>
      <c r="F394" s="158" t="s">
        <v>3805</v>
      </c>
      <c r="I394" t="s">
        <v>4023</v>
      </c>
    </row>
    <row r="395" spans="1:11" hidden="1" x14ac:dyDescent="0.3">
      <c r="A395" s="158" t="s">
        <v>4024</v>
      </c>
      <c r="B395" s="158" t="s">
        <v>3821</v>
      </c>
      <c r="C395" s="158" t="s">
        <v>10</v>
      </c>
      <c r="D395" s="158" t="s">
        <v>3705</v>
      </c>
      <c r="E395" s="158" t="s">
        <v>1327</v>
      </c>
      <c r="F395" s="158" t="s">
        <v>3805</v>
      </c>
      <c r="I395" t="s">
        <v>4025</v>
      </c>
      <c r="J395" t="s">
        <v>4090</v>
      </c>
      <c r="K395" t="s">
        <v>35</v>
      </c>
    </row>
    <row r="396" spans="1:11" hidden="1" x14ac:dyDescent="0.3">
      <c r="A396" s="158" t="s">
        <v>4026</v>
      </c>
      <c r="B396" s="158" t="s">
        <v>3804</v>
      </c>
      <c r="C396" s="158" t="s">
        <v>35</v>
      </c>
      <c r="D396" s="158" t="s">
        <v>3768</v>
      </c>
      <c r="E396" s="158" t="s">
        <v>3429</v>
      </c>
      <c r="F396" s="158" t="s">
        <v>3805</v>
      </c>
      <c r="I396" t="s">
        <v>4027</v>
      </c>
      <c r="K396" t="s">
        <v>24</v>
      </c>
    </row>
    <row r="397" spans="1:11" hidden="1" x14ac:dyDescent="0.3">
      <c r="A397" s="158" t="s">
        <v>4028</v>
      </c>
      <c r="B397" s="158" t="s">
        <v>3877</v>
      </c>
      <c r="C397" s="158" t="s">
        <v>15</v>
      </c>
      <c r="D397" s="158" t="s">
        <v>3694</v>
      </c>
      <c r="E397" s="158" t="s">
        <v>1980</v>
      </c>
      <c r="F397" s="158" t="s">
        <v>3805</v>
      </c>
      <c r="I397" t="s">
        <v>4029</v>
      </c>
    </row>
    <row r="398" spans="1:11" hidden="1" x14ac:dyDescent="0.3">
      <c r="A398" s="158" t="s">
        <v>4456</v>
      </c>
      <c r="B398" s="158" t="s">
        <v>3917</v>
      </c>
      <c r="C398" s="158" t="s">
        <v>35</v>
      </c>
      <c r="D398" s="158" t="s">
        <v>2851</v>
      </c>
      <c r="E398" s="158" t="s">
        <v>2850</v>
      </c>
      <c r="F398" s="158" t="s">
        <v>3805</v>
      </c>
      <c r="K398" t="s">
        <v>10</v>
      </c>
    </row>
    <row r="399" spans="1:11" hidden="1" x14ac:dyDescent="0.3">
      <c r="A399" s="158" t="s">
        <v>4030</v>
      </c>
      <c r="B399" s="158" t="s">
        <v>3804</v>
      </c>
      <c r="C399" s="158" t="s">
        <v>24</v>
      </c>
      <c r="D399" s="158" t="s">
        <v>3747</v>
      </c>
      <c r="E399" s="158" t="s">
        <v>3498</v>
      </c>
      <c r="F399" s="158" t="s">
        <v>3805</v>
      </c>
      <c r="I399" t="s">
        <v>4031</v>
      </c>
      <c r="K399" t="s">
        <v>35</v>
      </c>
    </row>
    <row r="400" spans="1:11" hidden="1" x14ac:dyDescent="0.3">
      <c r="A400" s="158" t="s">
        <v>4032</v>
      </c>
      <c r="B400" s="158" t="s">
        <v>3804</v>
      </c>
      <c r="C400" s="158" t="s">
        <v>15</v>
      </c>
      <c r="D400" s="158" t="s">
        <v>3758</v>
      </c>
      <c r="E400" s="158" t="s">
        <v>3227</v>
      </c>
      <c r="F400" s="158" t="s">
        <v>3805</v>
      </c>
      <c r="I400" t="s">
        <v>4033</v>
      </c>
      <c r="K400" t="s">
        <v>43</v>
      </c>
    </row>
    <row r="401" spans="1:11" hidden="1" x14ac:dyDescent="0.3">
      <c r="A401" s="158" t="s">
        <v>4034</v>
      </c>
      <c r="B401" s="158" t="s">
        <v>3829</v>
      </c>
      <c r="C401" s="158" t="s">
        <v>15</v>
      </c>
      <c r="D401" s="158" t="s">
        <v>3723</v>
      </c>
      <c r="E401" s="158" t="s">
        <v>1580</v>
      </c>
      <c r="F401" s="158" t="s">
        <v>3805</v>
      </c>
      <c r="I401" t="s">
        <v>4035</v>
      </c>
      <c r="J401" t="s">
        <v>3877</v>
      </c>
      <c r="K401" t="s">
        <v>24</v>
      </c>
    </row>
    <row r="402" spans="1:11" x14ac:dyDescent="0.3">
      <c r="A402" s="158" t="s">
        <v>4135</v>
      </c>
      <c r="B402" s="158" t="s">
        <v>3917</v>
      </c>
      <c r="C402" s="158" t="s">
        <v>35</v>
      </c>
      <c r="D402" s="158" t="s">
        <v>2845</v>
      </c>
      <c r="E402" s="158" t="s">
        <v>2844</v>
      </c>
      <c r="F402" s="158" t="s">
        <v>3805</v>
      </c>
      <c r="G402" t="s">
        <v>3804</v>
      </c>
    </row>
    <row r="403" spans="1:11" hidden="1" x14ac:dyDescent="0.3">
      <c r="A403" s="158" t="s">
        <v>4662</v>
      </c>
      <c r="B403" s="158" t="s">
        <v>3810</v>
      </c>
      <c r="C403" s="158" t="s">
        <v>10</v>
      </c>
      <c r="D403" s="158" t="s">
        <v>2339</v>
      </c>
      <c r="E403" s="158" t="s">
        <v>2338</v>
      </c>
      <c r="F403" s="158" t="s">
        <v>3805</v>
      </c>
      <c r="J403" t="s">
        <v>3859</v>
      </c>
      <c r="K403" t="s">
        <v>24</v>
      </c>
    </row>
    <row r="404" spans="1:11" hidden="1" x14ac:dyDescent="0.3">
      <c r="A404" s="158" t="s">
        <v>4036</v>
      </c>
      <c r="B404" s="158" t="s">
        <v>3810</v>
      </c>
      <c r="C404" s="158" t="s">
        <v>35</v>
      </c>
      <c r="D404" s="158" t="s">
        <v>3654</v>
      </c>
      <c r="E404" s="158" t="s">
        <v>2430</v>
      </c>
      <c r="F404" s="158" t="s">
        <v>3805</v>
      </c>
      <c r="I404" t="s">
        <v>4037</v>
      </c>
      <c r="J404" t="s">
        <v>3821</v>
      </c>
      <c r="K404" t="s">
        <v>24</v>
      </c>
    </row>
    <row r="405" spans="1:11" hidden="1" x14ac:dyDescent="0.3">
      <c r="A405" s="158" t="s">
        <v>4460</v>
      </c>
      <c r="B405" s="158" t="s">
        <v>3917</v>
      </c>
      <c r="C405" s="158" t="s">
        <v>35</v>
      </c>
      <c r="D405" s="158" t="s">
        <v>2839</v>
      </c>
      <c r="E405" s="158" t="s">
        <v>2838</v>
      </c>
      <c r="F405" s="158" t="s">
        <v>3805</v>
      </c>
      <c r="K405" t="s">
        <v>10</v>
      </c>
    </row>
    <row r="406" spans="1:11" hidden="1" x14ac:dyDescent="0.3">
      <c r="A406" s="158" t="s">
        <v>4038</v>
      </c>
      <c r="B406" s="158" t="s">
        <v>3877</v>
      </c>
      <c r="C406" s="158" t="s">
        <v>35</v>
      </c>
      <c r="D406" s="158" t="s">
        <v>3696</v>
      </c>
      <c r="E406" s="158" t="s">
        <v>1968</v>
      </c>
      <c r="F406" s="158" t="s">
        <v>3805</v>
      </c>
      <c r="I406" t="s">
        <v>4039</v>
      </c>
      <c r="K406" t="s">
        <v>10</v>
      </c>
    </row>
    <row r="407" spans="1:11" hidden="1" x14ac:dyDescent="0.3">
      <c r="A407" s="158" t="s">
        <v>4040</v>
      </c>
      <c r="B407" s="158" t="s">
        <v>3917</v>
      </c>
      <c r="C407" s="158" t="s">
        <v>35</v>
      </c>
      <c r="D407" s="158" t="s">
        <v>2837</v>
      </c>
      <c r="E407" s="158" t="s">
        <v>2836</v>
      </c>
      <c r="F407" s="158" t="s">
        <v>3822</v>
      </c>
      <c r="H407" t="s">
        <v>4041</v>
      </c>
      <c r="K407" t="s">
        <v>10</v>
      </c>
    </row>
    <row r="408" spans="1:11" hidden="1" x14ac:dyDescent="0.3">
      <c r="A408" s="158" t="s">
        <v>4042</v>
      </c>
      <c r="B408" s="158" t="s">
        <v>3829</v>
      </c>
      <c r="C408" s="158" t="s">
        <v>43</v>
      </c>
      <c r="D408" s="158" t="s">
        <v>3716</v>
      </c>
      <c r="E408" s="158" t="s">
        <v>1618</v>
      </c>
      <c r="F408" s="158" t="s">
        <v>3805</v>
      </c>
      <c r="I408" t="s">
        <v>4043</v>
      </c>
      <c r="K408" t="s">
        <v>10</v>
      </c>
    </row>
    <row r="409" spans="1:11" x14ac:dyDescent="0.3">
      <c r="A409" s="158" t="s">
        <v>4461</v>
      </c>
      <c r="B409" s="158" t="s">
        <v>3917</v>
      </c>
      <c r="C409" s="158" t="s">
        <v>35</v>
      </c>
      <c r="D409" s="158" t="s">
        <v>2834</v>
      </c>
      <c r="E409" s="158" t="s">
        <v>2833</v>
      </c>
      <c r="F409" s="158" t="s">
        <v>3804</v>
      </c>
      <c r="G409" t="s">
        <v>3822</v>
      </c>
    </row>
    <row r="410" spans="1:11" hidden="1" x14ac:dyDescent="0.3">
      <c r="A410" s="158" t="s">
        <v>4462</v>
      </c>
      <c r="B410" s="158" t="s">
        <v>3917</v>
      </c>
      <c r="C410" s="158" t="s">
        <v>35</v>
      </c>
      <c r="D410" s="158" t="s">
        <v>2830</v>
      </c>
      <c r="E410" s="158" t="s">
        <v>2829</v>
      </c>
      <c r="F410" s="158" t="s">
        <v>3805</v>
      </c>
      <c r="K410" t="s">
        <v>10</v>
      </c>
    </row>
    <row r="411" spans="1:11" hidden="1" x14ac:dyDescent="0.3">
      <c r="A411" s="158" t="s">
        <v>4044</v>
      </c>
      <c r="B411" s="158" t="s">
        <v>3810</v>
      </c>
      <c r="C411" s="158" t="s">
        <v>10</v>
      </c>
      <c r="D411" s="158" t="s">
        <v>3672</v>
      </c>
      <c r="E411" s="158" t="s">
        <v>2342</v>
      </c>
      <c r="F411" s="158" t="s">
        <v>3805</v>
      </c>
      <c r="I411" t="s">
        <v>4045</v>
      </c>
      <c r="J411" t="s">
        <v>3859</v>
      </c>
      <c r="K411" t="s">
        <v>24</v>
      </c>
    </row>
    <row r="412" spans="1:11" hidden="1" x14ac:dyDescent="0.3">
      <c r="A412" s="158" t="s">
        <v>4046</v>
      </c>
      <c r="B412" s="158" t="s">
        <v>3917</v>
      </c>
      <c r="C412" s="158" t="s">
        <v>43</v>
      </c>
      <c r="D412" s="158" t="s">
        <v>3644</v>
      </c>
      <c r="E412" s="158" t="s">
        <v>2640</v>
      </c>
      <c r="F412" s="158" t="s">
        <v>3805</v>
      </c>
      <c r="I412" t="s">
        <v>4047</v>
      </c>
    </row>
    <row r="413" spans="1:11" hidden="1" x14ac:dyDescent="0.3">
      <c r="A413" s="158" t="s">
        <v>4048</v>
      </c>
      <c r="B413" s="158" t="s">
        <v>3810</v>
      </c>
      <c r="C413" s="158" t="s">
        <v>35</v>
      </c>
      <c r="D413" s="158" t="s">
        <v>3655</v>
      </c>
      <c r="E413" s="158" t="s">
        <v>2425</v>
      </c>
      <c r="F413" s="158" t="s">
        <v>3805</v>
      </c>
      <c r="I413" t="s">
        <v>4049</v>
      </c>
      <c r="J413" t="s">
        <v>3838</v>
      </c>
      <c r="K413" t="s">
        <v>15</v>
      </c>
    </row>
    <row r="414" spans="1:11" hidden="1" x14ac:dyDescent="0.3">
      <c r="A414" s="158" t="s">
        <v>4818</v>
      </c>
      <c r="B414" s="158" t="s">
        <v>3877</v>
      </c>
      <c r="C414" s="158" t="s">
        <v>24</v>
      </c>
      <c r="D414" s="158" t="s">
        <v>1986</v>
      </c>
      <c r="E414" s="158" t="s">
        <v>1985</v>
      </c>
      <c r="F414" s="158" t="s">
        <v>3805</v>
      </c>
      <c r="K414" t="s">
        <v>10</v>
      </c>
    </row>
    <row r="415" spans="1:11" hidden="1" x14ac:dyDescent="0.3">
      <c r="A415" s="158" t="s">
        <v>4050</v>
      </c>
      <c r="B415" s="158" t="s">
        <v>3821</v>
      </c>
      <c r="C415" s="158" t="s">
        <v>43</v>
      </c>
      <c r="D415" s="158" t="s">
        <v>3753</v>
      </c>
      <c r="E415" s="158" t="s">
        <v>1250</v>
      </c>
      <c r="F415" s="158" t="s">
        <v>3805</v>
      </c>
      <c r="I415" t="s">
        <v>4051</v>
      </c>
      <c r="K415" t="s">
        <v>24</v>
      </c>
    </row>
    <row r="416" spans="1:11" hidden="1" x14ac:dyDescent="0.3">
      <c r="A416" s="158" t="s">
        <v>4990</v>
      </c>
      <c r="B416" s="158" t="s">
        <v>3829</v>
      </c>
      <c r="C416" s="158" t="s">
        <v>15</v>
      </c>
      <c r="D416" s="158" t="s">
        <v>1584</v>
      </c>
      <c r="E416" s="158" t="s">
        <v>1583</v>
      </c>
      <c r="F416" s="158" t="s">
        <v>3805</v>
      </c>
      <c r="J416" t="s">
        <v>3877</v>
      </c>
      <c r="K416" t="s">
        <v>24</v>
      </c>
    </row>
    <row r="417" spans="1:11" hidden="1" x14ac:dyDescent="0.3">
      <c r="A417" s="158" t="s">
        <v>4467</v>
      </c>
      <c r="B417" s="158" t="s">
        <v>3917</v>
      </c>
      <c r="C417" s="158" t="s">
        <v>35</v>
      </c>
      <c r="D417" s="158" t="s">
        <v>2816</v>
      </c>
      <c r="E417" s="158" t="s">
        <v>2815</v>
      </c>
      <c r="F417" s="158" t="s">
        <v>3805</v>
      </c>
      <c r="K417" t="s">
        <v>10</v>
      </c>
    </row>
    <row r="418" spans="1:11" hidden="1" x14ac:dyDescent="0.3">
      <c r="A418" s="158" t="s">
        <v>4052</v>
      </c>
      <c r="B418" s="158" t="s">
        <v>3810</v>
      </c>
      <c r="C418" s="158" t="s">
        <v>35</v>
      </c>
      <c r="D418" s="158" t="s">
        <v>3653</v>
      </c>
      <c r="E418" s="158" t="s">
        <v>2432</v>
      </c>
      <c r="F418" s="158" t="s">
        <v>3805</v>
      </c>
      <c r="I418" t="s">
        <v>4053</v>
      </c>
      <c r="J418" t="s">
        <v>3821</v>
      </c>
      <c r="K418" t="s">
        <v>24</v>
      </c>
    </row>
    <row r="419" spans="1:11" hidden="1" x14ac:dyDescent="0.3">
      <c r="A419" s="158" t="s">
        <v>4469</v>
      </c>
      <c r="B419" s="158" t="s">
        <v>3917</v>
      </c>
      <c r="C419" s="158" t="s">
        <v>35</v>
      </c>
      <c r="D419" s="158" t="s">
        <v>2809</v>
      </c>
      <c r="E419" s="158" t="s">
        <v>2808</v>
      </c>
      <c r="F419" s="158" t="s">
        <v>3805</v>
      </c>
      <c r="K419" t="s">
        <v>10</v>
      </c>
    </row>
    <row r="420" spans="1:11" hidden="1" x14ac:dyDescent="0.3">
      <c r="A420" s="158" t="s">
        <v>4054</v>
      </c>
      <c r="B420" s="158" t="s">
        <v>3877</v>
      </c>
      <c r="C420" s="158" t="s">
        <v>35</v>
      </c>
      <c r="D420" s="158" t="s">
        <v>3695</v>
      </c>
      <c r="E420" s="158" t="s">
        <v>1970</v>
      </c>
      <c r="F420" s="158" t="s">
        <v>3805</v>
      </c>
      <c r="I420" t="s">
        <v>4055</v>
      </c>
      <c r="K420" t="s">
        <v>10</v>
      </c>
    </row>
    <row r="421" spans="1:11" hidden="1" x14ac:dyDescent="0.3">
      <c r="A421" s="158" t="s">
        <v>4470</v>
      </c>
      <c r="B421" s="158" t="s">
        <v>3917</v>
      </c>
      <c r="C421" s="158" t="s">
        <v>35</v>
      </c>
      <c r="D421" s="158" t="s">
        <v>2807</v>
      </c>
      <c r="E421" s="158" t="s">
        <v>2806</v>
      </c>
      <c r="F421" s="158" t="s">
        <v>3805</v>
      </c>
      <c r="K421" t="s">
        <v>10</v>
      </c>
    </row>
    <row r="422" spans="1:11" hidden="1" x14ac:dyDescent="0.3">
      <c r="A422" s="158" t="s">
        <v>4632</v>
      </c>
      <c r="B422" s="158" t="s">
        <v>3810</v>
      </c>
      <c r="C422" s="158" t="s">
        <v>35</v>
      </c>
      <c r="D422" s="158" t="s">
        <v>2428</v>
      </c>
      <c r="E422" s="158" t="s">
        <v>2427</v>
      </c>
      <c r="F422" s="158" t="s">
        <v>3805</v>
      </c>
      <c r="J422" t="s">
        <v>3838</v>
      </c>
      <c r="K422" t="s">
        <v>15</v>
      </c>
    </row>
    <row r="423" spans="1:11" hidden="1" x14ac:dyDescent="0.3">
      <c r="A423" s="158" t="s">
        <v>4471</v>
      </c>
      <c r="B423" s="158" t="s">
        <v>3917</v>
      </c>
      <c r="C423" s="158" t="s">
        <v>35</v>
      </c>
      <c r="D423" s="158" t="s">
        <v>2805</v>
      </c>
      <c r="E423" s="158" t="s">
        <v>2804</v>
      </c>
      <c r="F423" s="158" t="s">
        <v>3804</v>
      </c>
      <c r="K423" t="s">
        <v>10</v>
      </c>
    </row>
    <row r="424" spans="1:11" hidden="1" x14ac:dyDescent="0.3">
      <c r="A424" s="158" t="s">
        <v>4056</v>
      </c>
      <c r="B424" s="158" t="s">
        <v>3859</v>
      </c>
      <c r="C424" s="158" t="s">
        <v>43</v>
      </c>
      <c r="D424" s="158" t="s">
        <v>3767</v>
      </c>
      <c r="E424" s="158" t="s">
        <v>3029</v>
      </c>
      <c r="F424" s="158" t="s">
        <v>3805</v>
      </c>
      <c r="I424" t="s">
        <v>4057</v>
      </c>
      <c r="J424" t="s">
        <v>3829</v>
      </c>
      <c r="K424" t="s">
        <v>10</v>
      </c>
    </row>
    <row r="425" spans="1:11" hidden="1" x14ac:dyDescent="0.3">
      <c r="A425" s="158" t="s">
        <v>4472</v>
      </c>
      <c r="B425" s="158" t="s">
        <v>3917</v>
      </c>
      <c r="C425" s="158" t="s">
        <v>35</v>
      </c>
      <c r="D425" s="158" t="s">
        <v>2803</v>
      </c>
      <c r="E425" s="158" t="s">
        <v>2802</v>
      </c>
      <c r="F425" s="158" t="s">
        <v>3822</v>
      </c>
      <c r="K425" t="s">
        <v>10</v>
      </c>
    </row>
    <row r="426" spans="1:11" hidden="1" x14ac:dyDescent="0.3">
      <c r="A426" s="158" t="s">
        <v>4058</v>
      </c>
      <c r="B426" s="158" t="s">
        <v>3917</v>
      </c>
      <c r="C426" s="158" t="s">
        <v>43</v>
      </c>
      <c r="D426" s="158" t="s">
        <v>3643</v>
      </c>
      <c r="E426" s="158" t="s">
        <v>2642</v>
      </c>
      <c r="F426" s="158" t="s">
        <v>3805</v>
      </c>
      <c r="I426" t="s">
        <v>4059</v>
      </c>
    </row>
    <row r="427" spans="1:11" hidden="1" x14ac:dyDescent="0.3">
      <c r="A427" s="158" t="s">
        <v>4060</v>
      </c>
      <c r="B427" s="158" t="s">
        <v>3810</v>
      </c>
      <c r="C427" s="158" t="s">
        <v>10</v>
      </c>
      <c r="D427" s="158" t="s">
        <v>3671</v>
      </c>
      <c r="E427" s="158" t="s">
        <v>2344</v>
      </c>
      <c r="F427" s="158" t="s">
        <v>3805</v>
      </c>
      <c r="I427" t="s">
        <v>4061</v>
      </c>
      <c r="J427" t="s">
        <v>3859</v>
      </c>
      <c r="K427" t="s">
        <v>24</v>
      </c>
    </row>
    <row r="428" spans="1:11" hidden="1" x14ac:dyDescent="0.3">
      <c r="A428" s="158" t="s">
        <v>4473</v>
      </c>
      <c r="B428" s="158" t="s">
        <v>3917</v>
      </c>
      <c r="C428" s="158" t="s">
        <v>35</v>
      </c>
      <c r="D428" s="158" t="s">
        <v>2799</v>
      </c>
      <c r="E428" s="158" t="s">
        <v>2798</v>
      </c>
      <c r="F428" s="158" t="s">
        <v>4010</v>
      </c>
      <c r="K428" t="s">
        <v>10</v>
      </c>
    </row>
    <row r="429" spans="1:11" hidden="1" x14ac:dyDescent="0.3">
      <c r="A429" s="158" t="s">
        <v>4062</v>
      </c>
      <c r="B429" s="158" t="s">
        <v>3877</v>
      </c>
      <c r="C429" s="158" t="s">
        <v>15</v>
      </c>
      <c r="D429" s="158" t="s">
        <v>1983</v>
      </c>
      <c r="E429" s="158" t="s">
        <v>1982</v>
      </c>
      <c r="F429" s="158" t="s">
        <v>3805</v>
      </c>
      <c r="I429" t="s">
        <v>4063</v>
      </c>
    </row>
    <row r="430" spans="1:11" hidden="1" x14ac:dyDescent="0.3">
      <c r="A430" s="158" t="s">
        <v>4064</v>
      </c>
      <c r="B430" s="158" t="s">
        <v>3917</v>
      </c>
      <c r="C430" s="158" t="s">
        <v>43</v>
      </c>
      <c r="D430" s="158" t="s">
        <v>2795</v>
      </c>
      <c r="E430" s="158" t="s">
        <v>2794</v>
      </c>
      <c r="F430" s="158" t="s">
        <v>3805</v>
      </c>
      <c r="H430" t="s">
        <v>4065</v>
      </c>
    </row>
    <row r="431" spans="1:11" hidden="1" x14ac:dyDescent="0.3">
      <c r="A431" s="158" t="s">
        <v>5072</v>
      </c>
      <c r="B431" s="158" t="s">
        <v>3810</v>
      </c>
      <c r="C431" s="158" t="s">
        <v>10</v>
      </c>
      <c r="D431" s="158" t="s">
        <v>2347</v>
      </c>
      <c r="E431" s="158" t="s">
        <v>2346</v>
      </c>
      <c r="F431" s="158" t="s">
        <v>3805</v>
      </c>
      <c r="J431" t="s">
        <v>3859</v>
      </c>
      <c r="K431" t="s">
        <v>24</v>
      </c>
    </row>
    <row r="432" spans="1:11" hidden="1" x14ac:dyDescent="0.3">
      <c r="A432" s="158" t="s">
        <v>4474</v>
      </c>
      <c r="B432" s="158" t="s">
        <v>3917</v>
      </c>
      <c r="C432" s="158" t="s">
        <v>35</v>
      </c>
      <c r="D432" s="158" t="s">
        <v>2793</v>
      </c>
      <c r="E432" s="158" t="s">
        <v>2792</v>
      </c>
      <c r="F432" s="158" t="s">
        <v>3804</v>
      </c>
      <c r="K432" t="s">
        <v>10</v>
      </c>
    </row>
    <row r="433" spans="1:11" hidden="1" x14ac:dyDescent="0.3">
      <c r="A433" s="158" t="s">
        <v>4686</v>
      </c>
      <c r="B433" s="158" t="s">
        <v>3877</v>
      </c>
      <c r="C433" s="158" t="s">
        <v>15</v>
      </c>
      <c r="D433" s="158" t="s">
        <v>1957</v>
      </c>
      <c r="E433" s="158" t="s">
        <v>1956</v>
      </c>
      <c r="F433" s="158" t="s">
        <v>3805</v>
      </c>
      <c r="J433" t="s">
        <v>3859</v>
      </c>
      <c r="K433" t="s">
        <v>24</v>
      </c>
    </row>
    <row r="434" spans="1:11" hidden="1" x14ac:dyDescent="0.3">
      <c r="A434" s="158" t="s">
        <v>4708</v>
      </c>
      <c r="B434" s="158" t="s">
        <v>3804</v>
      </c>
      <c r="C434" s="158" t="s">
        <v>24</v>
      </c>
      <c r="D434" s="158" t="s">
        <v>3496</v>
      </c>
      <c r="E434" s="158" t="s">
        <v>3495</v>
      </c>
      <c r="F434" s="158" t="s">
        <v>3805</v>
      </c>
      <c r="K434" t="s">
        <v>35</v>
      </c>
    </row>
    <row r="435" spans="1:11" hidden="1" x14ac:dyDescent="0.3">
      <c r="A435" s="158" t="s">
        <v>4066</v>
      </c>
      <c r="B435" s="158" t="s">
        <v>3877</v>
      </c>
      <c r="C435" s="158" t="s">
        <v>10</v>
      </c>
      <c r="D435" s="158" t="s">
        <v>1855</v>
      </c>
      <c r="E435" s="158" t="s">
        <v>1854</v>
      </c>
      <c r="F435" s="158" t="s">
        <v>3805</v>
      </c>
      <c r="I435" t="s">
        <v>4067</v>
      </c>
      <c r="K435" t="s">
        <v>24</v>
      </c>
    </row>
    <row r="436" spans="1:11" hidden="1" x14ac:dyDescent="0.3">
      <c r="A436" s="158" t="s">
        <v>4068</v>
      </c>
      <c r="B436" s="158" t="s">
        <v>3917</v>
      </c>
      <c r="C436" s="158" t="s">
        <v>10</v>
      </c>
      <c r="D436" s="158" t="s">
        <v>1855</v>
      </c>
      <c r="E436" s="158" t="s">
        <v>2750</v>
      </c>
      <c r="F436" s="158" t="s">
        <v>3805</v>
      </c>
      <c r="I436" t="s">
        <v>4069</v>
      </c>
    </row>
    <row r="437" spans="1:11" hidden="1" x14ac:dyDescent="0.3">
      <c r="A437" s="158" t="s">
        <v>4865</v>
      </c>
      <c r="B437" s="158" t="s">
        <v>3877</v>
      </c>
      <c r="C437" s="158" t="s">
        <v>35</v>
      </c>
      <c r="D437" s="158" t="s">
        <v>1853</v>
      </c>
      <c r="E437" s="158" t="s">
        <v>1852</v>
      </c>
      <c r="F437" s="158" t="s">
        <v>3805</v>
      </c>
      <c r="K437" t="s">
        <v>10</v>
      </c>
    </row>
    <row r="438" spans="1:11" hidden="1" x14ac:dyDescent="0.3">
      <c r="A438" s="158" t="s">
        <v>5377</v>
      </c>
      <c r="B438" s="158" t="s">
        <v>4090</v>
      </c>
      <c r="C438" s="158" t="s">
        <v>15</v>
      </c>
      <c r="D438" s="158" t="s">
        <v>682</v>
      </c>
      <c r="E438" s="158" t="s">
        <v>681</v>
      </c>
      <c r="F438" s="158" t="s">
        <v>3805</v>
      </c>
      <c r="K438" t="s">
        <v>24</v>
      </c>
    </row>
    <row r="439" spans="1:11" hidden="1" x14ac:dyDescent="0.3">
      <c r="A439" s="158" t="s">
        <v>4494</v>
      </c>
      <c r="B439" s="158" t="s">
        <v>3917</v>
      </c>
      <c r="C439" s="158" t="s">
        <v>10</v>
      </c>
      <c r="D439" s="158" t="s">
        <v>2749</v>
      </c>
      <c r="E439" s="158" t="s">
        <v>2748</v>
      </c>
      <c r="F439" s="158" t="s">
        <v>3805</v>
      </c>
      <c r="K439" t="s">
        <v>15</v>
      </c>
    </row>
    <row r="440" spans="1:11" hidden="1" x14ac:dyDescent="0.3">
      <c r="A440" s="158" t="s">
        <v>5053</v>
      </c>
      <c r="B440" s="158" t="s">
        <v>3821</v>
      </c>
      <c r="C440" s="158" t="s">
        <v>35</v>
      </c>
      <c r="D440" s="158" t="s">
        <v>1448</v>
      </c>
      <c r="E440" s="158" t="s">
        <v>1447</v>
      </c>
      <c r="F440" s="158" t="s">
        <v>3805</v>
      </c>
      <c r="K440" t="s">
        <v>15</v>
      </c>
    </row>
    <row r="441" spans="1:11" hidden="1" x14ac:dyDescent="0.3">
      <c r="A441" s="158" t="s">
        <v>5054</v>
      </c>
      <c r="B441" s="158" t="s">
        <v>3821</v>
      </c>
      <c r="C441" s="158" t="s">
        <v>35</v>
      </c>
      <c r="D441" s="158" t="s">
        <v>1446</v>
      </c>
      <c r="E441" s="158" t="s">
        <v>1445</v>
      </c>
      <c r="F441" s="158" t="s">
        <v>3805</v>
      </c>
      <c r="K441" t="s">
        <v>15</v>
      </c>
    </row>
    <row r="442" spans="1:11" hidden="1" x14ac:dyDescent="0.3">
      <c r="A442" s="158" t="s">
        <v>4497</v>
      </c>
      <c r="B442" s="158" t="s">
        <v>3917</v>
      </c>
      <c r="C442" s="158" t="s">
        <v>10</v>
      </c>
      <c r="D442" s="158" t="s">
        <v>1149</v>
      </c>
      <c r="E442" s="158" t="s">
        <v>2742</v>
      </c>
      <c r="F442" s="158" t="s">
        <v>3900</v>
      </c>
      <c r="K442" t="s">
        <v>43</v>
      </c>
    </row>
    <row r="443" spans="1:11" x14ac:dyDescent="0.3">
      <c r="A443" s="158" t="s">
        <v>5106</v>
      </c>
      <c r="B443" s="158" t="s">
        <v>3821</v>
      </c>
      <c r="C443" s="158" t="s">
        <v>10</v>
      </c>
      <c r="D443" s="158" t="s">
        <v>1326</v>
      </c>
      <c r="E443" s="158" t="s">
        <v>1325</v>
      </c>
      <c r="F443" s="158" t="s">
        <v>3804</v>
      </c>
      <c r="G443" t="s">
        <v>3822</v>
      </c>
      <c r="J443" t="s">
        <v>4090</v>
      </c>
    </row>
    <row r="444" spans="1:11" hidden="1" x14ac:dyDescent="0.3">
      <c r="A444" s="158" t="s">
        <v>4633</v>
      </c>
      <c r="B444" s="158" t="s">
        <v>3810</v>
      </c>
      <c r="C444" s="158" t="s">
        <v>35</v>
      </c>
      <c r="D444" s="158" t="s">
        <v>1149</v>
      </c>
      <c r="E444" s="158" t="s">
        <v>2422</v>
      </c>
      <c r="F444" s="158" t="s">
        <v>3900</v>
      </c>
      <c r="J444" t="s">
        <v>3838</v>
      </c>
      <c r="K444" t="s">
        <v>15</v>
      </c>
    </row>
    <row r="445" spans="1:11" hidden="1" x14ac:dyDescent="0.3">
      <c r="A445" s="158" t="s">
        <v>4504</v>
      </c>
      <c r="B445" s="158" t="s">
        <v>3917</v>
      </c>
      <c r="C445" s="158" t="s">
        <v>10</v>
      </c>
      <c r="D445" s="158" t="s">
        <v>2729</v>
      </c>
      <c r="E445" s="158" t="s">
        <v>2728</v>
      </c>
      <c r="F445" s="158" t="s">
        <v>3804</v>
      </c>
      <c r="K445" t="s">
        <v>15</v>
      </c>
    </row>
    <row r="446" spans="1:11" hidden="1" x14ac:dyDescent="0.3">
      <c r="A446" s="158" t="s">
        <v>4505</v>
      </c>
      <c r="B446" s="158" t="s">
        <v>3917</v>
      </c>
      <c r="C446" s="158" t="s">
        <v>10</v>
      </c>
      <c r="D446" s="158" t="s">
        <v>2727</v>
      </c>
      <c r="E446" s="158" t="s">
        <v>2726</v>
      </c>
      <c r="F446" s="158" t="s">
        <v>3805</v>
      </c>
      <c r="K446" t="s">
        <v>15</v>
      </c>
    </row>
    <row r="447" spans="1:11" hidden="1" x14ac:dyDescent="0.3">
      <c r="A447" s="158" t="s">
        <v>4542</v>
      </c>
      <c r="B447" s="158" t="s">
        <v>3917</v>
      </c>
      <c r="C447" s="158" t="s">
        <v>43</v>
      </c>
      <c r="D447" s="158" t="s">
        <v>1149</v>
      </c>
      <c r="E447" s="158" t="s">
        <v>2636</v>
      </c>
      <c r="F447" s="158" t="s">
        <v>4139</v>
      </c>
      <c r="K447" t="s">
        <v>35</v>
      </c>
    </row>
    <row r="448" spans="1:11" hidden="1" x14ac:dyDescent="0.3">
      <c r="A448" s="158" t="s">
        <v>4507</v>
      </c>
      <c r="B448" s="158" t="s">
        <v>3917</v>
      </c>
      <c r="C448" s="158" t="s">
        <v>10</v>
      </c>
      <c r="D448" s="158" t="s">
        <v>2723</v>
      </c>
      <c r="E448" s="158" t="s">
        <v>2722</v>
      </c>
      <c r="F448" s="158" t="s">
        <v>3805</v>
      </c>
      <c r="K448" t="s">
        <v>15</v>
      </c>
    </row>
    <row r="449" spans="1:11" hidden="1" x14ac:dyDescent="0.3">
      <c r="A449" s="158" t="s">
        <v>4942</v>
      </c>
      <c r="B449" s="158" t="s">
        <v>3829</v>
      </c>
      <c r="C449" s="158" t="s">
        <v>10</v>
      </c>
      <c r="D449" s="158" t="s">
        <v>1149</v>
      </c>
      <c r="E449" s="158" t="s">
        <v>1691</v>
      </c>
      <c r="F449" s="158" t="s">
        <v>4010</v>
      </c>
      <c r="K449" t="s">
        <v>15</v>
      </c>
    </row>
    <row r="450" spans="1:11" hidden="1" x14ac:dyDescent="0.3">
      <c r="A450" s="158" t="s">
        <v>5025</v>
      </c>
      <c r="B450" s="158" t="s">
        <v>3821</v>
      </c>
      <c r="C450" s="158" t="s">
        <v>24</v>
      </c>
      <c r="D450" s="158" t="s">
        <v>1149</v>
      </c>
      <c r="E450" s="158" t="s">
        <v>1506</v>
      </c>
      <c r="F450" s="158" t="s">
        <v>4010</v>
      </c>
      <c r="J450" t="s">
        <v>4090</v>
      </c>
    </row>
    <row r="451" spans="1:11" hidden="1" x14ac:dyDescent="0.3">
      <c r="A451" s="158" t="s">
        <v>4509</v>
      </c>
      <c r="B451" s="158" t="s">
        <v>3917</v>
      </c>
      <c r="C451" s="158" t="s">
        <v>10</v>
      </c>
      <c r="D451" s="158" t="s">
        <v>2717</v>
      </c>
      <c r="E451" s="158" t="s">
        <v>2716</v>
      </c>
      <c r="F451" s="158" t="s">
        <v>3805</v>
      </c>
      <c r="K451" t="s">
        <v>15</v>
      </c>
    </row>
    <row r="452" spans="1:11" hidden="1" x14ac:dyDescent="0.3">
      <c r="A452" s="158" t="s">
        <v>4070</v>
      </c>
      <c r="B452" s="158" t="s">
        <v>3877</v>
      </c>
      <c r="C452" s="158" t="s">
        <v>10</v>
      </c>
      <c r="D452" s="158" t="s">
        <v>3680</v>
      </c>
      <c r="E452" s="158" t="s">
        <v>2172</v>
      </c>
      <c r="F452" s="158" t="s">
        <v>4010</v>
      </c>
      <c r="I452" t="s">
        <v>4071</v>
      </c>
    </row>
    <row r="453" spans="1:11" hidden="1" x14ac:dyDescent="0.3">
      <c r="A453" s="158" t="s">
        <v>4510</v>
      </c>
      <c r="B453" s="158" t="s">
        <v>3917</v>
      </c>
      <c r="C453" s="158" t="s">
        <v>10</v>
      </c>
      <c r="D453" s="158" t="s">
        <v>2715</v>
      </c>
      <c r="E453" s="158" t="s">
        <v>2714</v>
      </c>
      <c r="F453" s="158" t="s">
        <v>3805</v>
      </c>
      <c r="K453" t="s">
        <v>15</v>
      </c>
    </row>
    <row r="454" spans="1:11" hidden="1" x14ac:dyDescent="0.3">
      <c r="A454" s="158" t="s">
        <v>4734</v>
      </c>
      <c r="B454" s="158" t="s">
        <v>3877</v>
      </c>
      <c r="C454" s="158" t="s">
        <v>10</v>
      </c>
      <c r="D454" s="158" t="s">
        <v>2170</v>
      </c>
      <c r="E454" s="158" t="s">
        <v>2169</v>
      </c>
      <c r="F454" s="158" t="s">
        <v>5627</v>
      </c>
      <c r="J454" t="s">
        <v>3917</v>
      </c>
      <c r="K454" t="s">
        <v>43</v>
      </c>
    </row>
    <row r="455" spans="1:11" hidden="1" x14ac:dyDescent="0.3">
      <c r="A455" s="158" t="s">
        <v>4511</v>
      </c>
      <c r="B455" s="158" t="s">
        <v>3917</v>
      </c>
      <c r="C455" s="158" t="s">
        <v>10</v>
      </c>
      <c r="D455" s="158" t="s">
        <v>2713</v>
      </c>
      <c r="E455" s="158" t="s">
        <v>4072</v>
      </c>
      <c r="F455" s="158" t="s">
        <v>3805</v>
      </c>
      <c r="K455" t="s">
        <v>15</v>
      </c>
    </row>
    <row r="456" spans="1:11" hidden="1" x14ac:dyDescent="0.3">
      <c r="A456" s="158" t="s">
        <v>4943</v>
      </c>
      <c r="B456" s="158" t="s">
        <v>3829</v>
      </c>
      <c r="C456" s="158" t="s">
        <v>10</v>
      </c>
      <c r="D456" s="158" t="s">
        <v>1149</v>
      </c>
      <c r="E456" s="158" t="s">
        <v>1689</v>
      </c>
      <c r="F456" s="158" t="s">
        <v>4010</v>
      </c>
      <c r="K456" t="s">
        <v>15</v>
      </c>
    </row>
    <row r="457" spans="1:11" hidden="1" x14ac:dyDescent="0.3">
      <c r="A457" s="158" t="s">
        <v>4512</v>
      </c>
      <c r="B457" s="158" t="s">
        <v>3917</v>
      </c>
      <c r="C457" s="158" t="s">
        <v>10</v>
      </c>
      <c r="D457" s="158" t="s">
        <v>2710</v>
      </c>
      <c r="E457" s="158" t="s">
        <v>2709</v>
      </c>
      <c r="F457" s="158" t="s">
        <v>3822</v>
      </c>
      <c r="K457" t="s">
        <v>15</v>
      </c>
    </row>
    <row r="458" spans="1:11" hidden="1" x14ac:dyDescent="0.3">
      <c r="A458" s="158" t="s">
        <v>4513</v>
      </c>
      <c r="B458" s="158" t="s">
        <v>3917</v>
      </c>
      <c r="C458" s="158" t="s">
        <v>10</v>
      </c>
      <c r="D458" s="158" t="s">
        <v>2708</v>
      </c>
      <c r="E458" s="158" t="s">
        <v>2707</v>
      </c>
      <c r="F458" s="158" t="s">
        <v>5627</v>
      </c>
      <c r="K458" t="s">
        <v>15</v>
      </c>
    </row>
    <row r="459" spans="1:11" hidden="1" x14ac:dyDescent="0.3">
      <c r="A459" s="158" t="s">
        <v>5026</v>
      </c>
      <c r="B459" s="158" t="s">
        <v>3821</v>
      </c>
      <c r="C459" s="158" t="s">
        <v>24</v>
      </c>
      <c r="D459" s="158" t="s">
        <v>1149</v>
      </c>
      <c r="E459" s="158" t="s">
        <v>1504</v>
      </c>
      <c r="F459" s="158" t="s">
        <v>4010</v>
      </c>
      <c r="J459" t="s">
        <v>3810</v>
      </c>
    </row>
    <row r="460" spans="1:11" hidden="1" x14ac:dyDescent="0.3">
      <c r="A460" s="158" t="s">
        <v>5107</v>
      </c>
      <c r="B460" s="158" t="s">
        <v>3821</v>
      </c>
      <c r="C460" s="158" t="s">
        <v>10</v>
      </c>
      <c r="D460" s="158" t="s">
        <v>1323</v>
      </c>
      <c r="E460" s="158" t="s">
        <v>1322</v>
      </c>
      <c r="F460" s="158" t="s">
        <v>3805</v>
      </c>
      <c r="J460" t="s">
        <v>4090</v>
      </c>
    </row>
    <row r="461" spans="1:11" hidden="1" x14ac:dyDescent="0.3">
      <c r="A461" s="158" t="s">
        <v>5027</v>
      </c>
      <c r="B461" s="158" t="s">
        <v>3821</v>
      </c>
      <c r="C461" s="158" t="s">
        <v>24</v>
      </c>
      <c r="D461" s="158" t="s">
        <v>1502</v>
      </c>
      <c r="E461" s="158" t="s">
        <v>1501</v>
      </c>
      <c r="F461" s="158" t="s">
        <v>3822</v>
      </c>
      <c r="J461" t="s">
        <v>3810</v>
      </c>
      <c r="K461" t="s">
        <v>35</v>
      </c>
    </row>
    <row r="462" spans="1:11" hidden="1" x14ac:dyDescent="0.3">
      <c r="A462" s="158" t="s">
        <v>4730</v>
      </c>
      <c r="B462" s="158" t="s">
        <v>3877</v>
      </c>
      <c r="C462" s="158" t="s">
        <v>10</v>
      </c>
      <c r="D462" s="158" t="s">
        <v>2181</v>
      </c>
      <c r="E462" s="158" t="s">
        <v>2180</v>
      </c>
      <c r="F462" s="158" t="s">
        <v>3805</v>
      </c>
      <c r="J462" t="s">
        <v>3917</v>
      </c>
      <c r="K462" t="s">
        <v>43</v>
      </c>
    </row>
    <row r="463" spans="1:11" hidden="1" x14ac:dyDescent="0.3">
      <c r="A463" s="158" t="s">
        <v>4568</v>
      </c>
      <c r="B463" s="158" t="s">
        <v>3917</v>
      </c>
      <c r="C463" s="158" t="s">
        <v>15</v>
      </c>
      <c r="D463" s="158" t="s">
        <v>2577</v>
      </c>
      <c r="E463" s="158" t="s">
        <v>2576</v>
      </c>
      <c r="F463" s="158" t="s">
        <v>4010</v>
      </c>
      <c r="J463" t="s">
        <v>3877</v>
      </c>
      <c r="K463" t="s">
        <v>35</v>
      </c>
    </row>
    <row r="464" spans="1:11" hidden="1" x14ac:dyDescent="0.3">
      <c r="A464" s="158" t="s">
        <v>5057</v>
      </c>
      <c r="B464" s="158" t="s">
        <v>3821</v>
      </c>
      <c r="C464" s="158" t="s">
        <v>35</v>
      </c>
      <c r="D464" s="158" t="s">
        <v>1439</v>
      </c>
      <c r="E464" s="158" t="s">
        <v>1438</v>
      </c>
      <c r="F464" s="158" t="s">
        <v>3822</v>
      </c>
      <c r="K464" t="s">
        <v>15</v>
      </c>
    </row>
    <row r="465" spans="1:11" hidden="1" x14ac:dyDescent="0.3">
      <c r="A465" s="158" t="s">
        <v>4634</v>
      </c>
      <c r="B465" s="158" t="s">
        <v>3810</v>
      </c>
      <c r="C465" s="158" t="s">
        <v>35</v>
      </c>
      <c r="D465" s="158" t="s">
        <v>2421</v>
      </c>
      <c r="E465" s="158" t="s">
        <v>2420</v>
      </c>
      <c r="F465" s="158" t="s">
        <v>3900</v>
      </c>
      <c r="J465" t="s">
        <v>3821</v>
      </c>
      <c r="K465" t="s">
        <v>24</v>
      </c>
    </row>
    <row r="466" spans="1:11" hidden="1" x14ac:dyDescent="0.3">
      <c r="A466" s="158" t="s">
        <v>4635</v>
      </c>
      <c r="B466" s="158" t="s">
        <v>3810</v>
      </c>
      <c r="C466" s="158" t="s">
        <v>35</v>
      </c>
      <c r="D466" s="158" t="s">
        <v>2419</v>
      </c>
      <c r="E466" s="158" t="s">
        <v>2418</v>
      </c>
      <c r="F466" s="158" t="s">
        <v>3804</v>
      </c>
      <c r="J466" t="s">
        <v>3821</v>
      </c>
      <c r="K466" t="s">
        <v>24</v>
      </c>
    </row>
    <row r="467" spans="1:11" hidden="1" x14ac:dyDescent="0.3">
      <c r="A467" s="158" t="s">
        <v>5134</v>
      </c>
      <c r="B467" s="158" t="s">
        <v>3821</v>
      </c>
      <c r="C467" s="158" t="s">
        <v>43</v>
      </c>
      <c r="D467" s="158" t="s">
        <v>1247</v>
      </c>
      <c r="E467" s="158" t="s">
        <v>1246</v>
      </c>
      <c r="F467" s="158" t="s">
        <v>3805</v>
      </c>
      <c r="J467" t="s">
        <v>3810</v>
      </c>
    </row>
    <row r="468" spans="1:11" hidden="1" x14ac:dyDescent="0.3">
      <c r="A468" s="158" t="s">
        <v>5058</v>
      </c>
      <c r="B468" s="158" t="s">
        <v>3821</v>
      </c>
      <c r="C468" s="158" t="s">
        <v>35</v>
      </c>
      <c r="D468" s="158" t="s">
        <v>1437</v>
      </c>
      <c r="E468" s="158" t="s">
        <v>1436</v>
      </c>
      <c r="F468" s="158" t="s">
        <v>3805</v>
      </c>
      <c r="K468" t="s">
        <v>43</v>
      </c>
    </row>
    <row r="469" spans="1:11" hidden="1" x14ac:dyDescent="0.3">
      <c r="A469" s="158" t="s">
        <v>5171</v>
      </c>
      <c r="B469" s="158" t="s">
        <v>3821</v>
      </c>
      <c r="C469" s="158" t="s">
        <v>15</v>
      </c>
      <c r="D469" s="158" t="s">
        <v>1147</v>
      </c>
      <c r="E469" s="158" t="s">
        <v>1146</v>
      </c>
      <c r="F469" s="158" t="s">
        <v>4010</v>
      </c>
      <c r="K469" t="s">
        <v>35</v>
      </c>
    </row>
    <row r="470" spans="1:11" hidden="1" x14ac:dyDescent="0.3">
      <c r="A470" s="158" t="s">
        <v>5135</v>
      </c>
      <c r="B470" s="158" t="s">
        <v>3821</v>
      </c>
      <c r="C470" s="158" t="s">
        <v>43</v>
      </c>
      <c r="D470" s="158" t="s">
        <v>1245</v>
      </c>
      <c r="E470" s="158" t="s">
        <v>1244</v>
      </c>
      <c r="F470" s="158" t="s">
        <v>3822</v>
      </c>
      <c r="J470" t="s">
        <v>3810</v>
      </c>
    </row>
    <row r="471" spans="1:11" hidden="1" x14ac:dyDescent="0.3">
      <c r="A471" s="158" t="s">
        <v>4712</v>
      </c>
      <c r="B471" s="158" t="s">
        <v>3810</v>
      </c>
      <c r="C471" s="158" t="s">
        <v>43</v>
      </c>
      <c r="D471" s="158" t="s">
        <v>2291</v>
      </c>
      <c r="E471" s="158" t="s">
        <v>2290</v>
      </c>
      <c r="F471" s="158" t="s">
        <v>3805</v>
      </c>
      <c r="J471" t="s">
        <v>3838</v>
      </c>
      <c r="K471" t="s">
        <v>15</v>
      </c>
    </row>
    <row r="472" spans="1:11" hidden="1" x14ac:dyDescent="0.3">
      <c r="A472" s="158" t="s">
        <v>5028</v>
      </c>
      <c r="B472" s="158" t="s">
        <v>3821</v>
      </c>
      <c r="C472" s="158" t="s">
        <v>24</v>
      </c>
      <c r="D472" s="158" t="s">
        <v>3731</v>
      </c>
      <c r="E472" s="158" t="s">
        <v>1500</v>
      </c>
      <c r="F472" s="158" t="s">
        <v>4139</v>
      </c>
      <c r="J472" t="s">
        <v>3810</v>
      </c>
      <c r="K472" t="s">
        <v>10</v>
      </c>
    </row>
    <row r="473" spans="1:11" x14ac:dyDescent="0.3">
      <c r="A473" s="158" t="s">
        <v>5036</v>
      </c>
      <c r="B473" s="158" t="s">
        <v>3829</v>
      </c>
      <c r="C473" s="158" t="s">
        <v>35</v>
      </c>
      <c r="D473" s="158" t="s">
        <v>34</v>
      </c>
      <c r="E473" s="158" t="s">
        <v>33</v>
      </c>
      <c r="F473" s="158" t="s">
        <v>3804</v>
      </c>
      <c r="G473" t="s">
        <v>3822</v>
      </c>
    </row>
    <row r="474" spans="1:11" hidden="1" x14ac:dyDescent="0.3">
      <c r="A474" s="158" t="s">
        <v>5059</v>
      </c>
      <c r="B474" s="158" t="s">
        <v>3821</v>
      </c>
      <c r="C474" s="158" t="s">
        <v>35</v>
      </c>
      <c r="D474" s="158" t="s">
        <v>1434</v>
      </c>
      <c r="E474" s="158" t="s">
        <v>1433</v>
      </c>
      <c r="F474" s="158" t="s">
        <v>3900</v>
      </c>
      <c r="K474" t="s">
        <v>15</v>
      </c>
    </row>
    <row r="475" spans="1:11" hidden="1" x14ac:dyDescent="0.3">
      <c r="A475" s="158" t="s">
        <v>4991</v>
      </c>
      <c r="B475" s="158" t="s">
        <v>3829</v>
      </c>
      <c r="C475" s="158" t="s">
        <v>15</v>
      </c>
      <c r="D475" s="158" t="s">
        <v>1577</v>
      </c>
      <c r="E475" s="158" t="s">
        <v>1576</v>
      </c>
      <c r="F475" s="158" t="s">
        <v>3805</v>
      </c>
      <c r="J475" t="s">
        <v>3877</v>
      </c>
      <c r="K475" t="s">
        <v>24</v>
      </c>
    </row>
    <row r="476" spans="1:11" hidden="1" x14ac:dyDescent="0.3">
      <c r="A476" s="158" t="s">
        <v>4677</v>
      </c>
      <c r="B476" s="158" t="s">
        <v>3810</v>
      </c>
      <c r="C476" s="158" t="s">
        <v>43</v>
      </c>
      <c r="D476" s="158" t="s">
        <v>2289</v>
      </c>
      <c r="E476" s="158" t="s">
        <v>2288</v>
      </c>
      <c r="F476" s="158" t="s">
        <v>3805</v>
      </c>
      <c r="K476" t="s">
        <v>15</v>
      </c>
    </row>
    <row r="477" spans="1:11" hidden="1" x14ac:dyDescent="0.3">
      <c r="A477" s="158" t="s">
        <v>4680</v>
      </c>
      <c r="B477" s="158" t="s">
        <v>3810</v>
      </c>
      <c r="C477" s="158" t="s">
        <v>43</v>
      </c>
      <c r="D477" s="158" t="s">
        <v>2286</v>
      </c>
      <c r="E477" s="158" t="s">
        <v>2285</v>
      </c>
      <c r="F477" s="158" t="s">
        <v>3805</v>
      </c>
      <c r="K477" t="s">
        <v>15</v>
      </c>
    </row>
    <row r="478" spans="1:11" hidden="1" x14ac:dyDescent="0.3">
      <c r="A478" s="158" t="s">
        <v>4736</v>
      </c>
      <c r="B478" s="158" t="s">
        <v>3877</v>
      </c>
      <c r="C478" s="158" t="s">
        <v>24</v>
      </c>
      <c r="D478" s="158" t="s">
        <v>2166</v>
      </c>
      <c r="E478" s="158" t="s">
        <v>51</v>
      </c>
      <c r="F478" s="158" t="s">
        <v>3805</v>
      </c>
      <c r="K478" t="s">
        <v>10</v>
      </c>
    </row>
    <row r="479" spans="1:11" hidden="1" x14ac:dyDescent="0.3">
      <c r="A479" s="158" t="s">
        <v>4546</v>
      </c>
      <c r="B479" s="158" t="s">
        <v>3917</v>
      </c>
      <c r="C479" s="158" t="s">
        <v>43</v>
      </c>
      <c r="D479" s="158" t="s">
        <v>2628</v>
      </c>
      <c r="E479" s="158" t="s">
        <v>2627</v>
      </c>
      <c r="F479" s="158" t="s">
        <v>3805</v>
      </c>
      <c r="K479" t="s">
        <v>35</v>
      </c>
    </row>
    <row r="480" spans="1:11" hidden="1" x14ac:dyDescent="0.3">
      <c r="A480" s="158" t="s">
        <v>4737</v>
      </c>
      <c r="B480" s="158" t="s">
        <v>3877</v>
      </c>
      <c r="C480" s="158" t="s">
        <v>24</v>
      </c>
      <c r="D480" s="158" t="s">
        <v>2165</v>
      </c>
      <c r="E480" s="158" t="s">
        <v>2164</v>
      </c>
      <c r="F480" s="158" t="s">
        <v>3805</v>
      </c>
      <c r="K480" t="s">
        <v>10</v>
      </c>
    </row>
    <row r="481" spans="1:11" hidden="1" x14ac:dyDescent="0.3">
      <c r="A481" s="158" t="s">
        <v>5108</v>
      </c>
      <c r="B481" s="158" t="s">
        <v>3821</v>
      </c>
      <c r="C481" s="158" t="s">
        <v>10</v>
      </c>
      <c r="D481" s="158" t="s">
        <v>1321</v>
      </c>
      <c r="E481" s="158" t="s">
        <v>1320</v>
      </c>
      <c r="F481" s="158" t="s">
        <v>3822</v>
      </c>
      <c r="J481" t="s">
        <v>4090</v>
      </c>
      <c r="K481" t="s">
        <v>35</v>
      </c>
    </row>
    <row r="482" spans="1:11" hidden="1" x14ac:dyDescent="0.3">
      <c r="A482" s="158" t="s">
        <v>4548</v>
      </c>
      <c r="B482" s="158" t="s">
        <v>3917</v>
      </c>
      <c r="C482" s="158" t="s">
        <v>43</v>
      </c>
      <c r="D482" s="158" t="s">
        <v>2623</v>
      </c>
      <c r="E482" s="158" t="s">
        <v>2622</v>
      </c>
      <c r="F482" s="158" t="s">
        <v>3805</v>
      </c>
      <c r="K482" t="s">
        <v>35</v>
      </c>
    </row>
    <row r="483" spans="1:11" hidden="1" x14ac:dyDescent="0.3">
      <c r="A483" s="158" t="s">
        <v>4738</v>
      </c>
      <c r="B483" s="158" t="s">
        <v>3877</v>
      </c>
      <c r="C483" s="158" t="s">
        <v>24</v>
      </c>
      <c r="D483" s="158" t="s">
        <v>2163</v>
      </c>
      <c r="E483" s="158" t="s">
        <v>51</v>
      </c>
      <c r="F483" s="158" t="s">
        <v>3805</v>
      </c>
      <c r="K483" t="s">
        <v>10</v>
      </c>
    </row>
    <row r="484" spans="1:11" hidden="1" x14ac:dyDescent="0.3">
      <c r="A484" s="158" t="s">
        <v>4549</v>
      </c>
      <c r="B484" s="158" t="s">
        <v>3917</v>
      </c>
      <c r="C484" s="158" t="s">
        <v>43</v>
      </c>
      <c r="D484" s="158" t="s">
        <v>3646</v>
      </c>
      <c r="E484" s="158" t="s">
        <v>2619</v>
      </c>
      <c r="F484" s="158" t="s">
        <v>3805</v>
      </c>
      <c r="K484" t="s">
        <v>35</v>
      </c>
    </row>
    <row r="485" spans="1:11" hidden="1" x14ac:dyDescent="0.3">
      <c r="A485" s="158" t="s">
        <v>4739</v>
      </c>
      <c r="B485" s="158" t="s">
        <v>3877</v>
      </c>
      <c r="C485" s="158" t="s">
        <v>24</v>
      </c>
      <c r="D485" s="158" t="s">
        <v>2162</v>
      </c>
      <c r="E485" s="158" t="s">
        <v>2161</v>
      </c>
      <c r="F485" s="158" t="s">
        <v>3805</v>
      </c>
      <c r="K485" t="s">
        <v>10</v>
      </c>
    </row>
    <row r="486" spans="1:11" hidden="1" x14ac:dyDescent="0.3">
      <c r="A486" s="158" t="s">
        <v>4740</v>
      </c>
      <c r="B486" s="158" t="s">
        <v>3877</v>
      </c>
      <c r="C486" s="158" t="s">
        <v>24</v>
      </c>
      <c r="D486" s="158" t="s">
        <v>2160</v>
      </c>
      <c r="E486" s="158" t="s">
        <v>2159</v>
      </c>
      <c r="F486" s="158" t="s">
        <v>3805</v>
      </c>
      <c r="K486" t="s">
        <v>10</v>
      </c>
    </row>
    <row r="487" spans="1:11" hidden="1" x14ac:dyDescent="0.3">
      <c r="A487" s="158" t="s">
        <v>5029</v>
      </c>
      <c r="B487" s="158" t="s">
        <v>3821</v>
      </c>
      <c r="C487" s="158" t="s">
        <v>24</v>
      </c>
      <c r="D487" s="158" t="s">
        <v>1499</v>
      </c>
      <c r="E487" s="158" t="s">
        <v>1498</v>
      </c>
      <c r="F487" s="158" t="s">
        <v>3805</v>
      </c>
      <c r="J487" t="s">
        <v>3810</v>
      </c>
    </row>
    <row r="488" spans="1:11" hidden="1" x14ac:dyDescent="0.3">
      <c r="A488" s="158" t="s">
        <v>4741</v>
      </c>
      <c r="B488" s="158" t="s">
        <v>3877</v>
      </c>
      <c r="C488" s="158" t="s">
        <v>10</v>
      </c>
      <c r="D488" s="158" t="s">
        <v>2157</v>
      </c>
      <c r="E488" s="158" t="s">
        <v>2156</v>
      </c>
      <c r="F488" s="158" t="s">
        <v>3900</v>
      </c>
      <c r="J488" t="s">
        <v>3917</v>
      </c>
      <c r="K488" t="s">
        <v>43</v>
      </c>
    </row>
    <row r="489" spans="1:11" hidden="1" x14ac:dyDescent="0.3">
      <c r="A489" s="158" t="s">
        <v>5136</v>
      </c>
      <c r="B489" s="158" t="s">
        <v>3821</v>
      </c>
      <c r="C489" s="158" t="s">
        <v>15</v>
      </c>
      <c r="D489" s="158" t="s">
        <v>1241</v>
      </c>
      <c r="E489" s="158" t="s">
        <v>1240</v>
      </c>
      <c r="F489" s="158" t="s">
        <v>4139</v>
      </c>
      <c r="K489" t="s">
        <v>24</v>
      </c>
    </row>
    <row r="490" spans="1:11" hidden="1" x14ac:dyDescent="0.3">
      <c r="A490" s="158" t="s">
        <v>5109</v>
      </c>
      <c r="B490" s="158" t="s">
        <v>3821</v>
      </c>
      <c r="C490" s="158" t="s">
        <v>10</v>
      </c>
      <c r="D490" s="158" t="s">
        <v>1318</v>
      </c>
      <c r="E490" s="158" t="s">
        <v>1317</v>
      </c>
      <c r="F490" s="158" t="s">
        <v>3805</v>
      </c>
      <c r="J490" t="s">
        <v>4090</v>
      </c>
    </row>
    <row r="491" spans="1:11" hidden="1" x14ac:dyDescent="0.3">
      <c r="A491" s="158" t="s">
        <v>4569</v>
      </c>
      <c r="B491" s="158" t="s">
        <v>3917</v>
      </c>
      <c r="C491" s="158" t="s">
        <v>15</v>
      </c>
      <c r="D491" s="158" t="s">
        <v>2574</v>
      </c>
      <c r="E491" s="158" t="s">
        <v>2573</v>
      </c>
      <c r="F491" s="158" t="s">
        <v>4010</v>
      </c>
      <c r="K491" t="s">
        <v>43</v>
      </c>
    </row>
    <row r="492" spans="1:11" hidden="1" x14ac:dyDescent="0.3">
      <c r="A492" s="158" t="s">
        <v>4572</v>
      </c>
      <c r="B492" s="158" t="s">
        <v>3917</v>
      </c>
      <c r="C492" s="158" t="s">
        <v>15</v>
      </c>
      <c r="D492" s="158" t="s">
        <v>2566</v>
      </c>
      <c r="E492" s="158" t="s">
        <v>2565</v>
      </c>
      <c r="F492" s="158" t="s">
        <v>3805</v>
      </c>
      <c r="J492" t="s">
        <v>3877</v>
      </c>
      <c r="K492" t="s">
        <v>35</v>
      </c>
    </row>
    <row r="493" spans="1:11" hidden="1" x14ac:dyDescent="0.3">
      <c r="A493" s="158" t="s">
        <v>5137</v>
      </c>
      <c r="B493" s="158" t="s">
        <v>3821</v>
      </c>
      <c r="C493" s="158" t="s">
        <v>43</v>
      </c>
      <c r="D493" s="158" t="s">
        <v>1238</v>
      </c>
      <c r="E493" s="158" t="s">
        <v>1237</v>
      </c>
      <c r="F493" s="158" t="s">
        <v>3804</v>
      </c>
      <c r="K493" t="s">
        <v>24</v>
      </c>
    </row>
    <row r="494" spans="1:11" hidden="1" x14ac:dyDescent="0.3">
      <c r="A494" s="158" t="s">
        <v>4573</v>
      </c>
      <c r="B494" s="158" t="s">
        <v>3917</v>
      </c>
      <c r="C494" s="158" t="s">
        <v>15</v>
      </c>
      <c r="D494" s="158" t="s">
        <v>2564</v>
      </c>
      <c r="E494" s="158" t="s">
        <v>2563</v>
      </c>
      <c r="F494" s="158" t="s">
        <v>3805</v>
      </c>
      <c r="J494" t="s">
        <v>3877</v>
      </c>
      <c r="K494" t="s">
        <v>35</v>
      </c>
    </row>
    <row r="495" spans="1:11" hidden="1" x14ac:dyDescent="0.3">
      <c r="A495" s="158" t="s">
        <v>4575</v>
      </c>
      <c r="B495" s="158" t="s">
        <v>3917</v>
      </c>
      <c r="C495" s="158" t="s">
        <v>15</v>
      </c>
      <c r="D495" s="158" t="s">
        <v>2560</v>
      </c>
      <c r="E495" s="158" t="s">
        <v>2559</v>
      </c>
      <c r="F495" s="158" t="s">
        <v>3822</v>
      </c>
      <c r="K495" t="s">
        <v>43</v>
      </c>
    </row>
    <row r="496" spans="1:11" hidden="1" x14ac:dyDescent="0.3">
      <c r="A496" s="158" t="s">
        <v>4576</v>
      </c>
      <c r="B496" s="158" t="s">
        <v>3917</v>
      </c>
      <c r="C496" s="158" t="s">
        <v>15</v>
      </c>
      <c r="D496" s="158" t="s">
        <v>2558</v>
      </c>
      <c r="E496" s="158" t="s">
        <v>2557</v>
      </c>
      <c r="F496" s="158" t="s">
        <v>3822</v>
      </c>
      <c r="J496" t="s">
        <v>3877</v>
      </c>
      <c r="K496" t="s">
        <v>10</v>
      </c>
    </row>
    <row r="497" spans="1:11" hidden="1" x14ac:dyDescent="0.3">
      <c r="A497" s="158" t="s">
        <v>4073</v>
      </c>
      <c r="B497" s="158" t="s">
        <v>3917</v>
      </c>
      <c r="C497" s="158" t="s">
        <v>15</v>
      </c>
      <c r="D497" s="158" t="s">
        <v>2546</v>
      </c>
      <c r="E497" s="158" t="s">
        <v>2545</v>
      </c>
      <c r="F497" s="158" t="s">
        <v>3805</v>
      </c>
      <c r="H497" t="s">
        <v>4074</v>
      </c>
    </row>
    <row r="498" spans="1:11" hidden="1" x14ac:dyDescent="0.3">
      <c r="A498" s="158" t="s">
        <v>5138</v>
      </c>
      <c r="B498" s="158" t="s">
        <v>3821</v>
      </c>
      <c r="C498" s="158" t="s">
        <v>43</v>
      </c>
      <c r="D498" s="158" t="s">
        <v>1236</v>
      </c>
      <c r="E498" s="158" t="s">
        <v>1235</v>
      </c>
      <c r="F498" s="158" t="s">
        <v>3860</v>
      </c>
      <c r="K498" t="s">
        <v>24</v>
      </c>
    </row>
    <row r="499" spans="1:11" hidden="1" x14ac:dyDescent="0.3">
      <c r="A499" s="158" t="s">
        <v>4581</v>
      </c>
      <c r="B499" s="158" t="s">
        <v>3917</v>
      </c>
      <c r="C499" s="158" t="s">
        <v>15</v>
      </c>
      <c r="D499" s="158" t="s">
        <v>2542</v>
      </c>
      <c r="E499" s="158" t="s">
        <v>2541</v>
      </c>
      <c r="F499" s="158" t="s">
        <v>3805</v>
      </c>
      <c r="J499" t="s">
        <v>3877</v>
      </c>
      <c r="K499" t="s">
        <v>35</v>
      </c>
    </row>
    <row r="500" spans="1:11" hidden="1" x14ac:dyDescent="0.3">
      <c r="A500" s="158" t="s">
        <v>4582</v>
      </c>
      <c r="B500" s="158" t="s">
        <v>3917</v>
      </c>
      <c r="C500" s="158" t="s">
        <v>15</v>
      </c>
      <c r="D500" s="158" t="s">
        <v>2540</v>
      </c>
      <c r="E500" s="158" t="s">
        <v>2539</v>
      </c>
      <c r="F500" s="158" t="s">
        <v>3805</v>
      </c>
      <c r="J500" t="s">
        <v>3877</v>
      </c>
      <c r="K500" t="s">
        <v>35</v>
      </c>
    </row>
    <row r="501" spans="1:11" hidden="1" x14ac:dyDescent="0.3">
      <c r="A501" s="158" t="s">
        <v>5175</v>
      </c>
      <c r="B501" s="158" t="s">
        <v>3821</v>
      </c>
      <c r="C501" s="158" t="s">
        <v>15</v>
      </c>
      <c r="D501" s="158" t="s">
        <v>1139</v>
      </c>
      <c r="E501" s="158" t="s">
        <v>1138</v>
      </c>
      <c r="F501" s="158" t="s">
        <v>3860</v>
      </c>
      <c r="K501" t="s">
        <v>35</v>
      </c>
    </row>
    <row r="502" spans="1:11" hidden="1" x14ac:dyDescent="0.3">
      <c r="A502" s="158" t="s">
        <v>4583</v>
      </c>
      <c r="B502" s="158" t="s">
        <v>3917</v>
      </c>
      <c r="C502" s="158" t="s">
        <v>15</v>
      </c>
      <c r="D502" s="158" t="s">
        <v>2538</v>
      </c>
      <c r="E502" s="158" t="s">
        <v>2537</v>
      </c>
      <c r="F502" s="158" t="s">
        <v>3805</v>
      </c>
      <c r="J502" t="s">
        <v>3877</v>
      </c>
      <c r="K502" t="s">
        <v>35</v>
      </c>
    </row>
    <row r="503" spans="1:11" hidden="1" x14ac:dyDescent="0.3">
      <c r="A503" s="158" t="s">
        <v>4075</v>
      </c>
      <c r="B503" s="158" t="s">
        <v>3859</v>
      </c>
      <c r="C503" s="158" t="s">
        <v>15</v>
      </c>
      <c r="D503" s="158" t="s">
        <v>56</v>
      </c>
      <c r="E503" s="158" t="s">
        <v>55</v>
      </c>
      <c r="F503" s="158" t="s">
        <v>3811</v>
      </c>
      <c r="K503" t="s">
        <v>4008</v>
      </c>
    </row>
    <row r="504" spans="1:11" x14ac:dyDescent="0.3">
      <c r="A504" s="158" t="s">
        <v>4584</v>
      </c>
      <c r="B504" s="158" t="s">
        <v>3810</v>
      </c>
      <c r="C504" s="158" t="s">
        <v>24</v>
      </c>
      <c r="D504" s="158" t="s">
        <v>2535</v>
      </c>
      <c r="E504" s="158" t="s">
        <v>2534</v>
      </c>
      <c r="F504" s="158" t="s">
        <v>3822</v>
      </c>
      <c r="G504" t="s">
        <v>3804</v>
      </c>
      <c r="J504" t="s">
        <v>3821</v>
      </c>
      <c r="K504" t="s">
        <v>43</v>
      </c>
    </row>
    <row r="505" spans="1:11" hidden="1" x14ac:dyDescent="0.3">
      <c r="A505" s="158" t="s">
        <v>4980</v>
      </c>
      <c r="B505" s="158" t="s">
        <v>3829</v>
      </c>
      <c r="C505" s="158" t="s">
        <v>43</v>
      </c>
      <c r="D505" s="158" t="s">
        <v>1616</v>
      </c>
      <c r="E505" s="158" t="s">
        <v>1615</v>
      </c>
      <c r="F505" s="158" t="s">
        <v>3805</v>
      </c>
      <c r="K505" t="s">
        <v>10</v>
      </c>
    </row>
    <row r="506" spans="1:11" hidden="1" x14ac:dyDescent="0.3">
      <c r="A506" s="158" t="s">
        <v>4585</v>
      </c>
      <c r="B506" s="158" t="s">
        <v>3810</v>
      </c>
      <c r="C506" s="158" t="s">
        <v>24</v>
      </c>
      <c r="D506" s="158" t="s">
        <v>2533</v>
      </c>
      <c r="E506" s="158" t="s">
        <v>2532</v>
      </c>
      <c r="F506" s="158" t="s">
        <v>3804</v>
      </c>
      <c r="J506" t="s">
        <v>3821</v>
      </c>
      <c r="K506" t="s">
        <v>43</v>
      </c>
    </row>
    <row r="507" spans="1:11" hidden="1" x14ac:dyDescent="0.3">
      <c r="A507" s="158" t="s">
        <v>4586</v>
      </c>
      <c r="B507" s="158" t="s">
        <v>3810</v>
      </c>
      <c r="C507" s="158" t="s">
        <v>24</v>
      </c>
      <c r="D507" s="158" t="s">
        <v>2531</v>
      </c>
      <c r="E507" s="158" t="s">
        <v>2530</v>
      </c>
      <c r="F507" s="158" t="s">
        <v>3805</v>
      </c>
      <c r="J507" t="s">
        <v>3821</v>
      </c>
      <c r="K507" t="s">
        <v>43</v>
      </c>
    </row>
    <row r="508" spans="1:11" hidden="1" x14ac:dyDescent="0.3">
      <c r="A508" s="158" t="s">
        <v>4587</v>
      </c>
      <c r="B508" s="158" t="s">
        <v>3810</v>
      </c>
      <c r="C508" s="158" t="s">
        <v>24</v>
      </c>
      <c r="D508" s="158" t="s">
        <v>668</v>
      </c>
      <c r="E508" s="158" t="s">
        <v>2529</v>
      </c>
      <c r="F508" s="158" t="s">
        <v>3900</v>
      </c>
      <c r="J508" t="s">
        <v>3821</v>
      </c>
      <c r="K508" t="s">
        <v>35</v>
      </c>
    </row>
    <row r="509" spans="1:11" hidden="1" x14ac:dyDescent="0.3">
      <c r="A509" s="158" t="s">
        <v>4588</v>
      </c>
      <c r="B509" s="158" t="s">
        <v>3810</v>
      </c>
      <c r="C509" s="158" t="s">
        <v>24</v>
      </c>
      <c r="D509" s="158" t="s">
        <v>2528</v>
      </c>
      <c r="E509" s="158" t="s">
        <v>2527</v>
      </c>
      <c r="F509" s="158" t="s">
        <v>3805</v>
      </c>
      <c r="J509" t="s">
        <v>3821</v>
      </c>
      <c r="K509" t="s">
        <v>43</v>
      </c>
    </row>
    <row r="510" spans="1:11" hidden="1" x14ac:dyDescent="0.3">
      <c r="A510" s="158" t="s">
        <v>4992</v>
      </c>
      <c r="B510" s="158" t="s">
        <v>3829</v>
      </c>
      <c r="C510" s="158" t="s">
        <v>15</v>
      </c>
      <c r="D510" s="158" t="s">
        <v>1574</v>
      </c>
      <c r="E510" s="158" t="s">
        <v>1573</v>
      </c>
      <c r="F510" s="158" t="s">
        <v>3805</v>
      </c>
      <c r="K510" t="s">
        <v>43</v>
      </c>
    </row>
    <row r="511" spans="1:11" hidden="1" x14ac:dyDescent="0.3">
      <c r="A511" s="158" t="s">
        <v>4589</v>
      </c>
      <c r="B511" s="158" t="s">
        <v>3810</v>
      </c>
      <c r="C511" s="158" t="s">
        <v>24</v>
      </c>
      <c r="D511" s="158" t="s">
        <v>2526</v>
      </c>
      <c r="E511" s="158" t="s">
        <v>2525</v>
      </c>
      <c r="F511" s="158" t="s">
        <v>3805</v>
      </c>
      <c r="J511" t="s">
        <v>3821</v>
      </c>
      <c r="K511" t="s">
        <v>43</v>
      </c>
    </row>
    <row r="512" spans="1:11" hidden="1" x14ac:dyDescent="0.3">
      <c r="A512" s="158" t="s">
        <v>4993</v>
      </c>
      <c r="B512" s="158" t="s">
        <v>3829</v>
      </c>
      <c r="C512" s="158" t="s">
        <v>15</v>
      </c>
      <c r="D512" s="158" t="s">
        <v>1571</v>
      </c>
      <c r="E512" s="158" t="s">
        <v>1570</v>
      </c>
      <c r="F512" s="158" t="s">
        <v>3805</v>
      </c>
      <c r="K512" t="s">
        <v>43</v>
      </c>
    </row>
    <row r="513" spans="1:11" hidden="1" x14ac:dyDescent="0.3">
      <c r="A513" s="158" t="s">
        <v>4590</v>
      </c>
      <c r="B513" s="158" t="s">
        <v>3810</v>
      </c>
      <c r="C513" s="158" t="s">
        <v>24</v>
      </c>
      <c r="D513" s="158" t="s">
        <v>2524</v>
      </c>
      <c r="E513" s="158" t="s">
        <v>2523</v>
      </c>
      <c r="F513" s="158" t="s">
        <v>3804</v>
      </c>
      <c r="J513" t="s">
        <v>3821</v>
      </c>
      <c r="K513" t="s">
        <v>43</v>
      </c>
    </row>
    <row r="514" spans="1:11" hidden="1" x14ac:dyDescent="0.3">
      <c r="A514" s="158" t="s">
        <v>4994</v>
      </c>
      <c r="B514" s="158" t="s">
        <v>3829</v>
      </c>
      <c r="C514" s="158" t="s">
        <v>15</v>
      </c>
      <c r="D514" s="158" t="s">
        <v>1568</v>
      </c>
      <c r="E514" s="158" t="s">
        <v>1566</v>
      </c>
      <c r="F514" s="158" t="s">
        <v>3805</v>
      </c>
      <c r="K514" t="s">
        <v>43</v>
      </c>
    </row>
    <row r="515" spans="1:11" hidden="1" x14ac:dyDescent="0.3">
      <c r="A515" s="158" t="s">
        <v>4591</v>
      </c>
      <c r="B515" s="158" t="s">
        <v>3810</v>
      </c>
      <c r="C515" s="158" t="s">
        <v>24</v>
      </c>
      <c r="D515" s="158" t="s">
        <v>2522</v>
      </c>
      <c r="E515" s="158" t="s">
        <v>2521</v>
      </c>
      <c r="F515" s="158" t="s">
        <v>3900</v>
      </c>
      <c r="J515" t="s">
        <v>3821</v>
      </c>
      <c r="K515" t="s">
        <v>35</v>
      </c>
    </row>
    <row r="516" spans="1:11" hidden="1" x14ac:dyDescent="0.3">
      <c r="A516" s="158" t="s">
        <v>4995</v>
      </c>
      <c r="B516" s="158" t="s">
        <v>3829</v>
      </c>
      <c r="C516" s="158" t="s">
        <v>15</v>
      </c>
      <c r="D516" s="158" t="s">
        <v>1567</v>
      </c>
      <c r="E516" s="158" t="s">
        <v>1566</v>
      </c>
      <c r="F516" s="158" t="s">
        <v>3805</v>
      </c>
      <c r="K516" t="s">
        <v>43</v>
      </c>
    </row>
    <row r="517" spans="1:11" hidden="1" x14ac:dyDescent="0.3">
      <c r="A517" s="158" t="s">
        <v>4592</v>
      </c>
      <c r="B517" s="158" t="s">
        <v>3810</v>
      </c>
      <c r="C517" s="158" t="s">
        <v>24</v>
      </c>
      <c r="D517" s="158" t="s">
        <v>2520</v>
      </c>
      <c r="E517" s="158" t="s">
        <v>2519</v>
      </c>
      <c r="F517" s="158" t="s">
        <v>3805</v>
      </c>
      <c r="J517" t="s">
        <v>3821</v>
      </c>
      <c r="K517" t="s">
        <v>35</v>
      </c>
    </row>
    <row r="518" spans="1:11" hidden="1" x14ac:dyDescent="0.3">
      <c r="A518" s="158" t="s">
        <v>4593</v>
      </c>
      <c r="B518" s="158" t="s">
        <v>3810</v>
      </c>
      <c r="C518" s="158" t="s">
        <v>24</v>
      </c>
      <c r="D518" s="158" t="s">
        <v>2518</v>
      </c>
      <c r="E518" s="158" t="s">
        <v>2517</v>
      </c>
      <c r="F518" s="158" t="s">
        <v>3805</v>
      </c>
      <c r="J518" t="s">
        <v>3821</v>
      </c>
      <c r="K518" t="s">
        <v>43</v>
      </c>
    </row>
    <row r="519" spans="1:11" hidden="1" x14ac:dyDescent="0.3">
      <c r="A519" s="158" t="s">
        <v>4594</v>
      </c>
      <c r="B519" s="158" t="s">
        <v>3810</v>
      </c>
      <c r="C519" s="158" t="s">
        <v>24</v>
      </c>
      <c r="D519" s="158" t="s">
        <v>2516</v>
      </c>
      <c r="E519" s="158" t="s">
        <v>2515</v>
      </c>
      <c r="F519" s="158" t="s">
        <v>3805</v>
      </c>
      <c r="J519" t="s">
        <v>3821</v>
      </c>
      <c r="K519" t="s">
        <v>43</v>
      </c>
    </row>
    <row r="520" spans="1:11" hidden="1" x14ac:dyDescent="0.3">
      <c r="A520" s="158" t="s">
        <v>4595</v>
      </c>
      <c r="B520" s="158" t="s">
        <v>3810</v>
      </c>
      <c r="C520" s="158" t="s">
        <v>24</v>
      </c>
      <c r="D520" s="158" t="s">
        <v>2514</v>
      </c>
      <c r="E520" s="158" t="s">
        <v>2513</v>
      </c>
      <c r="F520" s="158" t="s">
        <v>4010</v>
      </c>
      <c r="J520" t="s">
        <v>3821</v>
      </c>
      <c r="K520" t="s">
        <v>43</v>
      </c>
    </row>
    <row r="521" spans="1:11" hidden="1" x14ac:dyDescent="0.3">
      <c r="A521" s="158" t="s">
        <v>4596</v>
      </c>
      <c r="B521" s="158" t="s">
        <v>3810</v>
      </c>
      <c r="C521" s="158" t="s">
        <v>24</v>
      </c>
      <c r="D521" s="158" t="s">
        <v>2512</v>
      </c>
      <c r="E521" s="158" t="s">
        <v>2511</v>
      </c>
      <c r="F521" s="158" t="s">
        <v>3804</v>
      </c>
      <c r="J521" t="s">
        <v>3821</v>
      </c>
      <c r="K521" t="s">
        <v>43</v>
      </c>
    </row>
    <row r="522" spans="1:11" hidden="1" x14ac:dyDescent="0.3">
      <c r="A522" s="158" t="s">
        <v>4597</v>
      </c>
      <c r="B522" s="158" t="s">
        <v>3810</v>
      </c>
      <c r="C522" s="158" t="s">
        <v>24</v>
      </c>
      <c r="D522" s="158" t="s">
        <v>2510</v>
      </c>
      <c r="E522" s="158" t="s">
        <v>2509</v>
      </c>
      <c r="F522" s="158" t="s">
        <v>3805</v>
      </c>
      <c r="J522" t="s">
        <v>3821</v>
      </c>
      <c r="K522" t="s">
        <v>43</v>
      </c>
    </row>
    <row r="523" spans="1:11" hidden="1" x14ac:dyDescent="0.3">
      <c r="A523" s="158" t="s">
        <v>4598</v>
      </c>
      <c r="B523" s="158" t="s">
        <v>3810</v>
      </c>
      <c r="C523" s="158" t="s">
        <v>24</v>
      </c>
      <c r="D523" s="158" t="s">
        <v>2508</v>
      </c>
      <c r="E523" s="158" t="s">
        <v>2507</v>
      </c>
      <c r="F523" s="158" t="s">
        <v>4139</v>
      </c>
      <c r="J523" t="s">
        <v>3821</v>
      </c>
      <c r="K523" t="s">
        <v>43</v>
      </c>
    </row>
    <row r="524" spans="1:11" hidden="1" x14ac:dyDescent="0.3">
      <c r="A524" s="158" t="s">
        <v>4599</v>
      </c>
      <c r="B524" s="158" t="s">
        <v>3810</v>
      </c>
      <c r="C524" s="158" t="s">
        <v>24</v>
      </c>
      <c r="D524" s="158" t="s">
        <v>2506</v>
      </c>
      <c r="E524" s="158" t="s">
        <v>2505</v>
      </c>
      <c r="F524" s="158" t="s">
        <v>3822</v>
      </c>
      <c r="J524" t="s">
        <v>3821</v>
      </c>
      <c r="K524" t="s">
        <v>15</v>
      </c>
    </row>
    <row r="525" spans="1:11" hidden="1" x14ac:dyDescent="0.3">
      <c r="A525" s="158" t="s">
        <v>5139</v>
      </c>
      <c r="B525" s="158" t="s">
        <v>3821</v>
      </c>
      <c r="C525" s="158" t="s">
        <v>43</v>
      </c>
      <c r="D525" s="158" t="s">
        <v>1234</v>
      </c>
      <c r="E525" s="158" t="s">
        <v>1233</v>
      </c>
      <c r="F525" s="158" t="s">
        <v>3804</v>
      </c>
      <c r="K525" t="s">
        <v>10</v>
      </c>
    </row>
    <row r="526" spans="1:11" hidden="1" x14ac:dyDescent="0.3">
      <c r="A526" s="158" t="s">
        <v>4600</v>
      </c>
      <c r="B526" s="158" t="s">
        <v>3810</v>
      </c>
      <c r="C526" s="158" t="s">
        <v>24</v>
      </c>
      <c r="D526" s="158" t="s">
        <v>2504</v>
      </c>
      <c r="E526" s="158" t="s">
        <v>2503</v>
      </c>
      <c r="F526" s="158" t="s">
        <v>3805</v>
      </c>
      <c r="J526" t="s">
        <v>3821</v>
      </c>
      <c r="K526" t="s">
        <v>43</v>
      </c>
    </row>
    <row r="527" spans="1:11" hidden="1" x14ac:dyDescent="0.3">
      <c r="A527" s="158" t="s">
        <v>4601</v>
      </c>
      <c r="B527" s="158" t="s">
        <v>3810</v>
      </c>
      <c r="C527" s="158" t="s">
        <v>24</v>
      </c>
      <c r="D527" s="158" t="s">
        <v>2502</v>
      </c>
      <c r="E527" s="158" t="s">
        <v>2501</v>
      </c>
      <c r="F527" s="158" t="s">
        <v>5627</v>
      </c>
      <c r="J527" t="s">
        <v>3821</v>
      </c>
      <c r="K527" t="s">
        <v>43</v>
      </c>
    </row>
    <row r="528" spans="1:11" hidden="1" x14ac:dyDescent="0.3">
      <c r="A528" s="158" t="s">
        <v>4602</v>
      </c>
      <c r="B528" s="158" t="s">
        <v>3810</v>
      </c>
      <c r="C528" s="158" t="s">
        <v>24</v>
      </c>
      <c r="D528" s="158" t="s">
        <v>2500</v>
      </c>
      <c r="E528" s="158" t="s">
        <v>2499</v>
      </c>
      <c r="F528" s="158" t="s">
        <v>3822</v>
      </c>
      <c r="J528" t="s">
        <v>3821</v>
      </c>
      <c r="K528" t="s">
        <v>35</v>
      </c>
    </row>
    <row r="529" spans="1:11" hidden="1" x14ac:dyDescent="0.3">
      <c r="A529" s="158" t="s">
        <v>5110</v>
      </c>
      <c r="B529" s="158" t="s">
        <v>3821</v>
      </c>
      <c r="C529" s="158" t="s">
        <v>10</v>
      </c>
      <c r="D529" s="158" t="s">
        <v>1314</v>
      </c>
      <c r="E529" s="158" t="s">
        <v>1313</v>
      </c>
      <c r="F529" s="158" t="s">
        <v>3805</v>
      </c>
      <c r="J529" t="s">
        <v>4090</v>
      </c>
    </row>
    <row r="530" spans="1:11" hidden="1" x14ac:dyDescent="0.3">
      <c r="A530" s="158" t="s">
        <v>4996</v>
      </c>
      <c r="B530" s="158" t="s">
        <v>3829</v>
      </c>
      <c r="C530" s="158" t="s">
        <v>15</v>
      </c>
      <c r="D530" s="158" t="s">
        <v>1565</v>
      </c>
      <c r="E530" s="158" t="s">
        <v>1564</v>
      </c>
      <c r="F530" s="158" t="s">
        <v>3805</v>
      </c>
      <c r="K530" t="s">
        <v>24</v>
      </c>
    </row>
    <row r="531" spans="1:11" hidden="1" x14ac:dyDescent="0.3">
      <c r="A531" s="158" t="s">
        <v>4603</v>
      </c>
      <c r="B531" s="158" t="s">
        <v>3810</v>
      </c>
      <c r="C531" s="158" t="s">
        <v>24</v>
      </c>
      <c r="D531" s="158" t="s">
        <v>2497</v>
      </c>
      <c r="E531" s="158" t="s">
        <v>2496</v>
      </c>
      <c r="F531" s="158" t="s">
        <v>3822</v>
      </c>
      <c r="J531" t="s">
        <v>3821</v>
      </c>
      <c r="K531" t="s">
        <v>15</v>
      </c>
    </row>
    <row r="532" spans="1:11" hidden="1" x14ac:dyDescent="0.3">
      <c r="A532" s="158" t="s">
        <v>4997</v>
      </c>
      <c r="B532" s="158" t="s">
        <v>3829</v>
      </c>
      <c r="C532" s="158" t="s">
        <v>15</v>
      </c>
      <c r="D532" s="158" t="s">
        <v>1563</v>
      </c>
      <c r="E532" s="158" t="s">
        <v>1562</v>
      </c>
      <c r="F532" s="158" t="s">
        <v>3805</v>
      </c>
      <c r="J532" t="s">
        <v>3877</v>
      </c>
      <c r="K532" t="s">
        <v>24</v>
      </c>
    </row>
    <row r="533" spans="1:11" hidden="1" x14ac:dyDescent="0.3">
      <c r="A533" s="158" t="s">
        <v>4604</v>
      </c>
      <c r="B533" s="158" t="s">
        <v>3810</v>
      </c>
      <c r="C533" s="158" t="s">
        <v>24</v>
      </c>
      <c r="D533" s="158" t="s">
        <v>2494</v>
      </c>
      <c r="E533" s="158" t="s">
        <v>2493</v>
      </c>
      <c r="F533" s="158" t="s">
        <v>3804</v>
      </c>
      <c r="J533" t="s">
        <v>3821</v>
      </c>
      <c r="K533" t="s">
        <v>43</v>
      </c>
    </row>
    <row r="534" spans="1:11" hidden="1" x14ac:dyDescent="0.3">
      <c r="A534" s="158" t="s">
        <v>4605</v>
      </c>
      <c r="B534" s="158" t="s">
        <v>3810</v>
      </c>
      <c r="C534" s="158" t="s">
        <v>24</v>
      </c>
      <c r="D534" s="158" t="s">
        <v>2492</v>
      </c>
      <c r="E534" s="158" t="s">
        <v>2491</v>
      </c>
      <c r="F534" s="158" t="s">
        <v>3900</v>
      </c>
      <c r="J534" t="s">
        <v>3821</v>
      </c>
      <c r="K534" t="s">
        <v>43</v>
      </c>
    </row>
    <row r="535" spans="1:11" hidden="1" x14ac:dyDescent="0.3">
      <c r="A535" s="158" t="s">
        <v>4606</v>
      </c>
      <c r="B535" s="158" t="s">
        <v>3810</v>
      </c>
      <c r="C535" s="158" t="s">
        <v>24</v>
      </c>
      <c r="D535" s="158" t="s">
        <v>2490</v>
      </c>
      <c r="E535" s="158" t="s">
        <v>2489</v>
      </c>
      <c r="F535" s="158" t="s">
        <v>3822</v>
      </c>
      <c r="J535" t="s">
        <v>3821</v>
      </c>
      <c r="K535" t="s">
        <v>43</v>
      </c>
    </row>
    <row r="536" spans="1:11" hidden="1" x14ac:dyDescent="0.3">
      <c r="A536" s="158" t="s">
        <v>4607</v>
      </c>
      <c r="B536" s="158" t="s">
        <v>3810</v>
      </c>
      <c r="C536" s="158" t="s">
        <v>24</v>
      </c>
      <c r="D536" s="158" t="s">
        <v>2485</v>
      </c>
      <c r="E536" s="158" t="s">
        <v>2484</v>
      </c>
      <c r="F536" s="158" t="s">
        <v>3805</v>
      </c>
      <c r="J536" t="s">
        <v>3821</v>
      </c>
      <c r="K536" t="s">
        <v>35</v>
      </c>
    </row>
    <row r="537" spans="1:11" hidden="1" x14ac:dyDescent="0.3">
      <c r="A537" s="158" t="s">
        <v>4887</v>
      </c>
      <c r="B537" s="158" t="s">
        <v>3829</v>
      </c>
      <c r="C537" s="158" t="s">
        <v>24</v>
      </c>
      <c r="D537" s="158" t="s">
        <v>1795</v>
      </c>
      <c r="E537" s="158" t="s">
        <v>1794</v>
      </c>
      <c r="F537" s="158" t="s">
        <v>3822</v>
      </c>
      <c r="J537" t="s">
        <v>3838</v>
      </c>
      <c r="K537" t="s">
        <v>15</v>
      </c>
    </row>
    <row r="538" spans="1:11" hidden="1" x14ac:dyDescent="0.3">
      <c r="A538" s="158" t="s">
        <v>4608</v>
      </c>
      <c r="B538" s="158" t="s">
        <v>3810</v>
      </c>
      <c r="C538" s="158" t="s">
        <v>24</v>
      </c>
      <c r="D538" s="158" t="s">
        <v>2483</v>
      </c>
      <c r="E538" s="158" t="s">
        <v>2482</v>
      </c>
      <c r="F538" s="158" t="s">
        <v>3805</v>
      </c>
      <c r="J538" t="s">
        <v>3821</v>
      </c>
      <c r="K538" t="s">
        <v>15</v>
      </c>
    </row>
    <row r="539" spans="1:11" hidden="1" x14ac:dyDescent="0.3">
      <c r="A539" s="158" t="s">
        <v>4609</v>
      </c>
      <c r="B539" s="158" t="s">
        <v>3810</v>
      </c>
      <c r="C539" s="158" t="s">
        <v>24</v>
      </c>
      <c r="D539" s="158" t="s">
        <v>2481</v>
      </c>
      <c r="E539" s="158" t="s">
        <v>2480</v>
      </c>
      <c r="F539" s="158" t="s">
        <v>3805</v>
      </c>
      <c r="J539" t="s">
        <v>3821</v>
      </c>
      <c r="K539" t="s">
        <v>15</v>
      </c>
    </row>
    <row r="540" spans="1:11" hidden="1" x14ac:dyDescent="0.3">
      <c r="A540" s="158" t="s">
        <v>5176</v>
      </c>
      <c r="B540" s="158" t="s">
        <v>3821</v>
      </c>
      <c r="C540" s="158" t="s">
        <v>15</v>
      </c>
      <c r="D540" s="158" t="s">
        <v>1137</v>
      </c>
      <c r="E540" s="158" t="s">
        <v>1136</v>
      </c>
      <c r="F540" s="158" t="s">
        <v>3805</v>
      </c>
      <c r="K540" t="s">
        <v>35</v>
      </c>
    </row>
    <row r="541" spans="1:11" hidden="1" x14ac:dyDescent="0.3">
      <c r="A541" s="158" t="s">
        <v>4610</v>
      </c>
      <c r="B541" s="158" t="s">
        <v>3810</v>
      </c>
      <c r="C541" s="158" t="s">
        <v>24</v>
      </c>
      <c r="D541" s="158" t="s">
        <v>2479</v>
      </c>
      <c r="E541" s="158" t="s">
        <v>2478</v>
      </c>
      <c r="F541" s="158" t="s">
        <v>3805</v>
      </c>
      <c r="J541" t="s">
        <v>3821</v>
      </c>
      <c r="K541" t="s">
        <v>35</v>
      </c>
    </row>
    <row r="542" spans="1:11" hidden="1" x14ac:dyDescent="0.3">
      <c r="A542" s="158" t="s">
        <v>4945</v>
      </c>
      <c r="B542" s="158" t="s">
        <v>3829</v>
      </c>
      <c r="C542" s="158" t="s">
        <v>10</v>
      </c>
      <c r="D542" s="158" t="s">
        <v>1685</v>
      </c>
      <c r="E542" s="158" t="s">
        <v>1684</v>
      </c>
      <c r="F542" s="158" t="s">
        <v>4010</v>
      </c>
      <c r="K542" t="s">
        <v>15</v>
      </c>
    </row>
    <row r="543" spans="1:11" hidden="1" x14ac:dyDescent="0.3">
      <c r="A543" s="158" t="s">
        <v>4611</v>
      </c>
      <c r="B543" s="158" t="s">
        <v>3810</v>
      </c>
      <c r="C543" s="158" t="s">
        <v>24</v>
      </c>
      <c r="D543" s="158" t="s">
        <v>2477</v>
      </c>
      <c r="E543" s="158" t="s">
        <v>2476</v>
      </c>
      <c r="F543" s="158" t="s">
        <v>3805</v>
      </c>
      <c r="J543" t="s">
        <v>3821</v>
      </c>
      <c r="K543" t="s">
        <v>43</v>
      </c>
    </row>
    <row r="544" spans="1:11" hidden="1" x14ac:dyDescent="0.3">
      <c r="A544" s="158" t="s">
        <v>4946</v>
      </c>
      <c r="B544" s="158" t="s">
        <v>3829</v>
      </c>
      <c r="C544" s="158" t="s">
        <v>10</v>
      </c>
      <c r="D544" s="158" t="s">
        <v>1683</v>
      </c>
      <c r="E544" s="158" t="s">
        <v>1682</v>
      </c>
      <c r="F544" s="158" t="s">
        <v>3805</v>
      </c>
      <c r="K544" t="s">
        <v>15</v>
      </c>
    </row>
    <row r="545" spans="1:11" hidden="1" x14ac:dyDescent="0.3">
      <c r="A545" s="158" t="s">
        <v>4947</v>
      </c>
      <c r="B545" s="158" t="s">
        <v>3829</v>
      </c>
      <c r="C545" s="158" t="s">
        <v>10</v>
      </c>
      <c r="D545" s="158" t="s">
        <v>1681</v>
      </c>
      <c r="E545" s="158" t="s">
        <v>1680</v>
      </c>
      <c r="F545" s="158" t="s">
        <v>3822</v>
      </c>
      <c r="K545" t="s">
        <v>15</v>
      </c>
    </row>
    <row r="546" spans="1:11" hidden="1" x14ac:dyDescent="0.3">
      <c r="A546" s="158" t="s">
        <v>4612</v>
      </c>
      <c r="B546" s="158" t="s">
        <v>3810</v>
      </c>
      <c r="C546" s="158" t="s">
        <v>24</v>
      </c>
      <c r="D546" s="158" t="s">
        <v>2475</v>
      </c>
      <c r="E546" s="158" t="s">
        <v>2474</v>
      </c>
      <c r="F546" s="158" t="s">
        <v>4010</v>
      </c>
      <c r="J546" t="s">
        <v>3821</v>
      </c>
      <c r="K546" t="s">
        <v>15</v>
      </c>
    </row>
    <row r="547" spans="1:11" hidden="1" x14ac:dyDescent="0.3">
      <c r="A547" s="158" t="s">
        <v>4613</v>
      </c>
      <c r="B547" s="158" t="s">
        <v>3810</v>
      </c>
      <c r="C547" s="158" t="s">
        <v>24</v>
      </c>
      <c r="D547" s="158" t="s">
        <v>2473</v>
      </c>
      <c r="E547" s="158" t="s">
        <v>147</v>
      </c>
      <c r="F547" s="158" t="s">
        <v>3805</v>
      </c>
      <c r="J547" t="s">
        <v>3821</v>
      </c>
      <c r="K547" t="s">
        <v>43</v>
      </c>
    </row>
    <row r="548" spans="1:11" hidden="1" x14ac:dyDescent="0.3">
      <c r="A548" s="158" t="s">
        <v>4614</v>
      </c>
      <c r="B548" s="158" t="s">
        <v>3810</v>
      </c>
      <c r="C548" s="158" t="s">
        <v>24</v>
      </c>
      <c r="D548" s="158" t="s">
        <v>2471</v>
      </c>
      <c r="E548" s="158" t="s">
        <v>2470</v>
      </c>
      <c r="F548" s="158" t="s">
        <v>3805</v>
      </c>
      <c r="J548" t="s">
        <v>3821</v>
      </c>
      <c r="K548" t="s">
        <v>35</v>
      </c>
    </row>
    <row r="549" spans="1:11" hidden="1" x14ac:dyDescent="0.3">
      <c r="A549" s="158" t="s">
        <v>4615</v>
      </c>
      <c r="B549" s="158" t="s">
        <v>3810</v>
      </c>
      <c r="C549" s="158" t="s">
        <v>24</v>
      </c>
      <c r="D549" s="158" t="s">
        <v>2467</v>
      </c>
      <c r="E549" s="158" t="s">
        <v>2466</v>
      </c>
      <c r="F549" s="158" t="s">
        <v>3822</v>
      </c>
      <c r="J549" t="s">
        <v>3821</v>
      </c>
      <c r="K549" t="s">
        <v>15</v>
      </c>
    </row>
    <row r="550" spans="1:11" hidden="1" x14ac:dyDescent="0.3">
      <c r="A550" s="158" t="s">
        <v>4998</v>
      </c>
      <c r="B550" s="158" t="s">
        <v>3829</v>
      </c>
      <c r="C550" s="158" t="s">
        <v>15</v>
      </c>
      <c r="D550" s="158" t="s">
        <v>1561</v>
      </c>
      <c r="E550" s="158" t="s">
        <v>1560</v>
      </c>
      <c r="F550" s="158" t="s">
        <v>3822</v>
      </c>
      <c r="K550" t="s">
        <v>24</v>
      </c>
    </row>
    <row r="551" spans="1:11" hidden="1" x14ac:dyDescent="0.3">
      <c r="A551" s="158" t="s">
        <v>5177</v>
      </c>
      <c r="B551" s="158" t="s">
        <v>3821</v>
      </c>
      <c r="C551" s="158" t="s">
        <v>15</v>
      </c>
      <c r="D551" s="158" t="s">
        <v>1135</v>
      </c>
      <c r="E551" s="158" t="s">
        <v>1134</v>
      </c>
      <c r="F551" s="158" t="s">
        <v>5627</v>
      </c>
      <c r="K551" t="s">
        <v>35</v>
      </c>
    </row>
    <row r="552" spans="1:11" hidden="1" x14ac:dyDescent="0.3">
      <c r="A552" s="158" t="s">
        <v>4663</v>
      </c>
      <c r="B552" s="158" t="s">
        <v>3810</v>
      </c>
      <c r="C552" s="158" t="s">
        <v>10</v>
      </c>
      <c r="D552" s="158" t="s">
        <v>2337</v>
      </c>
      <c r="E552" s="158" t="s">
        <v>2336</v>
      </c>
      <c r="F552" s="158" t="s">
        <v>3805</v>
      </c>
      <c r="J552" t="s">
        <v>3859</v>
      </c>
      <c r="K552" t="s">
        <v>24</v>
      </c>
    </row>
    <row r="553" spans="1:11" hidden="1" x14ac:dyDescent="0.3">
      <c r="A553" s="158" t="s">
        <v>5031</v>
      </c>
      <c r="B553" s="158" t="s">
        <v>3821</v>
      </c>
      <c r="C553" s="158" t="s">
        <v>24</v>
      </c>
      <c r="D553" s="158" t="s">
        <v>1495</v>
      </c>
      <c r="E553" s="158" t="s">
        <v>1494</v>
      </c>
      <c r="F553" s="158" t="s">
        <v>3805</v>
      </c>
      <c r="J553" t="s">
        <v>3810</v>
      </c>
    </row>
    <row r="554" spans="1:11" hidden="1" x14ac:dyDescent="0.3">
      <c r="A554" s="158" t="s">
        <v>4636</v>
      </c>
      <c r="B554" s="158" t="s">
        <v>3810</v>
      </c>
      <c r="C554" s="158" t="s">
        <v>35</v>
      </c>
      <c r="D554" s="158" t="s">
        <v>2416</v>
      </c>
      <c r="E554" s="158" t="s">
        <v>2415</v>
      </c>
      <c r="F554" s="158" t="s">
        <v>4139</v>
      </c>
      <c r="J554" t="s">
        <v>3804</v>
      </c>
      <c r="K554" t="s">
        <v>24</v>
      </c>
    </row>
    <row r="555" spans="1:11" hidden="1" x14ac:dyDescent="0.3">
      <c r="A555" s="158" t="s">
        <v>4637</v>
      </c>
      <c r="B555" s="158" t="s">
        <v>3810</v>
      </c>
      <c r="C555" s="158" t="s">
        <v>35</v>
      </c>
      <c r="D555" s="158" t="s">
        <v>2414</v>
      </c>
      <c r="E555" s="158" t="s">
        <v>2413</v>
      </c>
      <c r="F555" s="158" t="s">
        <v>3805</v>
      </c>
      <c r="J555" t="s">
        <v>3804</v>
      </c>
      <c r="K555" t="s">
        <v>24</v>
      </c>
    </row>
    <row r="556" spans="1:11" hidden="1" x14ac:dyDescent="0.3">
      <c r="A556" s="158" t="s">
        <v>4638</v>
      </c>
      <c r="B556" s="158" t="s">
        <v>3810</v>
      </c>
      <c r="C556" s="158" t="s">
        <v>35</v>
      </c>
      <c r="D556" s="158" t="s">
        <v>2411</v>
      </c>
      <c r="E556" s="158" t="s">
        <v>2410</v>
      </c>
      <c r="F556" s="158" t="s">
        <v>3900</v>
      </c>
      <c r="J556" t="s">
        <v>3838</v>
      </c>
      <c r="K556" t="s">
        <v>15</v>
      </c>
    </row>
    <row r="557" spans="1:11" hidden="1" x14ac:dyDescent="0.3">
      <c r="A557" s="158" t="s">
        <v>4640</v>
      </c>
      <c r="B557" s="158" t="s">
        <v>3810</v>
      </c>
      <c r="C557" s="158" t="s">
        <v>35</v>
      </c>
      <c r="D557" s="158" t="s">
        <v>2407</v>
      </c>
      <c r="E557" s="158" t="s">
        <v>2406</v>
      </c>
      <c r="F557" s="158" t="s">
        <v>3822</v>
      </c>
      <c r="J557" t="s">
        <v>3829</v>
      </c>
      <c r="K557" t="s">
        <v>15</v>
      </c>
    </row>
    <row r="558" spans="1:11" hidden="1" x14ac:dyDescent="0.3">
      <c r="A558" s="158" t="s">
        <v>4641</v>
      </c>
      <c r="B558" s="158" t="s">
        <v>3810</v>
      </c>
      <c r="C558" s="158" t="s">
        <v>35</v>
      </c>
      <c r="D558" s="158" t="s">
        <v>2405</v>
      </c>
      <c r="E558" s="158" t="s">
        <v>2404</v>
      </c>
      <c r="F558" s="158" t="s">
        <v>3805</v>
      </c>
      <c r="J558" t="s">
        <v>3838</v>
      </c>
      <c r="K558" t="s">
        <v>15</v>
      </c>
    </row>
    <row r="559" spans="1:11" hidden="1" x14ac:dyDescent="0.3">
      <c r="A559" s="158" t="s">
        <v>4861</v>
      </c>
      <c r="B559" s="158" t="s">
        <v>3877</v>
      </c>
      <c r="C559" s="158" t="s">
        <v>10</v>
      </c>
      <c r="D559" s="158" t="s">
        <v>1864</v>
      </c>
      <c r="E559" s="158" t="s">
        <v>1863</v>
      </c>
      <c r="F559" s="158" t="s">
        <v>3805</v>
      </c>
      <c r="K559" t="s">
        <v>24</v>
      </c>
    </row>
    <row r="560" spans="1:11" hidden="1" x14ac:dyDescent="0.3">
      <c r="A560" s="158" t="s">
        <v>4642</v>
      </c>
      <c r="B560" s="158" t="s">
        <v>3810</v>
      </c>
      <c r="C560" s="158" t="s">
        <v>35</v>
      </c>
      <c r="D560" s="158" t="s">
        <v>2403</v>
      </c>
      <c r="E560" s="158" t="s">
        <v>2402</v>
      </c>
      <c r="F560" s="158" t="s">
        <v>5627</v>
      </c>
      <c r="J560" t="s">
        <v>3838</v>
      </c>
      <c r="K560" t="s">
        <v>15</v>
      </c>
    </row>
    <row r="561" spans="1:11" hidden="1" x14ac:dyDescent="0.3">
      <c r="A561" s="158" t="s">
        <v>4643</v>
      </c>
      <c r="B561" s="158" t="s">
        <v>3810</v>
      </c>
      <c r="C561" s="158" t="s">
        <v>35</v>
      </c>
      <c r="D561" s="158" t="s">
        <v>2400</v>
      </c>
      <c r="E561" s="158" t="s">
        <v>2399</v>
      </c>
      <c r="F561" s="158" t="s">
        <v>3805</v>
      </c>
      <c r="J561" t="s">
        <v>3821</v>
      </c>
      <c r="K561" t="s">
        <v>24</v>
      </c>
    </row>
    <row r="562" spans="1:11" hidden="1" x14ac:dyDescent="0.3">
      <c r="A562" s="158" t="s">
        <v>4999</v>
      </c>
      <c r="B562" s="158" t="s">
        <v>3829</v>
      </c>
      <c r="C562" s="158" t="s">
        <v>15</v>
      </c>
      <c r="D562" s="158" t="s">
        <v>1558</v>
      </c>
      <c r="E562" s="158" t="s">
        <v>1557</v>
      </c>
      <c r="F562" s="158" t="s">
        <v>4139</v>
      </c>
      <c r="K562" t="s">
        <v>43</v>
      </c>
    </row>
    <row r="563" spans="1:11" hidden="1" x14ac:dyDescent="0.3">
      <c r="A563" s="158" t="s">
        <v>4672</v>
      </c>
      <c r="B563" s="158" t="s">
        <v>3810</v>
      </c>
      <c r="C563" s="158" t="s">
        <v>15</v>
      </c>
      <c r="D563" s="158" t="s">
        <v>2217</v>
      </c>
      <c r="E563" s="158" t="s">
        <v>2216</v>
      </c>
      <c r="F563" s="158" t="s">
        <v>3805</v>
      </c>
      <c r="J563" t="s">
        <v>3859</v>
      </c>
      <c r="K563" t="s">
        <v>10</v>
      </c>
    </row>
    <row r="564" spans="1:11" hidden="1" x14ac:dyDescent="0.3">
      <c r="A564" s="158" t="s">
        <v>4644</v>
      </c>
      <c r="B564" s="158" t="s">
        <v>3810</v>
      </c>
      <c r="C564" s="158" t="s">
        <v>35</v>
      </c>
      <c r="D564" s="158" t="s">
        <v>2398</v>
      </c>
      <c r="E564" s="158" t="s">
        <v>2397</v>
      </c>
      <c r="F564" s="158" t="s">
        <v>3805</v>
      </c>
      <c r="J564" t="s">
        <v>3838</v>
      </c>
      <c r="K564" t="s">
        <v>15</v>
      </c>
    </row>
    <row r="565" spans="1:11" x14ac:dyDescent="0.3">
      <c r="A565" s="158" t="s">
        <v>4645</v>
      </c>
      <c r="B565" s="158" t="s">
        <v>3810</v>
      </c>
      <c r="C565" s="158" t="s">
        <v>35</v>
      </c>
      <c r="D565" s="158" t="s">
        <v>2396</v>
      </c>
      <c r="E565" s="158" t="s">
        <v>2395</v>
      </c>
      <c r="F565" s="158" t="s">
        <v>3822</v>
      </c>
      <c r="G565" t="s">
        <v>3804</v>
      </c>
      <c r="J565" t="s">
        <v>3804</v>
      </c>
      <c r="K565" t="s">
        <v>24</v>
      </c>
    </row>
    <row r="566" spans="1:11" hidden="1" x14ac:dyDescent="0.3">
      <c r="A566" s="158" t="s">
        <v>4646</v>
      </c>
      <c r="B566" s="158" t="s">
        <v>3810</v>
      </c>
      <c r="C566" s="158" t="s">
        <v>35</v>
      </c>
      <c r="D566" s="158" t="s">
        <v>2392</v>
      </c>
      <c r="E566" s="158" t="s">
        <v>2391</v>
      </c>
      <c r="F566" s="158" t="s">
        <v>3805</v>
      </c>
      <c r="K566" t="s">
        <v>43</v>
      </c>
    </row>
    <row r="567" spans="1:11" hidden="1" x14ac:dyDescent="0.3">
      <c r="A567" s="158" t="s">
        <v>4647</v>
      </c>
      <c r="B567" s="158" t="s">
        <v>3810</v>
      </c>
      <c r="C567" s="158" t="s">
        <v>35</v>
      </c>
      <c r="D567" s="158" t="s">
        <v>2390</v>
      </c>
      <c r="E567" s="158" t="s">
        <v>2389</v>
      </c>
      <c r="F567" s="158" t="s">
        <v>3822</v>
      </c>
      <c r="J567" t="s">
        <v>3838</v>
      </c>
      <c r="K567" t="s">
        <v>15</v>
      </c>
    </row>
    <row r="568" spans="1:11" hidden="1" x14ac:dyDescent="0.3">
      <c r="A568" s="158" t="s">
        <v>4648</v>
      </c>
      <c r="B568" s="158" t="s">
        <v>3810</v>
      </c>
      <c r="C568" s="158" t="s">
        <v>35</v>
      </c>
      <c r="D568" s="158" t="s">
        <v>2388</v>
      </c>
      <c r="E568" s="158" t="s">
        <v>2387</v>
      </c>
      <c r="F568" s="158" t="s">
        <v>3805</v>
      </c>
      <c r="J568" t="s">
        <v>3838</v>
      </c>
      <c r="K568" t="s">
        <v>15</v>
      </c>
    </row>
    <row r="569" spans="1:11" hidden="1" x14ac:dyDescent="0.3">
      <c r="A569" s="158" t="s">
        <v>4649</v>
      </c>
      <c r="B569" s="158" t="s">
        <v>3810</v>
      </c>
      <c r="C569" s="158" t="s">
        <v>35</v>
      </c>
      <c r="D569" s="158" t="s">
        <v>2386</v>
      </c>
      <c r="E569" s="158" t="s">
        <v>2385</v>
      </c>
      <c r="F569" s="158" t="s">
        <v>3805</v>
      </c>
      <c r="J569" t="s">
        <v>3838</v>
      </c>
      <c r="K569" t="s">
        <v>15</v>
      </c>
    </row>
    <row r="570" spans="1:11" hidden="1" x14ac:dyDescent="0.3">
      <c r="A570" s="158" t="s">
        <v>4650</v>
      </c>
      <c r="B570" s="158" t="s">
        <v>3810</v>
      </c>
      <c r="C570" s="158" t="s">
        <v>35</v>
      </c>
      <c r="D570" s="158" t="s">
        <v>3656</v>
      </c>
      <c r="E570" s="158" t="s">
        <v>2383</v>
      </c>
      <c r="F570" s="158" t="s">
        <v>3805</v>
      </c>
      <c r="J570" t="s">
        <v>3821</v>
      </c>
      <c r="K570" t="s">
        <v>24</v>
      </c>
    </row>
    <row r="571" spans="1:11" hidden="1" x14ac:dyDescent="0.3">
      <c r="A571" s="158" t="s">
        <v>5179</v>
      </c>
      <c r="B571" s="158" t="s">
        <v>3821</v>
      </c>
      <c r="C571" s="158" t="s">
        <v>15</v>
      </c>
      <c r="D571" s="158" t="s">
        <v>1131</v>
      </c>
      <c r="E571" s="158" t="s">
        <v>1130</v>
      </c>
      <c r="F571" s="158" t="s">
        <v>3805</v>
      </c>
      <c r="K571" t="s">
        <v>35</v>
      </c>
    </row>
    <row r="572" spans="1:11" hidden="1" x14ac:dyDescent="0.3">
      <c r="A572" s="158" t="s">
        <v>5180</v>
      </c>
      <c r="B572" s="158" t="s">
        <v>3821</v>
      </c>
      <c r="C572" s="158" t="s">
        <v>15</v>
      </c>
      <c r="D572" s="158" t="s">
        <v>1128</v>
      </c>
      <c r="E572" s="158" t="s">
        <v>1127</v>
      </c>
      <c r="F572" s="158" t="s">
        <v>3805</v>
      </c>
      <c r="K572" t="s">
        <v>35</v>
      </c>
    </row>
    <row r="573" spans="1:11" x14ac:dyDescent="0.3">
      <c r="A573" s="158" t="s">
        <v>4651</v>
      </c>
      <c r="B573" s="158" t="s">
        <v>3810</v>
      </c>
      <c r="C573" s="158" t="s">
        <v>35</v>
      </c>
      <c r="D573" s="158" t="s">
        <v>2380</v>
      </c>
      <c r="E573" s="158" t="s">
        <v>2379</v>
      </c>
      <c r="F573" s="158" t="s">
        <v>4139</v>
      </c>
      <c r="G573" t="s">
        <v>5627</v>
      </c>
      <c r="J573" t="s">
        <v>3821</v>
      </c>
      <c r="K573" t="s">
        <v>24</v>
      </c>
    </row>
    <row r="574" spans="1:11" hidden="1" x14ac:dyDescent="0.3">
      <c r="A574" s="158" t="s">
        <v>5032</v>
      </c>
      <c r="B574" s="158" t="s">
        <v>3821</v>
      </c>
      <c r="C574" s="158" t="s">
        <v>24</v>
      </c>
      <c r="D574" s="158" t="s">
        <v>1493</v>
      </c>
      <c r="E574" s="158" t="s">
        <v>1492</v>
      </c>
      <c r="F574" s="158" t="s">
        <v>3805</v>
      </c>
      <c r="J574" t="s">
        <v>4090</v>
      </c>
    </row>
    <row r="575" spans="1:11" hidden="1" x14ac:dyDescent="0.3">
      <c r="A575" s="158" t="s">
        <v>5140</v>
      </c>
      <c r="B575" s="158" t="s">
        <v>3821</v>
      </c>
      <c r="C575" s="158" t="s">
        <v>43</v>
      </c>
      <c r="D575" s="158" t="s">
        <v>1231</v>
      </c>
      <c r="E575" s="158" t="s">
        <v>1230</v>
      </c>
      <c r="F575" s="158" t="s">
        <v>4010</v>
      </c>
      <c r="K575" t="s">
        <v>24</v>
      </c>
    </row>
    <row r="576" spans="1:11" hidden="1" x14ac:dyDescent="0.3">
      <c r="A576" s="158" t="s">
        <v>4664</v>
      </c>
      <c r="B576" s="158" t="s">
        <v>3810</v>
      </c>
      <c r="C576" s="158" t="s">
        <v>10</v>
      </c>
      <c r="D576" s="158" t="s">
        <v>2095</v>
      </c>
      <c r="E576" s="158" t="s">
        <v>2335</v>
      </c>
      <c r="F576" s="158" t="s">
        <v>3805</v>
      </c>
      <c r="J576" t="s">
        <v>3859</v>
      </c>
      <c r="K576" t="s">
        <v>35</v>
      </c>
    </row>
    <row r="577" spans="1:11" hidden="1" x14ac:dyDescent="0.3">
      <c r="A577" s="158" t="s">
        <v>4766</v>
      </c>
      <c r="B577" s="158" t="s">
        <v>3877</v>
      </c>
      <c r="C577" s="158" t="s">
        <v>24</v>
      </c>
      <c r="D577" s="158" t="s">
        <v>2097</v>
      </c>
      <c r="E577" s="158" t="s">
        <v>2096</v>
      </c>
      <c r="F577" s="158" t="s">
        <v>3805</v>
      </c>
      <c r="K577" t="s">
        <v>10</v>
      </c>
    </row>
    <row r="578" spans="1:11" hidden="1" x14ac:dyDescent="0.3">
      <c r="A578" s="158" t="s">
        <v>5033</v>
      </c>
      <c r="B578" s="158" t="s">
        <v>3821</v>
      </c>
      <c r="C578" s="158" t="s">
        <v>24</v>
      </c>
      <c r="D578" s="158" t="s">
        <v>1490</v>
      </c>
      <c r="E578" s="158" t="s">
        <v>1489</v>
      </c>
      <c r="F578" s="158" t="s">
        <v>4139</v>
      </c>
      <c r="J578" t="s">
        <v>3810</v>
      </c>
    </row>
    <row r="579" spans="1:11" hidden="1" x14ac:dyDescent="0.3">
      <c r="A579" s="158" t="s">
        <v>4665</v>
      </c>
      <c r="B579" s="158" t="s">
        <v>3810</v>
      </c>
      <c r="C579" s="158" t="s">
        <v>10</v>
      </c>
      <c r="D579" s="158" t="s">
        <v>2334</v>
      </c>
      <c r="E579" s="158" t="s">
        <v>2333</v>
      </c>
      <c r="F579" s="158" t="s">
        <v>3822</v>
      </c>
      <c r="J579" t="s">
        <v>3859</v>
      </c>
      <c r="K579" t="s">
        <v>24</v>
      </c>
    </row>
    <row r="580" spans="1:11" hidden="1" x14ac:dyDescent="0.3">
      <c r="A580" s="158" t="s">
        <v>4666</v>
      </c>
      <c r="B580" s="158" t="s">
        <v>3810</v>
      </c>
      <c r="C580" s="158" t="s">
        <v>10</v>
      </c>
      <c r="D580" s="158" t="s">
        <v>2332</v>
      </c>
      <c r="E580" s="158" t="s">
        <v>2331</v>
      </c>
      <c r="F580" s="158" t="s">
        <v>3805</v>
      </c>
      <c r="J580" t="s">
        <v>3859</v>
      </c>
      <c r="K580" t="s">
        <v>35</v>
      </c>
    </row>
    <row r="581" spans="1:11" x14ac:dyDescent="0.3">
      <c r="A581" s="158" t="s">
        <v>4981</v>
      </c>
      <c r="B581" s="158" t="s">
        <v>3829</v>
      </c>
      <c r="C581" s="158" t="s">
        <v>43</v>
      </c>
      <c r="D581" s="158" t="s">
        <v>1614</v>
      </c>
      <c r="E581" s="158" t="s">
        <v>1613</v>
      </c>
      <c r="F581" s="158" t="s">
        <v>3804</v>
      </c>
      <c r="G581" t="s">
        <v>3822</v>
      </c>
      <c r="K581" t="s">
        <v>10</v>
      </c>
    </row>
    <row r="582" spans="1:11" hidden="1" x14ac:dyDescent="0.3">
      <c r="A582" s="158" t="s">
        <v>4667</v>
      </c>
      <c r="B582" s="158" t="s">
        <v>3810</v>
      </c>
      <c r="C582" s="158" t="s">
        <v>10</v>
      </c>
      <c r="D582" s="158" t="s">
        <v>2329</v>
      </c>
      <c r="E582" s="158" t="s">
        <v>2328</v>
      </c>
      <c r="F582" s="158" t="s">
        <v>3805</v>
      </c>
      <c r="J582" t="s">
        <v>3859</v>
      </c>
      <c r="K582" t="s">
        <v>24</v>
      </c>
    </row>
    <row r="583" spans="1:11" hidden="1" x14ac:dyDescent="0.3">
      <c r="A583" s="158" t="s">
        <v>5141</v>
      </c>
      <c r="B583" s="158" t="s">
        <v>3821</v>
      </c>
      <c r="C583" s="158" t="s">
        <v>43</v>
      </c>
      <c r="D583" s="158" t="s">
        <v>1229</v>
      </c>
      <c r="E583" s="158" t="s">
        <v>1228</v>
      </c>
      <c r="F583" s="158" t="s">
        <v>3805</v>
      </c>
      <c r="K583" t="s">
        <v>24</v>
      </c>
    </row>
    <row r="584" spans="1:11" hidden="1" x14ac:dyDescent="0.3">
      <c r="A584" s="158" t="s">
        <v>4668</v>
      </c>
      <c r="B584" s="158" t="s">
        <v>3810</v>
      </c>
      <c r="C584" s="158" t="s">
        <v>10</v>
      </c>
      <c r="D584" s="158" t="s">
        <v>2326</v>
      </c>
      <c r="E584" s="158" t="s">
        <v>2325</v>
      </c>
      <c r="F584" s="158" t="s">
        <v>3822</v>
      </c>
      <c r="K584" t="s">
        <v>15</v>
      </c>
    </row>
    <row r="585" spans="1:11" hidden="1" x14ac:dyDescent="0.3">
      <c r="A585" s="158" t="s">
        <v>4670</v>
      </c>
      <c r="B585" s="158" t="s">
        <v>3810</v>
      </c>
      <c r="C585" s="158" t="s">
        <v>10</v>
      </c>
      <c r="D585" s="158" t="s">
        <v>2322</v>
      </c>
      <c r="E585" s="158" t="s">
        <v>2321</v>
      </c>
      <c r="F585" s="158" t="s">
        <v>3805</v>
      </c>
      <c r="J585" t="s">
        <v>3859</v>
      </c>
      <c r="K585" t="s">
        <v>24</v>
      </c>
    </row>
    <row r="586" spans="1:11" hidden="1" x14ac:dyDescent="0.3">
      <c r="A586" s="158" t="s">
        <v>5034</v>
      </c>
      <c r="B586" s="158" t="s">
        <v>3821</v>
      </c>
      <c r="C586" s="158" t="s">
        <v>24</v>
      </c>
      <c r="D586" s="158" t="s">
        <v>1488</v>
      </c>
      <c r="E586" s="158" t="s">
        <v>1487</v>
      </c>
      <c r="F586" s="158" t="s">
        <v>3804</v>
      </c>
      <c r="J586" t="s">
        <v>3810</v>
      </c>
      <c r="K586" t="s">
        <v>10</v>
      </c>
    </row>
    <row r="587" spans="1:11" hidden="1" x14ac:dyDescent="0.3">
      <c r="A587" s="158" t="s">
        <v>4671</v>
      </c>
      <c r="B587" s="158" t="s">
        <v>3810</v>
      </c>
      <c r="C587" s="158" t="s">
        <v>43</v>
      </c>
      <c r="D587" s="158" t="s">
        <v>2262</v>
      </c>
      <c r="E587" s="158" t="s">
        <v>2261</v>
      </c>
      <c r="F587" s="158" t="s">
        <v>3805</v>
      </c>
      <c r="K587" t="s">
        <v>15</v>
      </c>
    </row>
    <row r="588" spans="1:11" hidden="1" x14ac:dyDescent="0.3">
      <c r="A588" s="158" t="s">
        <v>5000</v>
      </c>
      <c r="B588" s="158" t="s">
        <v>3829</v>
      </c>
      <c r="C588" s="158" t="s">
        <v>15</v>
      </c>
      <c r="D588" s="158" t="s">
        <v>1555</v>
      </c>
      <c r="E588" s="158" t="s">
        <v>1554</v>
      </c>
      <c r="F588" s="158" t="s">
        <v>3805</v>
      </c>
      <c r="K588" t="s">
        <v>43</v>
      </c>
    </row>
    <row r="589" spans="1:11" hidden="1" x14ac:dyDescent="0.3">
      <c r="A589" s="158" t="s">
        <v>5065</v>
      </c>
      <c r="B589" s="158" t="s">
        <v>3821</v>
      </c>
      <c r="C589" s="158" t="s">
        <v>35</v>
      </c>
      <c r="D589" s="158" t="s">
        <v>1422</v>
      </c>
      <c r="E589" s="158" t="s">
        <v>1421</v>
      </c>
      <c r="F589" s="158" t="s">
        <v>3805</v>
      </c>
      <c r="K589" t="s">
        <v>15</v>
      </c>
    </row>
    <row r="590" spans="1:11" hidden="1" x14ac:dyDescent="0.3">
      <c r="A590" s="158" t="s">
        <v>4676</v>
      </c>
      <c r="B590" s="158" t="s">
        <v>3810</v>
      </c>
      <c r="C590" s="158" t="s">
        <v>15</v>
      </c>
      <c r="D590" s="158" t="s">
        <v>2206</v>
      </c>
      <c r="E590" s="158" t="s">
        <v>2205</v>
      </c>
      <c r="F590" s="158" t="s">
        <v>3805</v>
      </c>
      <c r="K590" t="s">
        <v>43</v>
      </c>
    </row>
    <row r="591" spans="1:11" hidden="1" x14ac:dyDescent="0.3">
      <c r="A591" s="158" t="s">
        <v>5001</v>
      </c>
      <c r="B591" s="158" t="s">
        <v>3829</v>
      </c>
      <c r="C591" s="158" t="s">
        <v>15</v>
      </c>
      <c r="D591" s="158" t="s">
        <v>1553</v>
      </c>
      <c r="E591" s="158" t="s">
        <v>1552</v>
      </c>
      <c r="F591" s="158" t="s">
        <v>3805</v>
      </c>
      <c r="K591" t="s">
        <v>43</v>
      </c>
    </row>
    <row r="592" spans="1:11" hidden="1" x14ac:dyDescent="0.3">
      <c r="A592" s="158" t="s">
        <v>4863</v>
      </c>
      <c r="B592" s="158" t="s">
        <v>3877</v>
      </c>
      <c r="C592" s="158" t="s">
        <v>35</v>
      </c>
      <c r="D592" s="158" t="s">
        <v>1859</v>
      </c>
      <c r="E592" s="158" t="s">
        <v>1858</v>
      </c>
      <c r="F592" s="158" t="s">
        <v>3804</v>
      </c>
      <c r="J592" t="s">
        <v>3838</v>
      </c>
      <c r="K592" t="s">
        <v>15</v>
      </c>
    </row>
    <row r="593" spans="1:11" x14ac:dyDescent="0.3">
      <c r="A593" s="158" t="s">
        <v>4700</v>
      </c>
      <c r="B593" s="158" t="s">
        <v>3810</v>
      </c>
      <c r="C593" s="158" t="s">
        <v>15</v>
      </c>
      <c r="D593" s="158" t="s">
        <v>2193</v>
      </c>
      <c r="E593" s="158" t="s">
        <v>2192</v>
      </c>
      <c r="F593" s="158" t="s">
        <v>3822</v>
      </c>
      <c r="G593" t="s">
        <v>3804</v>
      </c>
    </row>
    <row r="594" spans="1:11" hidden="1" x14ac:dyDescent="0.3">
      <c r="A594" s="158" t="s">
        <v>4706</v>
      </c>
      <c r="B594" s="158" t="s">
        <v>3810</v>
      </c>
      <c r="C594" s="158" t="s">
        <v>15</v>
      </c>
      <c r="D594" s="158" t="s">
        <v>2210</v>
      </c>
      <c r="E594" s="158" t="s">
        <v>2209</v>
      </c>
      <c r="F594" s="158" t="s">
        <v>3805</v>
      </c>
      <c r="K594" t="s">
        <v>43</v>
      </c>
    </row>
    <row r="595" spans="1:11" hidden="1" x14ac:dyDescent="0.3">
      <c r="A595" s="158" t="s">
        <v>4076</v>
      </c>
      <c r="B595" s="158" t="s">
        <v>3877</v>
      </c>
      <c r="C595" s="158" t="s">
        <v>43</v>
      </c>
      <c r="D595" s="158" t="s">
        <v>2070</v>
      </c>
      <c r="E595" s="158" t="s">
        <v>2069</v>
      </c>
      <c r="F595" s="158" t="s">
        <v>3805</v>
      </c>
      <c r="I595" t="s">
        <v>4077</v>
      </c>
    </row>
    <row r="596" spans="1:11" hidden="1" x14ac:dyDescent="0.3">
      <c r="A596" s="158" t="s">
        <v>4710</v>
      </c>
      <c r="B596" s="158" t="s">
        <v>3810</v>
      </c>
      <c r="C596" s="158" t="s">
        <v>43</v>
      </c>
      <c r="D596" s="158" t="s">
        <v>2254</v>
      </c>
      <c r="E596" s="158" t="s">
        <v>2253</v>
      </c>
      <c r="F596" s="158" t="s">
        <v>3805</v>
      </c>
      <c r="K596" t="s">
        <v>15</v>
      </c>
    </row>
    <row r="597" spans="1:11" hidden="1" x14ac:dyDescent="0.3">
      <c r="A597" s="158" t="s">
        <v>4716</v>
      </c>
      <c r="B597" s="158" t="s">
        <v>3810</v>
      </c>
      <c r="C597" s="158" t="s">
        <v>43</v>
      </c>
      <c r="D597" s="158" t="s">
        <v>2266</v>
      </c>
      <c r="E597" s="158" t="s">
        <v>2265</v>
      </c>
      <c r="F597" s="158" t="s">
        <v>3804</v>
      </c>
      <c r="K597" t="s">
        <v>15</v>
      </c>
    </row>
    <row r="598" spans="1:11" hidden="1" x14ac:dyDescent="0.3">
      <c r="A598" s="158" t="s">
        <v>4982</v>
      </c>
      <c r="B598" s="158" t="s">
        <v>3829</v>
      </c>
      <c r="C598" s="158" t="s">
        <v>43</v>
      </c>
      <c r="D598" s="158" t="s">
        <v>1612</v>
      </c>
      <c r="E598" s="158" t="s">
        <v>1610</v>
      </c>
      <c r="F598" s="158" t="s">
        <v>3860</v>
      </c>
      <c r="K598" t="s">
        <v>15</v>
      </c>
    </row>
    <row r="599" spans="1:11" hidden="1" x14ac:dyDescent="0.3">
      <c r="A599" s="158" t="s">
        <v>4983</v>
      </c>
      <c r="B599" s="158" t="s">
        <v>3829</v>
      </c>
      <c r="C599" s="158" t="s">
        <v>43</v>
      </c>
      <c r="D599" s="158" t="s">
        <v>1611</v>
      </c>
      <c r="E599" s="158" t="s">
        <v>1610</v>
      </c>
      <c r="F599" s="158" t="s">
        <v>3805</v>
      </c>
      <c r="K599" t="s">
        <v>15</v>
      </c>
    </row>
    <row r="600" spans="1:11" hidden="1" x14ac:dyDescent="0.3">
      <c r="A600" s="158" t="s">
        <v>4728</v>
      </c>
      <c r="B600" s="158" t="s">
        <v>3810</v>
      </c>
      <c r="C600" s="158" t="s">
        <v>15</v>
      </c>
      <c r="D600" s="158" t="s">
        <v>2202</v>
      </c>
      <c r="E600" s="158" t="s">
        <v>2201</v>
      </c>
      <c r="F600" s="158" t="s">
        <v>3805</v>
      </c>
      <c r="K600" t="s">
        <v>43</v>
      </c>
    </row>
    <row r="601" spans="1:11" hidden="1" x14ac:dyDescent="0.3">
      <c r="A601" s="158" t="s">
        <v>4953</v>
      </c>
      <c r="B601" s="158" t="s">
        <v>3829</v>
      </c>
      <c r="C601" s="158" t="s">
        <v>10</v>
      </c>
      <c r="D601" s="158" t="s">
        <v>1669</v>
      </c>
      <c r="E601" s="158" t="s">
        <v>1668</v>
      </c>
      <c r="F601" s="158" t="s">
        <v>3805</v>
      </c>
      <c r="K601" t="s">
        <v>15</v>
      </c>
    </row>
    <row r="602" spans="1:11" hidden="1" x14ac:dyDescent="0.3">
      <c r="A602" s="158" t="s">
        <v>5181</v>
      </c>
      <c r="B602" s="158" t="s">
        <v>3821</v>
      </c>
      <c r="C602" s="158" t="s">
        <v>15</v>
      </c>
      <c r="D602" s="158" t="s">
        <v>1125</v>
      </c>
      <c r="E602" s="158" t="s">
        <v>1124</v>
      </c>
      <c r="F602" s="158" t="s">
        <v>4139</v>
      </c>
      <c r="K602" t="s">
        <v>35</v>
      </c>
    </row>
    <row r="603" spans="1:11" hidden="1" x14ac:dyDescent="0.3">
      <c r="A603" s="158" t="s">
        <v>5002</v>
      </c>
      <c r="B603" s="158" t="s">
        <v>3829</v>
      </c>
      <c r="C603" s="158" t="s">
        <v>15</v>
      </c>
      <c r="D603" s="158" t="s">
        <v>1551</v>
      </c>
      <c r="E603" s="158" t="s">
        <v>1550</v>
      </c>
      <c r="F603" s="158" t="s">
        <v>3805</v>
      </c>
      <c r="K603" t="s">
        <v>43</v>
      </c>
    </row>
    <row r="604" spans="1:11" hidden="1" x14ac:dyDescent="0.3">
      <c r="A604" s="158" t="s">
        <v>5111</v>
      </c>
      <c r="B604" s="158" t="s">
        <v>3821</v>
      </c>
      <c r="C604" s="158" t="s">
        <v>10</v>
      </c>
      <c r="D604" s="158" t="s">
        <v>1311</v>
      </c>
      <c r="E604" s="158" t="s">
        <v>1310</v>
      </c>
      <c r="F604" s="158" t="s">
        <v>3805</v>
      </c>
      <c r="J604" t="s">
        <v>4090</v>
      </c>
    </row>
    <row r="605" spans="1:11" hidden="1" x14ac:dyDescent="0.3">
      <c r="A605" s="158" t="s">
        <v>4788</v>
      </c>
      <c r="B605" s="158" t="s">
        <v>3877</v>
      </c>
      <c r="C605" s="158" t="s">
        <v>35</v>
      </c>
      <c r="D605" s="158" t="s">
        <v>2049</v>
      </c>
      <c r="E605" s="158" t="s">
        <v>2048</v>
      </c>
      <c r="F605" s="158" t="s">
        <v>3805</v>
      </c>
      <c r="K605" t="s">
        <v>10</v>
      </c>
    </row>
    <row r="606" spans="1:11" hidden="1" x14ac:dyDescent="0.3">
      <c r="A606" s="158" t="s">
        <v>4787</v>
      </c>
      <c r="B606" s="158" t="s">
        <v>3877</v>
      </c>
      <c r="C606" s="158" t="s">
        <v>35</v>
      </c>
      <c r="D606" s="158" t="s">
        <v>2051</v>
      </c>
      <c r="E606" s="158" t="s">
        <v>2050</v>
      </c>
      <c r="F606" s="158" t="s">
        <v>3805</v>
      </c>
      <c r="K606" t="s">
        <v>10</v>
      </c>
    </row>
    <row r="607" spans="1:11" hidden="1" x14ac:dyDescent="0.3">
      <c r="A607" s="158" t="s">
        <v>4789</v>
      </c>
      <c r="B607" s="158" t="s">
        <v>3877</v>
      </c>
      <c r="C607" s="158" t="s">
        <v>35</v>
      </c>
      <c r="D607" s="158" t="s">
        <v>2047</v>
      </c>
      <c r="E607" s="158" t="s">
        <v>2046</v>
      </c>
      <c r="F607" s="158" t="s">
        <v>3805</v>
      </c>
      <c r="K607" t="s">
        <v>10</v>
      </c>
    </row>
    <row r="608" spans="1:11" hidden="1" x14ac:dyDescent="0.3">
      <c r="A608" s="158" t="s">
        <v>5035</v>
      </c>
      <c r="B608" s="158" t="s">
        <v>3821</v>
      </c>
      <c r="C608" s="158" t="s">
        <v>24</v>
      </c>
      <c r="D608" s="158" t="s">
        <v>1486</v>
      </c>
      <c r="E608" s="158" t="s">
        <v>1485</v>
      </c>
      <c r="F608" s="158" t="s">
        <v>3805</v>
      </c>
      <c r="J608" t="s">
        <v>3838</v>
      </c>
    </row>
    <row r="609" spans="1:11" hidden="1" x14ac:dyDescent="0.3">
      <c r="A609" s="158" t="s">
        <v>5112</v>
      </c>
      <c r="B609" s="158" t="s">
        <v>3821</v>
      </c>
      <c r="C609" s="158" t="s">
        <v>10</v>
      </c>
      <c r="D609" s="158" t="s">
        <v>1309</v>
      </c>
      <c r="E609" s="158" t="s">
        <v>1308</v>
      </c>
      <c r="F609" s="158" t="s">
        <v>4010</v>
      </c>
      <c r="J609" t="s">
        <v>4090</v>
      </c>
    </row>
    <row r="610" spans="1:11" hidden="1" x14ac:dyDescent="0.3">
      <c r="A610" s="158" t="s">
        <v>5004</v>
      </c>
      <c r="B610" s="158" t="s">
        <v>3829</v>
      </c>
      <c r="C610" s="158" t="s">
        <v>15</v>
      </c>
      <c r="D610" s="158" t="s">
        <v>1548</v>
      </c>
      <c r="E610" s="158" t="s">
        <v>1547</v>
      </c>
      <c r="F610" s="158" t="s">
        <v>3805</v>
      </c>
      <c r="K610" t="s">
        <v>35</v>
      </c>
    </row>
    <row r="611" spans="1:11" hidden="1" x14ac:dyDescent="0.3">
      <c r="A611" s="158" t="s">
        <v>5144</v>
      </c>
      <c r="B611" s="158" t="s">
        <v>3821</v>
      </c>
      <c r="C611" s="158" t="s">
        <v>43</v>
      </c>
      <c r="D611" s="158" t="s">
        <v>1222</v>
      </c>
      <c r="E611" s="158" t="s">
        <v>1221</v>
      </c>
      <c r="F611" s="158" t="s">
        <v>3860</v>
      </c>
      <c r="K611" t="s">
        <v>10</v>
      </c>
    </row>
    <row r="612" spans="1:11" hidden="1" x14ac:dyDescent="0.3">
      <c r="A612" s="158" t="s">
        <v>5145</v>
      </c>
      <c r="B612" s="158" t="s">
        <v>3821</v>
      </c>
      <c r="C612" s="158" t="s">
        <v>43</v>
      </c>
      <c r="D612" s="158" t="s">
        <v>1220</v>
      </c>
      <c r="E612" s="158" t="s">
        <v>1219</v>
      </c>
      <c r="F612" s="158" t="s">
        <v>3805</v>
      </c>
      <c r="K612" t="s">
        <v>24</v>
      </c>
    </row>
    <row r="613" spans="1:11" hidden="1" x14ac:dyDescent="0.3">
      <c r="A613" s="158" t="s">
        <v>5146</v>
      </c>
      <c r="B613" s="158" t="s">
        <v>3821</v>
      </c>
      <c r="C613" s="158" t="s">
        <v>43</v>
      </c>
      <c r="D613" s="158" t="s">
        <v>1218</v>
      </c>
      <c r="E613" s="158" t="s">
        <v>1217</v>
      </c>
      <c r="F613" s="158" t="s">
        <v>3805</v>
      </c>
      <c r="K613" t="s">
        <v>24</v>
      </c>
    </row>
    <row r="614" spans="1:11" hidden="1" x14ac:dyDescent="0.3">
      <c r="A614" s="158" t="s">
        <v>4796</v>
      </c>
      <c r="B614" s="158" t="s">
        <v>3877</v>
      </c>
      <c r="C614" s="158" t="s">
        <v>15</v>
      </c>
      <c r="D614" s="158" t="s">
        <v>2033</v>
      </c>
      <c r="E614" s="158" t="s">
        <v>2032</v>
      </c>
      <c r="F614" s="158" t="s">
        <v>3805</v>
      </c>
      <c r="J614" t="s">
        <v>3810</v>
      </c>
    </row>
    <row r="615" spans="1:11" hidden="1" x14ac:dyDescent="0.3">
      <c r="A615" s="158" t="s">
        <v>4797</v>
      </c>
      <c r="B615" s="158" t="s">
        <v>3877</v>
      </c>
      <c r="C615" s="158" t="s">
        <v>10</v>
      </c>
      <c r="D615" s="158" t="s">
        <v>2030</v>
      </c>
      <c r="E615" s="158" t="s">
        <v>2029</v>
      </c>
      <c r="F615" s="158" t="s">
        <v>3822</v>
      </c>
      <c r="J615" t="s">
        <v>3917</v>
      </c>
      <c r="K615" t="s">
        <v>43</v>
      </c>
    </row>
    <row r="616" spans="1:11" hidden="1" x14ac:dyDescent="0.3">
      <c r="A616" s="158" t="s">
        <v>5148</v>
      </c>
      <c r="B616" s="158" t="s">
        <v>3821</v>
      </c>
      <c r="C616" s="158" t="s">
        <v>43</v>
      </c>
      <c r="D616" s="158" t="s">
        <v>1210</v>
      </c>
      <c r="E616" s="158" t="s">
        <v>1209</v>
      </c>
      <c r="F616" s="158" t="s">
        <v>3805</v>
      </c>
      <c r="K616" t="s">
        <v>24</v>
      </c>
    </row>
    <row r="617" spans="1:11" hidden="1" x14ac:dyDescent="0.3">
      <c r="A617" s="158" t="s">
        <v>4808</v>
      </c>
      <c r="B617" s="158" t="s">
        <v>3877</v>
      </c>
      <c r="C617" s="158" t="s">
        <v>24</v>
      </c>
      <c r="D617" s="158" t="s">
        <v>2011</v>
      </c>
      <c r="E617" s="158" t="s">
        <v>2010</v>
      </c>
      <c r="F617" s="158" t="s">
        <v>3805</v>
      </c>
      <c r="K617" t="s">
        <v>10</v>
      </c>
    </row>
    <row r="618" spans="1:11" hidden="1" x14ac:dyDescent="0.3">
      <c r="A618" s="158" t="s">
        <v>4809</v>
      </c>
      <c r="B618" s="158" t="s">
        <v>3877</v>
      </c>
      <c r="C618" s="158" t="s">
        <v>10</v>
      </c>
      <c r="D618" s="158" t="s">
        <v>3692</v>
      </c>
      <c r="E618" s="158" t="s">
        <v>2009</v>
      </c>
      <c r="F618" s="158" t="s">
        <v>3805</v>
      </c>
      <c r="J618" t="s">
        <v>3917</v>
      </c>
      <c r="K618" t="s">
        <v>43</v>
      </c>
    </row>
    <row r="619" spans="1:11" hidden="1" x14ac:dyDescent="0.3">
      <c r="A619" s="158" t="s">
        <v>5149</v>
      </c>
      <c r="B619" s="158" t="s">
        <v>3821</v>
      </c>
      <c r="C619" s="158" t="s">
        <v>43</v>
      </c>
      <c r="D619" s="158" t="s">
        <v>1207</v>
      </c>
      <c r="E619" s="158" t="s">
        <v>1206</v>
      </c>
      <c r="F619" s="158" t="s">
        <v>3804</v>
      </c>
      <c r="K619" t="s">
        <v>24</v>
      </c>
    </row>
    <row r="620" spans="1:11" hidden="1" x14ac:dyDescent="0.3">
      <c r="A620" s="158" t="s">
        <v>4834</v>
      </c>
      <c r="B620" s="158" t="s">
        <v>3877</v>
      </c>
      <c r="C620" s="158" t="s">
        <v>10</v>
      </c>
      <c r="D620" s="158" t="s">
        <v>1934</v>
      </c>
      <c r="E620" s="158" t="s">
        <v>1933</v>
      </c>
      <c r="F620" s="158" t="s">
        <v>4010</v>
      </c>
      <c r="K620" t="s">
        <v>24</v>
      </c>
    </row>
    <row r="621" spans="1:11" hidden="1" x14ac:dyDescent="0.3">
      <c r="A621" s="158" t="s">
        <v>4835</v>
      </c>
      <c r="B621" s="158" t="s">
        <v>3877</v>
      </c>
      <c r="C621" s="158" t="s">
        <v>10</v>
      </c>
      <c r="D621" s="158" t="s">
        <v>1932</v>
      </c>
      <c r="E621" s="158" t="s">
        <v>1931</v>
      </c>
      <c r="F621" s="158" t="s">
        <v>3805</v>
      </c>
      <c r="J621" t="s">
        <v>3917</v>
      </c>
    </row>
    <row r="622" spans="1:11" hidden="1" x14ac:dyDescent="0.3">
      <c r="A622" s="158" t="s">
        <v>4958</v>
      </c>
      <c r="B622" s="158" t="s">
        <v>3829</v>
      </c>
      <c r="C622" s="158" t="s">
        <v>10</v>
      </c>
      <c r="D622" s="158" t="s">
        <v>1661</v>
      </c>
      <c r="E622" s="158" t="s">
        <v>1660</v>
      </c>
      <c r="F622" s="158" t="s">
        <v>3804</v>
      </c>
      <c r="K622" t="s">
        <v>15</v>
      </c>
    </row>
    <row r="623" spans="1:11" hidden="1" x14ac:dyDescent="0.3">
      <c r="A623" s="158" t="s">
        <v>4959</v>
      </c>
      <c r="B623" s="158" t="s">
        <v>3829</v>
      </c>
      <c r="C623" s="158" t="s">
        <v>10</v>
      </c>
      <c r="D623" s="158" t="s">
        <v>1659</v>
      </c>
      <c r="E623" s="158" t="s">
        <v>1658</v>
      </c>
      <c r="F623" s="158" t="s">
        <v>3804</v>
      </c>
      <c r="K623" t="s">
        <v>15</v>
      </c>
    </row>
    <row r="624" spans="1:11" hidden="1" x14ac:dyDescent="0.3">
      <c r="A624" s="158" t="s">
        <v>4839</v>
      </c>
      <c r="B624" s="158" t="s">
        <v>3877</v>
      </c>
      <c r="C624" s="158" t="s">
        <v>15</v>
      </c>
      <c r="D624" s="158" t="s">
        <v>1922</v>
      </c>
      <c r="E624" s="158" t="s">
        <v>1921</v>
      </c>
      <c r="F624" s="158" t="s">
        <v>3804</v>
      </c>
      <c r="J624" t="s">
        <v>3810</v>
      </c>
    </row>
    <row r="625" spans="1:11" hidden="1" x14ac:dyDescent="0.3">
      <c r="A625" s="158" t="s">
        <v>4842</v>
      </c>
      <c r="B625" s="158" t="s">
        <v>3877</v>
      </c>
      <c r="C625" s="158" t="s">
        <v>24</v>
      </c>
      <c r="D625" s="158" t="s">
        <v>1912</v>
      </c>
      <c r="E625" s="158" t="s">
        <v>1911</v>
      </c>
      <c r="F625" s="158" t="s">
        <v>3805</v>
      </c>
      <c r="J625" t="s">
        <v>3829</v>
      </c>
      <c r="K625" t="s">
        <v>43</v>
      </c>
    </row>
    <row r="626" spans="1:11" hidden="1" x14ac:dyDescent="0.3">
      <c r="A626" s="158" t="s">
        <v>4844</v>
      </c>
      <c r="B626" s="158" t="s">
        <v>3877</v>
      </c>
      <c r="C626" s="158" t="s">
        <v>24</v>
      </c>
      <c r="D626" s="158" t="s">
        <v>1905</v>
      </c>
      <c r="E626" s="158" t="s">
        <v>1904</v>
      </c>
      <c r="F626" s="158" t="s">
        <v>3805</v>
      </c>
      <c r="J626" t="s">
        <v>3859</v>
      </c>
      <c r="K626" t="s">
        <v>15</v>
      </c>
    </row>
    <row r="627" spans="1:11" hidden="1" x14ac:dyDescent="0.3">
      <c r="A627" s="158" t="s">
        <v>5147</v>
      </c>
      <c r="B627" s="158" t="s">
        <v>3821</v>
      </c>
      <c r="C627" s="158" t="s">
        <v>43</v>
      </c>
      <c r="D627" s="158" t="s">
        <v>1214</v>
      </c>
      <c r="E627" s="158" t="s">
        <v>1213</v>
      </c>
      <c r="F627" s="158" t="s">
        <v>3805</v>
      </c>
      <c r="K627" t="s">
        <v>24</v>
      </c>
    </row>
    <row r="628" spans="1:11" hidden="1" x14ac:dyDescent="0.3">
      <c r="A628" s="158" t="s">
        <v>5003</v>
      </c>
      <c r="B628" s="158" t="s">
        <v>3917</v>
      </c>
      <c r="C628" s="158" t="s">
        <v>15</v>
      </c>
      <c r="D628" s="158" t="s">
        <v>2556</v>
      </c>
      <c r="E628" s="158" t="s">
        <v>2555</v>
      </c>
      <c r="F628" s="158" t="s">
        <v>3860</v>
      </c>
      <c r="K628" t="s">
        <v>43</v>
      </c>
    </row>
    <row r="629" spans="1:11" x14ac:dyDescent="0.3">
      <c r="A629" s="158" t="s">
        <v>4984</v>
      </c>
      <c r="B629" s="158" t="s">
        <v>3829</v>
      </c>
      <c r="C629" s="158" t="s">
        <v>43</v>
      </c>
      <c r="D629" s="158" t="s">
        <v>1609</v>
      </c>
      <c r="E629" s="158" t="s">
        <v>1608</v>
      </c>
      <c r="F629" s="158" t="s">
        <v>3804</v>
      </c>
      <c r="G629" t="s">
        <v>3822</v>
      </c>
      <c r="K629" t="s">
        <v>15</v>
      </c>
    </row>
    <row r="630" spans="1:11" hidden="1" x14ac:dyDescent="0.3">
      <c r="A630" s="158" t="s">
        <v>4849</v>
      </c>
      <c r="B630" s="158" t="s">
        <v>3877</v>
      </c>
      <c r="C630" s="158" t="s">
        <v>43</v>
      </c>
      <c r="D630" s="158" t="s">
        <v>1894</v>
      </c>
      <c r="E630" s="158" t="s">
        <v>1893</v>
      </c>
      <c r="F630" s="158" t="s">
        <v>3805</v>
      </c>
      <c r="J630" t="s">
        <v>4090</v>
      </c>
      <c r="K630" t="s">
        <v>35</v>
      </c>
    </row>
    <row r="631" spans="1:11" hidden="1" x14ac:dyDescent="0.3">
      <c r="A631" s="158" t="s">
        <v>4850</v>
      </c>
      <c r="B631" s="158" t="s">
        <v>3877</v>
      </c>
      <c r="C631" s="158" t="s">
        <v>43</v>
      </c>
      <c r="D631" s="158" t="s">
        <v>1892</v>
      </c>
      <c r="E631" s="158" t="s">
        <v>1891</v>
      </c>
      <c r="F631" s="158" t="s">
        <v>3805</v>
      </c>
      <c r="J631" t="s">
        <v>4090</v>
      </c>
      <c r="K631" t="s">
        <v>35</v>
      </c>
    </row>
    <row r="632" spans="1:11" hidden="1" x14ac:dyDescent="0.3">
      <c r="A632" s="158" t="s">
        <v>5070</v>
      </c>
      <c r="B632" s="158" t="s">
        <v>3821</v>
      </c>
      <c r="C632" s="158" t="s">
        <v>35</v>
      </c>
      <c r="D632" s="158" t="s">
        <v>1411</v>
      </c>
      <c r="E632" s="158" t="s">
        <v>1410</v>
      </c>
      <c r="F632" s="158" t="s">
        <v>3805</v>
      </c>
      <c r="H632" t="s">
        <v>5629</v>
      </c>
    </row>
    <row r="633" spans="1:11" hidden="1" x14ac:dyDescent="0.3">
      <c r="A633" s="158" t="s">
        <v>4854</v>
      </c>
      <c r="B633" s="158" t="s">
        <v>3877</v>
      </c>
      <c r="C633" s="158" t="s">
        <v>43</v>
      </c>
      <c r="D633" s="158" t="s">
        <v>1884</v>
      </c>
      <c r="E633" s="158" t="s">
        <v>1883</v>
      </c>
      <c r="F633" s="158" t="s">
        <v>3822</v>
      </c>
      <c r="J633" t="s">
        <v>4090</v>
      </c>
      <c r="K633" t="s">
        <v>35</v>
      </c>
    </row>
    <row r="634" spans="1:11" hidden="1" x14ac:dyDescent="0.3">
      <c r="A634" s="158" t="s">
        <v>4856</v>
      </c>
      <c r="B634" s="158" t="s">
        <v>3877</v>
      </c>
      <c r="C634" s="158" t="s">
        <v>43</v>
      </c>
      <c r="D634" s="158" t="s">
        <v>1878</v>
      </c>
      <c r="E634" s="158" t="s">
        <v>1877</v>
      </c>
      <c r="F634" s="158" t="s">
        <v>3822</v>
      </c>
      <c r="J634" t="s">
        <v>4090</v>
      </c>
      <c r="K634" t="s">
        <v>35</v>
      </c>
    </row>
    <row r="635" spans="1:11" hidden="1" x14ac:dyDescent="0.3">
      <c r="A635" s="158" t="s">
        <v>4078</v>
      </c>
      <c r="B635" s="158" t="s">
        <v>4079</v>
      </c>
      <c r="C635" s="158" t="s">
        <v>43</v>
      </c>
      <c r="D635" s="158" t="s">
        <v>1872</v>
      </c>
      <c r="E635" s="158" t="s">
        <v>1871</v>
      </c>
      <c r="F635" s="158" t="s">
        <v>3804</v>
      </c>
      <c r="H635" t="s">
        <v>4080</v>
      </c>
      <c r="J635" t="s">
        <v>3877</v>
      </c>
    </row>
    <row r="636" spans="1:11" hidden="1" x14ac:dyDescent="0.3">
      <c r="A636" s="158" t="s">
        <v>4859</v>
      </c>
      <c r="B636" s="158" t="s">
        <v>3877</v>
      </c>
      <c r="C636" s="158" t="s">
        <v>43</v>
      </c>
      <c r="D636" s="158" t="s">
        <v>88</v>
      </c>
      <c r="E636" s="158" t="s">
        <v>1867</v>
      </c>
      <c r="F636" s="158" t="s">
        <v>3805</v>
      </c>
      <c r="J636" t="s">
        <v>4090</v>
      </c>
      <c r="K636" t="s">
        <v>35</v>
      </c>
    </row>
    <row r="637" spans="1:11" hidden="1" x14ac:dyDescent="0.3">
      <c r="A637" s="158" t="s">
        <v>5037</v>
      </c>
      <c r="B637" s="158" t="s">
        <v>3821</v>
      </c>
      <c r="C637" s="158" t="s">
        <v>24</v>
      </c>
      <c r="D637" s="158" t="s">
        <v>1484</v>
      </c>
      <c r="E637" s="158" t="s">
        <v>1483</v>
      </c>
      <c r="F637" s="158" t="s">
        <v>3805</v>
      </c>
      <c r="J637" t="s">
        <v>3810</v>
      </c>
      <c r="K637" t="s">
        <v>43</v>
      </c>
    </row>
    <row r="638" spans="1:11" hidden="1" x14ac:dyDescent="0.3">
      <c r="A638" s="158" t="s">
        <v>5071</v>
      </c>
      <c r="B638" s="158" t="s">
        <v>3821</v>
      </c>
      <c r="C638" s="158" t="s">
        <v>35</v>
      </c>
      <c r="D638" s="158" t="s">
        <v>1409</v>
      </c>
      <c r="E638" s="158" t="s">
        <v>1408</v>
      </c>
      <c r="F638" s="158" t="s">
        <v>3804</v>
      </c>
      <c r="K638" t="s">
        <v>15</v>
      </c>
    </row>
    <row r="639" spans="1:11" hidden="1" x14ac:dyDescent="0.3">
      <c r="A639" s="158" t="s">
        <v>4960</v>
      </c>
      <c r="B639" s="158" t="s">
        <v>3829</v>
      </c>
      <c r="C639" s="158" t="s">
        <v>10</v>
      </c>
      <c r="D639" s="158" t="s">
        <v>1657</v>
      </c>
      <c r="E639" s="158" t="s">
        <v>1656</v>
      </c>
      <c r="F639" s="158" t="s">
        <v>3805</v>
      </c>
      <c r="K639" t="s">
        <v>15</v>
      </c>
    </row>
    <row r="640" spans="1:11" hidden="1" x14ac:dyDescent="0.3">
      <c r="A640" s="158" t="s">
        <v>5005</v>
      </c>
      <c r="B640" s="158" t="s">
        <v>3829</v>
      </c>
      <c r="C640" s="158" t="s">
        <v>15</v>
      </c>
      <c r="D640" s="158" t="s">
        <v>1546</v>
      </c>
      <c r="E640" s="158" t="s">
        <v>1545</v>
      </c>
      <c r="F640" s="158" t="s">
        <v>3805</v>
      </c>
      <c r="K640" t="s">
        <v>43</v>
      </c>
    </row>
    <row r="641" spans="1:11" hidden="1" x14ac:dyDescent="0.3">
      <c r="A641" s="158" t="s">
        <v>4961</v>
      </c>
      <c r="B641" s="158" t="s">
        <v>3829</v>
      </c>
      <c r="C641" s="158" t="s">
        <v>10</v>
      </c>
      <c r="D641" s="158" t="s">
        <v>1653</v>
      </c>
      <c r="E641" s="158" t="s">
        <v>1652</v>
      </c>
      <c r="F641" s="158" t="s">
        <v>4139</v>
      </c>
      <c r="K641" t="s">
        <v>15</v>
      </c>
    </row>
    <row r="642" spans="1:11" hidden="1" x14ac:dyDescent="0.3">
      <c r="A642" s="158" t="s">
        <v>5073</v>
      </c>
      <c r="B642" s="158" t="s">
        <v>3821</v>
      </c>
      <c r="C642" s="158" t="s">
        <v>35</v>
      </c>
      <c r="D642" s="158" t="s">
        <v>1407</v>
      </c>
      <c r="E642" s="158" t="s">
        <v>1406</v>
      </c>
      <c r="F642" s="158" t="s">
        <v>3822</v>
      </c>
      <c r="K642" t="s">
        <v>15</v>
      </c>
    </row>
    <row r="643" spans="1:11" x14ac:dyDescent="0.3">
      <c r="A643" s="158" t="s">
        <v>4907</v>
      </c>
      <c r="B643" s="158" t="s">
        <v>3829</v>
      </c>
      <c r="C643" s="158" t="s">
        <v>24</v>
      </c>
      <c r="D643" s="158" t="s">
        <v>1758</v>
      </c>
      <c r="E643" s="158" t="s">
        <v>1757</v>
      </c>
      <c r="F643" s="158" t="s">
        <v>3804</v>
      </c>
      <c r="G643" t="s">
        <v>3822</v>
      </c>
    </row>
    <row r="644" spans="1:11" hidden="1" x14ac:dyDescent="0.3">
      <c r="A644" s="158" t="s">
        <v>5074</v>
      </c>
      <c r="B644" s="158" t="s">
        <v>3821</v>
      </c>
      <c r="C644" s="158" t="s">
        <v>35</v>
      </c>
      <c r="D644" s="158" t="s">
        <v>1405</v>
      </c>
      <c r="E644" s="158" t="s">
        <v>1404</v>
      </c>
      <c r="F644" s="158" t="s">
        <v>3805</v>
      </c>
      <c r="K644" t="s">
        <v>15</v>
      </c>
    </row>
    <row r="645" spans="1:11" hidden="1" x14ac:dyDescent="0.3">
      <c r="A645" s="158" t="s">
        <v>5150</v>
      </c>
      <c r="B645" s="158" t="s">
        <v>3821</v>
      </c>
      <c r="C645" s="158" t="s">
        <v>43</v>
      </c>
      <c r="D645" s="158" t="s">
        <v>1205</v>
      </c>
      <c r="E645" s="158" t="s">
        <v>1204</v>
      </c>
      <c r="F645" s="158" t="s">
        <v>3805</v>
      </c>
      <c r="K645" t="s">
        <v>10</v>
      </c>
    </row>
    <row r="646" spans="1:11" x14ac:dyDescent="0.3">
      <c r="A646" s="158" t="s">
        <v>4932</v>
      </c>
      <c r="B646" s="158" t="s">
        <v>3829</v>
      </c>
      <c r="C646" s="158" t="s">
        <v>35</v>
      </c>
      <c r="D646" s="158" t="s">
        <v>1710</v>
      </c>
      <c r="E646" s="158" t="s">
        <v>1709</v>
      </c>
      <c r="F646" s="158" t="s">
        <v>4139</v>
      </c>
      <c r="G646" t="s">
        <v>3822</v>
      </c>
    </row>
    <row r="647" spans="1:11" hidden="1" x14ac:dyDescent="0.3">
      <c r="A647" s="158" t="s">
        <v>5006</v>
      </c>
      <c r="B647" s="158" t="s">
        <v>3829</v>
      </c>
      <c r="C647" s="158" t="s">
        <v>15</v>
      </c>
      <c r="D647" s="158" t="s">
        <v>1544</v>
      </c>
      <c r="E647" s="158" t="s">
        <v>1543</v>
      </c>
      <c r="F647" s="158" t="s">
        <v>3805</v>
      </c>
      <c r="K647" t="s">
        <v>35</v>
      </c>
    </row>
    <row r="648" spans="1:11" hidden="1" x14ac:dyDescent="0.3">
      <c r="A648" s="158" t="s">
        <v>4081</v>
      </c>
      <c r="B648" s="158" t="s">
        <v>3859</v>
      </c>
      <c r="C648" s="158" t="s">
        <v>15</v>
      </c>
      <c r="D648" s="158" t="s">
        <v>66</v>
      </c>
      <c r="E648" s="158" t="s">
        <v>65</v>
      </c>
      <c r="F648" s="158" t="s">
        <v>3811</v>
      </c>
      <c r="K648" t="s">
        <v>0</v>
      </c>
    </row>
    <row r="649" spans="1:11" hidden="1" x14ac:dyDescent="0.3">
      <c r="A649" s="158" t="s">
        <v>5039</v>
      </c>
      <c r="B649" s="158" t="s">
        <v>3821</v>
      </c>
      <c r="C649" s="158" t="s">
        <v>24</v>
      </c>
      <c r="D649" s="158" t="s">
        <v>1480</v>
      </c>
      <c r="E649" s="158" t="s">
        <v>1479</v>
      </c>
      <c r="F649" s="158" t="s">
        <v>3805</v>
      </c>
      <c r="J649" t="s">
        <v>4090</v>
      </c>
    </row>
    <row r="650" spans="1:11" hidden="1" x14ac:dyDescent="0.3">
      <c r="A650" s="158" t="s">
        <v>4957</v>
      </c>
      <c r="B650" s="158" t="s">
        <v>3917</v>
      </c>
      <c r="C650" s="158" t="s">
        <v>10</v>
      </c>
      <c r="D650" s="158" t="s">
        <v>19</v>
      </c>
      <c r="E650" s="158" t="s">
        <v>18</v>
      </c>
      <c r="F650" s="158" t="s">
        <v>3805</v>
      </c>
      <c r="K650" t="s">
        <v>15</v>
      </c>
    </row>
    <row r="651" spans="1:11" x14ac:dyDescent="0.3">
      <c r="A651" s="158" t="s">
        <v>4985</v>
      </c>
      <c r="B651" s="158" t="s">
        <v>3829</v>
      </c>
      <c r="C651" s="158" t="s">
        <v>43</v>
      </c>
      <c r="D651" s="158" t="s">
        <v>1604</v>
      </c>
      <c r="E651" s="158" t="s">
        <v>1603</v>
      </c>
      <c r="F651" s="158" t="s">
        <v>3804</v>
      </c>
      <c r="G651" t="s">
        <v>3822</v>
      </c>
      <c r="K651" t="s">
        <v>10</v>
      </c>
    </row>
    <row r="652" spans="1:11" hidden="1" x14ac:dyDescent="0.3">
      <c r="A652" s="158" t="s">
        <v>5007</v>
      </c>
      <c r="B652" s="158" t="s">
        <v>3829</v>
      </c>
      <c r="C652" s="158" t="s">
        <v>15</v>
      </c>
      <c r="D652" s="158" t="s">
        <v>1542</v>
      </c>
      <c r="E652" s="158" t="s">
        <v>1541</v>
      </c>
      <c r="F652" s="158" t="s">
        <v>3805</v>
      </c>
      <c r="K652" t="s">
        <v>43</v>
      </c>
    </row>
    <row r="653" spans="1:11" hidden="1" x14ac:dyDescent="0.3">
      <c r="A653" s="158" t="s">
        <v>4965</v>
      </c>
      <c r="B653" s="158" t="s">
        <v>3829</v>
      </c>
      <c r="C653" s="158" t="s">
        <v>10</v>
      </c>
      <c r="D653" s="158" t="s">
        <v>1645</v>
      </c>
      <c r="E653" s="158" t="s">
        <v>1646</v>
      </c>
      <c r="F653" s="158" t="s">
        <v>3805</v>
      </c>
      <c r="K653" t="s">
        <v>15</v>
      </c>
    </row>
    <row r="654" spans="1:11" hidden="1" x14ac:dyDescent="0.3">
      <c r="A654" s="158" t="s">
        <v>5113</v>
      </c>
      <c r="B654" s="158" t="s">
        <v>3821</v>
      </c>
      <c r="C654" s="158" t="s">
        <v>10</v>
      </c>
      <c r="D654" s="158" t="s">
        <v>1307</v>
      </c>
      <c r="E654" s="158" t="s">
        <v>1306</v>
      </c>
      <c r="F654" s="158" t="s">
        <v>3804</v>
      </c>
      <c r="J654" t="s">
        <v>4090</v>
      </c>
    </row>
    <row r="655" spans="1:11" hidden="1" x14ac:dyDescent="0.3">
      <c r="A655" s="158" t="s">
        <v>5151</v>
      </c>
      <c r="B655" s="158" t="s">
        <v>3821</v>
      </c>
      <c r="C655" s="158" t="s">
        <v>43</v>
      </c>
      <c r="D655" s="158" t="s">
        <v>1203</v>
      </c>
      <c r="E655" s="158" t="s">
        <v>1202</v>
      </c>
      <c r="F655" s="158" t="s">
        <v>3804</v>
      </c>
      <c r="K655" t="s">
        <v>24</v>
      </c>
    </row>
    <row r="656" spans="1:11" hidden="1" x14ac:dyDescent="0.3">
      <c r="A656" s="158" t="s">
        <v>5598</v>
      </c>
      <c r="B656" s="158" t="s">
        <v>4079</v>
      </c>
      <c r="C656" s="158" t="s">
        <v>43</v>
      </c>
      <c r="D656" s="158" t="s">
        <v>132</v>
      </c>
      <c r="E656" s="158" t="s">
        <v>131</v>
      </c>
      <c r="F656" s="158" t="s">
        <v>3822</v>
      </c>
      <c r="J656" t="s">
        <v>4090</v>
      </c>
      <c r="K656" t="s">
        <v>35</v>
      </c>
    </row>
    <row r="657" spans="1:11" x14ac:dyDescent="0.3">
      <c r="A657" s="158" t="s">
        <v>4986</v>
      </c>
      <c r="B657" s="158" t="s">
        <v>3829</v>
      </c>
      <c r="C657" s="158" t="s">
        <v>43</v>
      </c>
      <c r="D657" s="158" t="s">
        <v>1602</v>
      </c>
      <c r="E657" s="158" t="s">
        <v>1601</v>
      </c>
      <c r="F657" s="158" t="s">
        <v>3804</v>
      </c>
      <c r="G657" t="s">
        <v>3822</v>
      </c>
      <c r="K657" t="s">
        <v>10</v>
      </c>
    </row>
    <row r="658" spans="1:11" hidden="1" x14ac:dyDescent="0.3">
      <c r="A658" s="158" t="s">
        <v>5618</v>
      </c>
      <c r="B658" s="158" t="s">
        <v>3917</v>
      </c>
      <c r="C658" s="158" t="s">
        <v>15</v>
      </c>
      <c r="D658" s="158" t="s">
        <v>28</v>
      </c>
      <c r="E658" s="158" t="s">
        <v>27</v>
      </c>
      <c r="F658" s="158" t="s">
        <v>3805</v>
      </c>
      <c r="J658" t="s">
        <v>3877</v>
      </c>
      <c r="K658" t="s">
        <v>35</v>
      </c>
    </row>
    <row r="659" spans="1:11" hidden="1" x14ac:dyDescent="0.3">
      <c r="A659" s="158" t="s">
        <v>5620</v>
      </c>
      <c r="B659" s="158" t="s">
        <v>3829</v>
      </c>
      <c r="C659" s="158" t="s">
        <v>15</v>
      </c>
      <c r="D659" s="158" t="s">
        <v>14</v>
      </c>
      <c r="E659" s="158" t="s">
        <v>13</v>
      </c>
      <c r="F659" s="158" t="s">
        <v>3805</v>
      </c>
      <c r="K659" t="s">
        <v>43</v>
      </c>
    </row>
    <row r="660" spans="1:11" hidden="1" x14ac:dyDescent="0.3">
      <c r="A660" s="158" t="s">
        <v>3778</v>
      </c>
      <c r="B660" s="158" t="s">
        <v>3859</v>
      </c>
      <c r="C660" s="158" t="s">
        <v>24</v>
      </c>
      <c r="D660" s="158" t="s">
        <v>3779</v>
      </c>
      <c r="E660" s="158" t="s">
        <v>3780</v>
      </c>
      <c r="F660" s="158" t="s">
        <v>3805</v>
      </c>
      <c r="K660" t="s">
        <v>43</v>
      </c>
    </row>
    <row r="661" spans="1:11" hidden="1" x14ac:dyDescent="0.3">
      <c r="A661" s="158" t="s">
        <v>3784</v>
      </c>
      <c r="B661" s="158" t="s">
        <v>3829</v>
      </c>
      <c r="C661" s="158" t="s">
        <v>15</v>
      </c>
      <c r="D661" s="158" t="s">
        <v>3785</v>
      </c>
      <c r="E661" s="158" t="s">
        <v>3786</v>
      </c>
      <c r="F661" s="158" t="s">
        <v>3804</v>
      </c>
      <c r="K661" t="s">
        <v>43</v>
      </c>
    </row>
    <row r="662" spans="1:11" hidden="1" x14ac:dyDescent="0.3">
      <c r="A662" s="158" t="s">
        <v>3787</v>
      </c>
      <c r="B662" s="158" t="s">
        <v>3810</v>
      </c>
      <c r="C662" s="158" t="s">
        <v>35</v>
      </c>
      <c r="D662" s="158" t="s">
        <v>3788</v>
      </c>
      <c r="E662" s="158" t="s">
        <v>2408</v>
      </c>
      <c r="F662" s="158" t="s">
        <v>3804</v>
      </c>
      <c r="J662" t="s">
        <v>3838</v>
      </c>
      <c r="K662" t="s">
        <v>15</v>
      </c>
    </row>
    <row r="663" spans="1:11" hidden="1" x14ac:dyDescent="0.3">
      <c r="A663" s="158" t="s">
        <v>4098</v>
      </c>
      <c r="B663" s="158" t="s">
        <v>4090</v>
      </c>
      <c r="C663" s="158" t="s">
        <v>35</v>
      </c>
      <c r="D663" s="158" t="s">
        <v>4099</v>
      </c>
      <c r="E663" s="158" t="s">
        <v>4100</v>
      </c>
      <c r="F663" s="158" t="s">
        <v>3805</v>
      </c>
      <c r="J663" t="s">
        <v>3810</v>
      </c>
      <c r="K663" t="s">
        <v>24</v>
      </c>
    </row>
    <row r="664" spans="1:11" hidden="1" x14ac:dyDescent="0.3">
      <c r="A664" s="158" t="s">
        <v>4104</v>
      </c>
      <c r="B664" s="158" t="s">
        <v>3859</v>
      </c>
      <c r="C664" s="158" t="s">
        <v>10</v>
      </c>
      <c r="D664" s="158" t="s">
        <v>4105</v>
      </c>
      <c r="E664" s="158" t="s">
        <v>4106</v>
      </c>
      <c r="F664" s="158" t="s">
        <v>3805</v>
      </c>
      <c r="K664" t="s">
        <v>15</v>
      </c>
    </row>
    <row r="665" spans="1:11" hidden="1" x14ac:dyDescent="0.3">
      <c r="A665" s="158" t="s">
        <v>4107</v>
      </c>
      <c r="B665" s="158" t="s">
        <v>3810</v>
      </c>
      <c r="C665" s="158" t="s">
        <v>10</v>
      </c>
      <c r="D665" s="158" t="s">
        <v>4108</v>
      </c>
      <c r="E665" s="158" t="s">
        <v>4109</v>
      </c>
      <c r="F665" s="158" t="s">
        <v>3805</v>
      </c>
      <c r="K665" t="s">
        <v>15</v>
      </c>
    </row>
    <row r="666" spans="1:11" hidden="1" x14ac:dyDescent="0.3">
      <c r="A666" s="158" t="s">
        <v>5114</v>
      </c>
      <c r="B666" s="158" t="s">
        <v>3821</v>
      </c>
      <c r="C666" s="158" t="s">
        <v>10</v>
      </c>
      <c r="D666" s="158" t="s">
        <v>1305</v>
      </c>
      <c r="E666" s="158" t="s">
        <v>1304</v>
      </c>
      <c r="F666" s="158" t="s">
        <v>3804</v>
      </c>
      <c r="J666" t="s">
        <v>4090</v>
      </c>
    </row>
    <row r="667" spans="1:11" hidden="1" x14ac:dyDescent="0.3">
      <c r="A667" s="158" t="s">
        <v>5040</v>
      </c>
      <c r="B667" s="158" t="s">
        <v>3821</v>
      </c>
      <c r="C667" s="158" t="s">
        <v>24</v>
      </c>
      <c r="D667" s="158" t="s">
        <v>1478</v>
      </c>
      <c r="E667" s="158" t="s">
        <v>1477</v>
      </c>
      <c r="F667" s="158" t="s">
        <v>3805</v>
      </c>
      <c r="J667" t="s">
        <v>4090</v>
      </c>
    </row>
    <row r="668" spans="1:11" hidden="1" x14ac:dyDescent="0.3">
      <c r="A668" s="158" t="s">
        <v>5041</v>
      </c>
      <c r="B668" s="158" t="s">
        <v>3821</v>
      </c>
      <c r="C668" s="158" t="s">
        <v>24</v>
      </c>
      <c r="D668" s="158" t="s">
        <v>1476</v>
      </c>
      <c r="E668" s="158" t="s">
        <v>1475</v>
      </c>
      <c r="F668" s="158" t="s">
        <v>3804</v>
      </c>
      <c r="J668" t="s">
        <v>3810</v>
      </c>
      <c r="K668" t="s">
        <v>35</v>
      </c>
    </row>
    <row r="669" spans="1:11" hidden="1" x14ac:dyDescent="0.3">
      <c r="A669" s="158" t="s">
        <v>5042</v>
      </c>
      <c r="B669" s="158" t="s">
        <v>3821</v>
      </c>
      <c r="C669" s="158" t="s">
        <v>24</v>
      </c>
      <c r="D669" s="158" t="s">
        <v>1474</v>
      </c>
      <c r="E669" s="158" t="s">
        <v>1473</v>
      </c>
      <c r="F669" s="158" t="s">
        <v>3804</v>
      </c>
      <c r="J669" t="s">
        <v>3838</v>
      </c>
    </row>
    <row r="670" spans="1:11" hidden="1" x14ac:dyDescent="0.3">
      <c r="A670" s="158" t="s">
        <v>5152</v>
      </c>
      <c r="B670" s="158" t="s">
        <v>3821</v>
      </c>
      <c r="C670" s="158" t="s">
        <v>43</v>
      </c>
      <c r="D670" s="158" t="s">
        <v>1200</v>
      </c>
      <c r="E670" s="158" t="s">
        <v>1199</v>
      </c>
      <c r="F670" s="158" t="s">
        <v>3805</v>
      </c>
      <c r="K670" t="s">
        <v>24</v>
      </c>
    </row>
    <row r="671" spans="1:11" hidden="1" x14ac:dyDescent="0.3">
      <c r="A671" s="158" t="s">
        <v>5043</v>
      </c>
      <c r="B671" s="158" t="s">
        <v>3821</v>
      </c>
      <c r="C671" s="158" t="s">
        <v>24</v>
      </c>
      <c r="D671" s="158" t="s">
        <v>1472</v>
      </c>
      <c r="E671" s="158" t="s">
        <v>1471</v>
      </c>
      <c r="F671" s="158" t="s">
        <v>3805</v>
      </c>
      <c r="J671" t="s">
        <v>3838</v>
      </c>
    </row>
    <row r="672" spans="1:11" hidden="1" x14ac:dyDescent="0.3">
      <c r="A672" s="158" t="s">
        <v>5044</v>
      </c>
      <c r="B672" s="158" t="s">
        <v>3821</v>
      </c>
      <c r="C672" s="158" t="s">
        <v>24</v>
      </c>
      <c r="D672" s="158" t="s">
        <v>1469</v>
      </c>
      <c r="E672" s="158" t="s">
        <v>1468</v>
      </c>
      <c r="F672" s="158" t="s">
        <v>3804</v>
      </c>
      <c r="J672" t="s">
        <v>4090</v>
      </c>
    </row>
    <row r="673" spans="1:11" hidden="1" x14ac:dyDescent="0.3">
      <c r="A673" s="158" t="s">
        <v>5481</v>
      </c>
      <c r="B673" s="158" t="s">
        <v>3838</v>
      </c>
      <c r="C673" s="158" t="s">
        <v>35</v>
      </c>
      <c r="D673" s="158" t="s">
        <v>433</v>
      </c>
      <c r="E673" s="158" t="s">
        <v>432</v>
      </c>
      <c r="F673" s="158" t="s">
        <v>3805</v>
      </c>
      <c r="J673" t="s">
        <v>4090</v>
      </c>
      <c r="K673" t="s">
        <v>24</v>
      </c>
    </row>
    <row r="674" spans="1:11" hidden="1" x14ac:dyDescent="0.3">
      <c r="A674" s="158" t="s">
        <v>5427</v>
      </c>
      <c r="B674" s="158" t="s">
        <v>3838</v>
      </c>
      <c r="C674" s="158" t="s">
        <v>10</v>
      </c>
      <c r="D674" s="158" t="s">
        <v>578</v>
      </c>
      <c r="E674" s="158" t="s">
        <v>577</v>
      </c>
      <c r="F674" s="158" t="s">
        <v>4010</v>
      </c>
      <c r="J674" t="s">
        <v>3810</v>
      </c>
    </row>
    <row r="675" spans="1:11" hidden="1" x14ac:dyDescent="0.3">
      <c r="A675" s="158" t="s">
        <v>5076</v>
      </c>
      <c r="B675" s="158" t="s">
        <v>3821</v>
      </c>
      <c r="C675" s="158" t="s">
        <v>35</v>
      </c>
      <c r="D675" s="158" t="s">
        <v>1401</v>
      </c>
      <c r="E675" s="158" t="s">
        <v>1400</v>
      </c>
      <c r="F675" s="158" t="s">
        <v>3805</v>
      </c>
      <c r="K675" t="s">
        <v>15</v>
      </c>
    </row>
    <row r="676" spans="1:11" hidden="1" x14ac:dyDescent="0.3">
      <c r="A676" s="158" t="s">
        <v>5379</v>
      </c>
      <c r="B676" s="158" t="s">
        <v>4090</v>
      </c>
      <c r="C676" s="158" t="s">
        <v>15</v>
      </c>
      <c r="D676" s="158" t="s">
        <v>3765</v>
      </c>
      <c r="E676" s="158" t="s">
        <v>676</v>
      </c>
      <c r="F676" s="158" t="s">
        <v>3805</v>
      </c>
      <c r="J676" t="s">
        <v>3810</v>
      </c>
      <c r="K676" t="s">
        <v>35</v>
      </c>
    </row>
    <row r="677" spans="1:11" hidden="1" x14ac:dyDescent="0.3">
      <c r="A677" s="158" t="s">
        <v>5568</v>
      </c>
      <c r="B677" s="158" t="s">
        <v>4079</v>
      </c>
      <c r="C677" s="158" t="s">
        <v>35</v>
      </c>
      <c r="D677" s="158" t="s">
        <v>217</v>
      </c>
      <c r="E677" s="158" t="s">
        <v>216</v>
      </c>
      <c r="F677" s="158" t="s">
        <v>5627</v>
      </c>
      <c r="J677" t="s">
        <v>3821</v>
      </c>
      <c r="K677" t="s">
        <v>10</v>
      </c>
    </row>
    <row r="678" spans="1:11" hidden="1" x14ac:dyDescent="0.3">
      <c r="A678" s="158" t="s">
        <v>5470</v>
      </c>
      <c r="B678" s="158" t="s">
        <v>3838</v>
      </c>
      <c r="C678" s="158" t="s">
        <v>10</v>
      </c>
      <c r="D678" s="158" t="s">
        <v>464</v>
      </c>
      <c r="E678" s="158" t="s">
        <v>463</v>
      </c>
      <c r="F678" s="158" t="s">
        <v>3805</v>
      </c>
      <c r="J678" t="s">
        <v>3810</v>
      </c>
    </row>
    <row r="679" spans="1:11" hidden="1" x14ac:dyDescent="0.3">
      <c r="A679" s="158" t="s">
        <v>5506</v>
      </c>
      <c r="B679" s="158" t="s">
        <v>3838</v>
      </c>
      <c r="C679" s="158" t="s">
        <v>10</v>
      </c>
      <c r="D679" s="158" t="s">
        <v>374</v>
      </c>
      <c r="E679" s="158" t="s">
        <v>373</v>
      </c>
      <c r="F679" s="158" t="s">
        <v>3805</v>
      </c>
      <c r="J679" t="s">
        <v>3810</v>
      </c>
      <c r="K679" t="s">
        <v>24</v>
      </c>
    </row>
    <row r="680" spans="1:11" hidden="1" x14ac:dyDescent="0.3">
      <c r="A680" s="158" t="s">
        <v>5498</v>
      </c>
      <c r="B680" s="158" t="s">
        <v>3838</v>
      </c>
      <c r="C680" s="158" t="s">
        <v>10</v>
      </c>
      <c r="D680" s="158" t="s">
        <v>392</v>
      </c>
      <c r="E680" s="158" t="s">
        <v>391</v>
      </c>
      <c r="F680" s="158" t="s">
        <v>4139</v>
      </c>
      <c r="J680" t="s">
        <v>3810</v>
      </c>
    </row>
    <row r="681" spans="1:11" hidden="1" x14ac:dyDescent="0.3">
      <c r="A681" s="158" t="s">
        <v>5483</v>
      </c>
      <c r="B681" s="158" t="s">
        <v>3838</v>
      </c>
      <c r="C681" s="158" t="s">
        <v>10</v>
      </c>
      <c r="D681" s="158" t="s">
        <v>428</v>
      </c>
      <c r="E681" s="158" t="s">
        <v>427</v>
      </c>
      <c r="F681" s="158" t="s">
        <v>3822</v>
      </c>
      <c r="J681" t="s">
        <v>3810</v>
      </c>
    </row>
    <row r="682" spans="1:11" hidden="1" x14ac:dyDescent="0.3">
      <c r="A682" s="158" t="s">
        <v>5083</v>
      </c>
      <c r="B682" s="158" t="s">
        <v>3821</v>
      </c>
      <c r="C682" s="158" t="s">
        <v>35</v>
      </c>
      <c r="D682" s="158" t="s">
        <v>1385</v>
      </c>
      <c r="E682" s="158" t="s">
        <v>1384</v>
      </c>
      <c r="F682" s="158" t="s">
        <v>3805</v>
      </c>
      <c r="K682" t="s">
        <v>15</v>
      </c>
    </row>
    <row r="683" spans="1:11" hidden="1" x14ac:dyDescent="0.3">
      <c r="A683" s="158" t="s">
        <v>5199</v>
      </c>
      <c r="B683" s="158" t="s">
        <v>4090</v>
      </c>
      <c r="C683" s="158" t="s">
        <v>24</v>
      </c>
      <c r="D683" s="158" t="s">
        <v>1082</v>
      </c>
      <c r="E683" s="158" t="s">
        <v>1081</v>
      </c>
      <c r="F683" s="158" t="s">
        <v>3804</v>
      </c>
      <c r="J683" t="s">
        <v>3810</v>
      </c>
    </row>
    <row r="684" spans="1:11" x14ac:dyDescent="0.3">
      <c r="A684" s="158" t="s">
        <v>5084</v>
      </c>
      <c r="B684" s="158" t="s">
        <v>3821</v>
      </c>
      <c r="C684" s="158" t="s">
        <v>35</v>
      </c>
      <c r="D684" s="158" t="s">
        <v>1383</v>
      </c>
      <c r="E684" s="158" t="s">
        <v>1382</v>
      </c>
      <c r="F684" s="158" t="s">
        <v>3804</v>
      </c>
      <c r="G684" t="s">
        <v>3822</v>
      </c>
      <c r="K684" t="s">
        <v>15</v>
      </c>
    </row>
    <row r="685" spans="1:11" hidden="1" x14ac:dyDescent="0.3">
      <c r="A685" s="158" t="s">
        <v>5536</v>
      </c>
      <c r="B685" s="158" t="s">
        <v>3838</v>
      </c>
      <c r="C685" s="158" t="s">
        <v>10</v>
      </c>
      <c r="D685" s="158" t="s">
        <v>298</v>
      </c>
      <c r="E685" s="158" t="s">
        <v>297</v>
      </c>
      <c r="F685" s="158" t="s">
        <v>3822</v>
      </c>
      <c r="J685" t="s">
        <v>3810</v>
      </c>
    </row>
    <row r="686" spans="1:11" hidden="1" x14ac:dyDescent="0.3">
      <c r="A686" s="158" t="s">
        <v>5200</v>
      </c>
      <c r="B686" s="158" t="s">
        <v>4090</v>
      </c>
      <c r="C686" s="158" t="s">
        <v>24</v>
      </c>
      <c r="D686" s="158" t="s">
        <v>1080</v>
      </c>
      <c r="E686" s="158" t="s">
        <v>1079</v>
      </c>
      <c r="F686" s="158" t="s">
        <v>3822</v>
      </c>
      <c r="J686" t="s">
        <v>3810</v>
      </c>
      <c r="K686" t="s">
        <v>10</v>
      </c>
    </row>
    <row r="687" spans="1:11" hidden="1" x14ac:dyDescent="0.3">
      <c r="A687" s="158" t="s">
        <v>5201</v>
      </c>
      <c r="B687" s="158" t="s">
        <v>4090</v>
      </c>
      <c r="C687" s="158" t="s">
        <v>24</v>
      </c>
      <c r="D687" s="158" t="s">
        <v>1078</v>
      </c>
      <c r="E687" s="158" t="s">
        <v>1077</v>
      </c>
      <c r="F687" s="158" t="s">
        <v>3822</v>
      </c>
      <c r="J687" t="s">
        <v>3810</v>
      </c>
    </row>
    <row r="688" spans="1:11" hidden="1" x14ac:dyDescent="0.3">
      <c r="A688" s="158" t="s">
        <v>5087</v>
      </c>
      <c r="B688" s="158" t="s">
        <v>3821</v>
      </c>
      <c r="C688" s="158" t="s">
        <v>35</v>
      </c>
      <c r="D688" s="158" t="s">
        <v>3732</v>
      </c>
      <c r="E688" s="158" t="s">
        <v>1374</v>
      </c>
      <c r="F688" s="158" t="s">
        <v>3822</v>
      </c>
      <c r="K688" t="s">
        <v>15</v>
      </c>
    </row>
    <row r="689" spans="1:11" hidden="1" x14ac:dyDescent="0.3">
      <c r="A689" s="158" t="s">
        <v>5537</v>
      </c>
      <c r="B689" s="158" t="s">
        <v>3838</v>
      </c>
      <c r="C689" s="158" t="s">
        <v>10</v>
      </c>
      <c r="D689" s="158" t="s">
        <v>295</v>
      </c>
      <c r="E689" s="158" t="s">
        <v>294</v>
      </c>
      <c r="F689" s="158" t="s">
        <v>5627</v>
      </c>
      <c r="K689" t="s">
        <v>24</v>
      </c>
    </row>
    <row r="690" spans="1:11" hidden="1" x14ac:dyDescent="0.3">
      <c r="A690" s="158" t="s">
        <v>5202</v>
      </c>
      <c r="B690" s="158" t="s">
        <v>4090</v>
      </c>
      <c r="C690" s="158" t="s">
        <v>24</v>
      </c>
      <c r="D690" s="158" t="s">
        <v>1076</v>
      </c>
      <c r="E690" s="158" t="s">
        <v>1075</v>
      </c>
      <c r="F690" s="158" t="s">
        <v>3804</v>
      </c>
      <c r="J690" t="s">
        <v>3838</v>
      </c>
      <c r="K690" t="s">
        <v>10</v>
      </c>
    </row>
    <row r="691" spans="1:11" hidden="1" x14ac:dyDescent="0.3">
      <c r="A691" s="158" t="s">
        <v>5569</v>
      </c>
      <c r="B691" s="158" t="s">
        <v>4079</v>
      </c>
      <c r="C691" s="158" t="s">
        <v>35</v>
      </c>
      <c r="D691" s="158" t="s">
        <v>214</v>
      </c>
      <c r="E691" s="158" t="s">
        <v>215</v>
      </c>
      <c r="F691" s="158" t="s">
        <v>4139</v>
      </c>
      <c r="J691" t="s">
        <v>3821</v>
      </c>
      <c r="K691" t="s">
        <v>10</v>
      </c>
    </row>
    <row r="692" spans="1:11" hidden="1" x14ac:dyDescent="0.3">
      <c r="A692" s="158" t="s">
        <v>5570</v>
      </c>
      <c r="B692" s="158" t="s">
        <v>4079</v>
      </c>
      <c r="C692" s="158" t="s">
        <v>35</v>
      </c>
      <c r="D692" s="158" t="s">
        <v>214</v>
      </c>
      <c r="E692" s="158" t="s">
        <v>213</v>
      </c>
      <c r="F692" s="158" t="s">
        <v>4139</v>
      </c>
      <c r="J692" t="s">
        <v>3838</v>
      </c>
      <c r="K692" t="s">
        <v>43</v>
      </c>
    </row>
    <row r="693" spans="1:11" hidden="1" x14ac:dyDescent="0.3">
      <c r="A693" s="158" t="s">
        <v>5571</v>
      </c>
      <c r="B693" s="158" t="s">
        <v>4079</v>
      </c>
      <c r="C693" s="158" t="s">
        <v>35</v>
      </c>
      <c r="D693" s="158" t="s">
        <v>212</v>
      </c>
      <c r="E693" s="158" t="s">
        <v>211</v>
      </c>
      <c r="F693" s="158" t="s">
        <v>3805</v>
      </c>
      <c r="J693" t="s">
        <v>3838</v>
      </c>
      <c r="K693" t="s">
        <v>43</v>
      </c>
    </row>
    <row r="694" spans="1:11" hidden="1" x14ac:dyDescent="0.3">
      <c r="A694" s="158" t="s">
        <v>5203</v>
      </c>
      <c r="B694" s="158" t="s">
        <v>4090</v>
      </c>
      <c r="C694" s="158" t="s">
        <v>24</v>
      </c>
      <c r="D694" s="158" t="s">
        <v>1074</v>
      </c>
      <c r="E694" s="158" t="s">
        <v>1073</v>
      </c>
      <c r="F694" s="158" t="s">
        <v>3822</v>
      </c>
      <c r="J694" t="s">
        <v>3810</v>
      </c>
    </row>
    <row r="695" spans="1:11" hidden="1" x14ac:dyDescent="0.3">
      <c r="A695" s="158" t="s">
        <v>5115</v>
      </c>
      <c r="B695" s="158" t="s">
        <v>3821</v>
      </c>
      <c r="C695" s="158" t="s">
        <v>10</v>
      </c>
      <c r="D695" s="158" t="s">
        <v>1301</v>
      </c>
      <c r="E695" s="158" t="s">
        <v>1300</v>
      </c>
      <c r="F695" s="158" t="s">
        <v>3805</v>
      </c>
      <c r="J695" t="s">
        <v>4090</v>
      </c>
      <c r="K695" t="s">
        <v>35</v>
      </c>
    </row>
    <row r="696" spans="1:11" hidden="1" x14ac:dyDescent="0.3">
      <c r="A696" s="158" t="s">
        <v>5252</v>
      </c>
      <c r="B696" s="158" t="s">
        <v>4090</v>
      </c>
      <c r="C696" s="158" t="s">
        <v>35</v>
      </c>
      <c r="D696" s="158" t="s">
        <v>964</v>
      </c>
      <c r="E696" s="158" t="s">
        <v>963</v>
      </c>
      <c r="F696" s="158" t="s">
        <v>3804</v>
      </c>
      <c r="J696" t="s">
        <v>3838</v>
      </c>
      <c r="K696" t="s">
        <v>10</v>
      </c>
    </row>
    <row r="697" spans="1:11" hidden="1" x14ac:dyDescent="0.3">
      <c r="A697" s="158" t="s">
        <v>5253</v>
      </c>
      <c r="B697" s="158" t="s">
        <v>4090</v>
      </c>
      <c r="C697" s="158" t="s">
        <v>35</v>
      </c>
      <c r="D697" s="158" t="s">
        <v>962</v>
      </c>
      <c r="E697" s="158" t="s">
        <v>961</v>
      </c>
      <c r="F697" s="158" t="s">
        <v>3804</v>
      </c>
      <c r="J697" t="s">
        <v>3838</v>
      </c>
      <c r="K697" t="s">
        <v>10</v>
      </c>
    </row>
    <row r="698" spans="1:11" hidden="1" x14ac:dyDescent="0.3">
      <c r="A698" s="158" t="s">
        <v>5116</v>
      </c>
      <c r="B698" s="158" t="s">
        <v>3821</v>
      </c>
      <c r="C698" s="158" t="s">
        <v>10</v>
      </c>
      <c r="D698" s="158" t="s">
        <v>1298</v>
      </c>
      <c r="E698" s="158" t="s">
        <v>1297</v>
      </c>
      <c r="F698" s="158" t="s">
        <v>3805</v>
      </c>
      <c r="J698" t="s">
        <v>4090</v>
      </c>
    </row>
    <row r="699" spans="1:11" hidden="1" x14ac:dyDescent="0.3">
      <c r="A699" s="158" t="s">
        <v>4136</v>
      </c>
      <c r="B699" s="158" t="s">
        <v>3821</v>
      </c>
      <c r="C699" s="158" t="s">
        <v>10</v>
      </c>
      <c r="D699" s="158" t="s">
        <v>1296</v>
      </c>
      <c r="E699" s="158" t="s">
        <v>1295</v>
      </c>
      <c r="F699" s="158" t="s">
        <v>3804</v>
      </c>
      <c r="I699" t="s">
        <v>4137</v>
      </c>
      <c r="J699" t="s">
        <v>4090</v>
      </c>
    </row>
    <row r="700" spans="1:11" hidden="1" x14ac:dyDescent="0.3">
      <c r="A700" s="158" t="s">
        <v>5484</v>
      </c>
      <c r="B700" s="158" t="s">
        <v>3838</v>
      </c>
      <c r="C700" s="158" t="s">
        <v>35</v>
      </c>
      <c r="D700" s="158" t="s">
        <v>426</v>
      </c>
      <c r="E700" s="158" t="s">
        <v>425</v>
      </c>
      <c r="F700" s="158" t="s">
        <v>3805</v>
      </c>
      <c r="J700" t="s">
        <v>3810</v>
      </c>
    </row>
    <row r="701" spans="1:11" hidden="1" x14ac:dyDescent="0.3">
      <c r="A701" s="158" t="s">
        <v>5117</v>
      </c>
      <c r="B701" s="158" t="s">
        <v>3821</v>
      </c>
      <c r="C701" s="158" t="s">
        <v>10</v>
      </c>
      <c r="D701" s="158" t="s">
        <v>1294</v>
      </c>
      <c r="E701" s="158" t="s">
        <v>1293</v>
      </c>
      <c r="F701" s="158" t="s">
        <v>3900</v>
      </c>
      <c r="J701" t="s">
        <v>4090</v>
      </c>
    </row>
    <row r="702" spans="1:11" hidden="1" x14ac:dyDescent="0.3">
      <c r="A702" s="158" t="s">
        <v>5496</v>
      </c>
      <c r="B702" s="158" t="s">
        <v>3838</v>
      </c>
      <c r="C702" s="158" t="s">
        <v>35</v>
      </c>
      <c r="D702" s="158" t="s">
        <v>396</v>
      </c>
      <c r="E702" s="158" t="s">
        <v>395</v>
      </c>
      <c r="F702" s="158" t="s">
        <v>3804</v>
      </c>
      <c r="J702" t="s">
        <v>3810</v>
      </c>
    </row>
    <row r="703" spans="1:11" hidden="1" x14ac:dyDescent="0.3">
      <c r="A703" s="158" t="s">
        <v>5118</v>
      </c>
      <c r="B703" s="158" t="s">
        <v>3821</v>
      </c>
      <c r="C703" s="158" t="s">
        <v>10</v>
      </c>
      <c r="D703" s="158" t="s">
        <v>1291</v>
      </c>
      <c r="E703" s="158" t="s">
        <v>1290</v>
      </c>
      <c r="F703" s="158" t="s">
        <v>3822</v>
      </c>
      <c r="J703" t="s">
        <v>4090</v>
      </c>
    </row>
    <row r="704" spans="1:11" hidden="1" x14ac:dyDescent="0.3">
      <c r="A704" s="158" t="s">
        <v>5474</v>
      </c>
      <c r="B704" s="158" t="s">
        <v>3838</v>
      </c>
      <c r="C704" s="158" t="s">
        <v>43</v>
      </c>
      <c r="D704" s="158" t="s">
        <v>454</v>
      </c>
      <c r="E704" s="158" t="s">
        <v>453</v>
      </c>
      <c r="F704" s="158" t="s">
        <v>3805</v>
      </c>
      <c r="K704" t="s">
        <v>35</v>
      </c>
    </row>
    <row r="705" spans="1:11" hidden="1" x14ac:dyDescent="0.3">
      <c r="A705" s="158" t="s">
        <v>5204</v>
      </c>
      <c r="B705" s="158" t="s">
        <v>4090</v>
      </c>
      <c r="C705" s="158" t="s">
        <v>24</v>
      </c>
      <c r="D705" s="158" t="s">
        <v>1072</v>
      </c>
      <c r="E705" s="158" t="s">
        <v>1071</v>
      </c>
      <c r="F705" s="158" t="s">
        <v>3805</v>
      </c>
      <c r="J705" t="s">
        <v>3810</v>
      </c>
    </row>
    <row r="706" spans="1:11" x14ac:dyDescent="0.3">
      <c r="A706" s="158" t="s">
        <v>5120</v>
      </c>
      <c r="B706" s="158" t="s">
        <v>3821</v>
      </c>
      <c r="C706" s="158" t="s">
        <v>10</v>
      </c>
      <c r="D706" s="158" t="s">
        <v>1286</v>
      </c>
      <c r="E706" s="158" t="s">
        <v>1285</v>
      </c>
      <c r="F706" s="158" t="s">
        <v>3822</v>
      </c>
      <c r="G706" t="s">
        <v>3804</v>
      </c>
      <c r="J706" t="s">
        <v>4090</v>
      </c>
      <c r="K706" t="s">
        <v>35</v>
      </c>
    </row>
    <row r="707" spans="1:11" hidden="1" x14ac:dyDescent="0.3">
      <c r="A707" s="158" t="s">
        <v>5497</v>
      </c>
      <c r="B707" s="158" t="s">
        <v>3838</v>
      </c>
      <c r="C707" s="158" t="s">
        <v>24</v>
      </c>
      <c r="D707" s="158" t="s">
        <v>394</v>
      </c>
      <c r="E707" s="158" t="s">
        <v>393</v>
      </c>
      <c r="F707" s="158" t="s">
        <v>3900</v>
      </c>
      <c r="J707" t="s">
        <v>3810</v>
      </c>
    </row>
    <row r="708" spans="1:11" x14ac:dyDescent="0.3">
      <c r="A708" s="158" t="s">
        <v>4138</v>
      </c>
      <c r="B708" s="158" t="s">
        <v>3838</v>
      </c>
      <c r="C708" s="158" t="s">
        <v>35</v>
      </c>
      <c r="D708" s="158" t="s">
        <v>364</v>
      </c>
      <c r="E708" s="158" t="s">
        <v>363</v>
      </c>
      <c r="F708" s="158" t="s">
        <v>3804</v>
      </c>
      <c r="G708" t="s">
        <v>4139</v>
      </c>
    </row>
    <row r="709" spans="1:11" hidden="1" x14ac:dyDescent="0.3">
      <c r="A709" s="158" t="s">
        <v>5121</v>
      </c>
      <c r="B709" s="158" t="s">
        <v>3821</v>
      </c>
      <c r="C709" s="158" t="s">
        <v>10</v>
      </c>
      <c r="D709" s="158" t="s">
        <v>1284</v>
      </c>
      <c r="E709" s="158" t="s">
        <v>1283</v>
      </c>
      <c r="F709" s="158" t="s">
        <v>3805</v>
      </c>
      <c r="J709" t="s">
        <v>4090</v>
      </c>
    </row>
    <row r="710" spans="1:11" hidden="1" x14ac:dyDescent="0.3">
      <c r="A710" s="158" t="s">
        <v>5495</v>
      </c>
      <c r="B710" s="158" t="s">
        <v>3838</v>
      </c>
      <c r="C710" s="158" t="s">
        <v>35</v>
      </c>
      <c r="D710" s="158" t="s">
        <v>399</v>
      </c>
      <c r="E710" s="158" t="s">
        <v>398</v>
      </c>
      <c r="F710" s="158" t="s">
        <v>3805</v>
      </c>
      <c r="K710" t="s">
        <v>24</v>
      </c>
    </row>
    <row r="711" spans="1:11" hidden="1" x14ac:dyDescent="0.3">
      <c r="A711" s="158" t="s">
        <v>5122</v>
      </c>
      <c r="B711" s="158" t="s">
        <v>3821</v>
      </c>
      <c r="C711" s="158" t="s">
        <v>10</v>
      </c>
      <c r="D711" s="158" t="s">
        <v>1282</v>
      </c>
      <c r="E711" s="158" t="s">
        <v>1281</v>
      </c>
      <c r="F711" s="158" t="s">
        <v>4010</v>
      </c>
      <c r="J711" t="s">
        <v>4090</v>
      </c>
      <c r="K711" t="s">
        <v>35</v>
      </c>
    </row>
    <row r="712" spans="1:11" hidden="1" x14ac:dyDescent="0.3">
      <c r="A712" s="158" t="s">
        <v>5123</v>
      </c>
      <c r="B712" s="158" t="s">
        <v>3821</v>
      </c>
      <c r="C712" s="158" t="s">
        <v>10</v>
      </c>
      <c r="D712" s="158" t="s">
        <v>1279</v>
      </c>
      <c r="E712" s="158" t="s">
        <v>1278</v>
      </c>
      <c r="F712" s="158" t="s">
        <v>3805</v>
      </c>
      <c r="J712" t="s">
        <v>4090</v>
      </c>
      <c r="K712" t="s">
        <v>35</v>
      </c>
    </row>
    <row r="713" spans="1:11" hidden="1" x14ac:dyDescent="0.3">
      <c r="A713" s="158" t="s">
        <v>5124</v>
      </c>
      <c r="B713" s="158" t="s">
        <v>3821</v>
      </c>
      <c r="C713" s="158" t="s">
        <v>10</v>
      </c>
      <c r="D713" s="158" t="s">
        <v>1276</v>
      </c>
      <c r="E713" s="158" t="s">
        <v>1275</v>
      </c>
      <c r="F713" s="158" t="s">
        <v>3822</v>
      </c>
      <c r="J713" t="s">
        <v>4090</v>
      </c>
    </row>
    <row r="714" spans="1:11" hidden="1" x14ac:dyDescent="0.3">
      <c r="A714" s="158" t="s">
        <v>5522</v>
      </c>
      <c r="B714" s="158" t="s">
        <v>3838</v>
      </c>
      <c r="C714" s="158" t="s">
        <v>10</v>
      </c>
      <c r="D714" s="158" t="s">
        <v>335</v>
      </c>
      <c r="E714" s="158" t="s">
        <v>334</v>
      </c>
      <c r="F714" s="158" t="s">
        <v>5627</v>
      </c>
      <c r="J714" t="s">
        <v>3810</v>
      </c>
    </row>
    <row r="715" spans="1:11" hidden="1" x14ac:dyDescent="0.3">
      <c r="A715" s="158" t="s">
        <v>5125</v>
      </c>
      <c r="B715" s="158" t="s">
        <v>3821</v>
      </c>
      <c r="C715" s="158" t="s">
        <v>10</v>
      </c>
      <c r="D715" s="158" t="s">
        <v>1273</v>
      </c>
      <c r="E715" s="158" t="s">
        <v>1272</v>
      </c>
      <c r="F715" s="158" t="s">
        <v>3822</v>
      </c>
      <c r="J715" t="s">
        <v>4090</v>
      </c>
    </row>
    <row r="716" spans="1:11" hidden="1" x14ac:dyDescent="0.3">
      <c r="A716" s="158" t="s">
        <v>5443</v>
      </c>
      <c r="B716" s="158" t="s">
        <v>3838</v>
      </c>
      <c r="C716" s="158" t="s">
        <v>35</v>
      </c>
      <c r="D716" s="158" t="s">
        <v>540</v>
      </c>
      <c r="E716" s="158" t="s">
        <v>539</v>
      </c>
      <c r="F716" s="158" t="s">
        <v>3805</v>
      </c>
      <c r="J716" t="s">
        <v>3810</v>
      </c>
    </row>
    <row r="717" spans="1:11" hidden="1" x14ac:dyDescent="0.3">
      <c r="A717" s="158" t="s">
        <v>5469</v>
      </c>
      <c r="B717" s="158" t="s">
        <v>3838</v>
      </c>
      <c r="C717" s="158" t="s">
        <v>35</v>
      </c>
      <c r="D717" s="158" t="s">
        <v>466</v>
      </c>
      <c r="E717" s="158" t="s">
        <v>465</v>
      </c>
      <c r="F717" s="158" t="s">
        <v>3805</v>
      </c>
      <c r="K717" t="s">
        <v>24</v>
      </c>
    </row>
    <row r="718" spans="1:11" hidden="1" x14ac:dyDescent="0.3">
      <c r="A718" s="158" t="s">
        <v>5572</v>
      </c>
      <c r="B718" s="158" t="s">
        <v>4079</v>
      </c>
      <c r="C718" s="158" t="s">
        <v>35</v>
      </c>
      <c r="D718" s="158" t="s">
        <v>210</v>
      </c>
      <c r="E718" s="158" t="s">
        <v>209</v>
      </c>
      <c r="F718" s="158" t="s">
        <v>3804</v>
      </c>
      <c r="J718" t="s">
        <v>3810</v>
      </c>
      <c r="K718" t="s">
        <v>10</v>
      </c>
    </row>
    <row r="719" spans="1:11" hidden="1" x14ac:dyDescent="0.3">
      <c r="A719" s="158" t="s">
        <v>5573</v>
      </c>
      <c r="B719" s="158" t="s">
        <v>4079</v>
      </c>
      <c r="C719" s="158" t="s">
        <v>35</v>
      </c>
      <c r="D719" s="158" t="s">
        <v>208</v>
      </c>
      <c r="E719" s="158" t="s">
        <v>207</v>
      </c>
      <c r="F719" s="158" t="s">
        <v>3900</v>
      </c>
      <c r="J719" t="s">
        <v>3821</v>
      </c>
      <c r="K719" t="s">
        <v>10</v>
      </c>
    </row>
    <row r="720" spans="1:11" hidden="1" x14ac:dyDescent="0.3">
      <c r="A720" s="158" t="s">
        <v>5254</v>
      </c>
      <c r="B720" s="158" t="s">
        <v>4090</v>
      </c>
      <c r="C720" s="158" t="s">
        <v>35</v>
      </c>
      <c r="D720" s="158" t="s">
        <v>960</v>
      </c>
      <c r="E720" s="158" t="s">
        <v>959</v>
      </c>
      <c r="F720" s="158" t="s">
        <v>3804</v>
      </c>
      <c r="J720" t="s">
        <v>3838</v>
      </c>
    </row>
    <row r="721" spans="1:11" hidden="1" x14ac:dyDescent="0.3">
      <c r="A721" s="158" t="s">
        <v>5255</v>
      </c>
      <c r="B721" s="158" t="s">
        <v>4090</v>
      </c>
      <c r="C721" s="158" t="s">
        <v>35</v>
      </c>
      <c r="D721" s="158" t="s">
        <v>958</v>
      </c>
      <c r="E721" s="158" t="s">
        <v>957</v>
      </c>
      <c r="F721" s="158" t="s">
        <v>3822</v>
      </c>
      <c r="J721" t="s">
        <v>3810</v>
      </c>
      <c r="K721" t="s">
        <v>24</v>
      </c>
    </row>
    <row r="722" spans="1:11" hidden="1" x14ac:dyDescent="0.3">
      <c r="A722" s="158" t="s">
        <v>5256</v>
      </c>
      <c r="B722" s="158" t="s">
        <v>4090</v>
      </c>
      <c r="C722" s="158" t="s">
        <v>35</v>
      </c>
      <c r="D722" s="158" t="s">
        <v>955</v>
      </c>
      <c r="E722" s="158" t="s">
        <v>954</v>
      </c>
      <c r="F722" s="158" t="s">
        <v>3822</v>
      </c>
      <c r="J722" t="s">
        <v>3810</v>
      </c>
      <c r="K722" t="s">
        <v>24</v>
      </c>
    </row>
    <row r="723" spans="1:11" hidden="1" x14ac:dyDescent="0.3">
      <c r="A723" s="158" t="s">
        <v>4083</v>
      </c>
      <c r="B723" s="158" t="s">
        <v>3838</v>
      </c>
      <c r="C723" s="158" t="s">
        <v>24</v>
      </c>
      <c r="D723" s="158" t="s">
        <v>462</v>
      </c>
      <c r="E723" s="158" t="s">
        <v>461</v>
      </c>
      <c r="F723" s="158" t="s">
        <v>3822</v>
      </c>
      <c r="H723" t="s">
        <v>4084</v>
      </c>
    </row>
    <row r="724" spans="1:11" hidden="1" x14ac:dyDescent="0.3">
      <c r="A724" s="158" t="s">
        <v>5154</v>
      </c>
      <c r="B724" s="158" t="s">
        <v>3821</v>
      </c>
      <c r="C724" s="158" t="s">
        <v>43</v>
      </c>
      <c r="D724" s="158" t="s">
        <v>1195</v>
      </c>
      <c r="E724" s="158" t="s">
        <v>1194</v>
      </c>
      <c r="F724" s="158" t="s">
        <v>3822</v>
      </c>
      <c r="K724" t="s">
        <v>24</v>
      </c>
    </row>
    <row r="725" spans="1:11" hidden="1" x14ac:dyDescent="0.3">
      <c r="A725" s="158" t="s">
        <v>5205</v>
      </c>
      <c r="B725" s="158" t="s">
        <v>4090</v>
      </c>
      <c r="C725" s="158" t="s">
        <v>24</v>
      </c>
      <c r="D725" s="158" t="s">
        <v>1069</v>
      </c>
      <c r="E725" s="158" t="s">
        <v>1068</v>
      </c>
      <c r="F725" s="158" t="s">
        <v>3822</v>
      </c>
      <c r="J725" t="s">
        <v>3810</v>
      </c>
      <c r="K725" t="s">
        <v>10</v>
      </c>
    </row>
    <row r="726" spans="1:11" hidden="1" x14ac:dyDescent="0.3">
      <c r="A726" s="158" t="s">
        <v>5155</v>
      </c>
      <c r="B726" s="158" t="s">
        <v>3821</v>
      </c>
      <c r="C726" s="158" t="s">
        <v>43</v>
      </c>
      <c r="D726" s="158" t="s">
        <v>1193</v>
      </c>
      <c r="E726" s="158" t="s">
        <v>1192</v>
      </c>
      <c r="F726" s="158" t="s">
        <v>5627</v>
      </c>
      <c r="K726" t="s">
        <v>24</v>
      </c>
    </row>
    <row r="727" spans="1:11" hidden="1" x14ac:dyDescent="0.3">
      <c r="A727" s="158" t="s">
        <v>5206</v>
      </c>
      <c r="B727" s="158" t="s">
        <v>4090</v>
      </c>
      <c r="C727" s="158" t="s">
        <v>24</v>
      </c>
      <c r="D727" s="158" t="s">
        <v>1067</v>
      </c>
      <c r="E727" s="158" t="s">
        <v>1066</v>
      </c>
      <c r="F727" s="158" t="s">
        <v>3805</v>
      </c>
      <c r="J727" t="s">
        <v>3810</v>
      </c>
      <c r="K727" t="s">
        <v>10</v>
      </c>
    </row>
    <row r="728" spans="1:11" hidden="1" x14ac:dyDescent="0.3">
      <c r="A728" s="158" t="s">
        <v>5156</v>
      </c>
      <c r="B728" s="158" t="s">
        <v>3821</v>
      </c>
      <c r="C728" s="158" t="s">
        <v>43</v>
      </c>
      <c r="D728" s="158" t="s">
        <v>1190</v>
      </c>
      <c r="E728" s="158" t="s">
        <v>1189</v>
      </c>
      <c r="F728" s="158" t="s">
        <v>5627</v>
      </c>
      <c r="K728" t="s">
        <v>24</v>
      </c>
    </row>
    <row r="729" spans="1:11" hidden="1" x14ac:dyDescent="0.3">
      <c r="A729" s="158" t="s">
        <v>5207</v>
      </c>
      <c r="B729" s="158" t="s">
        <v>4090</v>
      </c>
      <c r="C729" s="158" t="s">
        <v>24</v>
      </c>
      <c r="D729" s="158" t="s">
        <v>1065</v>
      </c>
      <c r="E729" s="158" t="s">
        <v>1064</v>
      </c>
      <c r="F729" s="158" t="s">
        <v>3804</v>
      </c>
      <c r="J729" t="s">
        <v>3810</v>
      </c>
    </row>
    <row r="730" spans="1:11" hidden="1" x14ac:dyDescent="0.3">
      <c r="A730" s="158" t="s">
        <v>5157</v>
      </c>
      <c r="B730" s="158" t="s">
        <v>3821</v>
      </c>
      <c r="C730" s="158" t="s">
        <v>43</v>
      </c>
      <c r="D730" s="158" t="s">
        <v>1187</v>
      </c>
      <c r="E730" s="158" t="s">
        <v>1186</v>
      </c>
      <c r="F730" s="158" t="s">
        <v>3805</v>
      </c>
      <c r="K730" t="s">
        <v>10</v>
      </c>
    </row>
    <row r="731" spans="1:11" hidden="1" x14ac:dyDescent="0.3">
      <c r="A731" s="158" t="s">
        <v>5208</v>
      </c>
      <c r="B731" s="158" t="s">
        <v>4090</v>
      </c>
      <c r="C731" s="158" t="s">
        <v>24</v>
      </c>
      <c r="D731" s="158" t="s">
        <v>1063</v>
      </c>
      <c r="E731" s="158" t="s">
        <v>1062</v>
      </c>
      <c r="F731" s="158" t="s">
        <v>3805</v>
      </c>
      <c r="J731" t="s">
        <v>3810</v>
      </c>
      <c r="K731" t="s">
        <v>10</v>
      </c>
    </row>
    <row r="732" spans="1:11" hidden="1" x14ac:dyDescent="0.3">
      <c r="A732" s="158" t="s">
        <v>4085</v>
      </c>
      <c r="B732" s="158" t="s">
        <v>3821</v>
      </c>
      <c r="C732" s="158" t="s">
        <v>43</v>
      </c>
      <c r="D732" s="158" t="s">
        <v>3754</v>
      </c>
      <c r="E732" s="158" t="s">
        <v>1184</v>
      </c>
      <c r="F732" s="158" t="s">
        <v>3822</v>
      </c>
      <c r="I732" t="s">
        <v>4086</v>
      </c>
      <c r="K732" t="s">
        <v>24</v>
      </c>
    </row>
    <row r="733" spans="1:11" hidden="1" x14ac:dyDescent="0.3">
      <c r="A733" s="158" t="s">
        <v>5209</v>
      </c>
      <c r="B733" s="158" t="s">
        <v>4090</v>
      </c>
      <c r="C733" s="158" t="s">
        <v>24</v>
      </c>
      <c r="D733" s="158" t="s">
        <v>1061</v>
      </c>
      <c r="E733" s="158" t="s">
        <v>1060</v>
      </c>
      <c r="F733" s="158" t="s">
        <v>3805</v>
      </c>
      <c r="J733" t="s">
        <v>3810</v>
      </c>
      <c r="K733" t="s">
        <v>10</v>
      </c>
    </row>
    <row r="734" spans="1:11" hidden="1" x14ac:dyDescent="0.3">
      <c r="A734" s="158" t="s">
        <v>5257</v>
      </c>
      <c r="B734" s="158" t="s">
        <v>4090</v>
      </c>
      <c r="C734" s="158" t="s">
        <v>35</v>
      </c>
      <c r="D734" s="158" t="s">
        <v>953</v>
      </c>
      <c r="E734" s="158" t="s">
        <v>952</v>
      </c>
      <c r="F734" s="158" t="s">
        <v>3805</v>
      </c>
      <c r="J734" t="s">
        <v>3810</v>
      </c>
      <c r="K734" t="s">
        <v>10</v>
      </c>
    </row>
    <row r="735" spans="1:11" hidden="1" x14ac:dyDescent="0.3">
      <c r="A735" s="158" t="s">
        <v>5210</v>
      </c>
      <c r="B735" s="158" t="s">
        <v>4090</v>
      </c>
      <c r="C735" s="158" t="s">
        <v>24</v>
      </c>
      <c r="D735" s="158" t="s">
        <v>1059</v>
      </c>
      <c r="E735" s="158" t="s">
        <v>1058</v>
      </c>
      <c r="F735" s="158" t="s">
        <v>3900</v>
      </c>
      <c r="J735" t="s">
        <v>3810</v>
      </c>
      <c r="K735" t="s">
        <v>10</v>
      </c>
    </row>
    <row r="736" spans="1:11" hidden="1" x14ac:dyDescent="0.3">
      <c r="A736" s="158" t="s">
        <v>5472</v>
      </c>
      <c r="B736" s="158" t="s">
        <v>3838</v>
      </c>
      <c r="C736" s="158" t="s">
        <v>35</v>
      </c>
      <c r="D736" s="158" t="s">
        <v>459</v>
      </c>
      <c r="E736" s="158" t="s">
        <v>458</v>
      </c>
      <c r="F736" s="158" t="s">
        <v>3822</v>
      </c>
      <c r="J736" t="s">
        <v>4090</v>
      </c>
      <c r="K736" t="s">
        <v>24</v>
      </c>
    </row>
    <row r="737" spans="1:11" hidden="1" x14ac:dyDescent="0.3">
      <c r="A737" s="158" t="s">
        <v>5185</v>
      </c>
      <c r="B737" s="158" t="s">
        <v>3821</v>
      </c>
      <c r="C737" s="158" t="s">
        <v>15</v>
      </c>
      <c r="D737" s="158" t="s">
        <v>1114</v>
      </c>
      <c r="E737" s="158" t="s">
        <v>1113</v>
      </c>
      <c r="F737" s="158" t="s">
        <v>3804</v>
      </c>
      <c r="K737" t="s">
        <v>35</v>
      </c>
    </row>
    <row r="738" spans="1:11" hidden="1" x14ac:dyDescent="0.3">
      <c r="A738" s="158" t="s">
        <v>5186</v>
      </c>
      <c r="B738" s="158" t="s">
        <v>3821</v>
      </c>
      <c r="C738" s="158" t="s">
        <v>15</v>
      </c>
      <c r="D738" s="158" t="s">
        <v>1112</v>
      </c>
      <c r="E738" s="158" t="s">
        <v>1111</v>
      </c>
      <c r="F738" s="158" t="s">
        <v>3805</v>
      </c>
      <c r="K738" t="s">
        <v>35</v>
      </c>
    </row>
    <row r="739" spans="1:11" hidden="1" x14ac:dyDescent="0.3">
      <c r="A739" s="158" t="s">
        <v>5529</v>
      </c>
      <c r="B739" s="158" t="s">
        <v>3838</v>
      </c>
      <c r="C739" s="158" t="s">
        <v>35</v>
      </c>
      <c r="D739" s="158" t="s">
        <v>316</v>
      </c>
      <c r="E739" s="158" t="s">
        <v>315</v>
      </c>
      <c r="F739" s="158" t="s">
        <v>3822</v>
      </c>
      <c r="J739" t="s">
        <v>4090</v>
      </c>
      <c r="K739" t="s">
        <v>24</v>
      </c>
    </row>
    <row r="740" spans="1:11" hidden="1" x14ac:dyDescent="0.3">
      <c r="A740" s="158" t="s">
        <v>5211</v>
      </c>
      <c r="B740" s="158" t="s">
        <v>4090</v>
      </c>
      <c r="C740" s="158" t="s">
        <v>24</v>
      </c>
      <c r="D740" s="158" t="s">
        <v>1057</v>
      </c>
      <c r="E740" s="158" t="s">
        <v>1056</v>
      </c>
      <c r="F740" s="158" t="s">
        <v>3822</v>
      </c>
      <c r="J740" t="s">
        <v>3810</v>
      </c>
    </row>
    <row r="741" spans="1:11" hidden="1" x14ac:dyDescent="0.3">
      <c r="A741" s="158" t="s">
        <v>5188</v>
      </c>
      <c r="B741" s="158" t="s">
        <v>3821</v>
      </c>
      <c r="C741" s="158" t="s">
        <v>15</v>
      </c>
      <c r="D741" s="158" t="s">
        <v>1108</v>
      </c>
      <c r="E741" s="158" t="s">
        <v>1107</v>
      </c>
      <c r="F741" s="158" t="s">
        <v>3805</v>
      </c>
      <c r="K741" t="s">
        <v>35</v>
      </c>
    </row>
    <row r="742" spans="1:11" hidden="1" x14ac:dyDescent="0.3">
      <c r="A742" s="158" t="s">
        <v>5259</v>
      </c>
      <c r="B742" s="158" t="s">
        <v>4090</v>
      </c>
      <c r="C742" s="158" t="s">
        <v>35</v>
      </c>
      <c r="D742" s="158" t="s">
        <v>949</v>
      </c>
      <c r="E742" s="158" t="s">
        <v>948</v>
      </c>
      <c r="F742" s="158" t="s">
        <v>3822</v>
      </c>
      <c r="J742" t="s">
        <v>3838</v>
      </c>
    </row>
    <row r="743" spans="1:11" hidden="1" x14ac:dyDescent="0.3">
      <c r="A743" s="158" t="s">
        <v>5189</v>
      </c>
      <c r="B743" s="158" t="s">
        <v>3821</v>
      </c>
      <c r="C743" s="158" t="s">
        <v>15</v>
      </c>
      <c r="D743" s="158" t="s">
        <v>1106</v>
      </c>
      <c r="E743" s="158" t="s">
        <v>1105</v>
      </c>
      <c r="F743" s="158" t="s">
        <v>3804</v>
      </c>
      <c r="K743" t="s">
        <v>35</v>
      </c>
    </row>
    <row r="744" spans="1:11" hidden="1" x14ac:dyDescent="0.3">
      <c r="A744" s="158" t="s">
        <v>5260</v>
      </c>
      <c r="B744" s="158" t="s">
        <v>4090</v>
      </c>
      <c r="C744" s="158" t="s">
        <v>35</v>
      </c>
      <c r="D744" s="158" t="s">
        <v>947</v>
      </c>
      <c r="E744" s="158" t="s">
        <v>946</v>
      </c>
      <c r="F744" s="158" t="s">
        <v>3822</v>
      </c>
      <c r="J744" t="s">
        <v>3810</v>
      </c>
      <c r="K744" t="s">
        <v>24</v>
      </c>
    </row>
    <row r="745" spans="1:11" hidden="1" x14ac:dyDescent="0.3">
      <c r="A745" s="158" t="s">
        <v>5190</v>
      </c>
      <c r="B745" s="158" t="s">
        <v>3821</v>
      </c>
      <c r="C745" s="158" t="s">
        <v>15</v>
      </c>
      <c r="D745" s="158" t="s">
        <v>1104</v>
      </c>
      <c r="E745" s="158" t="s">
        <v>1103</v>
      </c>
      <c r="F745" s="158" t="s">
        <v>3805</v>
      </c>
      <c r="K745" t="s">
        <v>35</v>
      </c>
    </row>
    <row r="746" spans="1:11" hidden="1" x14ac:dyDescent="0.3">
      <c r="A746" s="158" t="s">
        <v>5261</v>
      </c>
      <c r="B746" s="158" t="s">
        <v>4090</v>
      </c>
      <c r="C746" s="158" t="s">
        <v>35</v>
      </c>
      <c r="D746" s="158" t="s">
        <v>945</v>
      </c>
      <c r="E746" s="158" t="s">
        <v>944</v>
      </c>
      <c r="F746" s="158" t="s">
        <v>5627</v>
      </c>
      <c r="J746" t="s">
        <v>3810</v>
      </c>
      <c r="K746" t="s">
        <v>24</v>
      </c>
    </row>
    <row r="747" spans="1:11" hidden="1" x14ac:dyDescent="0.3">
      <c r="A747" s="158" t="s">
        <v>5191</v>
      </c>
      <c r="B747" s="158" t="s">
        <v>3821</v>
      </c>
      <c r="C747" s="158" t="s">
        <v>15</v>
      </c>
      <c r="D747" s="158" t="s">
        <v>1102</v>
      </c>
      <c r="E747" s="158" t="s">
        <v>1101</v>
      </c>
      <c r="F747" s="158" t="s">
        <v>3822</v>
      </c>
      <c r="K747" t="s">
        <v>35</v>
      </c>
    </row>
    <row r="748" spans="1:11" hidden="1" x14ac:dyDescent="0.3">
      <c r="A748" s="158" t="s">
        <v>5262</v>
      </c>
      <c r="B748" s="158" t="s">
        <v>4090</v>
      </c>
      <c r="C748" s="158" t="s">
        <v>35</v>
      </c>
      <c r="D748" s="158" t="s">
        <v>942</v>
      </c>
      <c r="E748" s="158" t="s">
        <v>899</v>
      </c>
      <c r="F748" s="158" t="s">
        <v>3822</v>
      </c>
      <c r="J748" t="s">
        <v>3810</v>
      </c>
      <c r="K748" t="s">
        <v>24</v>
      </c>
    </row>
    <row r="749" spans="1:11" hidden="1" x14ac:dyDescent="0.3">
      <c r="A749" s="158" t="s">
        <v>5192</v>
      </c>
      <c r="B749" s="158" t="s">
        <v>3821</v>
      </c>
      <c r="C749" s="158" t="s">
        <v>15</v>
      </c>
      <c r="D749" s="158" t="s">
        <v>1100</v>
      </c>
      <c r="E749" s="158" t="s">
        <v>1099</v>
      </c>
      <c r="F749" s="158" t="s">
        <v>3900</v>
      </c>
      <c r="K749" t="s">
        <v>35</v>
      </c>
    </row>
    <row r="750" spans="1:11" hidden="1" x14ac:dyDescent="0.3">
      <c r="A750" s="158" t="s">
        <v>5212</v>
      </c>
      <c r="B750" s="158" t="s">
        <v>4090</v>
      </c>
      <c r="C750" s="158" t="s">
        <v>24</v>
      </c>
      <c r="D750" s="158" t="s">
        <v>1055</v>
      </c>
      <c r="E750" s="158" t="s">
        <v>1054</v>
      </c>
      <c r="F750" s="158" t="s">
        <v>4139</v>
      </c>
      <c r="J750" t="s">
        <v>3810</v>
      </c>
      <c r="K750" t="s">
        <v>10</v>
      </c>
    </row>
    <row r="751" spans="1:11" hidden="1" x14ac:dyDescent="0.3">
      <c r="A751" s="158" t="s">
        <v>5193</v>
      </c>
      <c r="B751" s="158" t="s">
        <v>3821</v>
      </c>
      <c r="C751" s="158" t="s">
        <v>15</v>
      </c>
      <c r="D751" s="158" t="s">
        <v>1098</v>
      </c>
      <c r="E751" s="158" t="s">
        <v>1097</v>
      </c>
      <c r="F751" s="158" t="s">
        <v>3900</v>
      </c>
      <c r="K751" t="s">
        <v>35</v>
      </c>
    </row>
    <row r="752" spans="1:11" hidden="1" x14ac:dyDescent="0.3">
      <c r="A752" s="158" t="s">
        <v>5263</v>
      </c>
      <c r="B752" s="158" t="s">
        <v>4090</v>
      </c>
      <c r="C752" s="158" t="s">
        <v>35</v>
      </c>
      <c r="D752" s="158" t="s">
        <v>941</v>
      </c>
      <c r="E752" s="158" t="s">
        <v>940</v>
      </c>
      <c r="F752" s="158" t="s">
        <v>3805</v>
      </c>
      <c r="J752" t="s">
        <v>3810</v>
      </c>
      <c r="K752" t="s">
        <v>24</v>
      </c>
    </row>
    <row r="753" spans="1:11" hidden="1" x14ac:dyDescent="0.3">
      <c r="A753" s="158" t="s">
        <v>5441</v>
      </c>
      <c r="B753" s="158" t="s">
        <v>3838</v>
      </c>
      <c r="C753" s="158" t="s">
        <v>10</v>
      </c>
      <c r="D753" s="158" t="s">
        <v>546</v>
      </c>
      <c r="E753" s="158" t="s">
        <v>545</v>
      </c>
      <c r="F753" s="158" t="s">
        <v>3805</v>
      </c>
      <c r="J753" t="s">
        <v>3810</v>
      </c>
    </row>
    <row r="754" spans="1:11" hidden="1" x14ac:dyDescent="0.3">
      <c r="A754" s="158" t="s">
        <v>5195</v>
      </c>
      <c r="B754" s="158" t="s">
        <v>3821</v>
      </c>
      <c r="C754" s="158" t="s">
        <v>15</v>
      </c>
      <c r="D754" s="158" t="s">
        <v>1094</v>
      </c>
      <c r="E754" s="158" t="s">
        <v>1093</v>
      </c>
      <c r="F754" s="158" t="s">
        <v>3805</v>
      </c>
      <c r="K754" t="s">
        <v>35</v>
      </c>
    </row>
    <row r="755" spans="1:11" hidden="1" x14ac:dyDescent="0.3">
      <c r="A755" s="158" t="s">
        <v>5213</v>
      </c>
      <c r="B755" s="158" t="s">
        <v>4090</v>
      </c>
      <c r="C755" s="158" t="s">
        <v>24</v>
      </c>
      <c r="D755" s="158" t="s">
        <v>1053</v>
      </c>
      <c r="E755" s="158" t="s">
        <v>1052</v>
      </c>
      <c r="F755" s="158" t="s">
        <v>3804</v>
      </c>
      <c r="J755" t="s">
        <v>3838</v>
      </c>
      <c r="K755" t="s">
        <v>10</v>
      </c>
    </row>
    <row r="756" spans="1:11" hidden="1" x14ac:dyDescent="0.3">
      <c r="A756" s="158" t="s">
        <v>5214</v>
      </c>
      <c r="B756" s="158" t="s">
        <v>4090</v>
      </c>
      <c r="C756" s="158" t="s">
        <v>24</v>
      </c>
      <c r="D756" s="158" t="s">
        <v>1051</v>
      </c>
      <c r="E756" s="158" t="s">
        <v>1050</v>
      </c>
      <c r="F756" s="158" t="s">
        <v>3805</v>
      </c>
      <c r="J756" t="s">
        <v>3810</v>
      </c>
    </row>
    <row r="757" spans="1:11" hidden="1" x14ac:dyDescent="0.3">
      <c r="A757" s="158" t="s">
        <v>5215</v>
      </c>
      <c r="B757" s="158" t="s">
        <v>4090</v>
      </c>
      <c r="C757" s="158" t="s">
        <v>24</v>
      </c>
      <c r="D757" s="158" t="s">
        <v>1049</v>
      </c>
      <c r="E757" s="158" t="s">
        <v>982</v>
      </c>
      <c r="F757" s="158" t="s">
        <v>3805</v>
      </c>
      <c r="J757" t="s">
        <v>3810</v>
      </c>
    </row>
    <row r="758" spans="1:11" hidden="1" x14ac:dyDescent="0.3">
      <c r="A758" s="158" t="s">
        <v>5197</v>
      </c>
      <c r="B758" s="158" t="s">
        <v>3821</v>
      </c>
      <c r="C758" s="158" t="s">
        <v>15</v>
      </c>
      <c r="D758" s="158" t="s">
        <v>1090</v>
      </c>
      <c r="E758" s="158" t="s">
        <v>1089</v>
      </c>
      <c r="F758" s="158" t="s">
        <v>3805</v>
      </c>
      <c r="K758" t="s">
        <v>35</v>
      </c>
    </row>
    <row r="759" spans="1:11" hidden="1" x14ac:dyDescent="0.3">
      <c r="A759" s="158" t="s">
        <v>5380</v>
      </c>
      <c r="B759" s="158" t="s">
        <v>4090</v>
      </c>
      <c r="C759" s="158" t="s">
        <v>15</v>
      </c>
      <c r="D759" s="158" t="s">
        <v>674</v>
      </c>
      <c r="E759" s="158" t="s">
        <v>673</v>
      </c>
      <c r="F759" s="158" t="s">
        <v>3805</v>
      </c>
      <c r="K759" t="s">
        <v>24</v>
      </c>
    </row>
    <row r="760" spans="1:11" hidden="1" x14ac:dyDescent="0.3">
      <c r="A760" s="158" t="s">
        <v>5198</v>
      </c>
      <c r="B760" s="158" t="s">
        <v>3821</v>
      </c>
      <c r="C760" s="158" t="s">
        <v>15</v>
      </c>
      <c r="D760" s="158" t="s">
        <v>1086</v>
      </c>
      <c r="E760" s="158" t="s">
        <v>1085</v>
      </c>
      <c r="F760" s="158" t="s">
        <v>3805</v>
      </c>
      <c r="K760" t="s">
        <v>35</v>
      </c>
    </row>
    <row r="761" spans="1:11" hidden="1" x14ac:dyDescent="0.3">
      <c r="A761" s="158" t="s">
        <v>5574</v>
      </c>
      <c r="B761" s="158" t="s">
        <v>4079</v>
      </c>
      <c r="C761" s="158" t="s">
        <v>35</v>
      </c>
      <c r="D761" s="158" t="s">
        <v>204</v>
      </c>
      <c r="E761" s="158" t="s">
        <v>203</v>
      </c>
      <c r="F761" s="158" t="s">
        <v>3822</v>
      </c>
      <c r="J761" t="s">
        <v>3821</v>
      </c>
      <c r="K761" t="s">
        <v>10</v>
      </c>
    </row>
    <row r="762" spans="1:11" hidden="1" x14ac:dyDescent="0.3">
      <c r="A762" s="158" t="s">
        <v>5216</v>
      </c>
      <c r="B762" s="158" t="s">
        <v>4090</v>
      </c>
      <c r="C762" s="158" t="s">
        <v>24</v>
      </c>
      <c r="D762" s="158" t="s">
        <v>1047</v>
      </c>
      <c r="E762" s="158" t="s">
        <v>1046</v>
      </c>
      <c r="F762" s="158" t="s">
        <v>3805</v>
      </c>
      <c r="J762" t="s">
        <v>3810</v>
      </c>
    </row>
    <row r="763" spans="1:11" hidden="1" x14ac:dyDescent="0.3">
      <c r="A763" s="158" t="s">
        <v>5575</v>
      </c>
      <c r="B763" s="158" t="s">
        <v>4079</v>
      </c>
      <c r="C763" s="158" t="s">
        <v>35</v>
      </c>
      <c r="D763" s="158" t="s">
        <v>202</v>
      </c>
      <c r="E763" s="158" t="s">
        <v>201</v>
      </c>
      <c r="F763" s="158" t="s">
        <v>3805</v>
      </c>
      <c r="J763" t="s">
        <v>3821</v>
      </c>
      <c r="K763" t="s">
        <v>10</v>
      </c>
    </row>
    <row r="764" spans="1:11" hidden="1" x14ac:dyDescent="0.3">
      <c r="A764" s="158" t="s">
        <v>5217</v>
      </c>
      <c r="B764" s="158" t="s">
        <v>4090</v>
      </c>
      <c r="C764" s="158" t="s">
        <v>24</v>
      </c>
      <c r="D764" s="158" t="s">
        <v>1045</v>
      </c>
      <c r="E764" s="158" t="s">
        <v>1044</v>
      </c>
      <c r="F764" s="158" t="s">
        <v>3805</v>
      </c>
      <c r="J764" t="s">
        <v>3810</v>
      </c>
    </row>
    <row r="765" spans="1:11" hidden="1" x14ac:dyDescent="0.3">
      <c r="A765" s="158" t="s">
        <v>5218</v>
      </c>
      <c r="B765" s="158" t="s">
        <v>4090</v>
      </c>
      <c r="C765" s="158" t="s">
        <v>24</v>
      </c>
      <c r="D765" s="158" t="s">
        <v>1043</v>
      </c>
      <c r="E765" s="158" t="s">
        <v>1042</v>
      </c>
      <c r="F765" s="158" t="s">
        <v>4139</v>
      </c>
      <c r="J765" t="s">
        <v>3810</v>
      </c>
    </row>
    <row r="766" spans="1:11" hidden="1" x14ac:dyDescent="0.3">
      <c r="A766" s="158" t="s">
        <v>5219</v>
      </c>
      <c r="B766" s="158" t="s">
        <v>4090</v>
      </c>
      <c r="C766" s="158" t="s">
        <v>24</v>
      </c>
      <c r="D766" s="158" t="s">
        <v>1041</v>
      </c>
      <c r="E766" s="158" t="s">
        <v>1040</v>
      </c>
      <c r="F766" s="158" t="s">
        <v>3822</v>
      </c>
      <c r="J766" t="s">
        <v>3810</v>
      </c>
    </row>
    <row r="767" spans="1:11" hidden="1" x14ac:dyDescent="0.3">
      <c r="A767" s="158" t="s">
        <v>5564</v>
      </c>
      <c r="B767" s="158" t="s">
        <v>3838</v>
      </c>
      <c r="C767" s="158" t="s">
        <v>10</v>
      </c>
      <c r="D767" s="158" t="s">
        <v>228</v>
      </c>
      <c r="E767" s="158" t="s">
        <v>227</v>
      </c>
      <c r="F767" s="158" t="s">
        <v>3805</v>
      </c>
      <c r="J767" t="s">
        <v>3810</v>
      </c>
      <c r="K767" t="s">
        <v>24</v>
      </c>
    </row>
    <row r="768" spans="1:11" hidden="1" x14ac:dyDescent="0.3">
      <c r="A768" s="158" t="s">
        <v>5576</v>
      </c>
      <c r="B768" s="158" t="s">
        <v>4079</v>
      </c>
      <c r="C768" s="158" t="s">
        <v>35</v>
      </c>
      <c r="D768" s="158" t="s">
        <v>200</v>
      </c>
      <c r="E768" s="158" t="s">
        <v>199</v>
      </c>
      <c r="F768" s="158" t="s">
        <v>3805</v>
      </c>
      <c r="J768" t="s">
        <v>3821</v>
      </c>
      <c r="K768" t="s">
        <v>43</v>
      </c>
    </row>
    <row r="769" spans="1:11" hidden="1" x14ac:dyDescent="0.3">
      <c r="A769" s="158" t="s">
        <v>5477</v>
      </c>
      <c r="B769" s="158" t="s">
        <v>3838</v>
      </c>
      <c r="C769" s="158" t="s">
        <v>10</v>
      </c>
      <c r="D769" s="158" t="s">
        <v>444</v>
      </c>
      <c r="E769" s="158" t="s">
        <v>443</v>
      </c>
      <c r="F769" s="158" t="s">
        <v>4139</v>
      </c>
      <c r="J769" t="s">
        <v>3810</v>
      </c>
    </row>
    <row r="770" spans="1:11" hidden="1" x14ac:dyDescent="0.3">
      <c r="A770" s="158" t="s">
        <v>5220</v>
      </c>
      <c r="B770" s="158" t="s">
        <v>4090</v>
      </c>
      <c r="C770" s="158" t="s">
        <v>24</v>
      </c>
      <c r="D770" s="158" t="s">
        <v>1039</v>
      </c>
      <c r="E770" s="158" t="s">
        <v>1038</v>
      </c>
      <c r="F770" s="158" t="s">
        <v>3805</v>
      </c>
      <c r="J770" t="s">
        <v>3810</v>
      </c>
    </row>
    <row r="771" spans="1:11" hidden="1" x14ac:dyDescent="0.3">
      <c r="A771" s="158" t="s">
        <v>5512</v>
      </c>
      <c r="B771" s="158" t="s">
        <v>3838</v>
      </c>
      <c r="C771" s="158" t="s">
        <v>10</v>
      </c>
      <c r="D771" s="158" t="s">
        <v>357</v>
      </c>
      <c r="E771" s="158" t="s">
        <v>356</v>
      </c>
      <c r="F771" s="158" t="s">
        <v>3805</v>
      </c>
      <c r="J771" t="s">
        <v>3810</v>
      </c>
    </row>
    <row r="772" spans="1:11" hidden="1" x14ac:dyDescent="0.3">
      <c r="A772" s="158" t="s">
        <v>5503</v>
      </c>
      <c r="B772" s="158" t="s">
        <v>3838</v>
      </c>
      <c r="C772" s="158" t="s">
        <v>10</v>
      </c>
      <c r="D772" s="158" t="s">
        <v>381</v>
      </c>
      <c r="E772" s="158" t="s">
        <v>380</v>
      </c>
      <c r="F772" s="158" t="s">
        <v>3804</v>
      </c>
      <c r="J772" t="s">
        <v>3810</v>
      </c>
    </row>
    <row r="773" spans="1:11" hidden="1" x14ac:dyDescent="0.3">
      <c r="A773" s="158" t="s">
        <v>5543</v>
      </c>
      <c r="B773" s="158" t="s">
        <v>3838</v>
      </c>
      <c r="C773" s="158" t="s">
        <v>10</v>
      </c>
      <c r="D773" s="158" t="s">
        <v>280</v>
      </c>
      <c r="E773" s="158" t="s">
        <v>279</v>
      </c>
      <c r="F773" s="158" t="s">
        <v>3822</v>
      </c>
      <c r="J773" t="s">
        <v>3810</v>
      </c>
    </row>
    <row r="774" spans="1:11" hidden="1" x14ac:dyDescent="0.3">
      <c r="A774" s="158" t="s">
        <v>5532</v>
      </c>
      <c r="B774" s="158" t="s">
        <v>3838</v>
      </c>
      <c r="C774" s="158" t="s">
        <v>10</v>
      </c>
      <c r="D774" s="158" t="s">
        <v>310</v>
      </c>
      <c r="E774" s="158" t="s">
        <v>309</v>
      </c>
      <c r="F774" s="158" t="s">
        <v>3822</v>
      </c>
      <c r="J774" t="s">
        <v>3810</v>
      </c>
    </row>
    <row r="775" spans="1:11" hidden="1" x14ac:dyDescent="0.3">
      <c r="A775" s="158" t="s">
        <v>5502</v>
      </c>
      <c r="B775" s="158" t="s">
        <v>3838</v>
      </c>
      <c r="C775" s="158" t="s">
        <v>10</v>
      </c>
      <c r="D775" s="158" t="s">
        <v>383</v>
      </c>
      <c r="E775" s="158" t="s">
        <v>382</v>
      </c>
      <c r="F775" s="158" t="s">
        <v>4010</v>
      </c>
      <c r="J775" t="s">
        <v>3810</v>
      </c>
    </row>
    <row r="776" spans="1:11" hidden="1" x14ac:dyDescent="0.3">
      <c r="A776" s="158" t="s">
        <v>5507</v>
      </c>
      <c r="B776" s="158" t="s">
        <v>3838</v>
      </c>
      <c r="C776" s="158" t="s">
        <v>10</v>
      </c>
      <c r="D776" s="158" t="s">
        <v>372</v>
      </c>
      <c r="E776" s="158" t="s">
        <v>371</v>
      </c>
      <c r="F776" s="158" t="s">
        <v>5627</v>
      </c>
      <c r="J776" t="s">
        <v>3810</v>
      </c>
    </row>
    <row r="777" spans="1:11" hidden="1" x14ac:dyDescent="0.3">
      <c r="A777" s="158" t="s">
        <v>5221</v>
      </c>
      <c r="B777" s="158" t="s">
        <v>4090</v>
      </c>
      <c r="C777" s="158" t="s">
        <v>24</v>
      </c>
      <c r="D777" s="158" t="s">
        <v>1037</v>
      </c>
      <c r="E777" s="158" t="s">
        <v>1036</v>
      </c>
      <c r="F777" s="158" t="s">
        <v>3900</v>
      </c>
      <c r="J777" t="s">
        <v>3838</v>
      </c>
      <c r="K777" t="s">
        <v>10</v>
      </c>
    </row>
    <row r="778" spans="1:11" hidden="1" x14ac:dyDescent="0.3">
      <c r="A778" s="158" t="s">
        <v>5517</v>
      </c>
      <c r="B778" s="158" t="s">
        <v>3838</v>
      </c>
      <c r="C778" s="158" t="s">
        <v>24</v>
      </c>
      <c r="D778" s="158" t="s">
        <v>346</v>
      </c>
      <c r="E778" s="158" t="s">
        <v>345</v>
      </c>
      <c r="F778" s="158" t="s">
        <v>3822</v>
      </c>
      <c r="K778" t="s">
        <v>10</v>
      </c>
    </row>
    <row r="779" spans="1:11" hidden="1" x14ac:dyDescent="0.3">
      <c r="A779" s="158" t="s">
        <v>5515</v>
      </c>
      <c r="B779" s="158" t="s">
        <v>3838</v>
      </c>
      <c r="C779" s="158" t="s">
        <v>35</v>
      </c>
      <c r="D779" s="158" t="s">
        <v>351</v>
      </c>
      <c r="E779" s="158" t="s">
        <v>350</v>
      </c>
      <c r="F779" s="158" t="s">
        <v>3805</v>
      </c>
      <c r="K779" t="s">
        <v>24</v>
      </c>
    </row>
    <row r="780" spans="1:11" hidden="1" x14ac:dyDescent="0.3">
      <c r="A780" s="158" t="s">
        <v>5577</v>
      </c>
      <c r="B780" s="158" t="s">
        <v>4079</v>
      </c>
      <c r="C780" s="158" t="s">
        <v>35</v>
      </c>
      <c r="D780" s="158" t="s">
        <v>196</v>
      </c>
      <c r="E780" s="158" t="s">
        <v>195</v>
      </c>
      <c r="F780" s="158" t="s">
        <v>4139</v>
      </c>
      <c r="J780" t="s">
        <v>3838</v>
      </c>
      <c r="K780" t="s">
        <v>24</v>
      </c>
    </row>
    <row r="781" spans="1:11" hidden="1" x14ac:dyDescent="0.3">
      <c r="A781" s="158" t="s">
        <v>5222</v>
      </c>
      <c r="B781" s="158" t="s">
        <v>4090</v>
      </c>
      <c r="C781" s="158" t="s">
        <v>24</v>
      </c>
      <c r="D781" s="158" t="s">
        <v>1035</v>
      </c>
      <c r="E781" s="158" t="s">
        <v>1034</v>
      </c>
      <c r="F781" s="158" t="s">
        <v>3805</v>
      </c>
      <c r="J781" t="s">
        <v>3821</v>
      </c>
      <c r="K781" t="s">
        <v>43</v>
      </c>
    </row>
    <row r="782" spans="1:11" hidden="1" x14ac:dyDescent="0.3">
      <c r="A782" s="158" t="s">
        <v>5381</v>
      </c>
      <c r="B782" s="158" t="s">
        <v>4090</v>
      </c>
      <c r="C782" s="158" t="s">
        <v>15</v>
      </c>
      <c r="D782" s="158" t="s">
        <v>672</v>
      </c>
      <c r="E782" s="158" t="s">
        <v>671</v>
      </c>
      <c r="F782" s="158" t="s">
        <v>3805</v>
      </c>
      <c r="J782" t="s">
        <v>3810</v>
      </c>
      <c r="K782" t="s">
        <v>35</v>
      </c>
    </row>
    <row r="783" spans="1:11" hidden="1" x14ac:dyDescent="0.3">
      <c r="A783" s="158" t="s">
        <v>5223</v>
      </c>
      <c r="B783" s="158" t="s">
        <v>4090</v>
      </c>
      <c r="C783" s="158" t="s">
        <v>24</v>
      </c>
      <c r="D783" s="158" t="s">
        <v>1033</v>
      </c>
      <c r="E783" s="158" t="s">
        <v>1032</v>
      </c>
      <c r="F783" s="158" t="s">
        <v>5627</v>
      </c>
      <c r="J783" t="s">
        <v>3838</v>
      </c>
      <c r="K783" t="s">
        <v>10</v>
      </c>
    </row>
    <row r="784" spans="1:11" hidden="1" x14ac:dyDescent="0.3">
      <c r="A784" s="158" t="s">
        <v>5578</v>
      </c>
      <c r="B784" s="158" t="s">
        <v>4079</v>
      </c>
      <c r="C784" s="158" t="s">
        <v>35</v>
      </c>
      <c r="D784" s="158" t="s">
        <v>192</v>
      </c>
      <c r="E784" s="158" t="s">
        <v>191</v>
      </c>
      <c r="F784" s="158" t="s">
        <v>3805</v>
      </c>
      <c r="J784" t="s">
        <v>3838</v>
      </c>
      <c r="K784" t="s">
        <v>10</v>
      </c>
    </row>
    <row r="785" spans="1:11" hidden="1" x14ac:dyDescent="0.3">
      <c r="A785" s="158" t="s">
        <v>5382</v>
      </c>
      <c r="B785" s="158" t="s">
        <v>4090</v>
      </c>
      <c r="C785" s="158" t="s">
        <v>15</v>
      </c>
      <c r="D785" s="158" t="s">
        <v>670</v>
      </c>
      <c r="E785" s="158" t="s">
        <v>669</v>
      </c>
      <c r="F785" s="158" t="s">
        <v>3822</v>
      </c>
      <c r="K785" t="s">
        <v>24</v>
      </c>
    </row>
    <row r="786" spans="1:11" hidden="1" x14ac:dyDescent="0.3">
      <c r="A786" s="158" t="s">
        <v>5293</v>
      </c>
      <c r="B786" s="158" t="s">
        <v>4090</v>
      </c>
      <c r="C786" s="158" t="s">
        <v>10</v>
      </c>
      <c r="D786" s="158" t="s">
        <v>872</v>
      </c>
      <c r="E786" s="158" t="s">
        <v>871</v>
      </c>
      <c r="F786" s="158" t="s">
        <v>3805</v>
      </c>
      <c r="K786" t="s">
        <v>35</v>
      </c>
    </row>
    <row r="787" spans="1:11" hidden="1" x14ac:dyDescent="0.3">
      <c r="A787" s="158" t="s">
        <v>5294</v>
      </c>
      <c r="B787" s="158" t="s">
        <v>4090</v>
      </c>
      <c r="C787" s="158" t="s">
        <v>10</v>
      </c>
      <c r="D787" s="158" t="s">
        <v>870</v>
      </c>
      <c r="E787" s="158" t="s">
        <v>869</v>
      </c>
      <c r="F787" s="158" t="s">
        <v>3822</v>
      </c>
      <c r="K787" t="s">
        <v>35</v>
      </c>
    </row>
    <row r="788" spans="1:11" hidden="1" x14ac:dyDescent="0.3">
      <c r="A788" s="158" t="s">
        <v>5621</v>
      </c>
      <c r="B788" s="158" t="s">
        <v>3821</v>
      </c>
      <c r="C788" s="158" t="s">
        <v>10</v>
      </c>
      <c r="D788" s="158" t="s">
        <v>9</v>
      </c>
      <c r="E788" s="158" t="s">
        <v>8</v>
      </c>
      <c r="F788" s="158" t="s">
        <v>3805</v>
      </c>
      <c r="J788" t="s">
        <v>4090</v>
      </c>
      <c r="K788" t="s">
        <v>35</v>
      </c>
    </row>
    <row r="789" spans="1:11" hidden="1" x14ac:dyDescent="0.3">
      <c r="A789" s="158" t="s">
        <v>5328</v>
      </c>
      <c r="B789" s="158" t="s">
        <v>4090</v>
      </c>
      <c r="C789" s="158" t="s">
        <v>43</v>
      </c>
      <c r="D789" s="158" t="s">
        <v>798</v>
      </c>
      <c r="E789" s="158" t="s">
        <v>797</v>
      </c>
      <c r="F789" s="158" t="s">
        <v>4139</v>
      </c>
      <c r="K789" t="s">
        <v>35</v>
      </c>
    </row>
    <row r="790" spans="1:11" hidden="1" x14ac:dyDescent="0.3">
      <c r="A790" s="158" t="s">
        <v>5414</v>
      </c>
      <c r="B790" s="158" t="s">
        <v>3838</v>
      </c>
      <c r="C790" s="158" t="s">
        <v>24</v>
      </c>
      <c r="D790" s="158" t="s">
        <v>605</v>
      </c>
      <c r="E790" s="158" t="s">
        <v>604</v>
      </c>
      <c r="F790" s="158" t="s">
        <v>3805</v>
      </c>
      <c r="K790" t="s">
        <v>10</v>
      </c>
    </row>
    <row r="791" spans="1:11" hidden="1" x14ac:dyDescent="0.3">
      <c r="A791" s="158" t="s">
        <v>5383</v>
      </c>
      <c r="B791" s="158" t="s">
        <v>4090</v>
      </c>
      <c r="C791" s="158" t="s">
        <v>15</v>
      </c>
      <c r="D791" s="158" t="s">
        <v>668</v>
      </c>
      <c r="E791" s="158" t="s">
        <v>667</v>
      </c>
      <c r="F791" s="158" t="s">
        <v>3804</v>
      </c>
      <c r="K791" t="s">
        <v>24</v>
      </c>
    </row>
    <row r="792" spans="1:11" hidden="1" x14ac:dyDescent="0.3">
      <c r="A792" s="158" t="s">
        <v>5224</v>
      </c>
      <c r="B792" s="158" t="s">
        <v>4090</v>
      </c>
      <c r="C792" s="158" t="s">
        <v>24</v>
      </c>
      <c r="D792" s="158" t="s">
        <v>1030</v>
      </c>
      <c r="E792" s="158" t="s">
        <v>1029</v>
      </c>
      <c r="F792" s="158" t="s">
        <v>3822</v>
      </c>
      <c r="J792" t="s">
        <v>3810</v>
      </c>
    </row>
    <row r="793" spans="1:11" hidden="1" x14ac:dyDescent="0.3">
      <c r="A793" s="158" t="s">
        <v>5485</v>
      </c>
      <c r="B793" s="158" t="s">
        <v>3838</v>
      </c>
      <c r="C793" s="158" t="s">
        <v>35</v>
      </c>
      <c r="D793" s="158" t="s">
        <v>424</v>
      </c>
      <c r="E793" s="158" t="s">
        <v>423</v>
      </c>
      <c r="F793" s="158" t="s">
        <v>3804</v>
      </c>
      <c r="K793" t="s">
        <v>24</v>
      </c>
    </row>
    <row r="794" spans="1:11" hidden="1" x14ac:dyDescent="0.3">
      <c r="A794" s="158" t="s">
        <v>5264</v>
      </c>
      <c r="B794" s="158" t="s">
        <v>4090</v>
      </c>
      <c r="C794" s="158" t="s">
        <v>35</v>
      </c>
      <c r="D794" s="158" t="s">
        <v>938</v>
      </c>
      <c r="E794" s="158" t="s">
        <v>937</v>
      </c>
      <c r="F794" s="158" t="s">
        <v>3805</v>
      </c>
      <c r="J794" t="s">
        <v>3838</v>
      </c>
    </row>
    <row r="795" spans="1:11" hidden="1" x14ac:dyDescent="0.3">
      <c r="A795" s="158" t="s">
        <v>5225</v>
      </c>
      <c r="B795" s="158" t="s">
        <v>4090</v>
      </c>
      <c r="C795" s="158" t="s">
        <v>24</v>
      </c>
      <c r="D795" s="158" t="s">
        <v>1028</v>
      </c>
      <c r="E795" s="158" t="s">
        <v>1027</v>
      </c>
      <c r="F795" s="158" t="s">
        <v>3804</v>
      </c>
      <c r="J795" t="s">
        <v>3810</v>
      </c>
      <c r="K795" t="s">
        <v>10</v>
      </c>
    </row>
    <row r="796" spans="1:11" hidden="1" x14ac:dyDescent="0.3">
      <c r="A796" s="158" t="s">
        <v>5384</v>
      </c>
      <c r="B796" s="158" t="s">
        <v>4090</v>
      </c>
      <c r="C796" s="158" t="s">
        <v>15</v>
      </c>
      <c r="D796" s="158" t="s">
        <v>666</v>
      </c>
      <c r="E796" s="158" t="s">
        <v>665</v>
      </c>
      <c r="F796" s="158" t="s">
        <v>3805</v>
      </c>
      <c r="K796" t="s">
        <v>24</v>
      </c>
    </row>
    <row r="797" spans="1:11" hidden="1" x14ac:dyDescent="0.3">
      <c r="A797" s="158" t="s">
        <v>5488</v>
      </c>
      <c r="B797" s="158" t="s">
        <v>3838</v>
      </c>
      <c r="C797" s="158" t="s">
        <v>24</v>
      </c>
      <c r="D797" s="158" t="s">
        <v>414</v>
      </c>
      <c r="E797" s="158" t="s">
        <v>413</v>
      </c>
      <c r="F797" s="158" t="s">
        <v>3805</v>
      </c>
      <c r="K797" t="s">
        <v>10</v>
      </c>
    </row>
    <row r="798" spans="1:11" hidden="1" x14ac:dyDescent="0.3">
      <c r="A798" s="158" t="s">
        <v>5226</v>
      </c>
      <c r="B798" s="158" t="s">
        <v>4090</v>
      </c>
      <c r="C798" s="158" t="s">
        <v>24</v>
      </c>
      <c r="D798" s="158" t="s">
        <v>1026</v>
      </c>
      <c r="E798" s="158" t="s">
        <v>1025</v>
      </c>
      <c r="F798" s="158" t="s">
        <v>3900</v>
      </c>
      <c r="J798" t="s">
        <v>3838</v>
      </c>
      <c r="K798" t="s">
        <v>10</v>
      </c>
    </row>
    <row r="799" spans="1:11" hidden="1" x14ac:dyDescent="0.3">
      <c r="A799" s="158" t="s">
        <v>5265</v>
      </c>
      <c r="B799" s="158" t="s">
        <v>4090</v>
      </c>
      <c r="C799" s="158" t="s">
        <v>35</v>
      </c>
      <c r="D799" s="158" t="s">
        <v>936</v>
      </c>
      <c r="E799" s="158" t="s">
        <v>935</v>
      </c>
      <c r="F799" s="158" t="s">
        <v>4010</v>
      </c>
      <c r="J799" t="s">
        <v>3810</v>
      </c>
      <c r="K799" t="s">
        <v>10</v>
      </c>
    </row>
    <row r="800" spans="1:11" hidden="1" x14ac:dyDescent="0.3">
      <c r="A800" s="158" t="s">
        <v>5227</v>
      </c>
      <c r="B800" s="158" t="s">
        <v>4090</v>
      </c>
      <c r="C800" s="158" t="s">
        <v>24</v>
      </c>
      <c r="D800" s="158" t="s">
        <v>1024</v>
      </c>
      <c r="E800" s="158" t="s">
        <v>1023</v>
      </c>
      <c r="F800" s="158" t="s">
        <v>3805</v>
      </c>
      <c r="J800" t="s">
        <v>3810</v>
      </c>
    </row>
    <row r="801" spans="1:11" hidden="1" x14ac:dyDescent="0.3">
      <c r="A801" s="158" t="s">
        <v>5513</v>
      </c>
      <c r="B801" s="158" t="s">
        <v>3838</v>
      </c>
      <c r="C801" s="158" t="s">
        <v>24</v>
      </c>
      <c r="D801" s="158" t="s">
        <v>355</v>
      </c>
      <c r="E801" s="158" t="s">
        <v>354</v>
      </c>
      <c r="F801" s="158" t="s">
        <v>3805</v>
      </c>
      <c r="K801" t="s">
        <v>10</v>
      </c>
    </row>
    <row r="802" spans="1:11" hidden="1" x14ac:dyDescent="0.3">
      <c r="A802" s="158" t="s">
        <v>5385</v>
      </c>
      <c r="B802" s="158" t="s">
        <v>4090</v>
      </c>
      <c r="C802" s="158" t="s">
        <v>15</v>
      </c>
      <c r="D802" s="158" t="s">
        <v>664</v>
      </c>
      <c r="E802" s="158" t="s">
        <v>663</v>
      </c>
      <c r="F802" s="158" t="s">
        <v>3805</v>
      </c>
      <c r="J802" t="s">
        <v>3810</v>
      </c>
      <c r="K802" t="s">
        <v>35</v>
      </c>
    </row>
    <row r="803" spans="1:11" hidden="1" x14ac:dyDescent="0.3">
      <c r="A803" s="158" t="s">
        <v>5228</v>
      </c>
      <c r="B803" s="158" t="s">
        <v>4090</v>
      </c>
      <c r="C803" s="158" t="s">
        <v>24</v>
      </c>
      <c r="D803" s="158" t="s">
        <v>1022</v>
      </c>
      <c r="E803" s="158" t="s">
        <v>1021</v>
      </c>
      <c r="F803" s="158" t="s">
        <v>3822</v>
      </c>
      <c r="J803" t="s">
        <v>3810</v>
      </c>
    </row>
    <row r="804" spans="1:11" hidden="1" x14ac:dyDescent="0.3">
      <c r="A804" s="158" t="s">
        <v>5386</v>
      </c>
      <c r="B804" s="158" t="s">
        <v>4090</v>
      </c>
      <c r="C804" s="158" t="s">
        <v>15</v>
      </c>
      <c r="D804" s="158" t="s">
        <v>662</v>
      </c>
      <c r="E804" s="158" t="s">
        <v>661</v>
      </c>
      <c r="F804" s="158" t="s">
        <v>3805</v>
      </c>
      <c r="K804" t="s">
        <v>24</v>
      </c>
    </row>
    <row r="805" spans="1:11" hidden="1" x14ac:dyDescent="0.3">
      <c r="A805" s="158" t="s">
        <v>5229</v>
      </c>
      <c r="B805" s="158" t="s">
        <v>4090</v>
      </c>
      <c r="C805" s="158" t="s">
        <v>24</v>
      </c>
      <c r="D805" s="158" t="s">
        <v>1020</v>
      </c>
      <c r="E805" s="158" t="s">
        <v>1019</v>
      </c>
      <c r="F805" s="158" t="s">
        <v>3805</v>
      </c>
      <c r="J805" t="s">
        <v>3810</v>
      </c>
    </row>
    <row r="806" spans="1:11" hidden="1" x14ac:dyDescent="0.3">
      <c r="A806" s="158" t="s">
        <v>5230</v>
      </c>
      <c r="B806" s="158" t="s">
        <v>4090</v>
      </c>
      <c r="C806" s="158" t="s">
        <v>24</v>
      </c>
      <c r="D806" s="158" t="s">
        <v>1018</v>
      </c>
      <c r="E806" s="158" t="s">
        <v>1017</v>
      </c>
      <c r="F806" s="158" t="s">
        <v>3804</v>
      </c>
      <c r="J806" t="s">
        <v>3838</v>
      </c>
      <c r="K806" t="s">
        <v>10</v>
      </c>
    </row>
    <row r="807" spans="1:11" hidden="1" x14ac:dyDescent="0.3">
      <c r="A807" s="158" t="s">
        <v>5231</v>
      </c>
      <c r="B807" s="158" t="s">
        <v>4090</v>
      </c>
      <c r="C807" s="158" t="s">
        <v>24</v>
      </c>
      <c r="D807" s="158" t="s">
        <v>1016</v>
      </c>
      <c r="E807" s="158" t="s">
        <v>1015</v>
      </c>
      <c r="F807" s="158" t="s">
        <v>3804</v>
      </c>
      <c r="J807" t="s">
        <v>3838</v>
      </c>
      <c r="K807" t="s">
        <v>10</v>
      </c>
    </row>
    <row r="808" spans="1:11" hidden="1" x14ac:dyDescent="0.3">
      <c r="A808" s="158" t="s">
        <v>5232</v>
      </c>
      <c r="B808" s="158" t="s">
        <v>4090</v>
      </c>
      <c r="C808" s="158" t="s">
        <v>24</v>
      </c>
      <c r="D808" s="158" t="s">
        <v>1014</v>
      </c>
      <c r="E808" s="158" t="s">
        <v>1013</v>
      </c>
      <c r="F808" s="158" t="s">
        <v>4010</v>
      </c>
      <c r="J808" t="s">
        <v>3810</v>
      </c>
      <c r="K808" t="s">
        <v>10</v>
      </c>
    </row>
    <row r="809" spans="1:11" hidden="1" x14ac:dyDescent="0.3">
      <c r="A809" s="158" t="s">
        <v>5233</v>
      </c>
      <c r="B809" s="158" t="s">
        <v>4090</v>
      </c>
      <c r="C809" s="158" t="s">
        <v>24</v>
      </c>
      <c r="D809" s="158" t="s">
        <v>1011</v>
      </c>
      <c r="E809" s="158" t="s">
        <v>1010</v>
      </c>
      <c r="F809" s="158" t="s">
        <v>3804</v>
      </c>
      <c r="J809" t="s">
        <v>3810</v>
      </c>
    </row>
    <row r="810" spans="1:11" hidden="1" x14ac:dyDescent="0.3">
      <c r="A810" s="158" t="s">
        <v>5234</v>
      </c>
      <c r="B810" s="158" t="s">
        <v>4090</v>
      </c>
      <c r="C810" s="158" t="s">
        <v>24</v>
      </c>
      <c r="D810" s="158" t="s">
        <v>1009</v>
      </c>
      <c r="E810" s="158" t="s">
        <v>1008</v>
      </c>
      <c r="F810" s="158" t="s">
        <v>3822</v>
      </c>
      <c r="J810" t="s">
        <v>3810</v>
      </c>
      <c r="K810" t="s">
        <v>10</v>
      </c>
    </row>
    <row r="811" spans="1:11" hidden="1" x14ac:dyDescent="0.3">
      <c r="A811" s="158" t="s">
        <v>5599</v>
      </c>
      <c r="B811" s="158" t="s">
        <v>4079</v>
      </c>
      <c r="C811" s="158" t="s">
        <v>43</v>
      </c>
      <c r="D811" s="158" t="s">
        <v>128</v>
      </c>
      <c r="E811" s="158" t="s">
        <v>127</v>
      </c>
      <c r="F811" s="158" t="s">
        <v>5627</v>
      </c>
      <c r="J811" t="s">
        <v>3810</v>
      </c>
      <c r="K811" t="s">
        <v>35</v>
      </c>
    </row>
    <row r="812" spans="1:11" hidden="1" x14ac:dyDescent="0.3">
      <c r="A812" s="158" t="s">
        <v>5521</v>
      </c>
      <c r="B812" s="158" t="s">
        <v>3838</v>
      </c>
      <c r="C812" s="158" t="s">
        <v>35</v>
      </c>
      <c r="D812" s="158" t="s">
        <v>337</v>
      </c>
      <c r="E812" s="158" t="s">
        <v>336</v>
      </c>
      <c r="F812" s="158" t="s">
        <v>3805</v>
      </c>
      <c r="J812" t="s">
        <v>4090</v>
      </c>
      <c r="K812" t="s">
        <v>24</v>
      </c>
    </row>
    <row r="813" spans="1:11" hidden="1" x14ac:dyDescent="0.3">
      <c r="A813" s="158" t="s">
        <v>5235</v>
      </c>
      <c r="B813" s="158" t="s">
        <v>4090</v>
      </c>
      <c r="C813" s="158" t="s">
        <v>24</v>
      </c>
      <c r="D813" s="158" t="s">
        <v>1007</v>
      </c>
      <c r="E813" s="158" t="s">
        <v>1006</v>
      </c>
      <c r="F813" s="158" t="s">
        <v>3804</v>
      </c>
      <c r="J813" t="s">
        <v>3810</v>
      </c>
      <c r="K813" t="s">
        <v>10</v>
      </c>
    </row>
    <row r="814" spans="1:11" hidden="1" x14ac:dyDescent="0.3">
      <c r="A814" s="158" t="s">
        <v>5236</v>
      </c>
      <c r="B814" s="158" t="s">
        <v>4090</v>
      </c>
      <c r="C814" s="158" t="s">
        <v>24</v>
      </c>
      <c r="D814" s="158" t="s">
        <v>1005</v>
      </c>
      <c r="E814" s="158" t="s">
        <v>1004</v>
      </c>
      <c r="F814" s="158" t="s">
        <v>3822</v>
      </c>
      <c r="J814" t="s">
        <v>3810</v>
      </c>
      <c r="K814" t="s">
        <v>10</v>
      </c>
    </row>
    <row r="815" spans="1:11" hidden="1" x14ac:dyDescent="0.3">
      <c r="A815" s="158" t="s">
        <v>5387</v>
      </c>
      <c r="B815" s="158" t="s">
        <v>4090</v>
      </c>
      <c r="C815" s="158" t="s">
        <v>15</v>
      </c>
      <c r="D815" s="158" t="s">
        <v>660</v>
      </c>
      <c r="E815" s="158" t="s">
        <v>659</v>
      </c>
      <c r="F815" s="158" t="s">
        <v>4139</v>
      </c>
      <c r="J815" t="s">
        <v>3810</v>
      </c>
      <c r="K815" t="s">
        <v>35</v>
      </c>
    </row>
    <row r="816" spans="1:11" hidden="1" x14ac:dyDescent="0.3">
      <c r="A816" s="158" t="s">
        <v>5388</v>
      </c>
      <c r="B816" s="158" t="s">
        <v>4090</v>
      </c>
      <c r="C816" s="158" t="s">
        <v>15</v>
      </c>
      <c r="D816" s="158" t="s">
        <v>658</v>
      </c>
      <c r="E816" s="158" t="s">
        <v>657</v>
      </c>
      <c r="F816" s="158" t="s">
        <v>4010</v>
      </c>
      <c r="J816" t="s">
        <v>3810</v>
      </c>
      <c r="K816" t="s">
        <v>35</v>
      </c>
    </row>
    <row r="817" spans="1:11" hidden="1" x14ac:dyDescent="0.3">
      <c r="A817" s="158" t="s">
        <v>5600</v>
      </c>
      <c r="B817" s="158" t="s">
        <v>4079</v>
      </c>
      <c r="C817" s="158" t="s">
        <v>43</v>
      </c>
      <c r="D817" s="158" t="s">
        <v>122</v>
      </c>
      <c r="E817" s="158" t="s">
        <v>121</v>
      </c>
      <c r="F817" s="158" t="s">
        <v>3822</v>
      </c>
      <c r="J817" t="s">
        <v>3810</v>
      </c>
      <c r="K817" t="s">
        <v>35</v>
      </c>
    </row>
    <row r="818" spans="1:11" hidden="1" x14ac:dyDescent="0.3">
      <c r="A818" s="158" t="s">
        <v>5238</v>
      </c>
      <c r="B818" s="158" t="s">
        <v>4090</v>
      </c>
      <c r="C818" s="158" t="s">
        <v>24</v>
      </c>
      <c r="D818" s="158" t="s">
        <v>1001</v>
      </c>
      <c r="E818" s="158" t="s">
        <v>1000</v>
      </c>
      <c r="F818" s="158" t="s">
        <v>3805</v>
      </c>
      <c r="J818" t="s">
        <v>3838</v>
      </c>
      <c r="K818" t="s">
        <v>10</v>
      </c>
    </row>
    <row r="819" spans="1:11" hidden="1" x14ac:dyDescent="0.3">
      <c r="A819" s="158" t="s">
        <v>5520</v>
      </c>
      <c r="B819" s="158" t="s">
        <v>3838</v>
      </c>
      <c r="C819" s="158" t="s">
        <v>35</v>
      </c>
      <c r="D819" s="158" t="s">
        <v>339</v>
      </c>
      <c r="E819" s="158" t="s">
        <v>338</v>
      </c>
      <c r="F819" s="158" t="s">
        <v>3804</v>
      </c>
      <c r="J819" t="s">
        <v>4090</v>
      </c>
      <c r="K819" t="s">
        <v>24</v>
      </c>
    </row>
    <row r="820" spans="1:11" hidden="1" x14ac:dyDescent="0.3">
      <c r="A820" s="158" t="s">
        <v>5239</v>
      </c>
      <c r="B820" s="158" t="s">
        <v>4090</v>
      </c>
      <c r="C820" s="158" t="s">
        <v>24</v>
      </c>
      <c r="D820" s="158" t="s">
        <v>998</v>
      </c>
      <c r="E820" s="158" t="s">
        <v>997</v>
      </c>
      <c r="F820" s="158" t="s">
        <v>3900</v>
      </c>
      <c r="J820" t="s">
        <v>3810</v>
      </c>
      <c r="K820" t="s">
        <v>10</v>
      </c>
    </row>
    <row r="821" spans="1:11" hidden="1" x14ac:dyDescent="0.3">
      <c r="A821" s="158" t="s">
        <v>5500</v>
      </c>
      <c r="B821" s="158" t="s">
        <v>3838</v>
      </c>
      <c r="C821" s="158" t="s">
        <v>35</v>
      </c>
      <c r="D821" s="158" t="s">
        <v>387</v>
      </c>
      <c r="E821" s="158" t="s">
        <v>386</v>
      </c>
      <c r="F821" s="158" t="s">
        <v>3805</v>
      </c>
      <c r="J821" t="s">
        <v>4090</v>
      </c>
    </row>
    <row r="822" spans="1:11" hidden="1" x14ac:dyDescent="0.3">
      <c r="A822" s="158" t="s">
        <v>5240</v>
      </c>
      <c r="B822" s="158" t="s">
        <v>4090</v>
      </c>
      <c r="C822" s="158" t="s">
        <v>24</v>
      </c>
      <c r="D822" s="158" t="s">
        <v>996</v>
      </c>
      <c r="E822" s="158" t="s">
        <v>995</v>
      </c>
      <c r="F822" s="158" t="s">
        <v>3804</v>
      </c>
      <c r="J822" t="s">
        <v>3810</v>
      </c>
      <c r="K822" t="s">
        <v>10</v>
      </c>
    </row>
    <row r="823" spans="1:11" hidden="1" x14ac:dyDescent="0.3">
      <c r="A823" s="158" t="s">
        <v>5389</v>
      </c>
      <c r="B823" s="158" t="s">
        <v>4090</v>
      </c>
      <c r="C823" s="158" t="s">
        <v>15</v>
      </c>
      <c r="D823" s="158" t="s">
        <v>656</v>
      </c>
      <c r="E823" s="158" t="s">
        <v>655</v>
      </c>
      <c r="F823" s="158" t="s">
        <v>4010</v>
      </c>
      <c r="J823" t="s">
        <v>3810</v>
      </c>
      <c r="K823" t="s">
        <v>35</v>
      </c>
    </row>
    <row r="824" spans="1:11" hidden="1" x14ac:dyDescent="0.3">
      <c r="A824" s="158" t="s">
        <v>5241</v>
      </c>
      <c r="B824" s="158" t="s">
        <v>4090</v>
      </c>
      <c r="C824" s="158" t="s">
        <v>24</v>
      </c>
      <c r="D824" s="158" t="s">
        <v>993</v>
      </c>
      <c r="E824" s="158" t="s">
        <v>992</v>
      </c>
      <c r="F824" s="158" t="s">
        <v>3822</v>
      </c>
      <c r="J824" t="s">
        <v>3810</v>
      </c>
      <c r="K824" t="s">
        <v>10</v>
      </c>
    </row>
    <row r="825" spans="1:11" hidden="1" x14ac:dyDescent="0.3">
      <c r="A825" s="158" t="s">
        <v>5601</v>
      </c>
      <c r="B825" s="158" t="s">
        <v>4079</v>
      </c>
      <c r="C825" s="158" t="s">
        <v>43</v>
      </c>
      <c r="D825" s="158" t="s">
        <v>120</v>
      </c>
      <c r="E825" s="158" t="s">
        <v>119</v>
      </c>
      <c r="F825" s="158" t="s">
        <v>3804</v>
      </c>
      <c r="J825" t="s">
        <v>3810</v>
      </c>
      <c r="K825" t="s">
        <v>35</v>
      </c>
    </row>
    <row r="826" spans="1:11" hidden="1" x14ac:dyDescent="0.3">
      <c r="A826" s="158" t="s">
        <v>5266</v>
      </c>
      <c r="B826" s="158" t="s">
        <v>4090</v>
      </c>
      <c r="C826" s="158" t="s">
        <v>35</v>
      </c>
      <c r="D826" s="158" t="s">
        <v>934</v>
      </c>
      <c r="E826" s="158" t="s">
        <v>933</v>
      </c>
      <c r="F826" s="158" t="s">
        <v>3805</v>
      </c>
      <c r="J826" t="s">
        <v>3838</v>
      </c>
    </row>
    <row r="827" spans="1:11" hidden="1" x14ac:dyDescent="0.3">
      <c r="A827" s="158" t="s">
        <v>5242</v>
      </c>
      <c r="B827" s="158" t="s">
        <v>4090</v>
      </c>
      <c r="C827" s="158" t="s">
        <v>24</v>
      </c>
      <c r="D827" s="158" t="s">
        <v>989</v>
      </c>
      <c r="E827" s="158" t="s">
        <v>988</v>
      </c>
      <c r="F827" s="158" t="s">
        <v>3805</v>
      </c>
      <c r="J827" t="s">
        <v>3810</v>
      </c>
    </row>
    <row r="828" spans="1:11" hidden="1" x14ac:dyDescent="0.3">
      <c r="A828" s="158" t="s">
        <v>5333</v>
      </c>
      <c r="B828" s="158" t="s">
        <v>4090</v>
      </c>
      <c r="C828" s="158" t="s">
        <v>43</v>
      </c>
      <c r="D828" s="158" t="s">
        <v>789</v>
      </c>
      <c r="E828" s="158" t="s">
        <v>788</v>
      </c>
      <c r="F828" s="158" t="s">
        <v>3804</v>
      </c>
      <c r="J828" t="s">
        <v>3838</v>
      </c>
      <c r="K828" t="s">
        <v>10</v>
      </c>
    </row>
    <row r="829" spans="1:11" hidden="1" x14ac:dyDescent="0.3">
      <c r="A829" s="158" t="s">
        <v>5243</v>
      </c>
      <c r="B829" s="158" t="s">
        <v>4090</v>
      </c>
      <c r="C829" s="158" t="s">
        <v>24</v>
      </c>
      <c r="D829" s="158" t="s">
        <v>722</v>
      </c>
      <c r="E829" s="158" t="s">
        <v>986</v>
      </c>
      <c r="F829" s="158" t="s">
        <v>5627</v>
      </c>
      <c r="J829" t="s">
        <v>3810</v>
      </c>
    </row>
    <row r="830" spans="1:11" hidden="1" x14ac:dyDescent="0.3">
      <c r="A830" s="158" t="s">
        <v>5516</v>
      </c>
      <c r="B830" s="158" t="s">
        <v>3838</v>
      </c>
      <c r="C830" s="158" t="s">
        <v>24</v>
      </c>
      <c r="D830" s="158" t="s">
        <v>349</v>
      </c>
      <c r="E830" s="158" t="s">
        <v>348</v>
      </c>
      <c r="F830" s="158" t="s">
        <v>3805</v>
      </c>
      <c r="K830" t="s">
        <v>10</v>
      </c>
    </row>
    <row r="831" spans="1:11" hidden="1" x14ac:dyDescent="0.3">
      <c r="A831" s="158" t="s">
        <v>5334</v>
      </c>
      <c r="B831" s="158" t="s">
        <v>4090</v>
      </c>
      <c r="C831" s="158" t="s">
        <v>43</v>
      </c>
      <c r="D831" s="158" t="s">
        <v>787</v>
      </c>
      <c r="E831" s="158" t="s">
        <v>786</v>
      </c>
      <c r="F831" s="158" t="s">
        <v>5627</v>
      </c>
      <c r="J831" t="s">
        <v>3838</v>
      </c>
      <c r="K831" t="s">
        <v>10</v>
      </c>
    </row>
    <row r="832" spans="1:11" hidden="1" x14ac:dyDescent="0.3">
      <c r="A832" s="158" t="s">
        <v>5244</v>
      </c>
      <c r="B832" s="158" t="s">
        <v>4090</v>
      </c>
      <c r="C832" s="158" t="s">
        <v>24</v>
      </c>
      <c r="D832" s="158" t="s">
        <v>438</v>
      </c>
      <c r="E832" s="158" t="s">
        <v>984</v>
      </c>
      <c r="F832" s="158" t="s">
        <v>4139</v>
      </c>
      <c r="J832" t="s">
        <v>3810</v>
      </c>
    </row>
    <row r="833" spans="1:11" hidden="1" x14ac:dyDescent="0.3">
      <c r="A833" s="158" t="s">
        <v>5267</v>
      </c>
      <c r="B833" s="158" t="s">
        <v>4090</v>
      </c>
      <c r="C833" s="158" t="s">
        <v>35</v>
      </c>
      <c r="D833" s="158" t="s">
        <v>931</v>
      </c>
      <c r="E833" s="158" t="s">
        <v>930</v>
      </c>
      <c r="F833" s="158" t="s">
        <v>3805</v>
      </c>
      <c r="J833" t="s">
        <v>3821</v>
      </c>
      <c r="K833" t="s">
        <v>10</v>
      </c>
    </row>
    <row r="834" spans="1:11" hidden="1" x14ac:dyDescent="0.3">
      <c r="A834" s="158" t="s">
        <v>5412</v>
      </c>
      <c r="B834" s="158" t="s">
        <v>3838</v>
      </c>
      <c r="C834" s="158" t="s">
        <v>35</v>
      </c>
      <c r="D834" s="158" t="s">
        <v>609</v>
      </c>
      <c r="E834" s="158" t="s">
        <v>608</v>
      </c>
      <c r="F834" s="158" t="s">
        <v>5627</v>
      </c>
      <c r="K834" t="s">
        <v>24</v>
      </c>
    </row>
    <row r="835" spans="1:11" hidden="1" x14ac:dyDescent="0.3">
      <c r="A835" s="158" t="s">
        <v>5245</v>
      </c>
      <c r="B835" s="158" t="s">
        <v>4090</v>
      </c>
      <c r="C835" s="158" t="s">
        <v>24</v>
      </c>
      <c r="D835" s="158" t="s">
        <v>3759</v>
      </c>
      <c r="E835" s="158" t="s">
        <v>982</v>
      </c>
      <c r="F835" s="158" t="s">
        <v>3822</v>
      </c>
      <c r="J835" t="s">
        <v>3810</v>
      </c>
    </row>
    <row r="836" spans="1:11" x14ac:dyDescent="0.3">
      <c r="A836" s="158" t="s">
        <v>5597</v>
      </c>
      <c r="B836" s="158" t="s">
        <v>4090</v>
      </c>
      <c r="C836" s="158" t="s">
        <v>35</v>
      </c>
      <c r="D836" s="158" t="s">
        <v>135</v>
      </c>
      <c r="E836" s="158" t="s">
        <v>134</v>
      </c>
      <c r="F836" s="158" t="s">
        <v>3822</v>
      </c>
      <c r="G836" t="s">
        <v>3804</v>
      </c>
    </row>
    <row r="837" spans="1:11" hidden="1" x14ac:dyDescent="0.3">
      <c r="A837" s="158" t="s">
        <v>5246</v>
      </c>
      <c r="B837" s="158" t="s">
        <v>4090</v>
      </c>
      <c r="C837" s="158" t="s">
        <v>24</v>
      </c>
      <c r="D837" s="158" t="s">
        <v>979</v>
      </c>
      <c r="E837" s="158" t="s">
        <v>978</v>
      </c>
      <c r="F837" s="158" t="s">
        <v>3804</v>
      </c>
      <c r="J837" t="s">
        <v>3838</v>
      </c>
      <c r="K837" t="s">
        <v>10</v>
      </c>
    </row>
    <row r="838" spans="1:11" hidden="1" x14ac:dyDescent="0.3">
      <c r="A838" s="158" t="s">
        <v>5493</v>
      </c>
      <c r="B838" s="158" t="s">
        <v>3838</v>
      </c>
      <c r="C838" s="158" t="s">
        <v>24</v>
      </c>
      <c r="D838" s="158" t="s">
        <v>403</v>
      </c>
      <c r="E838" s="158" t="s">
        <v>402</v>
      </c>
      <c r="F838" s="158" t="s">
        <v>3805</v>
      </c>
      <c r="K838" t="s">
        <v>10</v>
      </c>
    </row>
    <row r="839" spans="1:11" hidden="1" x14ac:dyDescent="0.3">
      <c r="A839" s="158" t="s">
        <v>5247</v>
      </c>
      <c r="B839" s="158" t="s">
        <v>4090</v>
      </c>
      <c r="C839" s="158" t="s">
        <v>24</v>
      </c>
      <c r="D839" s="158" t="s">
        <v>249</v>
      </c>
      <c r="E839" s="158" t="s">
        <v>976</v>
      </c>
      <c r="F839" s="158" t="s">
        <v>3805</v>
      </c>
      <c r="J839" t="s">
        <v>3810</v>
      </c>
    </row>
    <row r="840" spans="1:11" hidden="1" x14ac:dyDescent="0.3">
      <c r="A840" s="158" t="s">
        <v>5268</v>
      </c>
      <c r="B840" s="158" t="s">
        <v>4090</v>
      </c>
      <c r="C840" s="158" t="s">
        <v>35</v>
      </c>
      <c r="D840" s="158" t="s">
        <v>929</v>
      </c>
      <c r="E840" s="158" t="s">
        <v>928</v>
      </c>
      <c r="F840" s="158" t="s">
        <v>3900</v>
      </c>
      <c r="J840" t="s">
        <v>3838</v>
      </c>
      <c r="K840" t="s">
        <v>10</v>
      </c>
    </row>
    <row r="841" spans="1:11" hidden="1" x14ac:dyDescent="0.3">
      <c r="A841" s="158" t="s">
        <v>5579</v>
      </c>
      <c r="B841" s="158" t="s">
        <v>4079</v>
      </c>
      <c r="C841" s="158" t="s">
        <v>35</v>
      </c>
      <c r="D841" s="158" t="s">
        <v>190</v>
      </c>
      <c r="E841" s="158" t="s">
        <v>189</v>
      </c>
      <c r="F841" s="158" t="s">
        <v>3804</v>
      </c>
      <c r="J841" t="s">
        <v>3838</v>
      </c>
      <c r="K841" t="s">
        <v>10</v>
      </c>
    </row>
    <row r="842" spans="1:11" hidden="1" x14ac:dyDescent="0.3">
      <c r="A842" s="158" t="s">
        <v>5248</v>
      </c>
      <c r="B842" s="158" t="s">
        <v>4090</v>
      </c>
      <c r="C842" s="158" t="s">
        <v>24</v>
      </c>
      <c r="D842" s="158" t="s">
        <v>3760</v>
      </c>
      <c r="E842" s="158" t="s">
        <v>974</v>
      </c>
      <c r="F842" s="158" t="s">
        <v>3805</v>
      </c>
      <c r="J842" t="s">
        <v>3810</v>
      </c>
    </row>
    <row r="843" spans="1:11" hidden="1" x14ac:dyDescent="0.3">
      <c r="A843" s="158" t="s">
        <v>5580</v>
      </c>
      <c r="B843" s="158" t="s">
        <v>4079</v>
      </c>
      <c r="C843" s="158" t="s">
        <v>35</v>
      </c>
      <c r="D843" s="158" t="s">
        <v>188</v>
      </c>
      <c r="E843" s="158" t="s">
        <v>187</v>
      </c>
      <c r="F843" s="158" t="s">
        <v>3805</v>
      </c>
      <c r="J843" t="s">
        <v>3838</v>
      </c>
      <c r="K843" t="s">
        <v>10</v>
      </c>
    </row>
    <row r="844" spans="1:11" hidden="1" x14ac:dyDescent="0.3">
      <c r="A844" s="158" t="s">
        <v>5458</v>
      </c>
      <c r="B844" s="158" t="s">
        <v>3838</v>
      </c>
      <c r="C844" s="158" t="s">
        <v>24</v>
      </c>
      <c r="D844" s="158" t="s">
        <v>493</v>
      </c>
      <c r="E844" s="158" t="s">
        <v>492</v>
      </c>
      <c r="F844" s="158" t="s">
        <v>3805</v>
      </c>
      <c r="K844" t="s">
        <v>10</v>
      </c>
    </row>
    <row r="845" spans="1:11" hidden="1" x14ac:dyDescent="0.3">
      <c r="A845" s="158" t="s">
        <v>5417</v>
      </c>
      <c r="B845" s="158" t="s">
        <v>3838</v>
      </c>
      <c r="C845" s="158" t="s">
        <v>35</v>
      </c>
      <c r="D845" s="158" t="s">
        <v>599</v>
      </c>
      <c r="E845" s="158" t="s">
        <v>598</v>
      </c>
      <c r="F845" s="158" t="s">
        <v>3805</v>
      </c>
      <c r="J845" t="s">
        <v>4090</v>
      </c>
      <c r="K845" t="s">
        <v>24</v>
      </c>
    </row>
    <row r="846" spans="1:11" hidden="1" x14ac:dyDescent="0.3">
      <c r="A846" s="158" t="s">
        <v>5581</v>
      </c>
      <c r="B846" s="158" t="s">
        <v>4079</v>
      </c>
      <c r="C846" s="158" t="s">
        <v>35</v>
      </c>
      <c r="D846" s="158" t="s">
        <v>186</v>
      </c>
      <c r="E846" s="158" t="s">
        <v>185</v>
      </c>
      <c r="F846" s="158" t="s">
        <v>4010</v>
      </c>
      <c r="J846" t="s">
        <v>3838</v>
      </c>
      <c r="K846" t="s">
        <v>10</v>
      </c>
    </row>
    <row r="847" spans="1:11" hidden="1" x14ac:dyDescent="0.3">
      <c r="A847" s="158" t="s">
        <v>5448</v>
      </c>
      <c r="B847" s="158" t="s">
        <v>3838</v>
      </c>
      <c r="C847" s="158" t="s">
        <v>24</v>
      </c>
      <c r="D847" s="158" t="s">
        <v>525</v>
      </c>
      <c r="E847" s="158" t="s">
        <v>524</v>
      </c>
      <c r="F847" s="158" t="s">
        <v>4139</v>
      </c>
      <c r="K847" t="s">
        <v>10</v>
      </c>
    </row>
    <row r="848" spans="1:11" hidden="1" x14ac:dyDescent="0.3">
      <c r="A848" s="158" t="s">
        <v>5299</v>
      </c>
      <c r="B848" s="158" t="s">
        <v>4090</v>
      </c>
      <c r="C848" s="158" t="s">
        <v>10</v>
      </c>
      <c r="D848" s="158" t="s">
        <v>860</v>
      </c>
      <c r="E848" s="158" t="s">
        <v>859</v>
      </c>
      <c r="F848" s="158" t="s">
        <v>3805</v>
      </c>
      <c r="K848" t="s">
        <v>15</v>
      </c>
    </row>
    <row r="849" spans="1:11" hidden="1" x14ac:dyDescent="0.3">
      <c r="A849" s="158" t="s">
        <v>5300</v>
      </c>
      <c r="B849" s="158" t="s">
        <v>4090</v>
      </c>
      <c r="C849" s="158" t="s">
        <v>10</v>
      </c>
      <c r="D849" s="158" t="s">
        <v>858</v>
      </c>
      <c r="E849" s="158" t="s">
        <v>857</v>
      </c>
      <c r="F849" s="158" t="s">
        <v>3805</v>
      </c>
      <c r="K849" t="s">
        <v>15</v>
      </c>
    </row>
    <row r="850" spans="1:11" hidden="1" x14ac:dyDescent="0.3">
      <c r="A850" s="158" t="s">
        <v>5269</v>
      </c>
      <c r="B850" s="158" t="s">
        <v>4090</v>
      </c>
      <c r="C850" s="158" t="s">
        <v>35</v>
      </c>
      <c r="D850" s="158" t="s">
        <v>927</v>
      </c>
      <c r="E850" s="158" t="s">
        <v>926</v>
      </c>
      <c r="F850" s="158" t="s">
        <v>3900</v>
      </c>
      <c r="J850" t="s">
        <v>3821</v>
      </c>
      <c r="K850" t="s">
        <v>10</v>
      </c>
    </row>
    <row r="851" spans="1:11" hidden="1" x14ac:dyDescent="0.3">
      <c r="A851" s="158" t="s">
        <v>5270</v>
      </c>
      <c r="B851" s="158" t="s">
        <v>4090</v>
      </c>
      <c r="C851" s="158" t="s">
        <v>35</v>
      </c>
      <c r="D851" s="158" t="s">
        <v>925</v>
      </c>
      <c r="E851" s="158" t="s">
        <v>924</v>
      </c>
      <c r="F851" s="158" t="s">
        <v>3900</v>
      </c>
      <c r="J851" t="s">
        <v>3838</v>
      </c>
      <c r="K851" t="s">
        <v>24</v>
      </c>
    </row>
    <row r="852" spans="1:11" hidden="1" x14ac:dyDescent="0.3">
      <c r="A852" s="158" t="s">
        <v>5271</v>
      </c>
      <c r="B852" s="158" t="s">
        <v>4090</v>
      </c>
      <c r="C852" s="158" t="s">
        <v>35</v>
      </c>
      <c r="D852" s="158" t="s">
        <v>923</v>
      </c>
      <c r="E852" s="158" t="s">
        <v>922</v>
      </c>
      <c r="F852" s="158" t="s">
        <v>4010</v>
      </c>
      <c r="J852" t="s">
        <v>3838</v>
      </c>
    </row>
    <row r="853" spans="1:11" hidden="1" x14ac:dyDescent="0.3">
      <c r="A853" s="158" t="s">
        <v>5562</v>
      </c>
      <c r="B853" s="158" t="s">
        <v>3838</v>
      </c>
      <c r="C853" s="158" t="s">
        <v>15</v>
      </c>
      <c r="D853" s="158" t="s">
        <v>233</v>
      </c>
      <c r="E853" s="158" t="s">
        <v>232</v>
      </c>
      <c r="F853" s="158" t="s">
        <v>4139</v>
      </c>
      <c r="J853" t="s">
        <v>3810</v>
      </c>
      <c r="K853" t="s">
        <v>10</v>
      </c>
    </row>
    <row r="854" spans="1:11" hidden="1" x14ac:dyDescent="0.3">
      <c r="A854" s="158" t="s">
        <v>5272</v>
      </c>
      <c r="B854" s="158" t="s">
        <v>4090</v>
      </c>
      <c r="C854" s="158" t="s">
        <v>35</v>
      </c>
      <c r="D854" s="158" t="s">
        <v>921</v>
      </c>
      <c r="E854" s="158" t="s">
        <v>920</v>
      </c>
      <c r="F854" s="158" t="s">
        <v>3822</v>
      </c>
      <c r="J854" t="s">
        <v>3838</v>
      </c>
    </row>
    <row r="855" spans="1:11" hidden="1" x14ac:dyDescent="0.3">
      <c r="A855" s="158" t="s">
        <v>5273</v>
      </c>
      <c r="B855" s="158" t="s">
        <v>4090</v>
      </c>
      <c r="C855" s="158" t="s">
        <v>35</v>
      </c>
      <c r="D855" s="158" t="s">
        <v>919</v>
      </c>
      <c r="E855" s="158" t="s">
        <v>918</v>
      </c>
      <c r="F855" s="158" t="s">
        <v>5627</v>
      </c>
      <c r="J855" t="s">
        <v>3821</v>
      </c>
      <c r="K855" t="s">
        <v>10</v>
      </c>
    </row>
    <row r="856" spans="1:11" hidden="1" x14ac:dyDescent="0.3">
      <c r="A856" s="158" t="s">
        <v>5582</v>
      </c>
      <c r="B856" s="158" t="s">
        <v>4079</v>
      </c>
      <c r="C856" s="158" t="s">
        <v>35</v>
      </c>
      <c r="D856" s="158" t="s">
        <v>184</v>
      </c>
      <c r="E856" s="158" t="s">
        <v>183</v>
      </c>
      <c r="F856" s="158" t="s">
        <v>3805</v>
      </c>
      <c r="J856" t="s">
        <v>3838</v>
      </c>
      <c r="K856" t="s">
        <v>10</v>
      </c>
    </row>
    <row r="857" spans="1:11" hidden="1" x14ac:dyDescent="0.3">
      <c r="A857" s="158" t="s">
        <v>5274</v>
      </c>
      <c r="B857" s="158" t="s">
        <v>4090</v>
      </c>
      <c r="C857" s="158" t="s">
        <v>35</v>
      </c>
      <c r="D857" s="158" t="s">
        <v>917</v>
      </c>
      <c r="E857" s="158" t="s">
        <v>916</v>
      </c>
      <c r="F857" s="158" t="s">
        <v>3822</v>
      </c>
      <c r="J857" t="s">
        <v>3838</v>
      </c>
      <c r="K857" t="s">
        <v>24</v>
      </c>
    </row>
    <row r="858" spans="1:11" hidden="1" x14ac:dyDescent="0.3">
      <c r="A858" s="158" t="s">
        <v>5275</v>
      </c>
      <c r="B858" s="158" t="s">
        <v>4090</v>
      </c>
      <c r="C858" s="158" t="s">
        <v>35</v>
      </c>
      <c r="D858" s="158" t="s">
        <v>914</v>
      </c>
      <c r="E858" s="158" t="s">
        <v>913</v>
      </c>
      <c r="F858" s="158" t="s">
        <v>3805</v>
      </c>
      <c r="J858" t="s">
        <v>3810</v>
      </c>
      <c r="K858" t="s">
        <v>10</v>
      </c>
    </row>
    <row r="859" spans="1:11" hidden="1" x14ac:dyDescent="0.3">
      <c r="A859" s="158" t="s">
        <v>5583</v>
      </c>
      <c r="B859" s="158" t="s">
        <v>4079</v>
      </c>
      <c r="C859" s="158" t="s">
        <v>35</v>
      </c>
      <c r="D859" s="158" t="s">
        <v>182</v>
      </c>
      <c r="E859" s="158" t="s">
        <v>181</v>
      </c>
      <c r="F859" s="158" t="s">
        <v>5627</v>
      </c>
      <c r="J859" t="s">
        <v>3838</v>
      </c>
    </row>
    <row r="860" spans="1:11" hidden="1" x14ac:dyDescent="0.3">
      <c r="A860" s="158" t="s">
        <v>5276</v>
      </c>
      <c r="B860" s="158" t="s">
        <v>4090</v>
      </c>
      <c r="C860" s="158" t="s">
        <v>35</v>
      </c>
      <c r="D860" s="158" t="s">
        <v>143</v>
      </c>
      <c r="E860" s="158" t="s">
        <v>4142</v>
      </c>
      <c r="F860" s="158" t="s">
        <v>3822</v>
      </c>
      <c r="H860" t="s">
        <v>5630</v>
      </c>
      <c r="J860" t="s">
        <v>3821</v>
      </c>
      <c r="K860" t="s">
        <v>43</v>
      </c>
    </row>
    <row r="861" spans="1:11" hidden="1" x14ac:dyDescent="0.3">
      <c r="A861" s="158" t="s">
        <v>5277</v>
      </c>
      <c r="B861" s="158" t="s">
        <v>4090</v>
      </c>
      <c r="C861" s="158" t="s">
        <v>35</v>
      </c>
      <c r="D861" s="158" t="s">
        <v>725</v>
      </c>
      <c r="E861" s="158" t="s">
        <v>911</v>
      </c>
      <c r="F861" s="158" t="s">
        <v>4139</v>
      </c>
      <c r="J861" t="s">
        <v>3838</v>
      </c>
      <c r="K861" t="s">
        <v>10</v>
      </c>
    </row>
    <row r="862" spans="1:11" hidden="1" x14ac:dyDescent="0.3">
      <c r="A862" s="158" t="s">
        <v>5278</v>
      </c>
      <c r="B862" s="158" t="s">
        <v>4090</v>
      </c>
      <c r="C862" s="158" t="s">
        <v>35</v>
      </c>
      <c r="D862" s="158" t="s">
        <v>909</v>
      </c>
      <c r="E862" s="158" t="s">
        <v>908</v>
      </c>
      <c r="F862" s="158" t="s">
        <v>3804</v>
      </c>
      <c r="K862" t="s">
        <v>15</v>
      </c>
    </row>
    <row r="863" spans="1:11" hidden="1" x14ac:dyDescent="0.3">
      <c r="A863" s="158" t="s">
        <v>5279</v>
      </c>
      <c r="B863" s="158" t="s">
        <v>4090</v>
      </c>
      <c r="C863" s="158" t="s">
        <v>35</v>
      </c>
      <c r="D863" s="158" t="s">
        <v>906</v>
      </c>
      <c r="E863" s="158" t="s">
        <v>905</v>
      </c>
      <c r="F863" s="158" t="s">
        <v>3900</v>
      </c>
      <c r="J863" t="s">
        <v>3838</v>
      </c>
      <c r="K863" t="s">
        <v>24</v>
      </c>
    </row>
    <row r="864" spans="1:11" hidden="1" x14ac:dyDescent="0.3">
      <c r="A864" s="158" t="s">
        <v>5280</v>
      </c>
      <c r="B864" s="158" t="s">
        <v>4090</v>
      </c>
      <c r="C864" s="158" t="s">
        <v>35</v>
      </c>
      <c r="D864" s="158" t="s">
        <v>902</v>
      </c>
      <c r="E864" s="158" t="s">
        <v>901</v>
      </c>
      <c r="F864" s="158" t="s">
        <v>4139</v>
      </c>
      <c r="J864" t="s">
        <v>3838</v>
      </c>
    </row>
    <row r="865" spans="1:11" hidden="1" x14ac:dyDescent="0.3">
      <c r="A865" s="158" t="s">
        <v>5281</v>
      </c>
      <c r="B865" s="158" t="s">
        <v>4090</v>
      </c>
      <c r="C865" s="158" t="s">
        <v>35</v>
      </c>
      <c r="D865" s="158" t="s">
        <v>237</v>
      </c>
      <c r="E865" s="158" t="s">
        <v>899</v>
      </c>
      <c r="F865" s="158" t="s">
        <v>3822</v>
      </c>
      <c r="J865" t="s">
        <v>3810</v>
      </c>
      <c r="K865" t="s">
        <v>24</v>
      </c>
    </row>
    <row r="866" spans="1:11" hidden="1" x14ac:dyDescent="0.3">
      <c r="A866" s="158" t="s">
        <v>5282</v>
      </c>
      <c r="B866" s="158" t="s">
        <v>4090</v>
      </c>
      <c r="C866" s="158" t="s">
        <v>35</v>
      </c>
      <c r="D866" s="158" t="s">
        <v>896</v>
      </c>
      <c r="E866" s="158" t="s">
        <v>895</v>
      </c>
      <c r="F866" s="158" t="s">
        <v>4139</v>
      </c>
      <c r="J866" t="s">
        <v>3838</v>
      </c>
      <c r="K866" t="s">
        <v>24</v>
      </c>
    </row>
    <row r="867" spans="1:11" hidden="1" x14ac:dyDescent="0.3">
      <c r="A867" s="158" t="s">
        <v>5283</v>
      </c>
      <c r="B867" s="158" t="s">
        <v>4090</v>
      </c>
      <c r="C867" s="158" t="s">
        <v>35</v>
      </c>
      <c r="D867" s="158" t="s">
        <v>438</v>
      </c>
      <c r="E867" s="158" t="s">
        <v>893</v>
      </c>
      <c r="F867" s="158" t="s">
        <v>4139</v>
      </c>
      <c r="J867" t="s">
        <v>3821</v>
      </c>
      <c r="K867" t="s">
        <v>10</v>
      </c>
    </row>
    <row r="868" spans="1:11" hidden="1" x14ac:dyDescent="0.3">
      <c r="A868" s="158" t="s">
        <v>5342</v>
      </c>
      <c r="B868" s="158" t="s">
        <v>4090</v>
      </c>
      <c r="C868" s="158" t="s">
        <v>43</v>
      </c>
      <c r="D868" s="158" t="s">
        <v>772</v>
      </c>
      <c r="E868" s="158" t="s">
        <v>771</v>
      </c>
      <c r="F868" s="158" t="s">
        <v>3822</v>
      </c>
      <c r="K868" t="s">
        <v>15</v>
      </c>
    </row>
    <row r="869" spans="1:11" hidden="1" x14ac:dyDescent="0.3">
      <c r="A869" s="158" t="s">
        <v>5584</v>
      </c>
      <c r="B869" s="158" t="s">
        <v>4079</v>
      </c>
      <c r="C869" s="158" t="s">
        <v>35</v>
      </c>
      <c r="D869" s="158" t="s">
        <v>180</v>
      </c>
      <c r="E869" s="158" t="s">
        <v>179</v>
      </c>
      <c r="F869" s="158" t="s">
        <v>4010</v>
      </c>
      <c r="J869" t="s">
        <v>3838</v>
      </c>
      <c r="K869" t="s">
        <v>10</v>
      </c>
    </row>
    <row r="870" spans="1:11" hidden="1" x14ac:dyDescent="0.3">
      <c r="A870" s="158" t="s">
        <v>5284</v>
      </c>
      <c r="B870" s="158" t="s">
        <v>4090</v>
      </c>
      <c r="C870" s="158" t="s">
        <v>35</v>
      </c>
      <c r="D870" s="158" t="s">
        <v>3761</v>
      </c>
      <c r="E870" s="158" t="s">
        <v>891</v>
      </c>
      <c r="F870" s="158" t="s">
        <v>3822</v>
      </c>
      <c r="J870" t="s">
        <v>3821</v>
      </c>
      <c r="K870" t="s">
        <v>10</v>
      </c>
    </row>
    <row r="871" spans="1:11" hidden="1" x14ac:dyDescent="0.3">
      <c r="A871" s="158" t="s">
        <v>5343</v>
      </c>
      <c r="B871" s="158" t="s">
        <v>4090</v>
      </c>
      <c r="C871" s="158" t="s">
        <v>43</v>
      </c>
      <c r="D871" s="158" t="s">
        <v>178</v>
      </c>
      <c r="E871" s="158" t="s">
        <v>770</v>
      </c>
      <c r="F871" s="158" t="s">
        <v>3804</v>
      </c>
      <c r="K871" t="s">
        <v>35</v>
      </c>
    </row>
    <row r="872" spans="1:11" hidden="1" x14ac:dyDescent="0.3">
      <c r="A872" s="158" t="s">
        <v>5285</v>
      </c>
      <c r="B872" s="158" t="s">
        <v>4090</v>
      </c>
      <c r="C872" s="158" t="s">
        <v>35</v>
      </c>
      <c r="D872" s="158" t="s">
        <v>435</v>
      </c>
      <c r="E872" s="158" t="s">
        <v>889</v>
      </c>
      <c r="F872" s="158" t="s">
        <v>3804</v>
      </c>
      <c r="J872" t="s">
        <v>3838</v>
      </c>
    </row>
    <row r="873" spans="1:11" hidden="1" x14ac:dyDescent="0.3">
      <c r="A873" s="158" t="s">
        <v>5430</v>
      </c>
      <c r="B873" s="158" t="s">
        <v>3838</v>
      </c>
      <c r="C873" s="158" t="s">
        <v>35</v>
      </c>
      <c r="D873" s="158" t="s">
        <v>569</v>
      </c>
      <c r="E873" s="158" t="s">
        <v>568</v>
      </c>
      <c r="F873" s="158" t="s">
        <v>3822</v>
      </c>
      <c r="J873" t="s">
        <v>4090</v>
      </c>
    </row>
    <row r="874" spans="1:11" x14ac:dyDescent="0.3">
      <c r="A874" s="158" t="s">
        <v>4130</v>
      </c>
      <c r="B874" s="158" t="s">
        <v>3838</v>
      </c>
      <c r="C874" s="158" t="s">
        <v>35</v>
      </c>
      <c r="D874" s="158" t="s">
        <v>569</v>
      </c>
      <c r="E874" s="158" t="s">
        <v>4131</v>
      </c>
      <c r="F874" s="158" t="s">
        <v>3804</v>
      </c>
      <c r="G874" t="s">
        <v>3805</v>
      </c>
      <c r="J874" t="s">
        <v>4090</v>
      </c>
      <c r="K874" t="s">
        <v>24</v>
      </c>
    </row>
    <row r="875" spans="1:11" hidden="1" x14ac:dyDescent="0.3">
      <c r="A875" s="158" t="s">
        <v>5585</v>
      </c>
      <c r="B875" s="158" t="s">
        <v>4079</v>
      </c>
      <c r="C875" s="158" t="s">
        <v>35</v>
      </c>
      <c r="D875" s="158" t="s">
        <v>178</v>
      </c>
      <c r="E875" s="158" t="s">
        <v>177</v>
      </c>
      <c r="F875" s="158" t="s">
        <v>3804</v>
      </c>
      <c r="J875" t="s">
        <v>3821</v>
      </c>
      <c r="K875" t="s">
        <v>10</v>
      </c>
    </row>
    <row r="876" spans="1:11" hidden="1" x14ac:dyDescent="0.3">
      <c r="A876" s="158" t="s">
        <v>5391</v>
      </c>
      <c r="B876" s="158" t="s">
        <v>4090</v>
      </c>
      <c r="C876" s="158" t="s">
        <v>15</v>
      </c>
      <c r="D876" s="158" t="s">
        <v>652</v>
      </c>
      <c r="E876" s="158" t="s">
        <v>651</v>
      </c>
      <c r="F876" s="158" t="s">
        <v>3805</v>
      </c>
      <c r="J876" t="s">
        <v>3838</v>
      </c>
      <c r="K876" t="s">
        <v>24</v>
      </c>
    </row>
    <row r="877" spans="1:11" hidden="1" x14ac:dyDescent="0.3">
      <c r="A877" s="158" t="s">
        <v>5392</v>
      </c>
      <c r="B877" s="158" t="s">
        <v>4090</v>
      </c>
      <c r="C877" s="158" t="s">
        <v>15</v>
      </c>
      <c r="D877" s="158" t="s">
        <v>650</v>
      </c>
      <c r="E877" s="158" t="s">
        <v>649</v>
      </c>
      <c r="F877" s="158" t="s">
        <v>3805</v>
      </c>
      <c r="K877" t="s">
        <v>24</v>
      </c>
    </row>
    <row r="878" spans="1:11" hidden="1" x14ac:dyDescent="0.3">
      <c r="A878" s="158" t="s">
        <v>5393</v>
      </c>
      <c r="B878" s="158" t="s">
        <v>4090</v>
      </c>
      <c r="C878" s="158" t="s">
        <v>15</v>
      </c>
      <c r="D878" s="158" t="s">
        <v>648</v>
      </c>
      <c r="E878" s="158" t="s">
        <v>647</v>
      </c>
      <c r="F878" s="158" t="s">
        <v>3805</v>
      </c>
      <c r="J878" t="s">
        <v>3810</v>
      </c>
      <c r="K878" t="s">
        <v>35</v>
      </c>
    </row>
    <row r="879" spans="1:11" hidden="1" x14ac:dyDescent="0.3">
      <c r="A879" s="158" t="s">
        <v>5394</v>
      </c>
      <c r="B879" s="158" t="s">
        <v>4090</v>
      </c>
      <c r="C879" s="158" t="s">
        <v>15</v>
      </c>
      <c r="D879" s="158" t="s">
        <v>646</v>
      </c>
      <c r="E879" s="158" t="s">
        <v>645</v>
      </c>
      <c r="F879" s="158" t="s">
        <v>3822</v>
      </c>
      <c r="K879" t="s">
        <v>24</v>
      </c>
    </row>
    <row r="880" spans="1:11" hidden="1" x14ac:dyDescent="0.3">
      <c r="A880" s="158" t="s">
        <v>5395</v>
      </c>
      <c r="B880" s="158" t="s">
        <v>4090</v>
      </c>
      <c r="C880" s="158" t="s">
        <v>15</v>
      </c>
      <c r="D880" s="158" t="s">
        <v>644</v>
      </c>
      <c r="E880" s="158" t="s">
        <v>643</v>
      </c>
      <c r="F880" s="158" t="s">
        <v>3805</v>
      </c>
      <c r="J880" t="s">
        <v>3838</v>
      </c>
      <c r="K880" t="s">
        <v>24</v>
      </c>
    </row>
    <row r="881" spans="1:11" hidden="1" x14ac:dyDescent="0.3">
      <c r="A881" s="158" t="s">
        <v>5492</v>
      </c>
      <c r="B881" s="158" t="s">
        <v>3838</v>
      </c>
      <c r="C881" s="158" t="s">
        <v>10</v>
      </c>
      <c r="D881" s="158" t="s">
        <v>405</v>
      </c>
      <c r="E881" s="158" t="s">
        <v>404</v>
      </c>
      <c r="F881" s="158" t="s">
        <v>3822</v>
      </c>
      <c r="J881" t="s">
        <v>3821</v>
      </c>
    </row>
    <row r="882" spans="1:11" hidden="1" x14ac:dyDescent="0.3">
      <c r="A882" s="158" t="s">
        <v>5566</v>
      </c>
      <c r="B882" s="158" t="s">
        <v>3838</v>
      </c>
      <c r="C882" s="158" t="s">
        <v>15</v>
      </c>
      <c r="D882" s="158" t="s">
        <v>222</v>
      </c>
      <c r="E882" s="158" t="s">
        <v>221</v>
      </c>
      <c r="F882" s="158" t="s">
        <v>3804</v>
      </c>
      <c r="J882" t="s">
        <v>3821</v>
      </c>
      <c r="K882" t="s">
        <v>10</v>
      </c>
    </row>
    <row r="883" spans="1:11" hidden="1" x14ac:dyDescent="0.3">
      <c r="A883" s="158" t="s">
        <v>5509</v>
      </c>
      <c r="B883" s="158" t="s">
        <v>3838</v>
      </c>
      <c r="C883" s="158" t="s">
        <v>35</v>
      </c>
      <c r="D883" s="158" t="s">
        <v>366</v>
      </c>
      <c r="E883" s="158" t="s">
        <v>365</v>
      </c>
      <c r="F883" s="158" t="s">
        <v>3805</v>
      </c>
      <c r="K883" t="s">
        <v>24</v>
      </c>
    </row>
    <row r="884" spans="1:11" hidden="1" x14ac:dyDescent="0.3">
      <c r="A884" s="158" t="s">
        <v>5527</v>
      </c>
      <c r="B884" s="158" t="s">
        <v>3838</v>
      </c>
      <c r="C884" s="158" t="s">
        <v>35</v>
      </c>
      <c r="D884" s="158" t="s">
        <v>321</v>
      </c>
      <c r="E884" s="158" t="s">
        <v>320</v>
      </c>
      <c r="F884" s="158" t="s">
        <v>4010</v>
      </c>
      <c r="K884" t="s">
        <v>24</v>
      </c>
    </row>
    <row r="885" spans="1:11" hidden="1" x14ac:dyDescent="0.3">
      <c r="A885" s="158" t="s">
        <v>5535</v>
      </c>
      <c r="B885" s="158" t="s">
        <v>3838</v>
      </c>
      <c r="C885" s="158" t="s">
        <v>10</v>
      </c>
      <c r="D885" s="158" t="s">
        <v>300</v>
      </c>
      <c r="E885" s="158" t="s">
        <v>299</v>
      </c>
      <c r="F885" s="158" t="s">
        <v>4139</v>
      </c>
      <c r="K885" t="s">
        <v>35</v>
      </c>
    </row>
    <row r="886" spans="1:11" hidden="1" x14ac:dyDescent="0.3">
      <c r="A886" s="158" t="s">
        <v>5586</v>
      </c>
      <c r="B886" s="158" t="s">
        <v>4079</v>
      </c>
      <c r="C886" s="158" t="s">
        <v>35</v>
      </c>
      <c r="D886" s="158" t="s">
        <v>176</v>
      </c>
      <c r="E886" s="158" t="s">
        <v>175</v>
      </c>
      <c r="F886" s="158" t="s">
        <v>3805</v>
      </c>
      <c r="J886" t="s">
        <v>3838</v>
      </c>
      <c r="K886" t="s">
        <v>10</v>
      </c>
    </row>
    <row r="887" spans="1:11" x14ac:dyDescent="0.3">
      <c r="A887" s="158" t="s">
        <v>5302</v>
      </c>
      <c r="B887" s="158" t="s">
        <v>4090</v>
      </c>
      <c r="C887" s="158" t="s">
        <v>10</v>
      </c>
      <c r="D887" s="158" t="s">
        <v>854</v>
      </c>
      <c r="E887" s="158" t="s">
        <v>853</v>
      </c>
      <c r="F887" s="158" t="s">
        <v>5627</v>
      </c>
      <c r="G887" t="s">
        <v>4139</v>
      </c>
    </row>
    <row r="888" spans="1:11" hidden="1" x14ac:dyDescent="0.3">
      <c r="A888" s="158" t="s">
        <v>5304</v>
      </c>
      <c r="B888" s="158" t="s">
        <v>4090</v>
      </c>
      <c r="C888" s="158" t="s">
        <v>10</v>
      </c>
      <c r="D888" s="158" t="s">
        <v>850</v>
      </c>
      <c r="E888" s="158" t="s">
        <v>849</v>
      </c>
      <c r="F888" s="158" t="s">
        <v>3805</v>
      </c>
      <c r="K888" t="s">
        <v>35</v>
      </c>
    </row>
    <row r="889" spans="1:11" hidden="1" x14ac:dyDescent="0.3">
      <c r="A889" s="158" t="s">
        <v>5602</v>
      </c>
      <c r="B889" s="158" t="s">
        <v>4079</v>
      </c>
      <c r="C889" s="158" t="s">
        <v>43</v>
      </c>
      <c r="D889" s="158" t="s">
        <v>118</v>
      </c>
      <c r="E889" s="158" t="s">
        <v>117</v>
      </c>
      <c r="F889" s="158" t="s">
        <v>3804</v>
      </c>
      <c r="J889" t="s">
        <v>3877</v>
      </c>
      <c r="K889" t="s">
        <v>35</v>
      </c>
    </row>
    <row r="890" spans="1:11" hidden="1" x14ac:dyDescent="0.3">
      <c r="A890" s="158" t="s">
        <v>5396</v>
      </c>
      <c r="B890" s="158" t="s">
        <v>4090</v>
      </c>
      <c r="C890" s="158" t="s">
        <v>15</v>
      </c>
      <c r="D890" s="158" t="s">
        <v>642</v>
      </c>
      <c r="E890" s="158" t="s">
        <v>641</v>
      </c>
      <c r="F890" s="158" t="s">
        <v>3805</v>
      </c>
      <c r="K890" t="s">
        <v>24</v>
      </c>
    </row>
    <row r="891" spans="1:11" hidden="1" x14ac:dyDescent="0.3">
      <c r="A891" s="158" t="s">
        <v>5431</v>
      </c>
      <c r="B891" s="158" t="s">
        <v>3838</v>
      </c>
      <c r="C891" s="158" t="s">
        <v>15</v>
      </c>
      <c r="D891" s="158" t="s">
        <v>567</v>
      </c>
      <c r="E891" s="158" t="s">
        <v>566</v>
      </c>
      <c r="F891" s="158" t="s">
        <v>3805</v>
      </c>
      <c r="J891" t="s">
        <v>3821</v>
      </c>
      <c r="K891" t="s">
        <v>10</v>
      </c>
    </row>
    <row r="892" spans="1:11" hidden="1" x14ac:dyDescent="0.3">
      <c r="A892" s="158" t="s">
        <v>5587</v>
      </c>
      <c r="B892" s="158" t="s">
        <v>4079</v>
      </c>
      <c r="C892" s="158" t="s">
        <v>35</v>
      </c>
      <c r="D892" s="158" t="s">
        <v>173</v>
      </c>
      <c r="E892" s="158" t="s">
        <v>172</v>
      </c>
      <c r="F892" s="158" t="s">
        <v>3822</v>
      </c>
      <c r="J892" t="s">
        <v>3821</v>
      </c>
      <c r="K892" t="s">
        <v>10</v>
      </c>
    </row>
    <row r="893" spans="1:11" hidden="1" x14ac:dyDescent="0.3">
      <c r="A893" s="158" t="s">
        <v>5588</v>
      </c>
      <c r="B893" s="158" t="s">
        <v>4079</v>
      </c>
      <c r="C893" s="158" t="s">
        <v>35</v>
      </c>
      <c r="D893" s="158" t="s">
        <v>171</v>
      </c>
      <c r="E893" s="158" t="s">
        <v>170</v>
      </c>
      <c r="F893" s="158" t="s">
        <v>3822</v>
      </c>
      <c r="J893" t="s">
        <v>3821</v>
      </c>
      <c r="K893" t="s">
        <v>10</v>
      </c>
    </row>
    <row r="894" spans="1:11" hidden="1" x14ac:dyDescent="0.3">
      <c r="A894" s="158" t="s">
        <v>5314</v>
      </c>
      <c r="B894" s="158" t="s">
        <v>4090</v>
      </c>
      <c r="C894" s="158" t="s">
        <v>10</v>
      </c>
      <c r="D894" s="158" t="s">
        <v>829</v>
      </c>
      <c r="E894" s="158" t="s">
        <v>827</v>
      </c>
      <c r="F894" s="158" t="s">
        <v>3805</v>
      </c>
      <c r="K894" t="s">
        <v>35</v>
      </c>
    </row>
    <row r="895" spans="1:11" hidden="1" x14ac:dyDescent="0.3">
      <c r="A895" s="158" t="s">
        <v>5437</v>
      </c>
      <c r="B895" s="158" t="s">
        <v>3838</v>
      </c>
      <c r="C895" s="158" t="s">
        <v>15</v>
      </c>
      <c r="D895" s="158" t="s">
        <v>555</v>
      </c>
      <c r="E895" s="158" t="s">
        <v>554</v>
      </c>
      <c r="F895" s="158" t="s">
        <v>3822</v>
      </c>
      <c r="J895" t="s">
        <v>3821</v>
      </c>
      <c r="K895" t="s">
        <v>43</v>
      </c>
    </row>
    <row r="896" spans="1:11" hidden="1" x14ac:dyDescent="0.3">
      <c r="A896" s="158" t="s">
        <v>5315</v>
      </c>
      <c r="B896" s="158" t="s">
        <v>4090</v>
      </c>
      <c r="C896" s="158" t="s">
        <v>10</v>
      </c>
      <c r="D896" s="158" t="s">
        <v>828</v>
      </c>
      <c r="E896" s="158" t="s">
        <v>827</v>
      </c>
      <c r="F896" s="158" t="s">
        <v>3805</v>
      </c>
      <c r="K896" t="s">
        <v>35</v>
      </c>
    </row>
    <row r="897" spans="1:11" hidden="1" x14ac:dyDescent="0.3">
      <c r="A897" s="158" t="s">
        <v>5541</v>
      </c>
      <c r="B897" s="158" t="s">
        <v>3838</v>
      </c>
      <c r="C897" s="158" t="s">
        <v>43</v>
      </c>
      <c r="D897" s="158" t="s">
        <v>284</v>
      </c>
      <c r="E897" s="158" t="s">
        <v>283</v>
      </c>
      <c r="F897" s="158" t="s">
        <v>3805</v>
      </c>
      <c r="K897" t="s">
        <v>35</v>
      </c>
    </row>
    <row r="898" spans="1:11" hidden="1" x14ac:dyDescent="0.3">
      <c r="A898" s="158" t="s">
        <v>5323</v>
      </c>
      <c r="B898" s="158" t="s">
        <v>4090</v>
      </c>
      <c r="C898" s="158" t="s">
        <v>10</v>
      </c>
      <c r="D898" s="158" t="s">
        <v>88</v>
      </c>
      <c r="E898" s="158" t="s">
        <v>809</v>
      </c>
      <c r="F898" s="158" t="s">
        <v>3805</v>
      </c>
      <c r="K898" t="s">
        <v>35</v>
      </c>
    </row>
    <row r="899" spans="1:11" hidden="1" x14ac:dyDescent="0.3">
      <c r="A899" s="158" t="s">
        <v>5423</v>
      </c>
      <c r="B899" s="158" t="s">
        <v>3838</v>
      </c>
      <c r="C899" s="158" t="s">
        <v>15</v>
      </c>
      <c r="D899" s="158" t="s">
        <v>588</v>
      </c>
      <c r="E899" s="158" t="s">
        <v>587</v>
      </c>
      <c r="F899" s="158" t="s">
        <v>3804</v>
      </c>
      <c r="J899" t="s">
        <v>3821</v>
      </c>
      <c r="K899" t="s">
        <v>10</v>
      </c>
    </row>
    <row r="900" spans="1:11" hidden="1" x14ac:dyDescent="0.3">
      <c r="A900" s="158" t="s">
        <v>5397</v>
      </c>
      <c r="B900" s="158" t="s">
        <v>4090</v>
      </c>
      <c r="C900" s="158" t="s">
        <v>15</v>
      </c>
      <c r="D900" s="158" t="s">
        <v>640</v>
      </c>
      <c r="E900" s="158" t="s">
        <v>639</v>
      </c>
      <c r="F900" s="158" t="s">
        <v>3805</v>
      </c>
      <c r="K900" t="s">
        <v>24</v>
      </c>
    </row>
    <row r="901" spans="1:11" hidden="1" x14ac:dyDescent="0.3">
      <c r="A901" s="158" t="s">
        <v>5398</v>
      </c>
      <c r="B901" s="158" t="s">
        <v>4090</v>
      </c>
      <c r="C901" s="158" t="s">
        <v>15</v>
      </c>
      <c r="D901" s="158" t="s">
        <v>638</v>
      </c>
      <c r="E901" s="158" t="s">
        <v>637</v>
      </c>
      <c r="F901" s="158" t="s">
        <v>3804</v>
      </c>
      <c r="K901" t="s">
        <v>24</v>
      </c>
    </row>
    <row r="902" spans="1:11" x14ac:dyDescent="0.3">
      <c r="A902" s="158" t="s">
        <v>5440</v>
      </c>
      <c r="B902" s="158" t="s">
        <v>3838</v>
      </c>
      <c r="C902" s="158" t="s">
        <v>15</v>
      </c>
      <c r="D902" s="158" t="s">
        <v>435</v>
      </c>
      <c r="E902" s="158" t="s">
        <v>548</v>
      </c>
      <c r="F902" s="158" t="s">
        <v>4010</v>
      </c>
      <c r="G902" t="s">
        <v>5627</v>
      </c>
      <c r="J902" t="s">
        <v>3821</v>
      </c>
      <c r="K902" t="s">
        <v>10</v>
      </c>
    </row>
    <row r="903" spans="1:11" hidden="1" x14ac:dyDescent="0.3">
      <c r="A903" s="158" t="s">
        <v>5549</v>
      </c>
      <c r="B903" s="158" t="s">
        <v>3838</v>
      </c>
      <c r="C903" s="158" t="s">
        <v>35</v>
      </c>
      <c r="D903" s="158" t="s">
        <v>265</v>
      </c>
      <c r="E903" s="158" t="s">
        <v>264</v>
      </c>
      <c r="F903" s="158" t="s">
        <v>3805</v>
      </c>
      <c r="J903" t="s">
        <v>3810</v>
      </c>
    </row>
    <row r="904" spans="1:11" hidden="1" x14ac:dyDescent="0.3">
      <c r="A904" s="158" t="s">
        <v>5408</v>
      </c>
      <c r="B904" s="158" t="s">
        <v>3838</v>
      </c>
      <c r="C904" s="158" t="s">
        <v>15</v>
      </c>
      <c r="D904" s="158" t="s">
        <v>616</v>
      </c>
      <c r="E904" s="158" t="s">
        <v>615</v>
      </c>
      <c r="F904" s="158" t="s">
        <v>3805</v>
      </c>
      <c r="J904" t="s">
        <v>3821</v>
      </c>
      <c r="K904" t="s">
        <v>10</v>
      </c>
    </row>
    <row r="905" spans="1:11" hidden="1" x14ac:dyDescent="0.3">
      <c r="A905" s="158" t="s">
        <v>5589</v>
      </c>
      <c r="B905" s="158" t="s">
        <v>4079</v>
      </c>
      <c r="C905" s="158" t="s">
        <v>35</v>
      </c>
      <c r="D905" s="158" t="s">
        <v>168</v>
      </c>
      <c r="E905" s="158" t="s">
        <v>166</v>
      </c>
      <c r="F905" s="158" t="s">
        <v>3822</v>
      </c>
      <c r="J905" t="s">
        <v>3821</v>
      </c>
      <c r="K905" t="s">
        <v>43</v>
      </c>
    </row>
    <row r="906" spans="1:11" hidden="1" x14ac:dyDescent="0.3">
      <c r="A906" s="158" t="s">
        <v>5590</v>
      </c>
      <c r="B906" s="158" t="s">
        <v>4079</v>
      </c>
      <c r="C906" s="158" t="s">
        <v>35</v>
      </c>
      <c r="D906" s="158" t="s">
        <v>167</v>
      </c>
      <c r="E906" s="158" t="s">
        <v>166</v>
      </c>
      <c r="F906" s="158" t="s">
        <v>3805</v>
      </c>
      <c r="J906" t="s">
        <v>3821</v>
      </c>
      <c r="K906" t="s">
        <v>43</v>
      </c>
    </row>
    <row r="907" spans="1:11" hidden="1" x14ac:dyDescent="0.3">
      <c r="A907" s="158" t="s">
        <v>5499</v>
      </c>
      <c r="B907" s="158" t="s">
        <v>3838</v>
      </c>
      <c r="C907" s="158" t="s">
        <v>24</v>
      </c>
      <c r="D907" s="158" t="s">
        <v>390</v>
      </c>
      <c r="E907" s="158" t="s">
        <v>389</v>
      </c>
      <c r="F907" s="158" t="s">
        <v>3805</v>
      </c>
      <c r="K907" t="s">
        <v>10</v>
      </c>
    </row>
    <row r="908" spans="1:11" hidden="1" x14ac:dyDescent="0.3">
      <c r="A908" s="158" t="s">
        <v>5454</v>
      </c>
      <c r="B908" s="158" t="s">
        <v>3838</v>
      </c>
      <c r="C908" s="158" t="s">
        <v>15</v>
      </c>
      <c r="D908" s="158" t="s">
        <v>505</v>
      </c>
      <c r="E908" s="158" t="s">
        <v>504</v>
      </c>
      <c r="F908" s="158" t="s">
        <v>3805</v>
      </c>
      <c r="J908" t="s">
        <v>3821</v>
      </c>
      <c r="K908" t="s">
        <v>10</v>
      </c>
    </row>
    <row r="909" spans="1:11" hidden="1" x14ac:dyDescent="0.3">
      <c r="A909" s="158" t="s">
        <v>5545</v>
      </c>
      <c r="B909" s="158" t="s">
        <v>3838</v>
      </c>
      <c r="C909" s="158" t="s">
        <v>15</v>
      </c>
      <c r="D909" s="158" t="s">
        <v>275</v>
      </c>
      <c r="E909" s="158" t="s">
        <v>274</v>
      </c>
      <c r="F909" s="158" t="s">
        <v>3804</v>
      </c>
      <c r="J909" t="s">
        <v>3810</v>
      </c>
      <c r="K909" t="s">
        <v>24</v>
      </c>
    </row>
    <row r="910" spans="1:11" hidden="1" x14ac:dyDescent="0.3">
      <c r="A910" s="158" t="s">
        <v>5436</v>
      </c>
      <c r="B910" s="158" t="s">
        <v>3838</v>
      </c>
      <c r="C910" s="158" t="s">
        <v>43</v>
      </c>
      <c r="D910" s="158" t="s">
        <v>557</v>
      </c>
      <c r="E910" s="158" t="s">
        <v>556</v>
      </c>
      <c r="F910" s="158" t="s">
        <v>3805</v>
      </c>
      <c r="K910" t="s">
        <v>35</v>
      </c>
    </row>
    <row r="911" spans="1:11" hidden="1" x14ac:dyDescent="0.3">
      <c r="A911" s="158" t="s">
        <v>5413</v>
      </c>
      <c r="B911" s="158" t="s">
        <v>3838</v>
      </c>
      <c r="C911" s="158" t="s">
        <v>43</v>
      </c>
      <c r="D911" s="158" t="s">
        <v>607</v>
      </c>
      <c r="E911" s="158" t="s">
        <v>556</v>
      </c>
      <c r="F911" s="158" t="s">
        <v>3804</v>
      </c>
      <c r="K911" t="s">
        <v>35</v>
      </c>
    </row>
    <row r="912" spans="1:11" hidden="1" x14ac:dyDescent="0.3">
      <c r="A912" s="158" t="s">
        <v>5591</v>
      </c>
      <c r="B912" s="158" t="s">
        <v>4079</v>
      </c>
      <c r="C912" s="158" t="s">
        <v>35</v>
      </c>
      <c r="D912" s="158" t="s">
        <v>163</v>
      </c>
      <c r="E912" s="158" t="s">
        <v>162</v>
      </c>
      <c r="F912" s="158" t="s">
        <v>3822</v>
      </c>
      <c r="J912" t="s">
        <v>3838</v>
      </c>
    </row>
    <row r="913" spans="1:11" hidden="1" x14ac:dyDescent="0.3">
      <c r="A913" s="158" t="s">
        <v>4140</v>
      </c>
      <c r="B913" s="158" t="s">
        <v>4090</v>
      </c>
      <c r="C913" s="158" t="s">
        <v>43</v>
      </c>
      <c r="D913" s="158" t="s">
        <v>753</v>
      </c>
      <c r="E913" s="158" t="s">
        <v>752</v>
      </c>
      <c r="F913" s="158" t="s">
        <v>3805</v>
      </c>
      <c r="I913" t="s">
        <v>4141</v>
      </c>
      <c r="K913" t="s">
        <v>15</v>
      </c>
    </row>
    <row r="914" spans="1:11" hidden="1" x14ac:dyDescent="0.3">
      <c r="A914" s="158" t="s">
        <v>5447</v>
      </c>
      <c r="B914" s="158" t="s">
        <v>3838</v>
      </c>
      <c r="C914" s="158" t="s">
        <v>10</v>
      </c>
      <c r="D914" s="158" t="s">
        <v>527</v>
      </c>
      <c r="E914" s="158" t="s">
        <v>526</v>
      </c>
      <c r="F914" s="158" t="s">
        <v>3822</v>
      </c>
      <c r="K914" t="s">
        <v>35</v>
      </c>
    </row>
    <row r="915" spans="1:11" hidden="1" x14ac:dyDescent="0.3">
      <c r="A915" s="158" t="s">
        <v>5399</v>
      </c>
      <c r="B915" s="158" t="s">
        <v>4090</v>
      </c>
      <c r="C915" s="158" t="s">
        <v>15</v>
      </c>
      <c r="D915" s="158" t="s">
        <v>636</v>
      </c>
      <c r="E915" s="158" t="s">
        <v>635</v>
      </c>
      <c r="F915" s="158" t="s">
        <v>3805</v>
      </c>
      <c r="J915" t="s">
        <v>3810</v>
      </c>
      <c r="K915" t="s">
        <v>35</v>
      </c>
    </row>
    <row r="916" spans="1:11" hidden="1" x14ac:dyDescent="0.3">
      <c r="A916" s="158" t="s">
        <v>5400</v>
      </c>
      <c r="B916" s="158" t="s">
        <v>4090</v>
      </c>
      <c r="C916" s="158" t="s">
        <v>15</v>
      </c>
      <c r="D916" s="158" t="s">
        <v>634</v>
      </c>
      <c r="E916" s="158" t="s">
        <v>633</v>
      </c>
      <c r="F916" s="158" t="s">
        <v>3805</v>
      </c>
      <c r="J916" t="s">
        <v>3838</v>
      </c>
      <c r="K916" t="s">
        <v>43</v>
      </c>
    </row>
    <row r="917" spans="1:11" hidden="1" x14ac:dyDescent="0.3">
      <c r="A917" s="158" t="s">
        <v>5421</v>
      </c>
      <c r="B917" s="158" t="s">
        <v>3838</v>
      </c>
      <c r="C917" s="158" t="s">
        <v>10</v>
      </c>
      <c r="D917" s="158" t="s">
        <v>593</v>
      </c>
      <c r="E917" s="158" t="s">
        <v>592</v>
      </c>
      <c r="F917" s="158" t="s">
        <v>3805</v>
      </c>
      <c r="K917" t="s">
        <v>35</v>
      </c>
    </row>
    <row r="918" spans="1:11" hidden="1" x14ac:dyDescent="0.3">
      <c r="A918" s="158" t="s">
        <v>5559</v>
      </c>
      <c r="B918" s="158" t="s">
        <v>3838</v>
      </c>
      <c r="C918" s="158" t="s">
        <v>10</v>
      </c>
      <c r="D918" s="158" t="s">
        <v>240</v>
      </c>
      <c r="E918" s="158" t="s">
        <v>239</v>
      </c>
      <c r="F918" s="158" t="s">
        <v>3805</v>
      </c>
      <c r="K918" t="s">
        <v>35</v>
      </c>
    </row>
    <row r="919" spans="1:11" hidden="1" x14ac:dyDescent="0.3">
      <c r="A919" s="158" t="s">
        <v>5355</v>
      </c>
      <c r="B919" s="158" t="s">
        <v>4090</v>
      </c>
      <c r="C919" s="158" t="s">
        <v>43</v>
      </c>
      <c r="D919" s="158" t="s">
        <v>742</v>
      </c>
      <c r="E919" s="158" t="s">
        <v>741</v>
      </c>
      <c r="F919" s="158" t="s">
        <v>3804</v>
      </c>
      <c r="K919" t="s">
        <v>15</v>
      </c>
    </row>
    <row r="920" spans="1:11" hidden="1" x14ac:dyDescent="0.3">
      <c r="A920" s="158" t="s">
        <v>4087</v>
      </c>
      <c r="B920" s="158" t="s">
        <v>4079</v>
      </c>
      <c r="C920" s="158" t="s">
        <v>35</v>
      </c>
      <c r="D920" s="158" t="s">
        <v>160</v>
      </c>
      <c r="E920" s="158" t="s">
        <v>159</v>
      </c>
      <c r="F920" s="158" t="s">
        <v>3822</v>
      </c>
      <c r="I920" t="s">
        <v>4088</v>
      </c>
      <c r="J920" t="s">
        <v>3838</v>
      </c>
    </row>
    <row r="921" spans="1:11" hidden="1" x14ac:dyDescent="0.3">
      <c r="A921" s="158" t="s">
        <v>5356</v>
      </c>
      <c r="B921" s="158" t="s">
        <v>4090</v>
      </c>
      <c r="C921" s="158" t="s">
        <v>43</v>
      </c>
      <c r="D921" s="158" t="s">
        <v>740</v>
      </c>
      <c r="E921" s="158" t="s">
        <v>739</v>
      </c>
      <c r="F921" s="158" t="s">
        <v>3805</v>
      </c>
      <c r="K921" t="s">
        <v>15</v>
      </c>
    </row>
    <row r="922" spans="1:11" hidden="1" x14ac:dyDescent="0.3">
      <c r="A922" s="158" t="s">
        <v>5401</v>
      </c>
      <c r="B922" s="158" t="s">
        <v>4090</v>
      </c>
      <c r="C922" s="158" t="s">
        <v>15</v>
      </c>
      <c r="D922" s="158" t="s">
        <v>632</v>
      </c>
      <c r="E922" s="158" t="s">
        <v>631</v>
      </c>
      <c r="F922" s="158" t="s">
        <v>3805</v>
      </c>
      <c r="J922" t="s">
        <v>3810</v>
      </c>
      <c r="K922" t="s">
        <v>35</v>
      </c>
    </row>
    <row r="923" spans="1:11" hidden="1" x14ac:dyDescent="0.3">
      <c r="A923" s="158" t="s">
        <v>5402</v>
      </c>
      <c r="B923" s="158" t="s">
        <v>4090</v>
      </c>
      <c r="C923" s="158" t="s">
        <v>15</v>
      </c>
      <c r="D923" s="158" t="s">
        <v>630</v>
      </c>
      <c r="E923" s="158" t="s">
        <v>629</v>
      </c>
      <c r="F923" s="158" t="s">
        <v>3805</v>
      </c>
      <c r="J923" t="s">
        <v>3838</v>
      </c>
      <c r="K923" t="s">
        <v>43</v>
      </c>
    </row>
    <row r="924" spans="1:11" hidden="1" x14ac:dyDescent="0.3">
      <c r="A924" s="158" t="s">
        <v>5359</v>
      </c>
      <c r="B924" s="158" t="s">
        <v>4090</v>
      </c>
      <c r="C924" s="158" t="s">
        <v>43</v>
      </c>
      <c r="D924" s="158" t="s">
        <v>732</v>
      </c>
      <c r="E924" s="158" t="s">
        <v>731</v>
      </c>
      <c r="F924" s="158" t="s">
        <v>3805</v>
      </c>
      <c r="K924" t="s">
        <v>15</v>
      </c>
    </row>
    <row r="925" spans="1:11" hidden="1" x14ac:dyDescent="0.3">
      <c r="A925" s="158" t="s">
        <v>5438</v>
      </c>
      <c r="B925" s="158" t="s">
        <v>3838</v>
      </c>
      <c r="C925" s="158" t="s">
        <v>43</v>
      </c>
      <c r="D925" s="158" t="s">
        <v>553</v>
      </c>
      <c r="E925" s="158" t="s">
        <v>552</v>
      </c>
      <c r="F925" s="158" t="s">
        <v>3804</v>
      </c>
      <c r="K925" t="s">
        <v>35</v>
      </c>
    </row>
    <row r="926" spans="1:11" hidden="1" x14ac:dyDescent="0.3">
      <c r="A926" s="158" t="s">
        <v>5554</v>
      </c>
      <c r="B926" s="158" t="s">
        <v>3838</v>
      </c>
      <c r="C926" s="158" t="s">
        <v>15</v>
      </c>
      <c r="D926" s="158" t="s">
        <v>252</v>
      </c>
      <c r="E926" s="158" t="s">
        <v>251</v>
      </c>
      <c r="F926" s="158" t="s">
        <v>3805</v>
      </c>
      <c r="J926" t="s">
        <v>3821</v>
      </c>
      <c r="K926" t="s">
        <v>10</v>
      </c>
    </row>
    <row r="927" spans="1:11" hidden="1" x14ac:dyDescent="0.3">
      <c r="A927" s="158" t="s">
        <v>5365</v>
      </c>
      <c r="B927" s="158" t="s">
        <v>4090</v>
      </c>
      <c r="C927" s="158" t="s">
        <v>43</v>
      </c>
      <c r="D927" s="158" t="s">
        <v>3764</v>
      </c>
      <c r="E927" s="158" t="s">
        <v>717</v>
      </c>
      <c r="F927" s="158" t="s">
        <v>3822</v>
      </c>
      <c r="K927" t="s">
        <v>15</v>
      </c>
    </row>
    <row r="928" spans="1:11" hidden="1" x14ac:dyDescent="0.3">
      <c r="A928" s="158" t="s">
        <v>5557</v>
      </c>
      <c r="B928" s="158" t="s">
        <v>3838</v>
      </c>
      <c r="C928" s="158" t="s">
        <v>10</v>
      </c>
      <c r="D928" s="158" t="s">
        <v>244</v>
      </c>
      <c r="E928" s="158" t="s">
        <v>243</v>
      </c>
      <c r="F928" s="158" t="s">
        <v>3805</v>
      </c>
      <c r="K928" t="s">
        <v>35</v>
      </c>
    </row>
    <row r="929" spans="1:11" hidden="1" x14ac:dyDescent="0.3">
      <c r="A929" s="158" t="s">
        <v>5592</v>
      </c>
      <c r="B929" s="158" t="s">
        <v>4079</v>
      </c>
      <c r="C929" s="158" t="s">
        <v>35</v>
      </c>
      <c r="D929" s="158" t="s">
        <v>157</v>
      </c>
      <c r="E929" s="158" t="s">
        <v>156</v>
      </c>
      <c r="F929" s="158" t="s">
        <v>5627</v>
      </c>
      <c r="J929" t="s">
        <v>3838</v>
      </c>
      <c r="K929" t="s">
        <v>10</v>
      </c>
    </row>
    <row r="930" spans="1:11" hidden="1" x14ac:dyDescent="0.3">
      <c r="A930" s="158" t="s">
        <v>5593</v>
      </c>
      <c r="B930" s="158" t="s">
        <v>4079</v>
      </c>
      <c r="C930" s="158" t="s">
        <v>35</v>
      </c>
      <c r="D930" s="158" t="s">
        <v>154</v>
      </c>
      <c r="E930" s="158" t="s">
        <v>153</v>
      </c>
      <c r="F930" s="158" t="s">
        <v>3805</v>
      </c>
      <c r="J930" t="s">
        <v>3838</v>
      </c>
      <c r="K930" t="s">
        <v>10</v>
      </c>
    </row>
    <row r="931" spans="1:11" hidden="1" x14ac:dyDescent="0.3">
      <c r="A931" s="158" t="s">
        <v>5403</v>
      </c>
      <c r="B931" s="158" t="s">
        <v>4090</v>
      </c>
      <c r="C931" s="158" t="s">
        <v>15</v>
      </c>
      <c r="D931" s="158" t="s">
        <v>628</v>
      </c>
      <c r="E931" s="158" t="s">
        <v>627</v>
      </c>
      <c r="F931" s="158" t="s">
        <v>3805</v>
      </c>
      <c r="J931" t="s">
        <v>3838</v>
      </c>
      <c r="K931" t="s">
        <v>10</v>
      </c>
    </row>
    <row r="932" spans="1:11" hidden="1" x14ac:dyDescent="0.3">
      <c r="A932" s="158" t="s">
        <v>5404</v>
      </c>
      <c r="B932" s="158" t="s">
        <v>4090</v>
      </c>
      <c r="C932" s="158" t="s">
        <v>15</v>
      </c>
      <c r="D932" s="158" t="s">
        <v>625</v>
      </c>
      <c r="E932" s="158" t="s">
        <v>624</v>
      </c>
      <c r="F932" s="158" t="s">
        <v>5627</v>
      </c>
      <c r="K932" t="s">
        <v>24</v>
      </c>
    </row>
    <row r="933" spans="1:11" hidden="1" x14ac:dyDescent="0.3">
      <c r="A933" s="158" t="s">
        <v>5405</v>
      </c>
      <c r="B933" s="158" t="s">
        <v>4090</v>
      </c>
      <c r="C933" s="158" t="s">
        <v>15</v>
      </c>
      <c r="D933" s="158" t="s">
        <v>3766</v>
      </c>
      <c r="E933" s="158" t="s">
        <v>621</v>
      </c>
      <c r="F933" s="158" t="s">
        <v>3822</v>
      </c>
      <c r="K933" t="s">
        <v>24</v>
      </c>
    </row>
    <row r="934" spans="1:11" hidden="1" x14ac:dyDescent="0.3">
      <c r="A934" s="158" t="s">
        <v>5406</v>
      </c>
      <c r="B934" s="158" t="s">
        <v>3838</v>
      </c>
      <c r="C934" s="158" t="s">
        <v>15</v>
      </c>
      <c r="D934" s="158" t="s">
        <v>619</v>
      </c>
      <c r="E934" s="158" t="s">
        <v>573</v>
      </c>
      <c r="F934" s="158" t="s">
        <v>3805</v>
      </c>
      <c r="J934" t="s">
        <v>3821</v>
      </c>
      <c r="K934" t="s">
        <v>43</v>
      </c>
    </row>
    <row r="935" spans="1:11" hidden="1" x14ac:dyDescent="0.3">
      <c r="A935" s="158" t="s">
        <v>5407</v>
      </c>
      <c r="B935" s="158" t="s">
        <v>3838</v>
      </c>
      <c r="C935" s="158" t="s">
        <v>10</v>
      </c>
      <c r="D935" s="158" t="s">
        <v>230</v>
      </c>
      <c r="E935" s="158" t="s">
        <v>617</v>
      </c>
      <c r="F935" s="158" t="s">
        <v>3805</v>
      </c>
      <c r="K935" t="s">
        <v>35</v>
      </c>
    </row>
    <row r="936" spans="1:11" hidden="1" x14ac:dyDescent="0.3">
      <c r="A936" s="158" t="s">
        <v>5445</v>
      </c>
      <c r="B936" s="158" t="s">
        <v>3838</v>
      </c>
      <c r="C936" s="158" t="s">
        <v>43</v>
      </c>
      <c r="D936" s="158" t="s">
        <v>532</v>
      </c>
      <c r="E936" s="158" t="s">
        <v>531</v>
      </c>
      <c r="F936" s="158" t="s">
        <v>3805</v>
      </c>
      <c r="K936" t="s">
        <v>35</v>
      </c>
    </row>
    <row r="937" spans="1:11" hidden="1" x14ac:dyDescent="0.3">
      <c r="A937" s="158" t="s">
        <v>5409</v>
      </c>
      <c r="B937" s="158" t="s">
        <v>3838</v>
      </c>
      <c r="C937" s="158" t="s">
        <v>15</v>
      </c>
      <c r="D937" s="158" t="s">
        <v>580</v>
      </c>
      <c r="E937" s="158" t="s">
        <v>579</v>
      </c>
      <c r="F937" s="158" t="s">
        <v>3805</v>
      </c>
      <c r="J937" t="s">
        <v>3821</v>
      </c>
      <c r="K937" t="s">
        <v>43</v>
      </c>
    </row>
    <row r="938" spans="1:11" hidden="1" x14ac:dyDescent="0.3">
      <c r="A938" s="158" t="s">
        <v>5487</v>
      </c>
      <c r="B938" s="158" t="s">
        <v>3838</v>
      </c>
      <c r="C938" s="158" t="s">
        <v>43</v>
      </c>
      <c r="D938" s="158" t="s">
        <v>417</v>
      </c>
      <c r="E938" s="158" t="s">
        <v>416</v>
      </c>
      <c r="F938" s="158" t="s">
        <v>3805</v>
      </c>
      <c r="K938" t="s">
        <v>35</v>
      </c>
    </row>
    <row r="939" spans="1:11" hidden="1" x14ac:dyDescent="0.3">
      <c r="A939" s="158" t="s">
        <v>5415</v>
      </c>
      <c r="B939" s="158" t="s">
        <v>3838</v>
      </c>
      <c r="C939" s="158" t="s">
        <v>15</v>
      </c>
      <c r="D939" s="158" t="s">
        <v>603</v>
      </c>
      <c r="E939" s="158" t="s">
        <v>602</v>
      </c>
      <c r="F939" s="158" t="s">
        <v>3805</v>
      </c>
      <c r="J939" t="s">
        <v>3821</v>
      </c>
      <c r="K939" t="s">
        <v>10</v>
      </c>
    </row>
    <row r="940" spans="1:11" hidden="1" x14ac:dyDescent="0.3">
      <c r="A940" s="158" t="s">
        <v>5416</v>
      </c>
      <c r="B940" s="158" t="s">
        <v>3838</v>
      </c>
      <c r="C940" s="158" t="s">
        <v>24</v>
      </c>
      <c r="D940" s="158" t="s">
        <v>601</v>
      </c>
      <c r="E940" s="158" t="s">
        <v>600</v>
      </c>
      <c r="F940" s="158" t="s">
        <v>3804</v>
      </c>
      <c r="K940" t="s">
        <v>35</v>
      </c>
    </row>
    <row r="941" spans="1:11" hidden="1" x14ac:dyDescent="0.3">
      <c r="A941" s="158" t="s">
        <v>5505</v>
      </c>
      <c r="B941" s="158" t="s">
        <v>3838</v>
      </c>
      <c r="C941" s="158" t="s">
        <v>24</v>
      </c>
      <c r="D941" s="158" t="s">
        <v>376</v>
      </c>
      <c r="E941" s="158" t="s">
        <v>375</v>
      </c>
      <c r="F941" s="158" t="s">
        <v>3822</v>
      </c>
      <c r="K941" t="s">
        <v>10</v>
      </c>
    </row>
    <row r="942" spans="1:11" hidden="1" x14ac:dyDescent="0.3">
      <c r="A942" s="158" t="s">
        <v>5420</v>
      </c>
      <c r="B942" s="158" t="s">
        <v>3838</v>
      </c>
      <c r="C942" s="158" t="s">
        <v>35</v>
      </c>
      <c r="D942" s="158" t="s">
        <v>594</v>
      </c>
      <c r="E942" s="158" t="s">
        <v>521</v>
      </c>
      <c r="F942" s="158" t="s">
        <v>4010</v>
      </c>
      <c r="J942" t="s">
        <v>3810</v>
      </c>
    </row>
    <row r="943" spans="1:11" hidden="1" x14ac:dyDescent="0.3">
      <c r="A943" s="158" t="s">
        <v>5424</v>
      </c>
      <c r="B943" s="158" t="s">
        <v>3838</v>
      </c>
      <c r="C943" s="158" t="s">
        <v>24</v>
      </c>
      <c r="D943" s="158" t="s">
        <v>113</v>
      </c>
      <c r="E943" s="158" t="s">
        <v>584</v>
      </c>
      <c r="F943" s="158" t="s">
        <v>3805</v>
      </c>
      <c r="K943" t="s">
        <v>10</v>
      </c>
    </row>
    <row r="944" spans="1:11" hidden="1" x14ac:dyDescent="0.3">
      <c r="A944" s="158" t="s">
        <v>5425</v>
      </c>
      <c r="B944" s="158" t="s">
        <v>3838</v>
      </c>
      <c r="C944" s="158" t="s">
        <v>10</v>
      </c>
      <c r="D944" s="158" t="s">
        <v>582</v>
      </c>
      <c r="E944" s="158" t="s">
        <v>229</v>
      </c>
      <c r="F944" s="158" t="s">
        <v>3805</v>
      </c>
      <c r="K944" t="s">
        <v>35</v>
      </c>
    </row>
    <row r="945" spans="1:11" hidden="1" x14ac:dyDescent="0.3">
      <c r="A945" s="158" t="s">
        <v>5426</v>
      </c>
      <c r="B945" s="158" t="s">
        <v>3838</v>
      </c>
      <c r="C945" s="158" t="s">
        <v>15</v>
      </c>
      <c r="D945" s="158" t="s">
        <v>580</v>
      </c>
      <c r="E945" s="158" t="s">
        <v>579</v>
      </c>
      <c r="F945" s="158" t="s">
        <v>3805</v>
      </c>
      <c r="J945" t="s">
        <v>3821</v>
      </c>
      <c r="K945" t="s">
        <v>43</v>
      </c>
    </row>
    <row r="946" spans="1:11" hidden="1" x14ac:dyDescent="0.3">
      <c r="A946" s="158" t="s">
        <v>5428</v>
      </c>
      <c r="B946" s="158" t="s">
        <v>3838</v>
      </c>
      <c r="C946" s="158" t="s">
        <v>15</v>
      </c>
      <c r="D946" s="158" t="s">
        <v>574</v>
      </c>
      <c r="E946" s="158" t="s">
        <v>573</v>
      </c>
      <c r="F946" s="158" t="s">
        <v>3805</v>
      </c>
      <c r="J946" t="s">
        <v>3821</v>
      </c>
      <c r="K946" t="s">
        <v>43</v>
      </c>
    </row>
    <row r="947" spans="1:11" hidden="1" x14ac:dyDescent="0.3">
      <c r="A947" s="158" t="s">
        <v>5429</v>
      </c>
      <c r="B947" s="158" t="s">
        <v>3838</v>
      </c>
      <c r="C947" s="158" t="s">
        <v>10</v>
      </c>
      <c r="D947" s="158" t="s">
        <v>230</v>
      </c>
      <c r="E947" s="158" t="s">
        <v>570</v>
      </c>
      <c r="F947" s="158" t="s">
        <v>3805</v>
      </c>
      <c r="K947" t="s">
        <v>35</v>
      </c>
    </row>
    <row r="948" spans="1:11" hidden="1" x14ac:dyDescent="0.3">
      <c r="A948" s="158" t="s">
        <v>5548</v>
      </c>
      <c r="B948" s="158" t="s">
        <v>3838</v>
      </c>
      <c r="C948" s="158" t="s">
        <v>10</v>
      </c>
      <c r="D948" s="158" t="s">
        <v>267</v>
      </c>
      <c r="E948" s="158" t="s">
        <v>266</v>
      </c>
      <c r="F948" s="158" t="s">
        <v>3805</v>
      </c>
      <c r="J948" t="s">
        <v>3810</v>
      </c>
    </row>
    <row r="949" spans="1:11" hidden="1" x14ac:dyDescent="0.3">
      <c r="A949" s="158" t="s">
        <v>5434</v>
      </c>
      <c r="B949" s="158" t="s">
        <v>3838</v>
      </c>
      <c r="C949" s="158" t="s">
        <v>15</v>
      </c>
      <c r="D949" s="158" t="s">
        <v>562</v>
      </c>
      <c r="E949" s="158" t="s">
        <v>561</v>
      </c>
      <c r="F949" s="158" t="s">
        <v>3822</v>
      </c>
      <c r="J949" t="s">
        <v>3821</v>
      </c>
      <c r="K949" t="s">
        <v>10</v>
      </c>
    </row>
    <row r="950" spans="1:11" hidden="1" x14ac:dyDescent="0.3">
      <c r="A950" s="158" t="s">
        <v>5542</v>
      </c>
      <c r="B950" s="158" t="s">
        <v>3838</v>
      </c>
      <c r="C950" s="158" t="s">
        <v>35</v>
      </c>
      <c r="D950" s="158" t="s">
        <v>282</v>
      </c>
      <c r="E950" s="158" t="s">
        <v>281</v>
      </c>
      <c r="F950" s="158" t="s">
        <v>3804</v>
      </c>
      <c r="J950" t="s">
        <v>3810</v>
      </c>
    </row>
    <row r="951" spans="1:11" hidden="1" x14ac:dyDescent="0.3">
      <c r="A951" s="158" t="s">
        <v>5594</v>
      </c>
      <c r="B951" s="158" t="s">
        <v>4079</v>
      </c>
      <c r="C951" s="158" t="s">
        <v>35</v>
      </c>
      <c r="D951" s="158" t="s">
        <v>150</v>
      </c>
      <c r="E951" s="158" t="s">
        <v>149</v>
      </c>
      <c r="F951" s="158" t="s">
        <v>3805</v>
      </c>
      <c r="J951" t="s">
        <v>3821</v>
      </c>
      <c r="K951" t="s">
        <v>10</v>
      </c>
    </row>
    <row r="952" spans="1:11" hidden="1" x14ac:dyDescent="0.3">
      <c r="A952" s="158" t="s">
        <v>5442</v>
      </c>
      <c r="B952" s="158" t="s">
        <v>3838</v>
      </c>
      <c r="C952" s="158" t="s">
        <v>35</v>
      </c>
      <c r="D952" s="158" t="s">
        <v>542</v>
      </c>
      <c r="E952" s="158" t="s">
        <v>541</v>
      </c>
      <c r="F952" s="158" t="s">
        <v>3805</v>
      </c>
      <c r="J952" t="s">
        <v>4090</v>
      </c>
      <c r="K952" t="s">
        <v>15</v>
      </c>
    </row>
    <row r="953" spans="1:11" hidden="1" x14ac:dyDescent="0.3">
      <c r="A953" s="158" t="s">
        <v>5547</v>
      </c>
      <c r="B953" s="158" t="s">
        <v>3838</v>
      </c>
      <c r="C953" s="158" t="s">
        <v>15</v>
      </c>
      <c r="D953" s="158" t="s">
        <v>269</v>
      </c>
      <c r="E953" s="158" t="s">
        <v>268</v>
      </c>
      <c r="F953" s="158" t="s">
        <v>3805</v>
      </c>
      <c r="J953" t="s">
        <v>3821</v>
      </c>
      <c r="K953" t="s">
        <v>10</v>
      </c>
    </row>
    <row r="954" spans="1:11" hidden="1" x14ac:dyDescent="0.3">
      <c r="A954" s="158" t="s">
        <v>5552</v>
      </c>
      <c r="B954" s="158" t="s">
        <v>3838</v>
      </c>
      <c r="C954" s="158" t="s">
        <v>10</v>
      </c>
      <c r="D954" s="158" t="s">
        <v>256</v>
      </c>
      <c r="E954" s="158" t="s">
        <v>255</v>
      </c>
      <c r="F954" s="158" t="s">
        <v>3822</v>
      </c>
      <c r="K954" t="s">
        <v>24</v>
      </c>
    </row>
    <row r="955" spans="1:11" hidden="1" x14ac:dyDescent="0.3">
      <c r="A955" s="158" t="s">
        <v>5464</v>
      </c>
      <c r="B955" s="158" t="s">
        <v>3838</v>
      </c>
      <c r="C955" s="158" t="s">
        <v>15</v>
      </c>
      <c r="D955" s="158" t="s">
        <v>479</v>
      </c>
      <c r="E955" s="158" t="s">
        <v>478</v>
      </c>
      <c r="F955" s="158" t="s">
        <v>5627</v>
      </c>
      <c r="J955" t="s">
        <v>3821</v>
      </c>
      <c r="K955" t="s">
        <v>10</v>
      </c>
    </row>
    <row r="956" spans="1:11" hidden="1" x14ac:dyDescent="0.3">
      <c r="A956" s="158" t="s">
        <v>5558</v>
      </c>
      <c r="B956" s="158" t="s">
        <v>3838</v>
      </c>
      <c r="C956" s="158" t="s">
        <v>15</v>
      </c>
      <c r="D956" s="158" t="s">
        <v>242</v>
      </c>
      <c r="E956" s="158" t="s">
        <v>241</v>
      </c>
      <c r="F956" s="158" t="s">
        <v>4139</v>
      </c>
      <c r="J956" t="s">
        <v>3821</v>
      </c>
      <c r="K956" t="s">
        <v>10</v>
      </c>
    </row>
    <row r="957" spans="1:11" hidden="1" x14ac:dyDescent="0.3">
      <c r="A957" s="158" t="s">
        <v>5561</v>
      </c>
      <c r="B957" s="158" t="s">
        <v>3838</v>
      </c>
      <c r="C957" s="158" t="s">
        <v>15</v>
      </c>
      <c r="D957" s="158" t="s">
        <v>235</v>
      </c>
      <c r="E957" s="158" t="s">
        <v>234</v>
      </c>
      <c r="F957" s="158" t="s">
        <v>3804</v>
      </c>
      <c r="J957" t="s">
        <v>3821</v>
      </c>
      <c r="K957" t="s">
        <v>10</v>
      </c>
    </row>
    <row r="958" spans="1:11" hidden="1" x14ac:dyDescent="0.3">
      <c r="A958" s="158" t="s">
        <v>5449</v>
      </c>
      <c r="B958" s="158" t="s">
        <v>3838</v>
      </c>
      <c r="C958" s="158" t="s">
        <v>35</v>
      </c>
      <c r="D958" s="158" t="s">
        <v>522</v>
      </c>
      <c r="E958" s="158" t="s">
        <v>521</v>
      </c>
      <c r="F958" s="158" t="s">
        <v>4010</v>
      </c>
      <c r="J958" t="s">
        <v>3810</v>
      </c>
    </row>
    <row r="959" spans="1:11" hidden="1" x14ac:dyDescent="0.3">
      <c r="A959" s="158" t="s">
        <v>4110</v>
      </c>
      <c r="B959" s="158" t="s">
        <v>3838</v>
      </c>
      <c r="C959" s="158" t="s">
        <v>10</v>
      </c>
      <c r="D959" s="158" t="s">
        <v>516</v>
      </c>
      <c r="E959" s="158" t="s">
        <v>519</v>
      </c>
      <c r="F959" s="158" t="s">
        <v>3822</v>
      </c>
      <c r="I959" t="s">
        <v>518</v>
      </c>
      <c r="K959" t="s">
        <v>35</v>
      </c>
    </row>
    <row r="960" spans="1:11" hidden="1" x14ac:dyDescent="0.3">
      <c r="A960" s="158" t="s">
        <v>5471</v>
      </c>
      <c r="B960" s="158" t="s">
        <v>3838</v>
      </c>
      <c r="C960" s="158" t="s">
        <v>15</v>
      </c>
      <c r="D960" s="158" t="s">
        <v>399</v>
      </c>
      <c r="E960" s="158" t="s">
        <v>460</v>
      </c>
      <c r="F960" s="158" t="s">
        <v>3805</v>
      </c>
      <c r="K960" t="s">
        <v>24</v>
      </c>
    </row>
    <row r="961" spans="1:11" hidden="1" x14ac:dyDescent="0.3">
      <c r="A961" s="158" t="s">
        <v>5450</v>
      </c>
      <c r="B961" s="158" t="s">
        <v>3838</v>
      </c>
      <c r="C961" s="158" t="s">
        <v>43</v>
      </c>
      <c r="D961" s="158" t="s">
        <v>516</v>
      </c>
      <c r="E961" s="158" t="s">
        <v>515</v>
      </c>
      <c r="F961" s="158" t="s">
        <v>3822</v>
      </c>
      <c r="K961" t="s">
        <v>35</v>
      </c>
    </row>
    <row r="962" spans="1:11" hidden="1" x14ac:dyDescent="0.3">
      <c r="A962" s="158" t="s">
        <v>5468</v>
      </c>
      <c r="B962" s="158" t="s">
        <v>3838</v>
      </c>
      <c r="C962" s="158" t="s">
        <v>15</v>
      </c>
      <c r="D962" s="158" t="s">
        <v>468</v>
      </c>
      <c r="E962" s="158" t="s">
        <v>467</v>
      </c>
      <c r="F962" s="158" t="s">
        <v>4010</v>
      </c>
      <c r="J962" t="s">
        <v>3810</v>
      </c>
      <c r="K962" t="s">
        <v>24</v>
      </c>
    </row>
    <row r="963" spans="1:11" hidden="1" x14ac:dyDescent="0.3">
      <c r="A963" s="158" t="s">
        <v>5455</v>
      </c>
      <c r="B963" s="158" t="s">
        <v>3838</v>
      </c>
      <c r="C963" s="158" t="s">
        <v>35</v>
      </c>
      <c r="D963" s="158" t="s">
        <v>502</v>
      </c>
      <c r="E963" s="158" t="s">
        <v>501</v>
      </c>
      <c r="F963" s="158" t="s">
        <v>3805</v>
      </c>
      <c r="J963" t="s">
        <v>4090</v>
      </c>
      <c r="K963" t="s">
        <v>15</v>
      </c>
    </row>
    <row r="964" spans="1:11" hidden="1" x14ac:dyDescent="0.3">
      <c r="A964" s="158" t="s">
        <v>5603</v>
      </c>
      <c r="B964" s="158" t="s">
        <v>4079</v>
      </c>
      <c r="C964" s="158" t="s">
        <v>35</v>
      </c>
      <c r="D964" s="158" t="s">
        <v>148</v>
      </c>
      <c r="E964" s="158" t="s">
        <v>147</v>
      </c>
      <c r="F964" s="158" t="s">
        <v>3860</v>
      </c>
      <c r="J964" t="s">
        <v>3821</v>
      </c>
      <c r="K964" t="s">
        <v>43</v>
      </c>
    </row>
    <row r="965" spans="1:11" hidden="1" x14ac:dyDescent="0.3">
      <c r="A965" s="158" t="s">
        <v>5456</v>
      </c>
      <c r="B965" s="158" t="s">
        <v>3838</v>
      </c>
      <c r="C965" s="158" t="s">
        <v>43</v>
      </c>
      <c r="D965" s="158" t="s">
        <v>499</v>
      </c>
      <c r="E965" s="158" t="s">
        <v>498</v>
      </c>
      <c r="F965" s="158" t="s">
        <v>3805</v>
      </c>
      <c r="K965" t="s">
        <v>24</v>
      </c>
    </row>
    <row r="966" spans="1:11" hidden="1" x14ac:dyDescent="0.3">
      <c r="A966" s="158" t="s">
        <v>5595</v>
      </c>
      <c r="B966" s="158" t="s">
        <v>4079</v>
      </c>
      <c r="C966" s="158" t="s">
        <v>35</v>
      </c>
      <c r="D966" s="158" t="s">
        <v>143</v>
      </c>
      <c r="E966" s="158" t="s">
        <v>142</v>
      </c>
      <c r="F966" s="158" t="s">
        <v>4010</v>
      </c>
      <c r="J966" t="s">
        <v>3810</v>
      </c>
      <c r="K966" t="s">
        <v>10</v>
      </c>
    </row>
    <row r="967" spans="1:11" hidden="1" x14ac:dyDescent="0.3">
      <c r="A967" s="158" t="s">
        <v>5546</v>
      </c>
      <c r="B967" s="158" t="s">
        <v>3838</v>
      </c>
      <c r="C967" s="158" t="s">
        <v>10</v>
      </c>
      <c r="D967" s="158" t="s">
        <v>271</v>
      </c>
      <c r="E967" s="158" t="s">
        <v>270</v>
      </c>
      <c r="F967" s="158" t="s">
        <v>3805</v>
      </c>
      <c r="K967" t="s">
        <v>35</v>
      </c>
    </row>
    <row r="968" spans="1:11" hidden="1" x14ac:dyDescent="0.3">
      <c r="A968" s="158" t="s">
        <v>5540</v>
      </c>
      <c r="B968" s="158" t="s">
        <v>3838</v>
      </c>
      <c r="C968" s="158" t="s">
        <v>10</v>
      </c>
      <c r="D968" s="158" t="s">
        <v>286</v>
      </c>
      <c r="E968" s="158" t="s">
        <v>285</v>
      </c>
      <c r="F968" s="158" t="s">
        <v>3804</v>
      </c>
      <c r="K968" t="s">
        <v>35</v>
      </c>
    </row>
    <row r="969" spans="1:11" hidden="1" x14ac:dyDescent="0.3">
      <c r="A969" s="158" t="s">
        <v>5460</v>
      </c>
      <c r="B969" s="158" t="s">
        <v>3838</v>
      </c>
      <c r="C969" s="158" t="s">
        <v>35</v>
      </c>
      <c r="D969" s="158" t="s">
        <v>488</v>
      </c>
      <c r="E969" s="158" t="s">
        <v>487</v>
      </c>
      <c r="F969" s="158" t="s">
        <v>3805</v>
      </c>
      <c r="J969" t="s">
        <v>4090</v>
      </c>
      <c r="K969" t="s">
        <v>15</v>
      </c>
    </row>
    <row r="970" spans="1:11" hidden="1" x14ac:dyDescent="0.3">
      <c r="A970" s="158" t="s">
        <v>5465</v>
      </c>
      <c r="B970" s="158" t="s">
        <v>3838</v>
      </c>
      <c r="C970" s="158" t="s">
        <v>35</v>
      </c>
      <c r="D970" s="158" t="s">
        <v>475</v>
      </c>
      <c r="E970" s="158" t="s">
        <v>474</v>
      </c>
      <c r="F970" s="158" t="s">
        <v>3805</v>
      </c>
      <c r="J970" t="s">
        <v>4090</v>
      </c>
      <c r="K970" t="s">
        <v>15</v>
      </c>
    </row>
    <row r="971" spans="1:11" hidden="1" x14ac:dyDescent="0.3">
      <c r="A971" s="158" t="s">
        <v>5461</v>
      </c>
      <c r="B971" s="158" t="s">
        <v>3838</v>
      </c>
      <c r="C971" s="158" t="s">
        <v>43</v>
      </c>
      <c r="D971" s="158" t="s">
        <v>485</v>
      </c>
      <c r="E971" s="158" t="s">
        <v>329</v>
      </c>
      <c r="F971" s="158" t="s">
        <v>3805</v>
      </c>
      <c r="K971" t="s">
        <v>35</v>
      </c>
    </row>
    <row r="972" spans="1:11" hidden="1" x14ac:dyDescent="0.3">
      <c r="A972" s="158" t="s">
        <v>5462</v>
      </c>
      <c r="B972" s="158" t="s">
        <v>3838</v>
      </c>
      <c r="C972" s="158" t="s">
        <v>10</v>
      </c>
      <c r="D972" s="158" t="s">
        <v>483</v>
      </c>
      <c r="E972" s="158" t="s">
        <v>482</v>
      </c>
      <c r="F972" s="158" t="s">
        <v>3805</v>
      </c>
      <c r="J972" t="s">
        <v>3810</v>
      </c>
    </row>
    <row r="973" spans="1:11" hidden="1" x14ac:dyDescent="0.3">
      <c r="A973" s="158" t="s">
        <v>5604</v>
      </c>
      <c r="B973" s="158" t="s">
        <v>4079</v>
      </c>
      <c r="C973" s="158" t="s">
        <v>43</v>
      </c>
      <c r="D973" s="158" t="s">
        <v>113</v>
      </c>
      <c r="E973" s="158" t="s">
        <v>112</v>
      </c>
      <c r="F973" s="158" t="s">
        <v>3805</v>
      </c>
      <c r="J973" t="s">
        <v>4090</v>
      </c>
      <c r="K973" t="s">
        <v>15</v>
      </c>
    </row>
    <row r="974" spans="1:11" hidden="1" x14ac:dyDescent="0.3">
      <c r="A974" s="158" t="s">
        <v>5466</v>
      </c>
      <c r="B974" s="158" t="s">
        <v>3838</v>
      </c>
      <c r="C974" s="158" t="s">
        <v>35</v>
      </c>
      <c r="D974" s="158" t="s">
        <v>472</v>
      </c>
      <c r="E974" s="158" t="s">
        <v>471</v>
      </c>
      <c r="F974" s="158" t="s">
        <v>3805</v>
      </c>
      <c r="J974" t="s">
        <v>4090</v>
      </c>
      <c r="K974" t="s">
        <v>15</v>
      </c>
    </row>
    <row r="975" spans="1:11" hidden="1" x14ac:dyDescent="0.3">
      <c r="A975" s="158" t="s">
        <v>5605</v>
      </c>
      <c r="B975" s="158" t="s">
        <v>4079</v>
      </c>
      <c r="C975" s="158" t="s">
        <v>43</v>
      </c>
      <c r="D975" s="158" t="s">
        <v>110</v>
      </c>
      <c r="E975" s="158" t="s">
        <v>4143</v>
      </c>
      <c r="F975" s="158" t="s">
        <v>3805</v>
      </c>
      <c r="H975" t="s">
        <v>5631</v>
      </c>
      <c r="J975" t="s">
        <v>4090</v>
      </c>
      <c r="K975" t="s">
        <v>15</v>
      </c>
    </row>
    <row r="976" spans="1:11" hidden="1" x14ac:dyDescent="0.3">
      <c r="A976" s="158" t="s">
        <v>5479</v>
      </c>
      <c r="B976" s="158" t="s">
        <v>3838</v>
      </c>
      <c r="C976" s="158" t="s">
        <v>35</v>
      </c>
      <c r="D976" s="158" t="s">
        <v>438</v>
      </c>
      <c r="E976" s="158" t="s">
        <v>437</v>
      </c>
      <c r="F976" s="158" t="s">
        <v>4139</v>
      </c>
      <c r="J976" t="s">
        <v>4090</v>
      </c>
      <c r="K976" t="s">
        <v>24</v>
      </c>
    </row>
    <row r="977" spans="1:11" hidden="1" x14ac:dyDescent="0.3">
      <c r="A977" s="158" t="s">
        <v>5480</v>
      </c>
      <c r="B977" s="158" t="s">
        <v>3838</v>
      </c>
      <c r="C977" s="158" t="s">
        <v>35</v>
      </c>
      <c r="D977" s="158" t="s">
        <v>435</v>
      </c>
      <c r="E977" s="158" t="s">
        <v>434</v>
      </c>
      <c r="F977" s="158" t="s">
        <v>3804</v>
      </c>
      <c r="J977" t="s">
        <v>4090</v>
      </c>
      <c r="K977" t="s">
        <v>24</v>
      </c>
    </row>
    <row r="978" spans="1:11" hidden="1" x14ac:dyDescent="0.3">
      <c r="A978" s="158" t="s">
        <v>5596</v>
      </c>
      <c r="B978" s="158" t="s">
        <v>4079</v>
      </c>
      <c r="C978" s="158" t="s">
        <v>35</v>
      </c>
      <c r="D978" s="158" t="s">
        <v>138</v>
      </c>
      <c r="E978" s="158" t="s">
        <v>137</v>
      </c>
      <c r="F978" s="158" t="s">
        <v>3805</v>
      </c>
      <c r="J978" t="s">
        <v>3821</v>
      </c>
      <c r="K978" t="s">
        <v>43</v>
      </c>
    </row>
    <row r="979" spans="1:11" hidden="1" x14ac:dyDescent="0.3">
      <c r="A979" s="158" t="s">
        <v>5565</v>
      </c>
      <c r="B979" s="158" t="s">
        <v>3838</v>
      </c>
      <c r="C979" s="158" t="s">
        <v>43</v>
      </c>
      <c r="D979" s="158" t="s">
        <v>225</v>
      </c>
      <c r="E979" s="158" t="s">
        <v>224</v>
      </c>
      <c r="F979" s="158" t="s">
        <v>3805</v>
      </c>
      <c r="K979" t="s">
        <v>35</v>
      </c>
    </row>
    <row r="980" spans="1:11" hidden="1" x14ac:dyDescent="0.3">
      <c r="A980" s="158" t="s">
        <v>5490</v>
      </c>
      <c r="B980" s="158" t="s">
        <v>3838</v>
      </c>
      <c r="C980" s="158" t="s">
        <v>10</v>
      </c>
      <c r="D980" s="158" t="s">
        <v>409</v>
      </c>
      <c r="E980" s="158" t="s">
        <v>408</v>
      </c>
      <c r="F980" s="158" t="s">
        <v>3822</v>
      </c>
      <c r="K980" t="s">
        <v>35</v>
      </c>
    </row>
    <row r="981" spans="1:11" hidden="1" x14ac:dyDescent="0.3">
      <c r="A981" s="158" t="s">
        <v>5504</v>
      </c>
      <c r="B981" s="158" t="s">
        <v>3838</v>
      </c>
      <c r="C981" s="158" t="s">
        <v>10</v>
      </c>
      <c r="D981" s="158" t="s">
        <v>378</v>
      </c>
      <c r="E981" s="158" t="s">
        <v>377</v>
      </c>
      <c r="F981" s="158" t="s">
        <v>3805</v>
      </c>
      <c r="J981" t="s">
        <v>3810</v>
      </c>
    </row>
    <row r="982" spans="1:11" hidden="1" x14ac:dyDescent="0.3">
      <c r="A982" s="158" t="s">
        <v>5606</v>
      </c>
      <c r="B982" s="158" t="s">
        <v>4079</v>
      </c>
      <c r="C982" s="158" t="s">
        <v>43</v>
      </c>
      <c r="D982" s="158" t="s">
        <v>108</v>
      </c>
      <c r="E982" s="158" t="s">
        <v>101</v>
      </c>
      <c r="F982" s="158" t="s">
        <v>3822</v>
      </c>
      <c r="J982" t="s">
        <v>3838</v>
      </c>
      <c r="K982" t="s">
        <v>24</v>
      </c>
    </row>
    <row r="983" spans="1:11" hidden="1" x14ac:dyDescent="0.3">
      <c r="A983" s="158" t="s">
        <v>5610</v>
      </c>
      <c r="B983" s="158" t="s">
        <v>4079</v>
      </c>
      <c r="C983" s="158" t="s">
        <v>43</v>
      </c>
      <c r="D983" s="158" t="s">
        <v>96</v>
      </c>
      <c r="E983" s="158" t="s">
        <v>95</v>
      </c>
      <c r="F983" s="158" t="s">
        <v>3822</v>
      </c>
      <c r="J983" t="s">
        <v>4090</v>
      </c>
      <c r="K983" t="s">
        <v>15</v>
      </c>
    </row>
    <row r="984" spans="1:11" hidden="1" x14ac:dyDescent="0.3">
      <c r="A984" s="158" t="s">
        <v>5607</v>
      </c>
      <c r="B984" s="158" t="s">
        <v>4079</v>
      </c>
      <c r="C984" s="158" t="s">
        <v>43</v>
      </c>
      <c r="D984" s="158" t="s">
        <v>106</v>
      </c>
      <c r="E984" s="158" t="s">
        <v>105</v>
      </c>
      <c r="F984" s="158" t="s">
        <v>3805</v>
      </c>
      <c r="J984" t="s">
        <v>4090</v>
      </c>
      <c r="K984" t="s">
        <v>15</v>
      </c>
    </row>
    <row r="985" spans="1:11" hidden="1" x14ac:dyDescent="0.3">
      <c r="A985" s="158" t="s">
        <v>5611</v>
      </c>
      <c r="B985" s="158" t="s">
        <v>4079</v>
      </c>
      <c r="C985" s="158" t="s">
        <v>43</v>
      </c>
      <c r="D985" s="158" t="s">
        <v>93</v>
      </c>
      <c r="E985" s="158" t="s">
        <v>92</v>
      </c>
      <c r="F985" s="158" t="s">
        <v>3822</v>
      </c>
      <c r="J985" t="s">
        <v>4090</v>
      </c>
      <c r="K985" t="s">
        <v>15</v>
      </c>
    </row>
    <row r="986" spans="1:11" hidden="1" x14ac:dyDescent="0.3">
      <c r="A986" s="158" t="s">
        <v>5511</v>
      </c>
      <c r="B986" s="158" t="s">
        <v>3838</v>
      </c>
      <c r="C986" s="158" t="s">
        <v>35</v>
      </c>
      <c r="D986" s="158" t="s">
        <v>359</v>
      </c>
      <c r="E986" s="158" t="s">
        <v>358</v>
      </c>
      <c r="F986" s="158" t="s">
        <v>4010</v>
      </c>
      <c r="J986" t="s">
        <v>3810</v>
      </c>
    </row>
    <row r="987" spans="1:11" hidden="1" x14ac:dyDescent="0.3">
      <c r="A987" s="158" t="s">
        <v>5608</v>
      </c>
      <c r="B987" s="158" t="s">
        <v>4079</v>
      </c>
      <c r="C987" s="158" t="s">
        <v>43</v>
      </c>
      <c r="D987" s="158" t="s">
        <v>102</v>
      </c>
      <c r="E987" s="158" t="s">
        <v>101</v>
      </c>
      <c r="F987" s="158" t="s">
        <v>3822</v>
      </c>
      <c r="J987" t="s">
        <v>3838</v>
      </c>
      <c r="K987" t="s">
        <v>24</v>
      </c>
    </row>
    <row r="988" spans="1:11" hidden="1" x14ac:dyDescent="0.3">
      <c r="A988" s="158" t="s">
        <v>5519</v>
      </c>
      <c r="B988" s="158" t="s">
        <v>3838</v>
      </c>
      <c r="C988" s="158" t="s">
        <v>35</v>
      </c>
      <c r="D988" s="158" t="s">
        <v>249</v>
      </c>
      <c r="E988" s="158" t="s">
        <v>340</v>
      </c>
      <c r="F988" s="158" t="s">
        <v>3805</v>
      </c>
      <c r="J988" t="s">
        <v>3821</v>
      </c>
      <c r="K988" t="s">
        <v>10</v>
      </c>
    </row>
    <row r="989" spans="1:11" hidden="1" x14ac:dyDescent="0.3">
      <c r="A989" s="158" t="s">
        <v>5524</v>
      </c>
      <c r="B989" s="158" t="s">
        <v>3838</v>
      </c>
      <c r="C989" s="158" t="s">
        <v>43</v>
      </c>
      <c r="D989" s="158" t="s">
        <v>330</v>
      </c>
      <c r="E989" s="158" t="s">
        <v>329</v>
      </c>
      <c r="F989" s="158" t="s">
        <v>3822</v>
      </c>
      <c r="K989" t="s">
        <v>35</v>
      </c>
    </row>
    <row r="990" spans="1:11" hidden="1" x14ac:dyDescent="0.3">
      <c r="A990" s="158" t="s">
        <v>5526</v>
      </c>
      <c r="B990" s="158" t="s">
        <v>3838</v>
      </c>
      <c r="C990" s="158" t="s">
        <v>24</v>
      </c>
      <c r="D990" s="158" t="s">
        <v>323</v>
      </c>
      <c r="E990" s="158" t="s">
        <v>322</v>
      </c>
      <c r="F990" s="158" t="s">
        <v>3805</v>
      </c>
      <c r="K990" t="s">
        <v>10</v>
      </c>
    </row>
    <row r="991" spans="1:11" hidden="1" x14ac:dyDescent="0.3">
      <c r="A991" s="158" t="s">
        <v>5528</v>
      </c>
      <c r="B991" s="158" t="s">
        <v>3838</v>
      </c>
      <c r="C991" s="158" t="s">
        <v>24</v>
      </c>
      <c r="D991" s="158" t="s">
        <v>318</v>
      </c>
      <c r="E991" s="158" t="s">
        <v>317</v>
      </c>
      <c r="F991" s="158" t="s">
        <v>5627</v>
      </c>
      <c r="J991" t="s">
        <v>4090</v>
      </c>
    </row>
    <row r="992" spans="1:11" hidden="1" x14ac:dyDescent="0.3">
      <c r="A992" s="158" t="s">
        <v>5531</v>
      </c>
      <c r="B992" s="158" t="s">
        <v>3838</v>
      </c>
      <c r="C992" s="158" t="s">
        <v>10</v>
      </c>
      <c r="D992" s="158" t="s">
        <v>311</v>
      </c>
      <c r="E992" s="158" t="s">
        <v>261</v>
      </c>
      <c r="F992" s="158" t="s">
        <v>3805</v>
      </c>
      <c r="K992" t="s">
        <v>35</v>
      </c>
    </row>
    <row r="993" spans="1:11" hidden="1" x14ac:dyDescent="0.3">
      <c r="A993" s="158" t="s">
        <v>5550</v>
      </c>
      <c r="B993" s="158" t="s">
        <v>3838</v>
      </c>
      <c r="C993" s="158" t="s">
        <v>10</v>
      </c>
      <c r="D993" s="158" t="s">
        <v>262</v>
      </c>
      <c r="E993" s="158" t="s">
        <v>261</v>
      </c>
      <c r="F993" s="158" t="s">
        <v>3805</v>
      </c>
      <c r="K993" t="s">
        <v>35</v>
      </c>
    </row>
    <row r="994" spans="1:11" hidden="1" x14ac:dyDescent="0.3">
      <c r="A994" s="158" t="s">
        <v>5612</v>
      </c>
      <c r="B994" s="158" t="s">
        <v>4079</v>
      </c>
      <c r="C994" s="158" t="s">
        <v>43</v>
      </c>
      <c r="D994" s="158" t="s">
        <v>88</v>
      </c>
      <c r="E994" s="158" t="s">
        <v>87</v>
      </c>
      <c r="F994" s="158" t="s">
        <v>3805</v>
      </c>
      <c r="J994" t="s">
        <v>3810</v>
      </c>
      <c r="K994" t="s">
        <v>35</v>
      </c>
    </row>
    <row r="995" spans="1:11" hidden="1" x14ac:dyDescent="0.3">
      <c r="A995" s="158" t="s">
        <v>5560</v>
      </c>
      <c r="B995" s="158" t="s">
        <v>3838</v>
      </c>
      <c r="C995" s="158" t="s">
        <v>43</v>
      </c>
      <c r="D995" s="158" t="s">
        <v>237</v>
      </c>
      <c r="E995" s="158" t="s">
        <v>236</v>
      </c>
      <c r="F995" s="158" t="s">
        <v>3805</v>
      </c>
      <c r="K995" t="s">
        <v>35</v>
      </c>
    </row>
    <row r="996" spans="1:11" hidden="1" x14ac:dyDescent="0.3">
      <c r="A996" s="158" t="s">
        <v>5563</v>
      </c>
      <c r="B996" s="158" t="s">
        <v>3838</v>
      </c>
      <c r="C996" s="158" t="s">
        <v>10</v>
      </c>
      <c r="D996" s="158" t="s">
        <v>230</v>
      </c>
      <c r="E996" s="158" t="s">
        <v>229</v>
      </c>
      <c r="F996" s="158" t="s">
        <v>3805</v>
      </c>
      <c r="K996" t="s">
        <v>35</v>
      </c>
    </row>
    <row r="997" spans="1:11" hidden="1" x14ac:dyDescent="0.3">
      <c r="A997" s="158" t="s">
        <v>5614</v>
      </c>
      <c r="B997" s="158" t="s">
        <v>4079</v>
      </c>
      <c r="C997" s="158" t="s">
        <v>43</v>
      </c>
      <c r="D997" s="158" t="s">
        <v>81</v>
      </c>
      <c r="E997" s="158" t="s">
        <v>80</v>
      </c>
      <c r="F997" s="158" t="s">
        <v>3804</v>
      </c>
      <c r="J997" t="s">
        <v>3810</v>
      </c>
      <c r="K997" t="s">
        <v>35</v>
      </c>
    </row>
    <row r="998" spans="1:11" hidden="1" x14ac:dyDescent="0.3">
      <c r="A998" s="158" t="s">
        <v>5613</v>
      </c>
      <c r="B998" s="158" t="s">
        <v>4079</v>
      </c>
      <c r="C998" s="158" t="s">
        <v>43</v>
      </c>
      <c r="D998" s="158" t="s">
        <v>84</v>
      </c>
      <c r="E998" s="158" t="s">
        <v>83</v>
      </c>
      <c r="F998" s="158" t="s">
        <v>3805</v>
      </c>
      <c r="J998" t="s">
        <v>3810</v>
      </c>
      <c r="K998" t="s">
        <v>35</v>
      </c>
    </row>
    <row r="999" spans="1:11" hidden="1" x14ac:dyDescent="0.3">
      <c r="A999" s="158" t="s">
        <v>5615</v>
      </c>
      <c r="B999" s="158" t="s">
        <v>4079</v>
      </c>
      <c r="C999" s="158" t="s">
        <v>43</v>
      </c>
      <c r="D999" s="158" t="s">
        <v>75</v>
      </c>
      <c r="E999" s="158" t="s">
        <v>69</v>
      </c>
      <c r="F999" s="158" t="s">
        <v>3805</v>
      </c>
      <c r="J999" t="s">
        <v>3810</v>
      </c>
      <c r="K999" t="s">
        <v>35</v>
      </c>
    </row>
    <row r="1000" spans="1:11" hidden="1" x14ac:dyDescent="0.3">
      <c r="A1000" s="158" t="s">
        <v>5616</v>
      </c>
      <c r="B1000" s="158" t="s">
        <v>4079</v>
      </c>
      <c r="C1000" s="158" t="s">
        <v>43</v>
      </c>
      <c r="D1000" s="158" t="s">
        <v>73</v>
      </c>
      <c r="E1000" s="158" t="s">
        <v>72</v>
      </c>
      <c r="F1000" s="158" t="s">
        <v>3805</v>
      </c>
      <c r="J1000" t="s">
        <v>3810</v>
      </c>
      <c r="K1000" t="s">
        <v>35</v>
      </c>
    </row>
    <row r="1001" spans="1:11" hidden="1" x14ac:dyDescent="0.3">
      <c r="A1001" s="158" t="s">
        <v>5617</v>
      </c>
      <c r="B1001" s="158" t="s">
        <v>4079</v>
      </c>
      <c r="C1001" s="158" t="s">
        <v>43</v>
      </c>
      <c r="D1001" s="158" t="s">
        <v>70</v>
      </c>
      <c r="E1001" s="158" t="s">
        <v>69</v>
      </c>
      <c r="F1001" s="158" t="s">
        <v>3805</v>
      </c>
      <c r="J1001" t="s">
        <v>3810</v>
      </c>
      <c r="K1001" t="s">
        <v>35</v>
      </c>
    </row>
    <row r="1002" spans="1:11" hidden="1" x14ac:dyDescent="0.3">
      <c r="A1002" s="158" t="s">
        <v>5088</v>
      </c>
      <c r="B1002" s="158" t="s">
        <v>3821</v>
      </c>
      <c r="C1002" s="158" t="s">
        <v>35</v>
      </c>
      <c r="D1002" s="158" t="s">
        <v>1368</v>
      </c>
      <c r="E1002" s="158" t="s">
        <v>1372</v>
      </c>
      <c r="F1002" s="158" t="s">
        <v>4010</v>
      </c>
      <c r="K1002" t="s">
        <v>15</v>
      </c>
    </row>
    <row r="1003" spans="1:11" hidden="1" x14ac:dyDescent="0.3">
      <c r="A1003" s="158" t="s">
        <v>5089</v>
      </c>
      <c r="B1003" s="158" t="s">
        <v>3821</v>
      </c>
      <c r="C1003" s="158" t="s">
        <v>35</v>
      </c>
      <c r="D1003" s="158" t="s">
        <v>1368</v>
      </c>
      <c r="E1003" s="158" t="s">
        <v>1370</v>
      </c>
      <c r="F1003" s="158" t="s">
        <v>4010</v>
      </c>
      <c r="K1003" t="s">
        <v>15</v>
      </c>
    </row>
    <row r="1004" spans="1:11" hidden="1" x14ac:dyDescent="0.3">
      <c r="A1004" s="158" t="s">
        <v>5090</v>
      </c>
      <c r="B1004" s="158" t="s">
        <v>3821</v>
      </c>
      <c r="C1004" s="158" t="s">
        <v>35</v>
      </c>
      <c r="D1004" s="158" t="s">
        <v>1368</v>
      </c>
      <c r="E1004" s="158" t="s">
        <v>1367</v>
      </c>
      <c r="F1004" s="158" t="s">
        <v>4010</v>
      </c>
      <c r="K1004" t="s">
        <v>15</v>
      </c>
    </row>
    <row r="1005" spans="1:11" hidden="1" x14ac:dyDescent="0.3">
      <c r="A1005" s="158" t="s">
        <v>4616</v>
      </c>
      <c r="B1005" s="158" t="s">
        <v>3810</v>
      </c>
      <c r="C1005" s="158" t="s">
        <v>24</v>
      </c>
      <c r="D1005" s="158" t="s">
        <v>1368</v>
      </c>
      <c r="E1005" s="158" t="s">
        <v>2464</v>
      </c>
      <c r="F1005" s="158" t="s">
        <v>4010</v>
      </c>
      <c r="J1005" t="s">
        <v>3821</v>
      </c>
      <c r="K1005" t="s">
        <v>35</v>
      </c>
    </row>
    <row r="1006" spans="1:11" hidden="1" x14ac:dyDescent="0.3">
      <c r="A1006" s="158" t="s">
        <v>4617</v>
      </c>
      <c r="B1006" s="158" t="s">
        <v>3810</v>
      </c>
      <c r="C1006" s="158" t="s">
        <v>24</v>
      </c>
      <c r="D1006" s="158" t="s">
        <v>2462</v>
      </c>
      <c r="E1006" s="158" t="s">
        <v>2461</v>
      </c>
      <c r="F1006" s="158" t="s">
        <v>4010</v>
      </c>
      <c r="J1006" t="s">
        <v>3821</v>
      </c>
      <c r="K1006" t="s">
        <v>43</v>
      </c>
    </row>
    <row r="1007" spans="1:11" hidden="1" x14ac:dyDescent="0.3">
      <c r="A1007" s="158" t="s">
        <v>4089</v>
      </c>
      <c r="B1007" s="158" t="s">
        <v>4090</v>
      </c>
      <c r="C1007" s="158" t="s">
        <v>10</v>
      </c>
      <c r="D1007" s="158" t="s">
        <v>1269</v>
      </c>
      <c r="E1007" s="158" t="s">
        <v>1268</v>
      </c>
      <c r="F1007" s="158" t="s">
        <v>3805</v>
      </c>
      <c r="I1007" t="s">
        <v>4091</v>
      </c>
      <c r="K1007" t="s">
        <v>35</v>
      </c>
    </row>
    <row r="1008" spans="1:11" hidden="1" x14ac:dyDescent="0.3">
      <c r="A1008" s="158" t="s">
        <v>5370</v>
      </c>
      <c r="B1008" s="158" t="s">
        <v>4090</v>
      </c>
      <c r="C1008" s="158" t="s">
        <v>43</v>
      </c>
      <c r="D1008" s="158" t="s">
        <v>703</v>
      </c>
      <c r="E1008" s="158" t="s">
        <v>702</v>
      </c>
      <c r="F1008" s="158" t="s">
        <v>3805</v>
      </c>
      <c r="H1008" t="s">
        <v>5632</v>
      </c>
      <c r="K1008" t="s">
        <v>15</v>
      </c>
    </row>
    <row r="1009" spans="1:11" hidden="1" x14ac:dyDescent="0.3">
      <c r="A1009" s="158" t="s">
        <v>5286</v>
      </c>
      <c r="B1009" s="158" t="s">
        <v>4090</v>
      </c>
      <c r="C1009" s="158" t="s">
        <v>35</v>
      </c>
      <c r="D1009" s="158" t="s">
        <v>886</v>
      </c>
      <c r="E1009" s="158" t="s">
        <v>885</v>
      </c>
      <c r="F1009" s="158" t="s">
        <v>3805</v>
      </c>
      <c r="K1009" t="s">
        <v>24</v>
      </c>
    </row>
    <row r="1010" spans="1:11" hidden="1" x14ac:dyDescent="0.3">
      <c r="A1010" s="158" t="s">
        <v>5287</v>
      </c>
      <c r="B1010" s="158" t="s">
        <v>4090</v>
      </c>
      <c r="C1010" s="158" t="s">
        <v>35</v>
      </c>
      <c r="D1010" s="158" t="s">
        <v>886</v>
      </c>
      <c r="E1010" s="158" t="s">
        <v>885</v>
      </c>
      <c r="F1010" s="158" t="s">
        <v>3805</v>
      </c>
      <c r="K1010" t="s">
        <v>24</v>
      </c>
    </row>
    <row r="1011" spans="1:11" hidden="1" x14ac:dyDescent="0.3">
      <c r="A1011" s="158" t="s">
        <v>5250</v>
      </c>
      <c r="B1011" s="158" t="s">
        <v>4090</v>
      </c>
      <c r="C1011" s="158" t="s">
        <v>24</v>
      </c>
      <c r="D1011" s="158" t="s">
        <v>969</v>
      </c>
      <c r="E1011" s="158" t="s">
        <v>968</v>
      </c>
      <c r="F1011" s="158" t="s">
        <v>3804</v>
      </c>
      <c r="J1011" t="s">
        <v>3810</v>
      </c>
      <c r="K1011" t="s">
        <v>10</v>
      </c>
    </row>
    <row r="1012" spans="1:11" hidden="1" x14ac:dyDescent="0.3">
      <c r="A1012" s="158" t="s">
        <v>5249</v>
      </c>
      <c r="B1012" s="158" t="s">
        <v>4090</v>
      </c>
      <c r="C1012" s="158" t="s">
        <v>24</v>
      </c>
      <c r="D1012" s="158" t="s">
        <v>971</v>
      </c>
      <c r="E1012" s="158" t="s">
        <v>968</v>
      </c>
      <c r="F1012" s="158" t="s">
        <v>3805</v>
      </c>
      <c r="J1012" t="s">
        <v>3810</v>
      </c>
      <c r="K1012" t="s">
        <v>10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5C6B5D6-BD64-43E5-8094-21A8773DE8B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Master</vt:lpstr>
      <vt:lpstr>Master Adds</vt:lpstr>
      <vt:lpstr>Master Quits</vt:lpstr>
      <vt:lpstr>Master Changes</vt:lpstr>
      <vt:lpstr>Average_Stop_Time</vt:lpstr>
      <vt:lpstr>Master!Print_Area</vt:lpstr>
      <vt:lpstr>Master!Print_Titles</vt:lpstr>
      <vt:lpstr>SlicerItems2</vt:lpstr>
      <vt:lpstr>SlicerItems3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Andersen</dc:creator>
  <cp:lastModifiedBy>Joseph Andersen</cp:lastModifiedBy>
  <dcterms:created xsi:type="dcterms:W3CDTF">2022-10-17T10:12:32Z</dcterms:created>
  <dcterms:modified xsi:type="dcterms:W3CDTF">2022-12-05T22:18:40Z</dcterms:modified>
</cp:coreProperties>
</file>